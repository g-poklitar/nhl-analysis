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63c2eb6b8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ater Comparison" sheetId="1" r:id="Rcb708334991f4bd9"/>
    <x:sheet xmlns:r="http://schemas.openxmlformats.org/officeDocument/2006/relationships" name="Guide" sheetId="2" r:id="Rb161fd4537b2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sz val="10"/>
      <x:color rgb="FF243247"/>
      <x:name val="Arial"/>
    </x:font>
    <x:font>
      <x:b/>
      <x:sz val="15"/>
      <x:color rgb="FF203C60"/>
      <x:name val="Arial"/>
    </x:font>
    <x:font>
      <x:i/>
      <x:sz val="10"/>
      <x:color rgb="FF536174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3A705A"/>
      </x:patternFill>
    </x:fill>
    <x:fill>
      <x:patternFill patternType="solid">
        <x:fgColor rgb="FF786143"/>
      </x:patternFill>
    </x:fill>
    <x:fill>
      <x:patternFill patternType="solid">
        <x:fgColor rgb="FF635480"/>
      </x:patternFill>
    </x:fill>
    <x:fill>
      <x:patternFill patternType="solid">
        <x:fgColor rgb="FFFFF3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200" fontId="1" fillId="6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  <x:dxfs count="2">
    <x:dxf>
      <x:font>
        <x:color rgb="FF267044"/>
      </x:font>
    </x:dxf>
    <x:dxf>
      <x:font>
        <x:color rgb="FFA5413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3f2f313654684" /><Relationship Type="http://schemas.openxmlformats.org/officeDocument/2006/relationships/theme" Target="/xl/theme/theme1.xml" Id="R773079b6118441de" /><Relationship Type="http://schemas.openxmlformats.org/officeDocument/2006/relationships/sharedStrings" Target="/xl/sharedStrings.xml" Id="R7be85906474e4e26" /><Relationship Type="http://schemas.openxmlformats.org/officeDocument/2006/relationships/worksheet" Target="/xl/worksheets/sheet1.xml" Id="Rcb708334991f4bd9" /><Relationship Type="http://schemas.openxmlformats.org/officeDocument/2006/relationships/worksheet" Target="/xl/worksheets/sheet2.xml" Id="Rb161fd4537b248bd" /></Relationships>
</file>

<file path=xl/tables/table1.xml><?xml version="1.0" encoding="utf-8"?>
<x:table xmlns:x="http://schemas.openxmlformats.org/spreadsheetml/2006/main" id="1" name="SkaterComparison" displayName="SkaterComparison" ref="A5:CB1013" headerRowCount="1" totalsRowCount="0" totalsRowShown="0">
  <x:autoFilter ref="A5:CB1013"/>
  <x:tableColumns count="80">
    <x:tableColumn id="1" name="player"/>
    <x:tableColumn id="2" name="player_key"/>
    <x:tableColumn id="3" name="has_projection"/>
    <x:tableColumn id="4" name="has_actual"/>
    <x:tableColumn id="5" name="has_advanced"/>
    <x:tableColumn id="6" name="proj_FP"/>
    <x:tableColumn id="7" name="actual_FP"/>
    <x:tableColumn id="8" name="error_FP"/>
    <x:tableColumn id="9" name="proj_FP_per_GP"/>
    <x:tableColumn id="10" name="actual_FP_per_GP"/>
    <x:tableColumn id="11" name="proj_GP"/>
    <x:tableColumn id="12" name="actual_GP"/>
    <x:tableColumn id="13" name="error_GP"/>
    <x:tableColumn id="14" name="proj_G"/>
    <x:tableColumn id="15" name="actual_G"/>
    <x:tableColumn id="16" name="error_G"/>
    <x:tableColumn id="17" name="proj_A"/>
    <x:tableColumn id="18" name="actual_A"/>
    <x:tableColumn id="19" name="error_A"/>
    <x:tableColumn id="20" name="proj_PM"/>
    <x:tableColumn id="21" name="actual_PM"/>
    <x:tableColumn id="22" name="error_PM"/>
    <x:tableColumn id="23" name="proj_PPP"/>
    <x:tableColumn id="24" name="actual_PPP"/>
    <x:tableColumn id="25" name="error_PPP"/>
    <x:tableColumn id="26" name="proj_SHP"/>
    <x:tableColumn id="27" name="actual_SHP"/>
    <x:tableColumn id="28" name="error_SHP"/>
    <x:tableColumn id="29" name="proj_SOG"/>
    <x:tableColumn id="30" name="actual_SOG"/>
    <x:tableColumn id="31" name="error_SOG"/>
    <x:tableColumn id="32" name="proj_HIT"/>
    <x:tableColumn id="33" name="actual_HIT"/>
    <x:tableColumn id="34" name="error_HIT"/>
    <x:tableColumn id="35" name="proj_BLK"/>
    <x:tableColumn id="36" name="actual_BLK"/>
    <x:tableColumn id="37" name="error_BLK"/>
    <x:tableColumn id="38" name="proj_age"/>
    <x:tableColumn id="39" name="actual_age"/>
    <x:tableColumn id="40" name="proj_position"/>
    <x:tableColumn id="41" name="actual_position"/>
    <x:tableColumn id="42" name="proj_team"/>
    <x:tableColumn id="43" name="actual_team"/>
    <x:tableColumn id="44" name="proj_TOI_min"/>
    <x:tableColumn id="45" name="actual_TOI_min"/>
    <x:tableColumn id="46" name="proj_PP_TOI_min"/>
    <x:tableColumn id="47" name="actual_SH_pct"/>
    <x:tableColumn id="48" name="actual_PPG"/>
    <x:tableColumn id="49" name="actual_PPA"/>
    <x:tableColumn id="50" name="actual_SHG"/>
    <x:tableColumn id="51" name="actual_SHA"/>
    <x:tableColumn id="52" name="adv_CF"/>
    <x:tableColumn id="53" name="adv_CA"/>
    <x:tableColumn id="54" name="adv_CF_pct"/>
    <x:tableColumn id="55" name="adv_CF_relative_pp"/>
    <x:tableColumn id="56" name="adv_FF"/>
    <x:tableColumn id="57" name="adv_FA"/>
    <x:tableColumn id="58" name="adv_FF_pct"/>
    <x:tableColumn id="59" name="adv_FF_relative_pp"/>
    <x:tableColumn id="60" name="adv_on_ice_SH_pct"/>
    <x:tableColumn id="61" name="adv_on_ice_SV_pct"/>
    <x:tableColumn id="62" name="adv_PDO"/>
    <x:tableColumn id="63" name="adv_off_zone_start_pct"/>
    <x:tableColumn id="64" name="adv_def_zone_start_pct"/>
    <x:tableColumn id="65" name="adv_TOI_per_game_min"/>
    <x:tableColumn id="66" name="adv_EV_TOI_per_game_min"/>
    <x:tableColumn id="67" name="adv_takeaways"/>
    <x:tableColumn id="68" name="adv_giveaways"/>
    <x:tableColumn id="69" name="adv_expected_PM"/>
    <x:tableColumn id="70" name="adv_shot_attempts"/>
    <x:tableColumn id="71" name="adv_through_pct"/>
    <x:tableColumn id="72" name="adv_GP"/>
    <x:tableColumn id="73" name="adv_team"/>
    <x:tableColumn id="74" name="projection_source_row"/>
    <x:tableColumn id="75" name="actual_source_row"/>
    <x:tableColumn id="76" name="advanced_source_row"/>
    <x:tableColumn id="77" name="projection_source_name"/>
    <x:tableColumn id="78" name="actual_source_name"/>
    <x:tableColumn id="79" name="advanced_source_name"/>
    <x:tableColumn id="80" name="advanced_sour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ca9019d1ea47d0" /></Relationships>
</file>

<file path=xl/worksheets/sheet1.xml><?xml version="1.0" encoding="utf-8"?>
<x:worksheet xmlns:x="http://schemas.openxmlformats.org/spreadsheetml/2006/main">
  <x:sheetPr>
    <x:tabColor rgb="FF203C6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27" hidden="0" customWidth="1"/>
    <x:col min="78" max="78" width="27" hidden="0" customWidth="1"/>
    <x:col min="79" max="79" width="27" hidden="0" customWidth="1"/>
    <x:col min="80" max="8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  <x:c r="CA1" s="1"/>
      <x:c r="CB1" s="1"/>
    </x:row>
    <x:row r="2">
      <x:c r="A2" s="2" t="str">
        <x:v>2025–2026 skater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  <x:c r="CA2" s="1"/>
      <x:c r="CB2" s="1"/>
    </x:row>
    <x:row r="3">
      <x:c r="A3" s="3" t="str">
        <x:v>Projection → actual → difference. Filter has_actual = 1 for observed results. Advanced fields describe the completed season.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  <x:c r="CA3" s="1"/>
      <x:c r="CB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  <x:c r="CA4" s="1"/>
      <x:c r="CB4" s="1"/>
    </x:row>
    <x:row r="5" ht="46" customHeight="1">
      <x:c r="A5" s="9" t="str">
        <x:v>player</x:v>
      </x:c>
      <x:c r="B5" s="9" t="str">
        <x:v>player_key</x:v>
      </x:c>
      <x:c r="C5" s="9" t="str">
        <x:v>has_projection</x:v>
      </x:c>
      <x:c r="D5" s="9" t="str">
        <x:v>has_actual</x:v>
      </x:c>
      <x:c r="E5" s="9" t="str">
        <x:v>has_advanced</x:v>
      </x:c>
      <x:c r="F5" s="9" t="str">
        <x:v>proj_FP</x:v>
      </x:c>
      <x:c r="G5" s="11" t="str">
        <x:v>actual_FP</x:v>
      </x:c>
      <x:c r="H5" s="12" t="str">
        <x:v>error_FP</x:v>
      </x:c>
      <x:c r="I5" s="9" t="str">
        <x:v>proj_FP_per_GP</x:v>
      </x:c>
      <x:c r="J5" s="11" t="str">
        <x:v>actual_FP_per_GP</x:v>
      </x:c>
      <x:c r="K5" s="9" t="str">
        <x:v>proj_GP</x:v>
      </x:c>
      <x:c r="L5" s="11" t="str">
        <x:v>actual_GP</x:v>
      </x:c>
      <x:c r="M5" s="12" t="str">
        <x:v>error_GP</x:v>
      </x:c>
      <x:c r="N5" s="9" t="str">
        <x:v>proj_G</x:v>
      </x:c>
      <x:c r="O5" s="11" t="str">
        <x:v>actual_G</x:v>
      </x:c>
      <x:c r="P5" s="12" t="str">
        <x:v>error_G</x:v>
      </x:c>
      <x:c r="Q5" s="9" t="str">
        <x:v>proj_A</x:v>
      </x:c>
      <x:c r="R5" s="11" t="str">
        <x:v>actual_A</x:v>
      </x:c>
      <x:c r="S5" s="12" t="str">
        <x:v>error_A</x:v>
      </x:c>
      <x:c r="T5" s="9" t="str">
        <x:v>proj_PM</x:v>
      </x:c>
      <x:c r="U5" s="11" t="str">
        <x:v>actual_PM</x:v>
      </x:c>
      <x:c r="V5" s="12" t="str">
        <x:v>error_PM</x:v>
      </x:c>
      <x:c r="W5" s="9" t="str">
        <x:v>proj_PPP</x:v>
      </x:c>
      <x:c r="X5" s="11" t="str">
        <x:v>actual_PPP</x:v>
      </x:c>
      <x:c r="Y5" s="12" t="str">
        <x:v>error_PPP</x:v>
      </x:c>
      <x:c r="Z5" s="9" t="str">
        <x:v>proj_SHP</x:v>
      </x:c>
      <x:c r="AA5" s="11" t="str">
        <x:v>actual_SHP</x:v>
      </x:c>
      <x:c r="AB5" s="12" t="str">
        <x:v>error_SHP</x:v>
      </x:c>
      <x:c r="AC5" s="9" t="str">
        <x:v>proj_SOG</x:v>
      </x:c>
      <x:c r="AD5" s="11" t="str">
        <x:v>actual_SOG</x:v>
      </x:c>
      <x:c r="AE5" s="12" t="str">
        <x:v>error_SOG</x:v>
      </x:c>
      <x:c r="AF5" s="9" t="str">
        <x:v>proj_HIT</x:v>
      </x:c>
      <x:c r="AG5" s="11" t="str">
        <x:v>actual_HIT</x:v>
      </x:c>
      <x:c r="AH5" s="12" t="str">
        <x:v>error_HIT</x:v>
      </x:c>
      <x:c r="AI5" s="9" t="str">
        <x:v>proj_BLK</x:v>
      </x:c>
      <x:c r="AJ5" s="11" t="str">
        <x:v>actual_BLK</x:v>
      </x:c>
      <x:c r="AK5" s="12" t="str">
        <x:v>error_BLK</x:v>
      </x:c>
      <x:c r="AL5" s="9" t="str">
        <x:v>proj_age</x:v>
      </x:c>
      <x:c r="AM5" s="11" t="str">
        <x:v>actual_age</x:v>
      </x:c>
      <x:c r="AN5" s="9" t="str">
        <x:v>proj_position</x:v>
      </x:c>
      <x:c r="AO5" s="11" t="str">
        <x:v>actual_position</x:v>
      </x:c>
      <x:c r="AP5" s="9" t="str">
        <x:v>proj_team</x:v>
      </x:c>
      <x:c r="AQ5" s="11" t="str">
        <x:v>actual_team</x:v>
      </x:c>
      <x:c r="AR5" s="9" t="str">
        <x:v>proj_TOI_min</x:v>
      </x:c>
      <x:c r="AS5" s="11" t="str">
        <x:v>actual_TOI_min</x:v>
      </x:c>
      <x:c r="AT5" s="9" t="str">
        <x:v>proj_PP_TOI_min</x:v>
      </x:c>
      <x:c r="AU5" s="11" t="str">
        <x:v>actual_SH_pct</x:v>
      </x:c>
      <x:c r="AV5" s="11" t="str">
        <x:v>actual_PPG</x:v>
      </x:c>
      <x:c r="AW5" s="11" t="str">
        <x:v>actual_PPA</x:v>
      </x:c>
      <x:c r="AX5" s="11" t="str">
        <x:v>actual_SHG</x:v>
      </x:c>
      <x:c r="AY5" s="11" t="str">
        <x:v>actual_SHA</x:v>
      </x:c>
      <x:c r="AZ5" s="13" t="str">
        <x:v>adv_CF</x:v>
      </x:c>
      <x:c r="BA5" s="13" t="str">
        <x:v>adv_CA</x:v>
      </x:c>
      <x:c r="BB5" s="13" t="str">
        <x:v>adv_CF_pct</x:v>
      </x:c>
      <x:c r="BC5" s="13" t="str">
        <x:v>adv_CF_relative_pp</x:v>
      </x:c>
      <x:c r="BD5" s="13" t="str">
        <x:v>adv_FF</x:v>
      </x:c>
      <x:c r="BE5" s="13" t="str">
        <x:v>adv_FA</x:v>
      </x:c>
      <x:c r="BF5" s="13" t="str">
        <x:v>adv_FF_pct</x:v>
      </x:c>
      <x:c r="BG5" s="13" t="str">
        <x:v>adv_FF_relative_pp</x:v>
      </x:c>
      <x:c r="BH5" s="13" t="str">
        <x:v>adv_on_ice_SH_pct</x:v>
      </x:c>
      <x:c r="BI5" s="13" t="str">
        <x:v>adv_on_ice_SV_pct</x:v>
      </x:c>
      <x:c r="BJ5" s="13" t="str">
        <x:v>adv_PDO</x:v>
      </x:c>
      <x:c r="BK5" s="13" t="str">
        <x:v>adv_off_zone_start_pct</x:v>
      </x:c>
      <x:c r="BL5" s="13" t="str">
        <x:v>adv_def_zone_start_pct</x:v>
      </x:c>
      <x:c r="BM5" s="13" t="str">
        <x:v>adv_TOI_per_game_min</x:v>
      </x:c>
      <x:c r="BN5" s="13" t="str">
        <x:v>adv_EV_TOI_per_game_min</x:v>
      </x:c>
      <x:c r="BO5" s="13" t="str">
        <x:v>adv_takeaways</x:v>
      </x:c>
      <x:c r="BP5" s="13" t="str">
        <x:v>adv_giveaways</x:v>
      </x:c>
      <x:c r="BQ5" s="13" t="str">
        <x:v>adv_expected_PM</x:v>
      </x:c>
      <x:c r="BR5" s="13" t="str">
        <x:v>adv_shot_attempts</x:v>
      </x:c>
      <x:c r="BS5" s="13" t="str">
        <x:v>adv_through_pct</x:v>
      </x:c>
      <x:c r="BT5" s="13" t="str">
        <x:v>adv_GP</x:v>
      </x:c>
      <x:c r="BU5" s="13" t="str">
        <x:v>adv_team</x:v>
      </x:c>
      <x:c r="BV5" s="9" t="str">
        <x:v>projection_source_row</x:v>
      </x:c>
      <x:c r="BW5" s="11" t="str">
        <x:v>actual_source_row</x:v>
      </x:c>
      <x:c r="BX5" s="9" t="str">
        <x:v>advanced_source_row</x:v>
      </x:c>
      <x:c r="BY5" s="9" t="str">
        <x:v>projection_source_name</x:v>
      </x:c>
      <x:c r="BZ5" s="11" t="str">
        <x:v>actual_source_name</x:v>
      </x:c>
      <x:c r="CA5" s="9" t="str">
        <x:v>advanced_source_name</x:v>
      </x:c>
      <x:c r="CB5" s="9" t="str">
        <x:v>advanced_source_id</x:v>
      </x:c>
    </x:row>
    <x:row r="6" ht="22" customHeight="1">
      <x:c r="A6" s="4" t="str">
        <x:v>A.J. Greer</x:v>
      </x:c>
      <x:c r="B6" s="4" t="str">
        <x:v>ajgreer</x:v>
      </x:c>
      <x:c r="C6" s="10" t="n">
        <x:v>1</x:v>
      </x:c>
      <x:c r="D6" s="10" t="n">
        <x:v>1</x:v>
      </x:c>
      <x:c r="E6" s="10" t="n">
        <x:v>1</x:v>
      </x:c>
      <x:c r="F6" s="4" t="n">
        <x:f>IF(COUNT(N6,Q6,T6,W6,Z6,AC6,AF6,AI6)=8,N6*Guide!$E$5+Q6*Guide!$E$6+T6*Guide!$E$7+W6*Guide!$E$8+Z6*Guide!$E$9+AC6*Guide!$E$10+AF6*Guide!$E$11+AI6*Guide!$E$12,"")</x:f>
        <x:v>157</x:v>
      </x:c>
      <x:c r="G6" s="4" t="n">
        <x:f>IF(COUNT(O6,R6,U6,X6,AA6,AD6,AG6,AJ6)=8,O6*Guide!$E$5+R6*Guide!$E$6+U6*Guide!$E$7+X6*Guide!$E$8+AA6*Guide!$E$9+AD6*Guide!$E$10+AG6*Guide!$E$11+AJ6*Guide!$E$12,"")</x:f>
        <x:v>226.5</x:v>
      </x:c>
      <x:c r="H6" s="4" t="n">
        <x:f>IF(COUNT(G6,F6)=2,G6-F6,"")</x:f>
        <x:v>69.5</x:v>
      </x:c>
      <x:c r="I6" s="4" t="n">
        <x:f>IF(AND(ISNUMBER(F6),K6&gt;0),F6/K6,"")</x:f>
        <x:v>1.9625</x:v>
      </x:c>
      <x:c r="J6" s="4" t="n">
        <x:f>IF(AND(ISNUMBER(G6),L6&gt;0),G6/L6,"")</x:f>
        <x:v>2.9038461538461537</x:v>
      </x:c>
      <x:c r="K6" s="10" t="n">
        <x:v>80</x:v>
      </x:c>
      <x:c r="L6" s="10" t="n">
        <x:v>78</x:v>
      </x:c>
      <x:c r="M6" s="10" t="n">
        <x:f>IF(COUNT(L6,K6)=2,L6-K6,"")</x:f>
        <x:v>-2</x:v>
      </x:c>
      <x:c r="N6" s="10" t="n">
        <x:v>8</x:v>
      </x:c>
      <x:c r="O6" s="10" t="n">
        <x:v>17</x:v>
      </x:c>
      <x:c r="P6" s="10" t="n">
        <x:f>IF(COUNT(O6,N6)=2,O6-N6,"")</x:f>
        <x:v>9</x:v>
      </x:c>
      <x:c r="Q6" s="10" t="n">
        <x:v>11</x:v>
      </x:c>
      <x:c r="R6" s="10" t="n">
        <x:v>15</x:v>
      </x:c>
      <x:c r="S6" s="10" t="n">
        <x:f>IF(COUNT(R6,Q6)=2,R6-Q6,"")</x:f>
        <x:v>4</x:v>
      </x:c>
      <x:c r="T6" s="10" t="n">
        <x:v>0</x:v>
      </x:c>
      <x:c r="U6" s="10" t="n">
        <x:v>14</x:v>
      </x:c>
      <x:c r="V6" s="10" t="n">
        <x:f>IF(COUNT(U6,T6)=2,U6-T6,"")</x:f>
        <x:v>14</x:v>
      </x:c>
      <x:c r="W6" s="10" t="n">
        <x:v>1</x:v>
      </x:c>
      <x:c r="X6" s="10" t="n">
        <x:f>IF(COUNT(AV6,AW6)=2,AV6+AW6,"")</x:f>
        <x:v>1</x:v>
      </x:c>
      <x:c r="Y6" s="10" t="n">
        <x:f>IF(COUNT(X6,W6)=2,X6-W6,"")</x:f>
        <x:v>0</x:v>
      </x:c>
      <x:c r="Z6" s="10" t="n">
        <x:v>0</x:v>
      </x:c>
      <x:c r="AA6" s="10" t="n">
        <x:f>IF(COUNT(AX6,AY6)=2,AX6+AY6,"")</x:f>
        <x:v>0</x:v>
      </x:c>
      <x:c r="AB6" s="10" t="n">
        <x:f>IF(COUNT(AA6,Z6)=2,AA6-Z6,"")</x:f>
        <x:v>0</x:v>
      </x:c>
      <x:c r="AC6" s="10" t="n">
        <x:v>80</x:v>
      </x:c>
      <x:c r="AD6" s="10" t="n">
        <x:v>104</x:v>
      </x:c>
      <x:c r="AE6" s="10" t="n">
        <x:f>IF(COUNT(AD6,AC6)=2,AD6-AC6,"")</x:f>
        <x:v>24</x:v>
      </x:c>
      <x:c r="AF6" s="10" t="n">
        <x:v>188</x:v>
      </x:c>
      <x:c r="AG6" s="10" t="n">
        <x:v>203</x:v>
      </x:c>
      <x:c r="AH6" s="10" t="n">
        <x:f>IF(COUNT(AG6,AF6)=2,AG6-AF6,"")</x:f>
        <x:v>15</x:v>
      </x:c>
      <x:c r="AI6" s="10" t="n">
        <x:v>32</x:v>
      </x:c>
      <x:c r="AJ6" s="10" t="n">
        <x:v>29</x:v>
      </x:c>
      <x:c r="AK6" s="10" t="n">
        <x:f>IF(COUNT(AJ6,AI6)=2,AJ6-AI6,"")</x:f>
        <x:v>-3</x:v>
      </x:c>
      <x:c r="AL6" s="10" t="n">
        <x:v>29</x:v>
      </x:c>
      <x:c r="AM6" s="10" t="n">
        <x:v>29</x:v>
      </x:c>
      <x:c r="AN6" s="4" t="str">
        <x:v>LW</x:v>
      </x:c>
      <x:c r="AO6" s="4" t="str">
        <x:v>LW</x:v>
      </x:c>
      <x:c r="AP6" s="4" t="str">
        <x:v>FLA</x:v>
      </x:c>
      <x:c r="AQ6" s="4" t="str">
        <x:v>FLA</x:v>
      </x:c>
      <x:c r="AR6" s="4" t="n">
        <x:v>9.45</x:v>
      </x:c>
      <x:c r="AS6" s="4" t="n">
        <x:v>12.433333333333334</x:v>
      </x:c>
      <x:c r="AT6" s="4" t="n">
        <x:v>0.2</x:v>
      </x:c>
      <x:c r="AU6" s="4" t="n">
        <x:v>16.3</x:v>
      </x:c>
      <x:c r="AV6" s="10" t="n">
        <x:v>1</x:v>
      </x:c>
      <x:c r="AW6" s="10" t="n">
        <x:v>0</x:v>
      </x:c>
      <x:c r="AX6" s="10" t="n">
        <x:v>0</x:v>
      </x:c>
      <x:c r="AY6" s="10" t="n">
        <x:v>0</x:v>
      </x:c>
      <x:c r="AZ6" s="10" t="n">
        <x:v>928</x:v>
      </x:c>
      <x:c r="BA6" s="10" t="n">
        <x:v>754</x:v>
      </x:c>
      <x:c r="BB6" s="4" t="n">
        <x:v>55.2</x:v>
      </x:c>
      <x:c r="BC6" s="4" t="n">
        <x:v>3.9</x:v>
      </x:c>
      <x:c r="BD6" s="10" t="n">
        <x:v>675</x:v>
      </x:c>
      <x:c r="BE6" s="10" t="n">
        <x:v>555</x:v>
      </x:c>
      <x:c r="BF6" s="4" t="n">
        <x:v>54.9</x:v>
      </x:c>
      <x:c r="BG6" s="4" t="n">
        <x:v>4.2</x:v>
      </x:c>
      <x:c r="BH6" s="4" t="n">
        <x:v>12.3</x:v>
      </x:c>
      <x:c r="BI6" s="4" t="n">
        <x:v>89.5</x:v>
      </x:c>
      <x:c r="BJ6" s="4" t="n">
        <x:v>101.7</x:v>
      </x:c>
      <x:c r="BK6" s="4" t="n">
        <x:v>56.4</x:v>
      </x:c>
      <x:c r="BL6" s="4" t="n">
        <x:v>43.6</x:v>
      </x:c>
      <x:c r="BM6" s="4" t="n">
        <x:v>12.433333333333334</x:v>
      </x:c>
      <x:c r="BN6" s="4" t="n">
        <x:v>11.75</x:v>
      </x:c>
      <x:c r="BO6" s="10" t="n">
        <x:v>9</x:v>
      </x:c>
      <x:c r="BP6" s="10" t="n">
        <x:v>52</x:v>
      </x:c>
      <x:c r="BQ6" s="4" t="n">
        <x:v>4.4</x:v>
      </x:c>
      <x:c r="BR6" s="10" t="n">
        <x:v>207</x:v>
      </x:c>
      <x:c r="BS6" s="4" t="n">
        <x:v>50.2</x:v>
      </x:c>
      <x:c r="BT6" s="10" t="n">
        <x:v>78</x:v>
      </x:c>
      <x:c r="BU6" s="4" t="str">
        <x:v>FLA</x:v>
      </x:c>
      <x:c r="BV6" s="10" t="n">
        <x:v>536</x:v>
      </x:c>
      <x:c r="BW6" s="10" t="n">
        <x:v>300</x:v>
      </x:c>
      <x:c r="BX6" s="10" t="n">
        <x:v>358</x:v>
      </x:c>
      <x:c r="BY6" s="4" t="str">
        <x:v>A.J. Greer</x:v>
      </x:c>
      <x:c r="BZ6" s="4" t="str">
        <x:v>A.J. Greer</x:v>
      </x:c>
      <x:c r="CA6" s="4" t="str">
        <x:v>A.J. Greer</x:v>
      </x:c>
      <x:c r="CB6" s="4" t="str">
        <x:v>greeraj01</x:v>
      </x:c>
    </x:row>
    <x:row r="7" ht="22" customHeight="1">
      <x:c r="A7" s="4" t="str">
        <x:v>Aaron Ekblad</x:v>
      </x:c>
      <x:c r="B7" s="4" t="str">
        <x:v>aaronekblad</x:v>
      </x:c>
      <x:c r="C7" s="10" t="n">
        <x:v>1</x:v>
      </x:c>
      <x:c r="D7" s="10" t="n">
        <x:v>1</x:v>
      </x:c>
      <x:c r="E7" s="10" t="n">
        <x:v>1</x:v>
      </x:c>
      <x:c r="F7" s="4" t="n">
        <x:f>IF(COUNT(N7,Q7,T7,W7,Z7,AC7,AF7,AI7)=8,N7*Guide!$E$5+Q7*Guide!$E$6+T7*Guide!$E$7+W7*Guide!$E$8+Z7*Guide!$E$9+AC7*Guide!$E$10+AF7*Guide!$E$11+AI7*Guide!$E$12,"")</x:f>
        <x:v>270</x:v>
      </x:c>
      <x:c r="G7" s="4" t="n">
        <x:f>IF(COUNT(O7,R7,U7,X7,AA7,AD7,AG7,AJ7)=8,O7*Guide!$E$5+R7*Guide!$E$6+U7*Guide!$E$7+X7*Guide!$E$8+AA7*Guide!$E$9+AD7*Guide!$E$10+AG7*Guide!$E$11+AJ7*Guide!$E$12,"")</x:f>
        <x:v>207.5</x:v>
      </x:c>
      <x:c r="H7" s="4" t="n">
        <x:f>IF(COUNT(G7,F7)=2,G7-F7,"")</x:f>
        <x:v>-62.5</x:v>
      </x:c>
      <x:c r="I7" s="4" t="n">
        <x:f>IF(AND(ISNUMBER(F7),K7&gt;0),F7/K7,"")</x:f>
        <x:v>3.857142857142857</x:v>
      </x:c>
      <x:c r="J7" s="4" t="n">
        <x:f>IF(AND(ISNUMBER(G7),L7&gt;0),G7/L7,"")</x:f>
        <x:v>2.8819444444444446</x:v>
      </x:c>
      <x:c r="K7" s="10" t="n">
        <x:v>70</x:v>
      </x:c>
      <x:c r="L7" s="10" t="n">
        <x:v>72</x:v>
      </x:c>
      <x:c r="M7" s="10" t="n">
        <x:f>IF(COUNT(L7,K7)=2,L7-K7,"")</x:f>
        <x:v>2</x:v>
      </x:c>
      <x:c r="N7" s="10" t="n">
        <x:v>8</x:v>
      </x:c>
      <x:c r="O7" s="10" t="n">
        <x:v>4</x:v>
      </x:c>
      <x:c r="P7" s="10" t="n">
        <x:f>IF(COUNT(O7,N7)=2,O7-N7,"")</x:f>
        <x:v>-4</x:v>
      </x:c>
      <x:c r="Q7" s="10" t="n">
        <x:v>30</x:v>
      </x:c>
      <x:c r="R7" s="10" t="n">
        <x:v>22</x:v>
      </x:c>
      <x:c r="S7" s="10" t="n">
        <x:f>IF(COUNT(R7,Q7)=2,R7-Q7,"")</x:f>
        <x:v>-8</x:v>
      </x:c>
      <x:c r="T7" s="10" t="n">
        <x:v>9</x:v>
      </x:c>
      <x:c r="U7" s="10" t="n">
        <x:v>-5</x:v>
      </x:c>
      <x:c r="V7" s="10" t="n">
        <x:f>IF(COUNT(U7,T7)=2,U7-T7,"")</x:f>
        <x:v>-14</x:v>
      </x:c>
      <x:c r="W7" s="10" t="n">
        <x:v>14</x:v>
      </x:c>
      <x:c r="X7" s="10" t="n">
        <x:f>IF(COUNT(AV7,AW7)=2,AV7+AW7,"")</x:f>
        <x:v>5</x:v>
      </x:c>
      <x:c r="Y7" s="10" t="n">
        <x:f>IF(COUNT(X7,W7)=2,X7-W7,"")</x:f>
        <x:v>-9</x:v>
      </x:c>
      <x:c r="Z7" s="10" t="n">
        <x:v>1</x:v>
      </x:c>
      <x:c r="AA7" s="10" t="n">
        <x:f>IF(COUNT(AX7,AY7)=2,AX7+AY7,"")</x:f>
        <x:v>1</x:v>
      </x:c>
      <x:c r="AB7" s="10" t="n">
        <x:f>IF(COUNT(AA7,Z7)=2,AA7-Z7,"")</x:f>
        <x:v>0</x:v>
      </x:c>
      <x:c r="AC7" s="10" t="n">
        <x:v>139</x:v>
      </x:c>
      <x:c r="AD7" s="10" t="n">
        <x:v>97</x:v>
      </x:c>
      <x:c r="AE7" s="10" t="n">
        <x:f>IF(COUNT(AD7,AC7)=2,AD7-AC7,"")</x:f>
        <x:v>-42</x:v>
      </x:c>
      <x:c r="AF7" s="10" t="n">
        <x:v>100</x:v>
      </x:c>
      <x:c r="AG7" s="10" t="n">
        <x:v>84</x:v>
      </x:c>
      <x:c r="AH7" s="10" t="n">
        <x:f>IF(COUNT(AG7,AF7)=2,AG7-AF7,"")</x:f>
        <x:v>-16</x:v>
      </x:c>
      <x:c r="AI7" s="10" t="n">
        <x:v>83</x:v>
      </x:c>
      <x:c r="AJ7" s="10" t="n">
        <x:v>103</x:v>
      </x:c>
      <x:c r="AK7" s="10" t="n">
        <x:f>IF(COUNT(AJ7,AI7)=2,AJ7-AI7,"")</x:f>
        <x:v>20</x:v>
      </x:c>
      <x:c r="AL7" s="10" t="n">
        <x:v>29</x:v>
      </x:c>
      <x:c r="AM7" s="10" t="n">
        <x:v>29</x:v>
      </x:c>
      <x:c r="AN7" s="4" t="str">
        <x:v>D</x:v>
      </x:c>
      <x:c r="AO7" s="4" t="str">
        <x:v>D</x:v>
      </x:c>
      <x:c r="AP7" s="4" t="str">
        <x:v>FLA</x:v>
      </x:c>
      <x:c r="AQ7" s="4" t="str">
        <x:v>FLA</x:v>
      </x:c>
      <x:c r="AR7" s="4" t="n">
        <x:v>22.89</x:v>
      </x:c>
      <x:c r="AS7" s="4" t="n">
        <x:v>22.483333333333334</x:v>
      </x:c>
      <x:c r="AT7" s="4" t="n">
        <x:v>2.2</x:v>
      </x:c>
      <x:c r="AU7" s="4" t="n">
        <x:v>4.1</x:v>
      </x:c>
      <x:c r="AV7" s="10" t="n">
        <x:v>1</x:v>
      </x:c>
      <x:c r="AW7" s="10" t="n">
        <x:v>4</x:v>
      </x:c>
      <x:c r="AX7" s="10" t="n">
        <x:v>0</x:v>
      </x:c>
      <x:c r="AY7" s="10" t="n">
        <x:v>1</x:v>
      </x:c>
      <x:c r="AZ7" s="10" t="n">
        <x:v>1273</x:v>
      </x:c>
      <x:c r="BA7" s="10" t="n">
        <x:v>1158</x:v>
      </x:c>
      <x:c r="BB7" s="4" t="n">
        <x:v>52.4</x:v>
      </x:c>
      <x:c r="BC7" s="4" t="n">
        <x:v>0.3</x:v>
      </x:c>
      <x:c r="BD7" s="10" t="n">
        <x:v>927</x:v>
      </x:c>
      <x:c r="BE7" s="10" t="n">
        <x:v>867</x:v>
      </x:c>
      <x:c r="BF7" s="4" t="n">
        <x:v>51.7</x:v>
      </x:c>
      <x:c r="BG7" s="4" t="n">
        <x:v>0.8</x:v>
      </x:c>
      <x:c r="BH7" s="4" t="n">
        <x:v>11.1</x:v>
      </x:c>
      <x:c r="BI7" s="4" t="n">
        <x:v>88.2</x:v>
      </x:c>
      <x:c r="BJ7" s="4" t="n">
        <x:v>99.3</x:v>
      </x:c>
      <x:c r="BK7" s="4" t="n">
        <x:v>52.3</x:v>
      </x:c>
      <x:c r="BL7" s="4" t="n">
        <x:v>47.8</x:v>
      </x:c>
      <x:c r="BM7" s="4" t="n">
        <x:v>22.483333333333334</x:v>
      </x:c>
      <x:c r="BN7" s="4" t="n">
        <x:v>17.466666666666665</x:v>
      </x:c>
      <x:c r="BO7" s="10" t="n">
        <x:v>20</x:v>
      </x:c>
      <x:c r="BP7" s="10" t="n">
        <x:v>68</x:v>
      </x:c>
      <x:c r="BQ7" s="4" t="n">
        <x:v>-5.3</x:v>
      </x:c>
      <x:c r="BR7" s="10" t="n">
        <x:v>241</x:v>
      </x:c>
      <x:c r="BS7" s="4" t="n">
        <x:v>40.2</x:v>
      </x:c>
      <x:c r="BT7" s="10" t="n">
        <x:v>72</x:v>
      </x:c>
      <x:c r="BU7" s="4" t="str">
        <x:v>FLA</x:v>
      </x:c>
      <x:c r="BV7" s="10" t="n">
        <x:v>268</x:v>
      </x:c>
      <x:c r="BW7" s="10" t="n">
        <x:v>373</x:v>
      </x:c>
      <x:c r="BX7" s="10" t="n">
        <x:v>261</x:v>
      </x:c>
      <x:c r="BY7" s="4" t="str">
        <x:v>Aaron Ekblad</x:v>
      </x:c>
      <x:c r="BZ7" s="4" t="str">
        <x:v>Aaron Ekblad</x:v>
      </x:c>
      <x:c r="CA7" s="4" t="str">
        <x:v>Aaron Ekblad</x:v>
      </x:c>
      <x:c r="CB7" s="4" t="str">
        <x:v>ekblaaa01</x:v>
      </x:c>
    </x:row>
    <x:row r="8" ht="22" customHeight="1">
      <x:c r="A8" s="4" t="str">
        <x:v>Adam Fantilli</x:v>
      </x:c>
      <x:c r="B8" s="4" t="str">
        <x:v>adamfantilli</x:v>
      </x:c>
      <x:c r="C8" s="10" t="n">
        <x:v>1</x:v>
      </x:c>
      <x:c r="D8" s="10" t="n">
        <x:v>1</x:v>
      </x:c>
      <x:c r="E8" s="10" t="n">
        <x:v>1</x:v>
      </x:c>
      <x:c r="F8" s="4" t="n">
        <x:f>IF(COUNT(N8,Q8,T8,W8,Z8,AC8,AF8,AI8)=8,N8*Guide!$E$5+Q8*Guide!$E$6+T8*Guide!$E$7+W8*Guide!$E$8+Z8*Guide!$E$9+AC8*Guide!$E$10+AF8*Guide!$E$11+AI8*Guide!$E$12,"")</x:f>
        <x:v>328.75</x:v>
      </x:c>
      <x:c r="G8" s="4" t="n">
        <x:f>IF(COUNT(O8,R8,U8,X8,AA8,AD8,AG8,AJ8)=8,O8*Guide!$E$5+R8*Guide!$E$6+U8*Guide!$E$7+X8*Guide!$E$8+AA8*Guide!$E$9+AD8*Guide!$E$10+AG8*Guide!$E$11+AJ8*Guide!$E$12,"")</x:f>
        <x:v>327.5</x:v>
      </x:c>
      <x:c r="H8" s="4" t="n">
        <x:f>IF(COUNT(G8,F8)=2,G8-F8,"")</x:f>
        <x:v>-1.25</x:v>
      </x:c>
      <x:c r="I8" s="4" t="n">
        <x:f>IF(AND(ISNUMBER(F8),K8&gt;0),F8/K8,"")</x:f>
        <x:v>4.009146341463414</x:v>
      </x:c>
      <x:c r="J8" s="4" t="n">
        <x:f>IF(AND(ISNUMBER(G8),L8&gt;0),G8/L8,"")</x:f>
        <x:v>3.9939024390243905</x:v>
      </x:c>
      <x:c r="K8" s="10" t="n">
        <x:v>82</x:v>
      </x:c>
      <x:c r="L8" s="10" t="n">
        <x:v>82</x:v>
      </x:c>
      <x:c r="M8" s="10" t="n">
        <x:f>IF(COUNT(L8,K8)=2,L8-K8,"")</x:f>
        <x:v>0</x:v>
      </x:c>
      <x:c r="N8" s="10" t="n">
        <x:v>30</x:v>
      </x:c>
      <x:c r="O8" s="10" t="n">
        <x:v>24</x:v>
      </x:c>
      <x:c r="P8" s="10" t="n">
        <x:f>IF(COUNT(O8,N8)=2,O8-N8,"")</x:f>
        <x:v>-6</x:v>
      </x:c>
      <x:c r="Q8" s="10" t="n">
        <x:v>28</x:v>
      </x:c>
      <x:c r="R8" s="10" t="n">
        <x:v>35</x:v>
      </x:c>
      <x:c r="S8" s="10" t="n">
        <x:f>IF(COUNT(R8,Q8)=2,R8-Q8,"")</x:f>
        <x:v>7</x:v>
      </x:c>
      <x:c r="T8" s="10" t="n">
        <x:v>-7</x:v>
      </x:c>
      <x:c r="U8" s="10" t="n">
        <x:v>-13</x:v>
      </x:c>
      <x:c r="V8" s="10" t="n">
        <x:f>IF(COUNT(U8,T8)=2,U8-T8,"")</x:f>
        <x:v>-6</x:v>
      </x:c>
      <x:c r="W8" s="10" t="n">
        <x:v>10</x:v>
      </x:c>
      <x:c r="X8" s="10" t="n">
        <x:f>IF(COUNT(AV8,AW8)=2,AV8+AW8,"")</x:f>
        <x:v>13</x:v>
      </x:c>
      <x:c r="Y8" s="10" t="n">
        <x:f>IF(COUNT(X8,W8)=2,X8-W8,"")</x:f>
        <x:v>3</x:v>
      </x:c>
      <x:c r="Z8" s="10" t="n">
        <x:v>0</x:v>
      </x:c>
      <x:c r="AA8" s="10" t="n">
        <x:f>IF(COUNT(AX8,AY8)=2,AX8+AY8,"")</x:f>
        <x:v>0</x:v>
      </x:c>
      <x:c r="AB8" s="10" t="n">
        <x:f>IF(COUNT(AA8,Z8)=2,AA8-Z8,"")</x:f>
        <x:v>0</x:v>
      </x:c>
      <x:c r="AC8" s="10" t="n">
        <x:v>206</x:v>
      </x:c>
      <x:c r="AD8" s="10" t="n">
        <x:v>214</x:v>
      </x:c>
      <x:c r="AE8" s="10" t="n">
        <x:f>IF(COUNT(AD8,AC8)=2,AD8-AC8,"")</x:f>
        <x:v>8</x:v>
      </x:c>
      <x:c r="AF8" s="10" t="n">
        <x:v>116</x:v>
      </x:c>
      <x:c r="AG8" s="10" t="n">
        <x:v>139</x:v>
      </x:c>
      <x:c r="AH8" s="10" t="n">
        <x:f>IF(COUNT(AG8,AF8)=2,AG8-AF8,"")</x:f>
        <x:v>23</x:v>
      </x:c>
      <x:c r="AI8" s="10" t="n">
        <x:v>55</x:v>
      </x:c>
      <x:c r="AJ8" s="10" t="n">
        <x:v>51</x:v>
      </x:c>
      <x:c r="AK8" s="10" t="n">
        <x:f>IF(COUNT(AJ8,AI8)=2,AJ8-AI8,"")</x:f>
        <x:v>-4</x:v>
      </x:c>
      <x:c r="AL8" s="10" t="n">
        <x:v>21</x:v>
      </x:c>
      <x:c r="AM8" s="10" t="n">
        <x:v>21</x:v>
      </x:c>
      <x:c r="AN8" s="4" t="str">
        <x:v>C</x:v>
      </x:c>
      <x:c r="AO8" s="4" t="str">
        <x:v>C</x:v>
      </x:c>
      <x:c r="AP8" s="4" t="str">
        <x:v>CBJ</x:v>
      </x:c>
      <x:c r="AQ8" s="4" t="str">
        <x:v>CBJ</x:v>
      </x:c>
      <x:c r="AR8" s="4" t="n">
        <x:v>18.290000000000003</x:v>
      </x:c>
      <x:c r="AS8" s="4" t="n">
        <x:v>18.9</x:v>
      </x:c>
      <x:c r="AT8" s="4" t="n">
        <x:v>2.25</x:v>
      </x:c>
      <x:c r="AU8" s="4" t="n">
        <x:v>11.2</x:v>
      </x:c>
      <x:c r="AV8" s="10" t="n">
        <x:v>4</x:v>
      </x:c>
      <x:c r="AW8" s="10" t="n">
        <x:v>9</x:v>
      </x:c>
      <x:c r="AX8" s="10" t="n">
        <x:v>0</x:v>
      </x:c>
      <x:c r="AY8" s="10" t="n">
        <x:v>0</x:v>
      </x:c>
      <x:c r="AZ8" s="10" t="n">
        <x:v>1387</x:v>
      </x:c>
      <x:c r="BA8" s="10" t="n">
        <x:v>1271</x:v>
      </x:c>
      <x:c r="BB8" s="4" t="n">
        <x:v>52.2</x:v>
      </x:c>
      <x:c r="BC8" s="4" t="n">
        <x:v>2.4</x:v>
      </x:c>
      <x:c r="BD8" s="10" t="n">
        <x:v>1014</x:v>
      </x:c>
      <x:c r="BE8" s="10" t="n">
        <x:v>933</x:v>
      </x:c>
      <x:c r="BF8" s="4" t="n">
        <x:v>52.1</x:v>
      </x:c>
      <x:c r="BG8" s="4" t="n">
        <x:v>2.6</x:v>
      </x:c>
      <x:c r="BH8" s="4" t="n">
        <x:v>9.7</x:v>
      </x:c>
      <x:c r="BI8" s="4" t="n">
        <x:v>88</x:v>
      </x:c>
      <x:c r="BJ8" s="4" t="n">
        <x:v>97.8</x:v>
      </x:c>
      <x:c r="BK8" s="4" t="n">
        <x:v>66.4</x:v>
      </x:c>
      <x:c r="BL8" s="4" t="n">
        <x:v>33.6</x:v>
      </x:c>
      <x:c r="BM8" s="4" t="n">
        <x:v>18.9</x:v>
      </x:c>
      <x:c r="BN8" s="4" t="n">
        <x:v>16.166666666666668</x:v>
      </x:c>
      <x:c r="BO8" s="10" t="n">
        <x:v>25</x:v>
      </x:c>
      <x:c r="BP8" s="10" t="n">
        <x:v>94</x:v>
      </x:c>
      <x:c r="BQ8" s="4" t="n">
        <x:v>3.1</x:v>
      </x:c>
      <x:c r="BR8" s="10" t="n">
        <x:v>440</x:v>
      </x:c>
      <x:c r="BS8" s="4" t="n">
        <x:v>48.6</x:v>
      </x:c>
      <x:c r="BT8" s="10" t="n">
        <x:v>82</x:v>
      </x:c>
      <x:c r="BU8" s="4" t="str">
        <x:v>CBJ</x:v>
      </x:c>
      <x:c r="BV8" s="10" t="n">
        <x:v>102</x:v>
      </x:c>
      <x:c r="BW8" s="10" t="n">
        <x:v>94</x:v>
      </x:c>
      <x:c r="BX8" s="10" t="n">
        <x:v>282</x:v>
      </x:c>
      <x:c r="BY8" s="4" t="str">
        <x:v>Adam Fantilli</x:v>
      </x:c>
      <x:c r="BZ8" s="4" t="str">
        <x:v>Adam Fantilli</x:v>
      </x:c>
      <x:c r="CA8" s="4" t="str">
        <x:v>Adam Fantilli</x:v>
      </x:c>
      <x:c r="CB8" s="4" t="str">
        <x:v>fantiad01</x:v>
      </x:c>
    </x:row>
    <x:row r="9" ht="22" customHeight="1">
      <x:c r="A9" s="4" t="str">
        <x:v>Adam Fox</x:v>
      </x:c>
      <x:c r="B9" s="4" t="str">
        <x:v>adamfox</x:v>
      </x:c>
      <x:c r="C9" s="10" t="n">
        <x:v>1</x:v>
      </x:c>
      <x:c r="D9" s="10" t="n">
        <x:v>1</x:v>
      </x:c>
      <x:c r="E9" s="10" t="n">
        <x:v>1</x:v>
      </x:c>
      <x:c r="F9" s="4" t="n">
        <x:f>IF(COUNT(N9,Q9,T9,W9,Z9,AC9,AF9,AI9)=8,N9*Guide!$E$5+Q9*Guide!$E$6+T9*Guide!$E$7+W9*Guide!$E$8+Z9*Guide!$E$9+AC9*Guide!$E$10+AF9*Guide!$E$11+AI9*Guide!$E$12,"")</x:f>
        <x:v>397.25</x:v>
      </x:c>
      <x:c r="G9" s="4" t="n">
        <x:f>IF(COUNT(O9,R9,U9,X9,AA9,AD9,AG9,AJ9)=8,O9*Guide!$E$5+R9*Guide!$E$6+U9*Guide!$E$7+X9*Guide!$E$8+AA9*Guide!$E$9+AD9*Guide!$E$10+AG9*Guide!$E$11+AJ9*Guide!$E$12,"")</x:f>
        <x:v>284.25</x:v>
      </x:c>
      <x:c r="H9" s="4" t="n">
        <x:f>IF(COUNT(G9,F9)=2,G9-F9,"")</x:f>
        <x:v>-113</x:v>
      </x:c>
      <x:c r="I9" s="4" t="n">
        <x:f>IF(AND(ISNUMBER(F9),K9&gt;0),F9/K9,"")</x:f>
        <x:v>5.092948717948718</x:v>
      </x:c>
      <x:c r="J9" s="4" t="n">
        <x:f>IF(AND(ISNUMBER(G9),L9&gt;0),G9/L9,"")</x:f>
        <x:v>5.168181818181818</x:v>
      </x:c>
      <x:c r="K9" s="10" t="n">
        <x:v>78</x:v>
      </x:c>
      <x:c r="L9" s="10" t="n">
        <x:v>55</x:v>
      </x:c>
      <x:c r="M9" s="10" t="n">
        <x:f>IF(COUNT(L9,K9)=2,L9-K9,"")</x:f>
        <x:v>-23</x:v>
      </x:c>
      <x:c r="N9" s="10" t="n">
        <x:v>13</x:v>
      </x:c>
      <x:c r="O9" s="10" t="n">
        <x:v>9</x:v>
      </x:c>
      <x:c r="P9" s="10" t="n">
        <x:f>IF(COUNT(O9,N9)=2,O9-N9,"")</x:f>
        <x:v>-4</x:v>
      </x:c>
      <x:c r="Q9" s="10" t="n">
        <x:v>58</x:v>
      </x:c>
      <x:c r="R9" s="10" t="n">
        <x:v>44</x:v>
      </x:c>
      <x:c r="S9" s="10" t="n">
        <x:f>IF(COUNT(R9,Q9)=2,R9-Q9,"")</x:f>
        <x:v>-14</x:v>
      </x:c>
      <x:c r="T9" s="10" t="n">
        <x:v>5</x:v>
      </x:c>
      <x:c r="U9" s="10" t="n">
        <x:v>5</x:v>
      </x:c>
      <x:c r="V9" s="10" t="n">
        <x:f>IF(COUNT(U9,T9)=2,U9-T9,"")</x:f>
        <x:v>0</x:v>
      </x:c>
      <x:c r="W9" s="10" t="n">
        <x:v>28</x:v>
      </x:c>
      <x:c r="X9" s="10" t="n">
        <x:f>IF(COUNT(AV9,AW9)=2,AV9+AW9,"")</x:f>
        <x:v>24</x:v>
      </x:c>
      <x:c r="Y9" s="10" t="n">
        <x:f>IF(COUNT(X9,W9)=2,X9-W9,"")</x:f>
        <x:v>-4</x:v>
      </x:c>
      <x:c r="Z9" s="10" t="n">
        <x:v>2</x:v>
      </x:c>
      <x:c r="AA9" s="10" t="n">
        <x:f>IF(COUNT(AX9,AY9)=2,AX9+AY9,"")</x:f>
        <x:v>1</x:v>
      </x:c>
      <x:c r="AB9" s="10" t="n">
        <x:f>IF(COUNT(AA9,Z9)=2,AA9-Z9,"")</x:f>
        <x:v>-1</x:v>
      </x:c>
      <x:c r="AC9" s="10" t="n">
        <x:v>138</x:v>
      </x:c>
      <x:c r="AD9" s="10" t="n">
        <x:v>91</x:v>
      </x:c>
      <x:c r="AE9" s="10" t="n">
        <x:f>IF(COUNT(AD9,AC9)=2,AD9-AC9,"")</x:f>
        <x:v>-47</x:v>
      </x:c>
      <x:c r="AF9" s="10" t="n">
        <x:v>37</x:v>
      </x:c>
      <x:c r="AG9" s="10" t="n">
        <x:v>24</x:v>
      </x:c>
      <x:c r="AH9" s="10" t="n">
        <x:f>IF(COUNT(AG9,AF9)=2,AG9-AF9,"")</x:f>
        <x:v>-13</x:v>
      </x:c>
      <x:c r="AI9" s="10" t="n">
        <x:v>118</x:v>
      </x:c>
      <x:c r="AJ9" s="10" t="n">
        <x:v>74</x:v>
      </x:c>
      <x:c r="AK9" s="10" t="n">
        <x:f>IF(COUNT(AJ9,AI9)=2,AJ9-AI9,"")</x:f>
        <x:v>-44</x:v>
      </x:c>
      <x:c r="AL9" s="10" t="n">
        <x:v>27</x:v>
      </x:c>
      <x:c r="AM9" s="10" t="n">
        <x:v>27</x:v>
      </x:c>
      <x:c r="AN9" s="4" t="str">
        <x:v>D</x:v>
      </x:c>
      <x:c r="AO9" s="4" t="str">
        <x:v>D</x:v>
      </x:c>
      <x:c r="AP9" s="4" t="str">
        <x:v>NYR</x:v>
      </x:c>
      <x:c r="AQ9" s="4" t="str">
        <x:v>NYR</x:v>
      </x:c>
      <x:c r="AR9" s="4" t="n">
        <x:v>23.21</x:v>
      </x:c>
      <x:c r="AS9" s="4" t="n">
        <x:v>23.633333333333333</x:v>
      </x:c>
      <x:c r="AT9" s="4" t="n">
        <x:v>2.97</x:v>
      </x:c>
      <x:c r="AU9" s="4" t="n">
        <x:v>9.9</x:v>
      </x:c>
      <x:c r="AV9" s="10" t="n">
        <x:v>5</x:v>
      </x:c>
      <x:c r="AW9" s="10" t="n">
        <x:v>19</x:v>
      </x:c>
      <x:c r="AX9" s="10" t="n">
        <x:v>0</x:v>
      </x:c>
      <x:c r="AY9" s="10" t="n">
        <x:v>1</x:v>
      </x:c>
      <x:c r="AZ9" s="10" t="n">
        <x:v>1180</x:v>
      </x:c>
      <x:c r="BA9" s="10" t="n">
        <x:v>930</x:v>
      </x:c>
      <x:c r="BB9" s="4" t="n">
        <x:v>55.9</x:v>
      </x:c>
      <x:c r="BC9" s="4" t="n">
        <x:v>10.5</x:v>
      </x:c>
      <x:c r="BD9" s="10" t="n">
        <x:v>822</x:v>
      </x:c>
      <x:c r="BE9" s="10" t="n">
        <x:v>686</x:v>
      </x:c>
      <x:c r="BF9" s="4" t="n">
        <x:v>54.5</x:v>
      </x:c>
      <x:c r="BG9" s="4" t="n">
        <x:v>9.2</x:v>
      </x:c>
      <x:c r="BH9" s="4" t="n">
        <x:v>11</x:v>
      </x:c>
      <x:c r="BI9" s="4" t="n">
        <x:v>89.6</x:v>
      </x:c>
      <x:c r="BJ9" s="4" t="n">
        <x:v>100.6</x:v>
      </x:c>
      <x:c r="BK9" s="4" t="n">
        <x:v>56.3</x:v>
      </x:c>
      <x:c r="BL9" s="4" t="n">
        <x:v>43.7</x:v>
      </x:c>
      <x:c r="BM9" s="4" t="n">
        <x:v>23.633333333333333</x:v>
      </x:c>
      <x:c r="BN9" s="4" t="n">
        <x:v>19.55</x:v>
      </x:c>
      <x:c r="BO9" s="10" t="n">
        <x:v>36</x:v>
      </x:c>
      <x:c r="BP9" s="10" t="n">
        <x:v>65</x:v>
      </x:c>
      <x:c r="BQ9" s="4" t="n">
        <x:v>10.9</x:v>
      </x:c>
      <x:c r="BR9" s="10" t="n">
        <x:v>274</x:v>
      </x:c>
      <x:c r="BS9" s="4" t="n">
        <x:v>33.2</x:v>
      </x:c>
      <x:c r="BT9" s="10" t="n">
        <x:v>55</x:v>
      </x:c>
      <x:c r="BU9" s="4" t="str">
        <x:v>NYR</x:v>
      </x:c>
      <x:c r="BV9" s="10" t="n">
        <x:v>45</x:v>
      </x:c>
      <x:c r="BW9" s="10" t="n">
        <x:v>123</x:v>
      </x:c>
      <x:c r="BX9" s="10" t="n">
        <x:v>313</x:v>
      </x:c>
      <x:c r="BY9" s="4" t="str">
        <x:v>Adam Fox</x:v>
      </x:c>
      <x:c r="BZ9" s="4" t="str">
        <x:v>Adam Fox</x:v>
      </x:c>
      <x:c r="CA9" s="4" t="str">
        <x:v>Adam Fox</x:v>
      </x:c>
      <x:c r="CB9" s="4" t="str">
        <x:v>foxad01</x:v>
      </x:c>
    </x:row>
    <x:row r="10" ht="22" customHeight="1">
      <x:c r="A10" s="4" t="str">
        <x:v>Adam Gaudette</x:v>
      </x:c>
      <x:c r="B10" s="4" t="str">
        <x:v>adamgaudette</x:v>
      </x:c>
      <x:c r="C10" s="10" t="n">
        <x:v>1</x:v>
      </x:c>
      <x:c r="D10" s="10" t="n">
        <x:v>1</x:v>
      </x:c>
      <x:c r="E10" s="10" t="n">
        <x:v>1</x:v>
      </x:c>
      <x:c r="F10" s="4" t="n">
        <x:f>IF(COUNT(N10,Q10,T10,W10,Z10,AC10,AF10,AI10)=8,N10*Guide!$E$5+Q10*Guide!$E$6+T10*Guide!$E$7+W10*Guide!$E$8+Z10*Guide!$E$9+AC10*Guide!$E$10+AF10*Guide!$E$11+AI10*Guide!$E$12,"")</x:f>
        <x:v>175.5</x:v>
      </x:c>
      <x:c r="G10" s="4" t="n">
        <x:f>IF(COUNT(O10,R10,U10,X10,AA10,AD10,AG10,AJ10)=8,O10*Guide!$E$5+R10*Guide!$E$6+U10*Guide!$E$7+X10*Guide!$E$8+AA10*Guide!$E$9+AD10*Guide!$E$10+AG10*Guide!$E$11+AJ10*Guide!$E$12,"")</x:f>
        <x:v>151</x:v>
      </x:c>
      <x:c r="H10" s="4" t="n">
        <x:f>IF(COUNT(G10,F10)=2,G10-F10,"")</x:f>
        <x:v>-24.5</x:v>
      </x:c>
      <x:c r="I10" s="4" t="n">
        <x:f>IF(AND(ISNUMBER(F10),K10&gt;0),F10/K10,"")</x:f>
        <x:v>2.1666666666666665</x:v>
      </x:c>
      <x:c r="J10" s="4" t="n">
        <x:f>IF(AND(ISNUMBER(G10),L10&gt;0),G10/L10,"")</x:f>
        <x:v>2.287878787878788</x:v>
      </x:c>
      <x:c r="K10" s="10" t="n">
        <x:v>81</x:v>
      </x:c>
      <x:c r="L10" s="10" t="n">
        <x:v>66</x:v>
      </x:c>
      <x:c r="M10" s="10" t="n">
        <x:f>IF(COUNT(L10,K10)=2,L10-K10,"")</x:f>
        <x:v>-15</x:v>
      </x:c>
      <x:c r="N10" s="10" t="n">
        <x:v>18</x:v>
      </x:c>
      <x:c r="O10" s="10" t="n">
        <x:v>17</x:v>
      </x:c>
      <x:c r="P10" s="10" t="n">
        <x:f>IF(COUNT(O10,N10)=2,O10-N10,"")</x:f>
        <x:v>-1</x:v>
      </x:c>
      <x:c r="Q10" s="10" t="n">
        <x:v>12</x:v>
      </x:c>
      <x:c r="R10" s="10" t="n">
        <x:v>8</x:v>
      </x:c>
      <x:c r="S10" s="10" t="n">
        <x:f>IF(COUNT(R10,Q10)=2,R10-Q10,"")</x:f>
        <x:v>-4</x:v>
      </x:c>
      <x:c r="T10" s="10" t="n">
        <x:v>1</x:v>
      </x:c>
      <x:c r="U10" s="10" t="n">
        <x:v>-9</x:v>
      </x:c>
      <x:c r="V10" s="10" t="n">
        <x:f>IF(COUNT(U10,T10)=2,U10-T10,"")</x:f>
        <x:v>-10</x:v>
      </x:c>
      <x:c r="W10" s="10" t="n">
        <x:v>7</x:v>
      </x:c>
      <x:c r="X10" s="10" t="n">
        <x:f>IF(COUNT(AV10,AW10)=2,AV10+AW10,"")</x:f>
        <x:v>6</x:v>
      </x:c>
      <x:c r="Y10" s="10" t="n">
        <x:f>IF(COUNT(X10,W10)=2,X10-W10,"")</x:f>
        <x:v>-1</x:v>
      </x:c>
      <x:c r="Z10" s="10" t="n">
        <x:v>0</x:v>
      </x:c>
      <x:c r="AA10" s="10" t="n">
        <x:f>IF(COUNT(AX10,AY10)=2,AX10+AY10,"")</x:f>
        <x:v>0</x:v>
      </x:c>
      <x:c r="AB10" s="10" t="n">
        <x:f>IF(COUNT(AA10,Z10)=2,AA10-Z10,"")</x:f>
        <x:v>0</x:v>
      </x:c>
      <x:c r="AC10" s="10" t="n">
        <x:v>88</x:v>
      </x:c>
      <x:c r="AD10" s="10" t="n">
        <x:v>96</x:v>
      </x:c>
      <x:c r="AE10" s="10" t="n">
        <x:f>IF(COUNT(AD10,AC10)=2,AD10-AC10,"")</x:f>
        <x:v>8</x:v>
      </x:c>
      <x:c r="AF10" s="10" t="n">
        <x:v>66</x:v>
      </x:c>
      <x:c r="AG10" s="10" t="n">
        <x:v>53</x:v>
      </x:c>
      <x:c r="AH10" s="10" t="n">
        <x:f>IF(COUNT(AG10,AF10)=2,AG10-AF10,"")</x:f>
        <x:v>-13</x:v>
      </x:c>
      <x:c r="AI10" s="10" t="n">
        <x:v>28</x:v>
      </x:c>
      <x:c r="AJ10" s="10" t="n">
        <x:v>33</x:v>
      </x:c>
      <x:c r="AK10" s="10" t="n">
        <x:f>IF(COUNT(AJ10,AI10)=2,AJ10-AI10,"")</x:f>
        <x:v>5</x:v>
      </x:c>
      <x:c r="AL10" s="10" t="n">
        <x:v>29</x:v>
      </x:c>
      <x:c r="AM10" s="10" t="n">
        <x:v>29</x:v>
      </x:c>
      <x:c r="AN10" s="4" t="str">
        <x:v>C,RW</x:v>
      </x:c>
      <x:c r="AO10" s="4" t="str">
        <x:v>C</x:v>
      </x:c>
      <x:c r="AP10" s="4" t="str">
        <x:v>SJ</x:v>
      </x:c>
      <x:c r="AQ10" s="4" t="str">
        <x:v>SJS</x:v>
      </x:c>
      <x:c r="AR10" s="4" t="n">
        <x:v>10.270000000000001</x:v>
      </x:c>
      <x:c r="AS10" s="4" t="n">
        <x:v>11.466666666666667</x:v>
      </x:c>
      <x:c r="AT10" s="4" t="n">
        <x:v>1.37</x:v>
      </x:c>
      <x:c r="AU10" s="4" t="n">
        <x:v>17.7</x:v>
      </x:c>
      <x:c r="AV10" s="10" t="n">
        <x:v>3</x:v>
      </x:c>
      <x:c r="AW10" s="10" t="n">
        <x:v>3</x:v>
      </x:c>
      <x:c r="AX10" s="10" t="n">
        <x:v>0</x:v>
      </x:c>
      <x:c r="AY10" s="10" t="n">
        <x:v>0</x:v>
      </x:c>
      <x:c r="AZ10" s="10" t="n">
        <x:v>563</x:v>
      </x:c>
      <x:c r="BA10" s="10" t="n">
        <x:v>721</x:v>
      </x:c>
      <x:c r="BB10" s="4" t="n">
        <x:v>43.8</x:v>
      </x:c>
      <x:c r="BC10" s="4" t="n">
        <x:v>-3</x:v>
      </x:c>
      <x:c r="BD10" s="10" t="n">
        <x:v>393</x:v>
      </x:c>
      <x:c r="BE10" s="10" t="n">
        <x:v>510</x:v>
      </x:c>
      <x:c r="BF10" s="4" t="n">
        <x:v>43.5</x:v>
      </x:c>
      <x:c r="BG10" s="4" t="n">
        <x:v>-2.4</x:v>
      </x:c>
      <x:c r="BH10" s="4" t="n">
        <x:v>10.8</x:v>
      </x:c>
      <x:c r="BI10" s="4" t="n">
        <x:v>89.4</x:v>
      </x:c>
      <x:c r="BJ10" s="4" t="n">
        <x:v>100.2</x:v>
      </x:c>
      <x:c r="BK10" s="4" t="n">
        <x:v>34.9</x:v>
      </x:c>
      <x:c r="BL10" s="4" t="n">
        <x:v>65.1</x:v>
      </x:c>
      <x:c r="BM10" s="4" t="n">
        <x:v>11.466666666666667</x:v>
      </x:c>
      <x:c r="BN10" s="4" t="n">
        <x:v>10.466666666666667</x:v>
      </x:c>
      <x:c r="BO10" s="10" t="n">
        <x:v>13</x:v>
      </x:c>
      <x:c r="BP10" s="10" t="n">
        <x:v>26</x:v>
      </x:c>
      <x:c r="BQ10" s="4" t="n">
        <x:v>-4.2</x:v>
      </x:c>
      <x:c r="BR10" s="10" t="n">
        <x:v>187</x:v>
      </x:c>
      <x:c r="BS10" s="4" t="n">
        <x:v>51.3</x:v>
      </x:c>
      <x:c r="BT10" s="10" t="n">
        <x:v>66</x:v>
      </x:c>
      <x:c r="BU10" s="4" t="str">
        <x:v>SJS</x:v>
      </x:c>
      <x:c r="BV10" s="10" t="n">
        <x:v>376</x:v>
      </x:c>
      <x:c r="BW10" s="10" t="n">
        <x:v>393</x:v>
      </x:c>
      <x:c r="BX10" s="10" t="n">
        <x:v>326</x:v>
      </x:c>
      <x:c r="BY10" s="4" t="str">
        <x:v>Adam Gaudette</x:v>
      </x:c>
      <x:c r="BZ10" s="4" t="str">
        <x:v>Adam Gaudette</x:v>
      </x:c>
      <x:c r="CA10" s="4" t="str">
        <x:v>Adam Gaudette</x:v>
      </x:c>
      <x:c r="CB10" s="4" t="str">
        <x:v>gaudead01</x:v>
      </x:c>
    </x:row>
    <x:row r="11" ht="22" customHeight="1">
      <x:c r="A11" s="4" t="str">
        <x:v>Adam Klapka</x:v>
      </x:c>
      <x:c r="B11" s="4" t="str">
        <x:v>adamklapka</x:v>
      </x:c>
      <x:c r="C11" s="10" t="n">
        <x:v>1</x:v>
      </x:c>
      <x:c r="D11" s="10" t="n">
        <x:v>1</x:v>
      </x:c>
      <x:c r="E11" s="10" t="n">
        <x:v>1</x:v>
      </x:c>
      <x:c r="F11" s="4" t="n">
        <x:f>IF(COUNT(N11,Q11,T11,W11,Z11,AC11,AF11,AI11)=8,N11*Guide!$E$5+Q11*Guide!$E$6+T11*Guide!$E$7+W11*Guide!$E$8+Z11*Guide!$E$9+AC11*Guide!$E$10+AF11*Guide!$E$11+AI11*Guide!$E$12,"")</x:f>
        <x:v>201.75</x:v>
      </x:c>
      <x:c r="G11" s="4" t="n">
        <x:f>IF(COUNT(O11,R11,U11,X11,AA11,AD11,AG11,AJ11)=8,O11*Guide!$E$5+R11*Guide!$E$6+U11*Guide!$E$7+X11*Guide!$E$8+AA11*Guide!$E$9+AD11*Guide!$E$10+AG11*Guide!$E$11+AJ11*Guide!$E$12,"")</x:f>
        <x:v>181.25</x:v>
      </x:c>
      <x:c r="H11" s="4" t="n">
        <x:f>IF(COUNT(G11,F11)=2,G11-F11,"")</x:f>
        <x:v>-20.5</x:v>
      </x:c>
      <x:c r="I11" s="4" t="n">
        <x:f>IF(AND(ISNUMBER(F11),K11&gt;0),F11/K11,"")</x:f>
        <x:v>3.478448275862069</x:v>
      </x:c>
      <x:c r="J11" s="4" t="n">
        <x:f>IF(AND(ISNUMBER(G11),L11&gt;0),G11/L11,"")</x:f>
        <x:v>2.2943037974683542</x:v>
      </x:c>
      <x:c r="K11" s="10" t="n">
        <x:v>58</x:v>
      </x:c>
      <x:c r="L11" s="10" t="n">
        <x:v>79</x:v>
      </x:c>
      <x:c r="M11" s="10" t="n">
        <x:f>IF(COUNT(L11,K11)=2,L11-K11,"")</x:f>
        <x:v>21</x:v>
      </x:c>
      <x:c r="N11" s="10" t="n">
        <x:v>13</x:v>
      </x:c>
      <x:c r="O11" s="10" t="n">
        <x:v>6</x:v>
      </x:c>
      <x:c r="P11" s="10" t="n">
        <x:f>IF(COUNT(O11,N11)=2,O11-N11,"")</x:f>
        <x:v>-7</x:v>
      </x:c>
      <x:c r="Q11" s="10" t="n">
        <x:v>11</x:v>
      </x:c>
      <x:c r="R11" s="10" t="n">
        <x:v>12</x:v>
      </x:c>
      <x:c r="S11" s="10" t="n">
        <x:f>IF(COUNT(R11,Q11)=2,R11-Q11,"")</x:f>
        <x:v>1</x:v>
      </x:c>
      <x:c r="T11" s="10" t="n">
        <x:v>-1</x:v>
      </x:c>
      <x:c r="U11" s="10" t="n">
        <x:v>-12</x:v>
      </x:c>
      <x:c r="V11" s="10" t="n">
        <x:f>IF(COUNT(U11,T11)=2,U11-T11,"")</x:f>
        <x:v>-11</x:v>
      </x:c>
      <x:c r="W11" s="10" t="n">
        <x:v>2</x:v>
      </x:c>
      <x:c r="X11" s="10" t="n">
        <x:f>IF(COUNT(AV11,AW11)=2,AV11+AW11,"")</x:f>
        <x:v>2</x:v>
      </x:c>
      <x:c r="Y11" s="10" t="n">
        <x:f>IF(COUNT(X11,W11)=2,X11-W11,"")</x:f>
        <x:v>0</x:v>
      </x:c>
      <x:c r="Z11" s="10" t="n">
        <x:v>0</x:v>
      </x:c>
      <x:c r="AA11" s="10" t="n">
        <x:f>IF(COUNT(AX11,AY11)=2,AX11+AY11,"")</x:f>
        <x:v>0</x:v>
      </x:c>
      <x:c r="AB11" s="10" t="n">
        <x:f>IF(COUNT(AA11,Z11)=2,AA11-Z11,"")</x:f>
        <x:v>0</x:v>
      </x:c>
      <x:c r="AC11" s="10" t="n">
        <x:v>89</x:v>
      </x:c>
      <x:c r="AD11" s="10" t="n">
        <x:v>80</x:v>
      </x:c>
      <x:c r="AE11" s="10" t="n">
        <x:f>IF(COUNT(AD11,AC11)=2,AD11-AC11,"")</x:f>
        <x:v>-9</x:v>
      </x:c>
      <x:c r="AF11" s="10" t="n">
        <x:v>233</x:v>
      </x:c>
      <x:c r="AG11" s="10" t="n">
        <x:v>295</x:v>
      </x:c>
      <x:c r="AH11" s="10" t="n">
        <x:f>IF(COUNT(AG11,AF11)=2,AG11-AF11,"")</x:f>
        <x:v>62</x:v>
      </x:c>
      <x:c r="AI11" s="10" t="n">
        <x:v>47</x:v>
      </x:c>
      <x:c r="AJ11" s="10" t="n">
        <x:v>50</x:v>
      </x:c>
      <x:c r="AK11" s="10" t="n">
        <x:f>IF(COUNT(AJ11,AI11)=2,AJ11-AI11,"")</x:f>
        <x:v>3</x:v>
      </x:c>
      <x:c r="AL11" s="10" t="n">
        <x:v>25</x:v>
      </x:c>
      <x:c r="AM11" s="10" t="n">
        <x:v>25</x:v>
      </x:c>
      <x:c r="AN11" s="4" t="str">
        <x:v>RW</x:v>
      </x:c>
      <x:c r="AO11" s="4" t="str">
        <x:v>F</x:v>
      </x:c>
      <x:c r="AP11" s="4" t="str">
        <x:v>CGY</x:v>
      </x:c>
      <x:c r="AQ11" s="4" t="str">
        <x:v>CGY</x:v>
      </x:c>
      <x:c r="AR11" s="4" t="n">
        <x:v>11.82</x:v>
      </x:c>
      <x:c r="AS11" s="4" t="n">
        <x:v>10.633333333333333</x:v>
      </x:c>
      <x:c r="AT11" s="4" t="n">
        <x:v>0.32</x:v>
      </x:c>
      <x:c r="AU11" s="4" t="n">
        <x:v>7.5</x:v>
      </x:c>
      <x:c r="AV11" s="10" t="n">
        <x:v>1</x:v>
      </x:c>
      <x:c r="AW11" s="10" t="n">
        <x:v>1</x:v>
      </x:c>
      <x:c r="AX11" s="10" t="n">
        <x:v>0</x:v>
      </x:c>
      <x:c r="AY11" s="10" t="n">
        <x:v>0</x:v>
      </x:c>
      <x:c r="AZ11" s="10" t="n">
        <x:v>733</x:v>
      </x:c>
      <x:c r="BA11" s="10" t="n">
        <x:v>809</x:v>
      </x:c>
      <x:c r="BB11" s="4" t="n">
        <x:v>47.5</x:v>
      </x:c>
      <x:c r="BC11" s="4" t="n">
        <x:v>-1.6</x:v>
      </x:c>
      <x:c r="BD11" s="10" t="n">
        <x:v>497</x:v>
      </x:c>
      <x:c r="BE11" s="10" t="n">
        <x:v>555</x:v>
      </x:c>
      <x:c r="BF11" s="4" t="n">
        <x:v>47.2</x:v>
      </x:c>
      <x:c r="BG11" s="4" t="n">
        <x:v>-1.3</x:v>
      </x:c>
      <x:c r="BH11" s="4" t="n">
        <x:v>8</x:v>
      </x:c>
      <x:c r="BI11" s="4" t="n">
        <x:v>89.9</x:v>
      </x:c>
      <x:c r="BJ11" s="4" t="n">
        <x:v>98</x:v>
      </x:c>
      <x:c r="BK11" s="4" t="n">
        <x:v>48.1</x:v>
      </x:c>
      <x:c r="BL11" s="4" t="n">
        <x:v>51.9</x:v>
      </x:c>
      <x:c r="BM11" s="4" t="n">
        <x:v>10.633333333333333</x:v>
      </x:c>
      <x:c r="BN11" s="4" t="n">
        <x:v>10.2</x:v>
      </x:c>
      <x:c r="BO11" s="10" t="n">
        <x:v>14</x:v>
      </x:c>
      <x:c r="BP11" s="10" t="n">
        <x:v>36</x:v>
      </x:c>
      <x:c r="BQ11" s="4" t="n">
        <x:v>-7.5</x:v>
      </x:c>
      <x:c r="BR11" s="10" t="n">
        <x:v>182</x:v>
      </x:c>
      <x:c r="BS11" s="4" t="n">
        <x:v>44</x:v>
      </x:c>
      <x:c r="BT11" s="10" t="n">
        <x:v>79</x:v>
      </x:c>
      <x:c r="BU11" s="4" t="str">
        <x:v>CGY</x:v>
      </x:c>
      <x:c r="BV11" s="10" t="n">
        <x:v>451</x:v>
      </x:c>
      <x:c r="BW11" s="10" t="n">
        <x:v>491</x:v>
      </x:c>
      <x:c r="BX11" s="10" t="n">
        <x:v>523</x:v>
      </x:c>
      <x:c r="BY11" s="4" t="str">
        <x:v>Adam Klapka</x:v>
      </x:c>
      <x:c r="BZ11" s="4" t="str">
        <x:v>Adam Klapka</x:v>
      </x:c>
      <x:c r="CA11" s="4" t="str">
        <x:v>Adam Klapka</x:v>
      </x:c>
      <x:c r="CB11" s="4" t="str">
        <x:v>klapkad01</x:v>
      </x:c>
    </x:row>
    <x:row r="12" ht="22" customHeight="1">
      <x:c r="A12" s="4" t="str">
        <x:v>Adam Larsson</x:v>
      </x:c>
      <x:c r="B12" s="4" t="str">
        <x:v>adamlarsson</x:v>
      </x:c>
      <x:c r="C12" s="10" t="n">
        <x:v>1</x:v>
      </x:c>
      <x:c r="D12" s="10" t="n">
        <x:v>1</x:v>
      </x:c>
      <x:c r="E12" s="10" t="n">
        <x:v>1</x:v>
      </x:c>
      <x:c r="F12" s="4" t="n">
        <x:f>IF(COUNT(N12,Q12,T12,W12,Z12,AC12,AF12,AI12)=8,N12*Guide!$E$5+Q12*Guide!$E$6+T12*Guide!$E$7+W12*Guide!$E$8+Z12*Guide!$E$9+AC12*Guide!$E$10+AF12*Guide!$E$11+AI12*Guide!$E$12,"")</x:f>
        <x:v>252</x:v>
      </x:c>
      <x:c r="G12" s="4" t="n">
        <x:f>IF(COUNT(O12,R12,U12,X12,AA12,AD12,AG12,AJ12)=8,O12*Guide!$E$5+R12*Guide!$E$6+U12*Guide!$E$7+X12*Guide!$E$8+AA12*Guide!$E$9+AD12*Guide!$E$10+AG12*Guide!$E$11+AJ12*Guide!$E$12,"")</x:f>
        <x:v>259</x:v>
      </x:c>
      <x:c r="H12" s="4" t="n">
        <x:f>IF(COUNT(G12,F12)=2,G12-F12,"")</x:f>
        <x:v>7</x:v>
      </x:c>
      <x:c r="I12" s="4" t="n">
        <x:f>IF(AND(ISNUMBER(F12),K12&gt;0),F12/K12,"")</x:f>
        <x:v>3.111111111111111</x:v>
      </x:c>
      <x:c r="J12" s="4" t="n">
        <x:f>IF(AND(ISNUMBER(G12),L12&gt;0),G12/L12,"")</x:f>
        <x:v>3.158536585365854</x:v>
      </x:c>
      <x:c r="K12" s="10" t="n">
        <x:v>81</x:v>
      </x:c>
      <x:c r="L12" s="10" t="n">
        <x:v>82</x:v>
      </x:c>
      <x:c r="M12" s="10" t="n">
        <x:f>IF(COUNT(L12,K12)=2,L12-K12,"")</x:f>
        <x:v>1</x:v>
      </x:c>
      <x:c r="N12" s="10" t="n">
        <x:v>6</x:v>
      </x:c>
      <x:c r="O12" s="10" t="n">
        <x:v>7</x:v>
      </x:c>
      <x:c r="P12" s="10" t="n">
        <x:f>IF(COUNT(O12,N12)=2,O12-N12,"")</x:f>
        <x:v>1</x:v>
      </x:c>
      <x:c r="Q12" s="10" t="n">
        <x:v>19</x:v>
      </x:c>
      <x:c r="R12" s="10" t="n">
        <x:v>18</x:v>
      </x:c>
      <x:c r="S12" s="10" t="n">
        <x:f>IF(COUNT(R12,Q12)=2,R12-Q12,"")</x:f>
        <x:v>-1</x:v>
      </x:c>
      <x:c r="T12" s="10" t="n">
        <x:v>5</x:v>
      </x:c>
      <x:c r="U12" s="10" t="n">
        <x:v>0</x:v>
      </x:c>
      <x:c r="V12" s="10" t="n">
        <x:f>IF(COUNT(U12,T12)=2,U12-T12,"")</x:f>
        <x:v>-5</x:v>
      </x:c>
      <x:c r="W12" s="10" t="n">
        <x:v>1</x:v>
      </x:c>
      <x:c r="X12" s="10" t="n">
        <x:f>IF(COUNT(AV12,AW12)=2,AV12+AW12,"")</x:f>
        <x:v>0</x:v>
      </x:c>
      <x:c r="Y12" s="10" t="n">
        <x:f>IF(COUNT(X12,W12)=2,X12-W12,"")</x:f>
        <x:v>-1</x:v>
      </x:c>
      <x:c r="Z12" s="10" t="n">
        <x:v>1</x:v>
      </x:c>
      <x:c r="AA12" s="10" t="n">
        <x:f>IF(COUNT(AX12,AY12)=2,AX12+AY12,"")</x:f>
        <x:v>0</x:v>
      </x:c>
      <x:c r="AB12" s="10" t="n">
        <x:f>IF(COUNT(AA12,Z12)=2,AA12-Z12,"")</x:f>
        <x:v>-1</x:v>
      </x:c>
      <x:c r="AC12" s="10" t="n">
        <x:v>111</x:v>
      </x:c>
      <x:c r="AD12" s="10" t="n">
        <x:v>106</x:v>
      </x:c>
      <x:c r="AE12" s="10" t="n">
        <x:f>IF(COUNT(AD12,AC12)=2,AD12-AC12,"")</x:f>
        <x:v>-5</x:v>
      </x:c>
      <x:c r="AF12" s="10" t="n">
        <x:v>108</x:v>
      </x:c>
      <x:c r="AG12" s="10" t="n">
        <x:v>110</x:v>
      </x:c>
      <x:c r="AH12" s="10" t="n">
        <x:f>IF(COUNT(AG12,AF12)=2,AG12-AF12,"")</x:f>
        <x:v>2</x:v>
      </x:c>
      <x:c r="AI12" s="10" t="n">
        <x:v>143</x:v>
      </x:c>
      <x:c r="AJ12" s="10" t="n">
        <x:v>164</x:v>
      </x:c>
      <x:c r="AK12" s="10" t="n">
        <x:f>IF(COUNT(AJ12,AI12)=2,AJ12-AI12,"")</x:f>
        <x:v>21</x:v>
      </x:c>
      <x:c r="AL12" s="10" t="n">
        <x:v>33</x:v>
      </x:c>
      <x:c r="AM12" s="10" t="n">
        <x:v>33</x:v>
      </x:c>
      <x:c r="AN12" s="4" t="str">
        <x:v>D</x:v>
      </x:c>
      <x:c r="AO12" s="4" t="str">
        <x:v>D</x:v>
      </x:c>
      <x:c r="AP12" s="4" t="str">
        <x:v>SEA</x:v>
      </x:c>
      <x:c r="AQ12" s="4" t="str">
        <x:v>SEA</x:v>
      </x:c>
      <x:c r="AR12" s="4" t="n">
        <x:v>21.43</x:v>
      </x:c>
      <x:c r="AS12" s="4" t="n">
        <x:v>21.366666666666667</x:v>
      </x:c>
      <x:c r="AT12" s="4" t="n">
        <x:v>0.12</x:v>
      </x:c>
      <x:c r="AU12" s="4" t="n">
        <x:v>6.6</x:v>
      </x:c>
      <x:c r="AV12" s="10" t="n">
        <x:v>0</x:v>
      </x:c>
      <x:c r="AW12" s="10" t="n">
        <x:v>0</x:v>
      </x:c>
      <x:c r="AX12" s="10" t="n">
        <x:v>0</x:v>
      </x:c>
      <x:c r="AY12" s="10" t="n">
        <x:v>0</x:v>
      </x:c>
      <x:c r="AZ12" s="10" t="n">
        <x:v>1330</x:v>
      </x:c>
      <x:c r="BA12" s="10" t="n">
        <x:v>1665</x:v>
      </x:c>
      <x:c r="BB12" s="4" t="n">
        <x:v>44.4</x:v>
      </x:c>
      <x:c r="BC12" s="4" t="n">
        <x:v>-1.7</x:v>
      </x:c>
      <x:c r="BD12" s="10" t="n">
        <x:v>960</x:v>
      </x:c>
      <x:c r="BE12" s="10" t="n">
        <x:v>1189</x:v>
      </x:c>
      <x:c r="BF12" s="4" t="n">
        <x:v>44.7</x:v>
      </x:c>
      <x:c r="BG12" s="4" t="n">
        <x:v>-1.7</x:v>
      </x:c>
      <x:c r="BH12" s="4" t="n">
        <x:v>10.3</x:v>
      </x:c>
      <x:c r="BI12" s="4" t="n">
        <x:v>91</x:v>
      </x:c>
      <x:c r="BJ12" s="4" t="n">
        <x:v>101.3</x:v>
      </x:c>
      <x:c r="BK12" s="4" t="n">
        <x:v>43.4</x:v>
      </x:c>
      <x:c r="BL12" s="4" t="n">
        <x:v>56.6</x:v>
      </x:c>
      <x:c r="BM12" s="4" t="n">
        <x:v>21.366666666666667</x:v>
      </x:c>
      <x:c r="BN12" s="4" t="n">
        <x:v>18.766666666666666</x:v>
      </x:c>
      <x:c r="BO12" s="10" t="n">
        <x:v>16</x:v>
      </x:c>
      <x:c r="BP12" s="10" t="n">
        <x:v>53</x:v>
      </x:c>
      <x:c r="BQ12" s="4" t="n">
        <x:v>-13</x:v>
      </x:c>
      <x:c r="BR12" s="10" t="n">
        <x:v>220</x:v>
      </x:c>
      <x:c r="BS12" s="4" t="n">
        <x:v>48.2</x:v>
      </x:c>
      <x:c r="BT12" s="10" t="n">
        <x:v>82</x:v>
      </x:c>
      <x:c r="BU12" s="4" t="str">
        <x:v>SEA</x:v>
      </x:c>
      <x:c r="BV12" s="10" t="n">
        <x:v>430</x:v>
      </x:c>
      <x:c r="BW12" s="10" t="n">
        <x:v>397</x:v>
      </x:c>
      <x:c r="BX12" s="10" t="n">
        <x:v>576</x:v>
      </x:c>
      <x:c r="BY12" s="4" t="str">
        <x:v>Adam Larsson</x:v>
      </x:c>
      <x:c r="BZ12" s="4" t="str">
        <x:v>Adam Larsson</x:v>
      </x:c>
      <x:c r="CA12" s="4" t="str">
        <x:v>Adam Larsson</x:v>
      </x:c>
      <x:c r="CB12" s="4" t="str">
        <x:v>larssad01</x:v>
      </x:c>
    </x:row>
    <x:row r="13" ht="22" customHeight="1">
      <x:c r="A13" s="4" t="str">
        <x:v>Adam Lowry</x:v>
      </x:c>
      <x:c r="B13" s="4" t="str">
        <x:v>adamlowry</x:v>
      </x:c>
      <x:c r="C13" s="10" t="n">
        <x:v>1</x:v>
      </x:c>
      <x:c r="D13" s="10" t="n">
        <x:v>1</x:v>
      </x:c>
      <x:c r="E13" s="10" t="n">
        <x:v>1</x:v>
      </x:c>
      <x:c r="F13" s="4" t="n">
        <x:f>IF(COUNT(N13,Q13,T13,W13,Z13,AC13,AF13,AI13)=8,N13*Guide!$E$5+Q13*Guide!$E$6+T13*Guide!$E$7+W13*Guide!$E$8+Z13*Guide!$E$9+AC13*Guide!$E$10+AF13*Guide!$E$11+AI13*Guide!$E$12,"")</x:f>
        <x:v>236.75</x:v>
      </x:c>
      <x:c r="G13" s="4" t="n">
        <x:f>IF(COUNT(O13,R13,U13,X13,AA13,AD13,AG13,AJ13)=8,O13*Guide!$E$5+R13*Guide!$E$6+U13*Guide!$E$7+X13*Guide!$E$8+AA13*Guide!$E$9+AD13*Guide!$E$10+AG13*Guide!$E$11+AJ13*Guide!$E$12,"")</x:f>
        <x:v>159.25</x:v>
      </x:c>
      <x:c r="H13" s="4" t="n">
        <x:f>IF(COUNT(G13,F13)=2,G13-F13,"")</x:f>
        <x:v>-77.5</x:v>
      </x:c>
      <x:c r="I13" s="4" t="n">
        <x:f>IF(AND(ISNUMBER(F13),K13&gt;0),F13/K13,"")</x:f>
        <x:v>3.03525641025641</x:v>
      </x:c>
      <x:c r="J13" s="4" t="n">
        <x:f>IF(AND(ISNUMBER(G13),L13&gt;0),G13/L13,"")</x:f>
        <x:v>2.275</x:v>
      </x:c>
      <x:c r="K13" s="10" t="n">
        <x:v>78</x:v>
      </x:c>
      <x:c r="L13" s="10" t="n">
        <x:v>70</x:v>
      </x:c>
      <x:c r="M13" s="10" t="n">
        <x:f>IF(COUNT(L13,K13)=2,L13-K13,"")</x:f>
        <x:v>-8</x:v>
      </x:c>
      <x:c r="N13" s="10" t="n">
        <x:v>15</x:v>
      </x:c>
      <x:c r="O13" s="10" t="n">
        <x:v>5</x:v>
      </x:c>
      <x:c r="P13" s="10" t="n">
        <x:f>IF(COUNT(O13,N13)=2,O13-N13,"")</x:f>
        <x:v>-10</x:v>
      </x:c>
      <x:c r="Q13" s="10" t="n">
        <x:v>19</x:v>
      </x:c>
      <x:c r="R13" s="10" t="n">
        <x:v>16</x:v>
      </x:c>
      <x:c r="S13" s="10" t="n">
        <x:f>IF(COUNT(R13,Q13)=2,R13-Q13,"")</x:f>
        <x:v>-3</x:v>
      </x:c>
      <x:c r="T13" s="10" t="n">
        <x:v>6</x:v>
      </x:c>
      <x:c r="U13" s="10" t="n">
        <x:v>-6</x:v>
      </x:c>
      <x:c r="V13" s="10" t="n">
        <x:f>IF(COUNT(U13,T13)=2,U13-T13,"")</x:f>
        <x:v>-12</x:v>
      </x:c>
      <x:c r="W13" s="10" t="n">
        <x:v>1</x:v>
      </x:c>
      <x:c r="X13" s="10" t="n">
        <x:f>IF(COUNT(AV13,AW13)=2,AV13+AW13,"")</x:f>
        <x:v>0</x:v>
      </x:c>
      <x:c r="Y13" s="10" t="n">
        <x:f>IF(COUNT(X13,W13)=2,X13-W13,"")</x:f>
        <x:v>-1</x:v>
      </x:c>
      <x:c r="Z13" s="10" t="n">
        <x:v>2</x:v>
      </x:c>
      <x:c r="AA13" s="10" t="n">
        <x:f>IF(COUNT(AX13,AY13)=2,AX13+AY13,"")</x:f>
        <x:v>2</x:v>
      </x:c>
      <x:c r="AB13" s="10" t="n">
        <x:f>IF(COUNT(AA13,Z13)=2,AA13-Z13,"")</x:f>
        <x:v>0</x:v>
      </x:c>
      <x:c r="AC13" s="10" t="n">
        <x:v>104</x:v>
      </x:c>
      <x:c r="AD13" s="10" t="n">
        <x:v>71</x:v>
      </x:c>
      <x:c r="AE13" s="10" t="n">
        <x:f>IF(COUNT(AD13,AC13)=2,AD13-AC13,"")</x:f>
        <x:v>-33</x:v>
      </x:c>
      <x:c r="AF13" s="10" t="n">
        <x:v>149</x:v>
      </x:c>
      <x:c r="AG13" s="10" t="n">
        <x:v>150</x:v>
      </x:c>
      <x:c r="AH13" s="10" t="n">
        <x:f>IF(COUNT(AG13,AF13)=2,AG13-AF13,"")</x:f>
        <x:v>1</x:v>
      </x:c>
      <x:c r="AI13" s="10" t="n">
        <x:v>58</x:v>
      </x:c>
      <x:c r="AJ13" s="10" t="n">
        <x:v>48</x:v>
      </x:c>
      <x:c r="AK13" s="10" t="n">
        <x:f>IF(COUNT(AJ13,AI13)=2,AJ13-AI13,"")</x:f>
        <x:v>-10</x:v>
      </x:c>
      <x:c r="AL13" s="10" t="n">
        <x:v>32</x:v>
      </x:c>
      <x:c r="AM13" s="10" t="n">
        <x:v>32</x:v>
      </x:c>
      <x:c r="AN13" s="4" t="str">
        <x:v>C</x:v>
      </x:c>
      <x:c r="AO13" s="4" t="str">
        <x:v>LW</x:v>
      </x:c>
      <x:c r="AP13" s="4" t="str">
        <x:v>WPG</x:v>
      </x:c>
      <x:c r="AQ13" s="4" t="str">
        <x:v>WPG</x:v>
      </x:c>
      <x:c r="AR13" s="4" t="n">
        <x:v>15.21</x:v>
      </x:c>
      <x:c r="AS13" s="4" t="n">
        <x:v>14.966666666666667</x:v>
      </x:c>
      <x:c r="AT13" s="4" t="n">
        <x:v>0.19</x:v>
      </x:c>
      <x:c r="AU13" s="4" t="n">
        <x:v>7</x:v>
      </x:c>
      <x:c r="AV13" s="10" t="n">
        <x:v>0</x:v>
      </x:c>
      <x:c r="AW13" s="10" t="n">
        <x:v>0</x:v>
      </x:c>
      <x:c r="AX13" s="10" t="n">
        <x:v>1</x:v>
      </x:c>
      <x:c r="AY13" s="10" t="n">
        <x:v>1</x:v>
      </x:c>
      <x:c r="AZ13" s="10" t="n">
        <x:v>812</x:v>
      </x:c>
      <x:c r="BA13" s="10" t="n">
        <x:v>788</x:v>
      </x:c>
      <x:c r="BB13" s="4" t="n">
        <x:v>50.8</x:v>
      </x:c>
      <x:c r="BC13" s="4" t="n">
        <x:v>1.3</x:v>
      </x:c>
      <x:c r="BD13" s="10" t="n">
        <x:v>584</x:v>
      </x:c>
      <x:c r="BE13" s="10" t="n">
        <x:v>587</x:v>
      </x:c>
      <x:c r="BF13" s="4" t="n">
        <x:v>49.9</x:v>
      </x:c>
      <x:c r="BG13" s="4" t="n">
        <x:v>0.5</x:v>
      </x:c>
      <x:c r="BH13" s="4" t="n">
        <x:v>8.6</x:v>
      </x:c>
      <x:c r="BI13" s="4" t="n">
        <x:v>89</x:v>
      </x:c>
      <x:c r="BJ13" s="4" t="n">
        <x:v>97.6</x:v>
      </x:c>
      <x:c r="BK13" s="4" t="n">
        <x:v>39</x:v>
      </x:c>
      <x:c r="BL13" s="4" t="n">
        <x:v>61</x:v>
      </x:c>
      <x:c r="BM13" s="4" t="n">
        <x:v>14.966666666666667</x:v>
      </x:c>
      <x:c r="BN13" s="4" t="n">
        <x:v>13.116666666666667</x:v>
      </x:c>
      <x:c r="BO13" s="10" t="n">
        <x:v>18</x:v>
      </x:c>
      <x:c r="BP13" s="10" t="n">
        <x:v>36</x:v>
      </x:c>
      <x:c r="BQ13" s="4" t="n">
        <x:v>-0.9</x:v>
      </x:c>
      <x:c r="BR13" s="10" t="n">
        <x:v>161</x:v>
      </x:c>
      <x:c r="BS13" s="4" t="n">
        <x:v>44.1</x:v>
      </x:c>
      <x:c r="BT13" s="10" t="n">
        <x:v>70</x:v>
      </x:c>
      <x:c r="BU13" s="4" t="str">
        <x:v>WPG</x:v>
      </x:c>
      <x:c r="BV13" s="10" t="n">
        <x:v>318</x:v>
      </x:c>
      <x:c r="BW13" s="10" t="n">
        <x:v>449</x:v>
      </x:c>
      <x:c r="BX13" s="10" t="n">
        <x:v>608</x:v>
      </x:c>
      <x:c r="BY13" s="4" t="str">
        <x:v>Adam Lowry</x:v>
      </x:c>
      <x:c r="BZ13" s="4" t="str">
        <x:v>Adam Lowry</x:v>
      </x:c>
      <x:c r="CA13" s="4" t="str">
        <x:v>Adam Lowry</x:v>
      </x:c>
      <x:c r="CB13" s="4" t="str">
        <x:v>lowryad01</x:v>
      </x:c>
    </x:row>
    <x:row r="14" ht="22" customHeight="1">
      <x:c r="A14" s="4" t="str">
        <x:v>Adrian Kempe</x:v>
      </x:c>
      <x:c r="B14" s="4" t="str">
        <x:v>adriankempe</x:v>
      </x:c>
      <x:c r="C14" s="10" t="n">
        <x:v>1</x:v>
      </x:c>
      <x:c r="D14" s="10" t="n">
        <x:v>1</x:v>
      </x:c>
      <x:c r="E14" s="10" t="n">
        <x:v>1</x:v>
      </x:c>
      <x:c r="F14" s="4" t="n">
        <x:f>IF(COUNT(N14,Q14,T14,W14,Z14,AC14,AF14,AI14)=8,N14*Guide!$E$5+Q14*Guide!$E$6+T14*Guide!$E$7+W14*Guide!$E$8+Z14*Guide!$E$9+AC14*Guide!$E$10+AF14*Guide!$E$11+AI14*Guide!$E$12,"")</x:f>
        <x:v>384.5</x:v>
      </x:c>
      <x:c r="G14" s="4" t="n">
        <x:f>IF(COUNT(O14,R14,U14,X14,AA14,AD14,AG14,AJ14)=8,O14*Guide!$E$5+R14*Guide!$E$6+U14*Guide!$E$7+X14*Guide!$E$8+AA14*Guide!$E$9+AD14*Guide!$E$10+AG14*Guide!$E$11+AJ14*Guide!$E$12,"")</x:f>
        <x:v>404.5</x:v>
      </x:c>
      <x:c r="H14" s="4" t="n">
        <x:f>IF(COUNT(G14,F14)=2,G14-F14,"")</x:f>
        <x:v>20</x:v>
      </x:c>
      <x:c r="I14" s="4" t="n">
        <x:f>IF(AND(ISNUMBER(F14),K14&gt;0),F14/K14,"")</x:f>
        <x:v>4.80625</x:v>
      </x:c>
      <x:c r="J14" s="4" t="n">
        <x:f>IF(AND(ISNUMBER(G14),L14&gt;0),G14/L14,"")</x:f>
        <x:v>4.993827160493828</x:v>
      </x:c>
      <x:c r="K14" s="10" t="n">
        <x:v>80</x:v>
      </x:c>
      <x:c r="L14" s="10" t="n">
        <x:v>81</x:v>
      </x:c>
      <x:c r="M14" s="10" t="n">
        <x:f>IF(COUNT(L14,K14)=2,L14-K14,"")</x:f>
        <x:v>1</x:v>
      </x:c>
      <x:c r="N14" s="10" t="n">
        <x:v>33</x:v>
      </x:c>
      <x:c r="O14" s="10" t="n">
        <x:v>36</x:v>
      </x:c>
      <x:c r="P14" s="10" t="n">
        <x:f>IF(COUNT(O14,N14)=2,O14-N14,"")</x:f>
        <x:v>3</x:v>
      </x:c>
      <x:c r="Q14" s="10" t="n">
        <x:v>35</x:v>
      </x:c>
      <x:c r="R14" s="10" t="n">
        <x:v>37</x:v>
      </x:c>
      <x:c r="S14" s="10" t="n">
        <x:f>IF(COUNT(R14,Q14)=2,R14-Q14,"")</x:f>
        <x:v>2</x:v>
      </x:c>
      <x:c r="T14" s="10" t="n">
        <x:v>10</x:v>
      </x:c>
      <x:c r="U14" s="10" t="n">
        <x:v>14</x:v>
      </x:c>
      <x:c r="V14" s="10" t="n">
        <x:f>IF(COUNT(U14,T14)=2,U14-T14,"")</x:f>
        <x:v>4</x:v>
      </x:c>
      <x:c r="W14" s="10" t="n">
        <x:v>21</x:v>
      </x:c>
      <x:c r="X14" s="10" t="n">
        <x:f>IF(COUNT(AV14,AW14)=2,AV14+AW14,"")</x:f>
        <x:v>12</x:v>
      </x:c>
      <x:c r="Y14" s="10" t="n">
        <x:f>IF(COUNT(X14,W14)=2,X14-W14,"")</x:f>
        <x:v>-9</x:v>
      </x:c>
      <x:c r="Z14" s="10" t="n">
        <x:v>2</x:v>
      </x:c>
      <x:c r="AA14" s="10" t="n">
        <x:f>IF(COUNT(AX14,AY14)=2,AX14+AY14,"")</x:f>
        <x:v>2</x:v>
      </x:c>
      <x:c r="AB14" s="10" t="n">
        <x:f>IF(COUNT(AA14,Z14)=2,AA14-Z14,"")</x:f>
        <x:v>0</x:v>
      </x:c>
      <x:c r="AC14" s="10" t="n">
        <x:v>228</x:v>
      </x:c>
      <x:c r="AD14" s="10" t="n">
        <x:v>226</x:v>
      </x:c>
      <x:c r="AE14" s="10" t="n">
        <x:f>IF(COUNT(AD14,AC14)=2,AD14-AC14,"")</x:f>
        <x:v>-2</x:v>
      </x:c>
      <x:c r="AF14" s="10" t="n">
        <x:v>103</x:v>
      </x:c>
      <x:c r="AG14" s="10" t="n">
        <x:v>127</x:v>
      </x:c>
      <x:c r="AH14" s="10" t="n">
        <x:f>IF(COUNT(AG14,AF14)=2,AG14-AF14,"")</x:f>
        <x:v>24</x:v>
      </x:c>
      <x:c r="AI14" s="10" t="n">
        <x:v>37</x:v>
      </x:c>
      <x:c r="AJ14" s="10" t="n">
        <x:v>39</x:v>
      </x:c>
      <x:c r="AK14" s="10" t="n">
        <x:f>IF(COUNT(AJ14,AI14)=2,AJ14-AI14,"")</x:f>
        <x:v>2</x:v>
      </x:c>
      <x:c r="AL14" s="10" t="n">
        <x:v>29</x:v>
      </x:c>
      <x:c r="AM14" s="10" t="n">
        <x:v>29</x:v>
      </x:c>
      <x:c r="AN14" s="4" t="str">
        <x:v>RW</x:v>
      </x:c>
      <x:c r="AO14" s="4" t="str">
        <x:v>LW</x:v>
      </x:c>
      <x:c r="AP14" s="4" t="str">
        <x:v>LA</x:v>
      </x:c>
      <x:c r="AQ14" s="4" t="str">
        <x:v>LAK</x:v>
      </x:c>
      <x:c r="AR14" s="4" t="n">
        <x:v>18.89</x:v>
      </x:c>
      <x:c r="AS14" s="4" t="n">
        <x:v>19.3</x:v>
      </x:c>
      <x:c r="AT14" s="4" t="n">
        <x:v>2.67</x:v>
      </x:c>
      <x:c r="AU14" s="4" t="n">
        <x:v>15.9</x:v>
      </x:c>
      <x:c r="AV14" s="10" t="n">
        <x:v>4</x:v>
      </x:c>
      <x:c r="AW14" s="10" t="n">
        <x:v>8</x:v>
      </x:c>
      <x:c r="AX14" s="10" t="n">
        <x:v>0</x:v>
      </x:c>
      <x:c r="AY14" s="10" t="n">
        <x:v>2</x:v>
      </x:c>
      <x:c r="AZ14" s="10" t="n">
        <x:v>1321</x:v>
      </x:c>
      <x:c r="BA14" s="10" t="n">
        <x:v>1205</x:v>
      </x:c>
      <x:c r="BB14" s="4" t="n">
        <x:v>52.3</x:v>
      </x:c>
      <x:c r="BC14" s="4" t="n">
        <x:v>0.6</x:v>
      </x:c>
      <x:c r="BD14" s="10" t="n">
        <x:v>919</x:v>
      </x:c>
      <x:c r="BE14" s="10" t="n">
        <x:v>851</x:v>
      </x:c>
      <x:c r="BF14" s="4" t="n">
        <x:v>51.9</x:v>
      </x:c>
      <x:c r="BG14" s="4" t="n">
        <x:v>0.4</x:v>
      </x:c>
      <x:c r="BH14" s="4" t="n">
        <x:v>12.6</x:v>
      </x:c>
      <x:c r="BI14" s="4" t="n">
        <x:v>90.3</x:v>
      </x:c>
      <x:c r="BJ14" s="4" t="n">
        <x:v>102.8</x:v>
      </x:c>
      <x:c r="BK14" s="4" t="n">
        <x:v>56.7</x:v>
      </x:c>
      <x:c r="BL14" s="4" t="n">
        <x:v>43.3</x:v>
      </x:c>
      <x:c r="BM14" s="4" t="n">
        <x:v>19.3</x:v>
      </x:c>
      <x:c r="BN14" s="4" t="n">
        <x:v>15.7</x:v>
      </x:c>
      <x:c r="BO14" s="10" t="n">
        <x:v>24</x:v>
      </x:c>
      <x:c r="BP14" s="10" t="n">
        <x:v>67</x:v>
      </x:c>
      <x:c r="BQ14" s="4" t="n">
        <x:v>1.4</x:v>
      </x:c>
      <x:c r="BR14" s="10" t="n">
        <x:v>508</x:v>
      </x:c>
      <x:c r="BS14" s="4" t="n">
        <x:v>44.5</x:v>
      </x:c>
      <x:c r="BT14" s="10" t="n">
        <x:v>81</x:v>
      </x:c>
      <x:c r="BU14" s="4" t="str">
        <x:v>LAK</x:v>
      </x:c>
      <x:c r="BV14" s="10" t="n">
        <x:v>52</x:v>
      </x:c>
      <x:c r="BW14" s="10" t="n">
        <x:v>49</x:v>
      </x:c>
      <x:c r="BX14" s="10" t="n">
        <x:v>512</x:v>
      </x:c>
      <x:c r="BY14" s="4" t="str">
        <x:v>Adrian Kempe</x:v>
      </x:c>
      <x:c r="BZ14" s="4" t="str">
        <x:v>Adrian Kempe</x:v>
      </x:c>
      <x:c r="CA14" s="4" t="str">
        <x:v>Adrian Kempe</x:v>
      </x:c>
      <x:c r="CB14" s="4" t="str">
        <x:v>kempead01</x:v>
      </x:c>
    </x:row>
    <x:row r="15" ht="22" customHeight="1">
      <x:c r="A15" s="4" t="str">
        <x:v>Alex DeBrincat</x:v>
      </x:c>
      <x:c r="B15" s="4" t="str">
        <x:v>alexdebrincat</x:v>
      </x:c>
      <x:c r="C15" s="10" t="n">
        <x:v>1</x:v>
      </x:c>
      <x:c r="D15" s="10" t="n">
        <x:v>1</x:v>
      </x:c>
      <x:c r="E15" s="10" t="n">
        <x:v>1</x:v>
      </x:c>
      <x:c r="F15" s="4" t="n">
        <x:f>IF(COUNT(N15,Q15,T15,W15,Z15,AC15,AF15,AI15)=8,N15*Guide!$E$5+Q15*Guide!$E$6+T15*Guide!$E$7+W15*Guide!$E$8+Z15*Guide!$E$9+AC15*Guide!$E$10+AF15*Guide!$E$11+AI15*Guide!$E$12,"")</x:f>
        <x:v>341.75</x:v>
      </x:c>
      <x:c r="G15" s="4" t="n">
        <x:f>IF(COUNT(O15,R15,U15,X15,AA15,AD15,AG15,AJ15)=8,O15*Guide!$E$5+R15*Guide!$E$6+U15*Guide!$E$7+X15*Guide!$E$8+AA15*Guide!$E$9+AD15*Guide!$E$10+AG15*Guide!$E$11+AJ15*Guide!$E$12,"")</x:f>
        <x:v>437.5</x:v>
      </x:c>
      <x:c r="H15" s="4" t="n">
        <x:f>IF(COUNT(G15,F15)=2,G15-F15,"")</x:f>
        <x:v>95.75</x:v>
      </x:c>
      <x:c r="I15" s="4" t="n">
        <x:f>IF(AND(ISNUMBER(F15),K15&gt;0),F15/K15,"")</x:f>
        <x:v>4.1676829268292686</x:v>
      </x:c>
      <x:c r="J15" s="4" t="n">
        <x:f>IF(AND(ISNUMBER(G15),L15&gt;0),G15/L15,"")</x:f>
        <x:v>5.335365853658536</x:v>
      </x:c>
      <x:c r="K15" s="10" t="n">
        <x:v>82</x:v>
      </x:c>
      <x:c r="L15" s="10" t="n">
        <x:v>82</x:v>
      </x:c>
      <x:c r="M15" s="10" t="n">
        <x:f>IF(COUNT(L15,K15)=2,L15-K15,"")</x:f>
        <x:v>0</x:v>
      </x:c>
      <x:c r="N15" s="10" t="n">
        <x:v>32</x:v>
      </x:c>
      <x:c r="O15" s="10" t="n">
        <x:v>41</x:v>
      </x:c>
      <x:c r="P15" s="10" t="n">
        <x:f>IF(COUNT(O15,N15)=2,O15-N15,"")</x:f>
        <x:v>9</x:v>
      </x:c>
      <x:c r="Q15" s="10" t="n">
        <x:v>33</x:v>
      </x:c>
      <x:c r="R15" s="10" t="n">
        <x:v>44</x:v>
      </x:c>
      <x:c r="S15" s="10" t="n">
        <x:f>IF(COUNT(R15,Q15)=2,R15-Q15,"")</x:f>
        <x:v>11</x:v>
      </x:c>
      <x:c r="T15" s="10" t="n">
        <x:v>-8</x:v>
      </x:c>
      <x:c r="U15" s="10" t="n">
        <x:v>8</x:v>
      </x:c>
      <x:c r="V15" s="10" t="n">
        <x:f>IF(COUNT(U15,T15)=2,U15-T15,"")</x:f>
        <x:v>16</x:v>
      </x:c>
      <x:c r="W15" s="10" t="n">
        <x:v>25</x:v>
      </x:c>
      <x:c r="X15" s="10" t="n">
        <x:f>IF(COUNT(AV15,AW15)=2,AV15+AW15,"")</x:f>
        <x:v>23</x:v>
      </x:c>
      <x:c r="Y15" s="10" t="n">
        <x:f>IF(COUNT(X15,W15)=2,X15-W15,"")</x:f>
        <x:v>-2</x:v>
      </x:c>
      <x:c r="Z15" s="10" t="n">
        <x:v>0</x:v>
      </x:c>
      <x:c r="AA15" s="10" t="n">
        <x:f>IF(COUNT(AX15,AY15)=2,AX15+AY15,"")</x:f>
        <x:v>0</x:v>
      </x:c>
      <x:c r="AB15" s="10" t="n">
        <x:f>IF(COUNT(AA15,Z15)=2,AA15-Z15,"")</x:f>
        <x:v>0</x:v>
      </x:c>
      <x:c r="AC15" s="10" t="n">
        <x:v>224</x:v>
      </x:c>
      <x:c r="AD15" s="10" t="n">
        <x:v>287</x:v>
      </x:c>
      <x:c r="AE15" s="10" t="n">
        <x:f>IF(COUNT(AD15,AC15)=2,AD15-AC15,"")</x:f>
        <x:v>63</x:v>
      </x:c>
      <x:c r="AF15" s="10" t="n">
        <x:v>50</x:v>
      </x:c>
      <x:c r="AG15" s="10" t="n">
        <x:v>38</x:v>
      </x:c>
      <x:c r="AH15" s="10" t="n">
        <x:f>IF(COUNT(AG15,AF15)=2,AG15-AF15,"")</x:f>
        <x:v>-12</x:v>
      </x:c>
      <x:c r="AI15" s="10" t="n">
        <x:v>39</x:v>
      </x:c>
      <x:c r="AJ15" s="10" t="n">
        <x:v>39</x:v>
      </x:c>
      <x:c r="AK15" s="10" t="n">
        <x:f>IF(COUNT(AJ15,AI15)=2,AJ15-AI15,"")</x:f>
        <x:v>0</x:v>
      </x:c>
      <x:c r="AL15" s="10" t="n">
        <x:v>28</x:v>
      </x:c>
      <x:c r="AM15" s="10" t="n">
        <x:v>28</x:v>
      </x:c>
      <x:c r="AN15" s="4" t="str">
        <x:v>LW,RW</x:v>
      </x:c>
      <x:c r="AO15" s="4" t="str">
        <x:v>RW</x:v>
      </x:c>
      <x:c r="AP15" s="4" t="str">
        <x:v>DET</x:v>
      </x:c>
      <x:c r="AQ15" s="4" t="str">
        <x:v>DET</x:v>
      </x:c>
      <x:c r="AR15" s="4" t="n">
        <x:v>17.74</x:v>
      </x:c>
      <x:c r="AS15" s="4" t="n">
        <x:v>18.5</x:v>
      </x:c>
      <x:c r="AT15" s="4" t="n">
        <x:v>2.86</x:v>
      </x:c>
      <x:c r="AU15" s="4" t="n">
        <x:v>14.3</x:v>
      </x:c>
      <x:c r="AV15" s="10" t="n">
        <x:v>15</x:v>
      </x:c>
      <x:c r="AW15" s="10" t="n">
        <x:v>8</x:v>
      </x:c>
      <x:c r="AX15" s="10" t="n">
        <x:v>0</x:v>
      </x:c>
      <x:c r="AY15" s="10" t="n">
        <x:v>0</x:v>
      </x:c>
      <x:c r="AZ15" s="10" t="n">
        <x:v>1349</x:v>
      </x:c>
      <x:c r="BA15" s="10" t="n">
        <x:v>1231</x:v>
      </x:c>
      <x:c r="BB15" s="4" t="n">
        <x:v>52.3</x:v>
      </x:c>
      <x:c r="BC15" s="4" t="n">
        <x:v>4.8</x:v>
      </x:c>
      <x:c r="BD15" s="10" t="n">
        <x:v>1019</x:v>
      </x:c>
      <x:c r="BE15" s="10" t="n">
        <x:v>844</x:v>
      </x:c>
      <x:c r="BF15" s="4" t="n">
        <x:v>54.7</x:v>
      </x:c>
      <x:c r="BG15" s="4" t="n">
        <x:v>7</x:v>
      </x:c>
      <x:c r="BH15" s="4" t="n">
        <x:v>11.5</x:v>
      </x:c>
      <x:c r="BI15" s="4" t="n">
        <x:v>88</x:v>
      </x:c>
      <x:c r="BJ15" s="4" t="n">
        <x:v>99.5</x:v>
      </x:c>
      <x:c r="BK15" s="4" t="n">
        <x:v>52.4</x:v>
      </x:c>
      <x:c r="BL15" s="4" t="n">
        <x:v>47.6</x:v>
      </x:c>
      <x:c r="BM15" s="4" t="n">
        <x:v>18.5</x:v>
      </x:c>
      <x:c r="BN15" s="4" t="n">
        <x:v>15.133333333333333</x:v>
      </x:c>
      <x:c r="BO15" s="10" t="n">
        <x:v>43</x:v>
      </x:c>
      <x:c r="BP15" s="10" t="n">
        <x:v>87</x:v>
      </x:c>
      <x:c r="BQ15" s="4" t="n">
        <x:v>13.5</x:v>
      </x:c>
      <x:c r="BR15" s="10" t="n">
        <x:v>579</x:v>
      </x:c>
      <x:c r="BS15" s="4" t="n">
        <x:v>49.6</x:v>
      </x:c>
      <x:c r="BT15" s="10" t="n">
        <x:v>82</x:v>
      </x:c>
      <x:c r="BU15" s="4" t="str">
        <x:v>DET</x:v>
      </x:c>
      <x:c r="BV15" s="10" t="n">
        <x:v>66</x:v>
      </x:c>
      <x:c r="BW15" s="10" t="n">
        <x:v>22</x:v>
      </x:c>
      <x:c r="BX15" s="10" t="n">
        <x:v>202</x:v>
      </x:c>
      <x:c r="BY15" s="4" t="str">
        <x:v>Alex DeBrincat</x:v>
      </x:c>
      <x:c r="BZ15" s="4" t="str">
        <x:v>Alex DeBrincat</x:v>
      </x:c>
      <x:c r="CA15" s="4" t="str">
        <x:v>Alex DeBrincat</x:v>
      </x:c>
      <x:c r="CB15" s="4" t="str">
        <x:v>debrial01</x:v>
      </x:c>
    </x:row>
    <x:row r="16" ht="22" customHeight="1">
      <x:c r="A16" s="4" t="str">
        <x:v>Alex Iafallo</x:v>
      </x:c>
      <x:c r="B16" s="4" t="str">
        <x:v>alexiafallo</x:v>
      </x:c>
      <x:c r="C16" s="10" t="n">
        <x:v>1</x:v>
      </x:c>
      <x:c r="D16" s="10" t="n">
        <x:v>1</x:v>
      </x:c>
      <x:c r="E16" s="10" t="n">
        <x:v>1</x:v>
      </x:c>
      <x:c r="F16" s="4" t="n">
        <x:f>IF(COUNT(N16,Q16,T16,W16,Z16,AC16,AF16,AI16)=8,N16*Guide!$E$5+Q16*Guide!$E$6+T16*Guide!$E$7+W16*Guide!$E$8+Z16*Guide!$E$9+AC16*Guide!$E$10+AF16*Guide!$E$11+AI16*Guide!$E$12,"")</x:f>
        <x:v>207.25</x:v>
      </x:c>
      <x:c r="G16" s="4" t="n">
        <x:f>IF(COUNT(O16,R16,U16,X16,AA16,AD16,AG16,AJ16)=8,O16*Guide!$E$5+R16*Guide!$E$6+U16*Guide!$E$7+X16*Guide!$E$8+AA16*Guide!$E$9+AD16*Guide!$E$10+AG16*Guide!$E$11+AJ16*Guide!$E$12,"")</x:f>
        <x:v>211.5</x:v>
      </x:c>
      <x:c r="H16" s="4" t="n">
        <x:f>IF(COUNT(G16,F16)=2,G16-F16,"")</x:f>
        <x:v>4.25</x:v>
      </x:c>
      <x:c r="I16" s="4" t="n">
        <x:f>IF(AND(ISNUMBER(F16),K16&gt;0),F16/K16,"")</x:f>
        <x:v>2.527439024390244</x:v>
      </x:c>
      <x:c r="J16" s="4" t="n">
        <x:f>IF(AND(ISNUMBER(G16),L16&gt;0),G16/L16,"")</x:f>
        <x:v>2.6772151898734178</x:v>
      </x:c>
      <x:c r="K16" s="10" t="n">
        <x:v>82</x:v>
      </x:c>
      <x:c r="L16" s="10" t="n">
        <x:v>79</x:v>
      </x:c>
      <x:c r="M16" s="10" t="n">
        <x:f>IF(COUNT(L16,K16)=2,L16-K16,"")</x:f>
        <x:v>-3</x:v>
      </x:c>
      <x:c r="N16" s="10" t="n">
        <x:v>14</x:v>
      </x:c>
      <x:c r="O16" s="10" t="n">
        <x:v>13</x:v>
      </x:c>
      <x:c r="P16" s="10" t="n">
        <x:f>IF(COUNT(O16,N16)=2,O16-N16,"")</x:f>
        <x:v>-1</x:v>
      </x:c>
      <x:c r="Q16" s="10" t="n">
        <x:v>16</x:v>
      </x:c>
      <x:c r="R16" s="10" t="n">
        <x:v>16</x:v>
      </x:c>
      <x:c r="S16" s="10" t="n">
        <x:f>IF(COUNT(R16,Q16)=2,R16-Q16,"")</x:f>
        <x:v>0</x:v>
      </x:c>
      <x:c r="T16" s="10" t="n">
        <x:v>9</x:v>
      </x:c>
      <x:c r="U16" s="10" t="n">
        <x:v>3</x:v>
      </x:c>
      <x:c r="V16" s="10" t="n">
        <x:f>IF(COUNT(U16,T16)=2,U16-T16,"")</x:f>
        <x:v>-6</x:v>
      </x:c>
      <x:c r="W16" s="10" t="n">
        <x:v>8</x:v>
      </x:c>
      <x:c r="X16" s="10" t="n">
        <x:f>IF(COUNT(AV16,AW16)=2,AV16+AW16,"")</x:f>
        <x:v>5</x:v>
      </x:c>
      <x:c r="Y16" s="10" t="n">
        <x:f>IF(COUNT(X16,W16)=2,X16-W16,"")</x:f>
        <x:v>-3</x:v>
      </x:c>
      <x:c r="Z16" s="10" t="n">
        <x:v>1</x:v>
      </x:c>
      <x:c r="AA16" s="10" t="n">
        <x:f>IF(COUNT(AX16,AY16)=2,AX16+AY16,"")</x:f>
        <x:v>1</x:v>
      </x:c>
      <x:c r="AB16" s="10" t="n">
        <x:f>IF(COUNT(AA16,Z16)=2,AA16-Z16,"")</x:f>
        <x:v>0</x:v>
      </x:c>
      <x:c r="AC16" s="10" t="n">
        <x:v>111</x:v>
      </x:c>
      <x:c r="AD16" s="10" t="n">
        <x:v>114</x:v>
      </x:c>
      <x:c r="AE16" s="10" t="n">
        <x:f>IF(COUNT(AD16,AC16)=2,AD16-AC16,"")</x:f>
        <x:v>3</x:v>
      </x:c>
      <x:c r="AF16" s="10" t="n">
        <x:v>48</x:v>
      </x:c>
      <x:c r="AG16" s="10" t="n">
        <x:v>120</x:v>
      </x:c>
      <x:c r="AH16" s="10" t="n">
        <x:f>IF(COUNT(AG16,AF16)=2,AG16-AF16,"")</x:f>
        <x:v>72</x:v>
      </x:c>
      <x:c r="AI16" s="10" t="n">
        <x:v>58</x:v>
      </x:c>
      <x:c r="AJ16" s="10" t="n">
        <x:v>56</x:v>
      </x:c>
      <x:c r="AK16" s="10" t="n">
        <x:f>IF(COUNT(AJ16,AI16)=2,AJ16-AI16,"")</x:f>
        <x:v>-2</x:v>
      </x:c>
      <x:c r="AL16" s="10" t="n">
        <x:v>32</x:v>
      </x:c>
      <x:c r="AM16" s="10" t="n">
        <x:v>32</x:v>
      </x:c>
      <x:c r="AN16" s="4" t="str">
        <x:v>C,LW,RW</x:v>
      </x:c>
      <x:c r="AO16" s="4" t="str">
        <x:v>C</x:v>
      </x:c>
      <x:c r="AP16" s="4" t="str">
        <x:v>WPG</x:v>
      </x:c>
      <x:c r="AQ16" s="4" t="str">
        <x:v>WPG</x:v>
      </x:c>
      <x:c r="AR16" s="4" t="n">
        <x:v>13.35</x:v>
      </x:c>
      <x:c r="AS16" s="4" t="n">
        <x:v>15.583333333333334</x:v>
      </x:c>
      <x:c r="AT16" s="4" t="n">
        <x:v>1.37</x:v>
      </x:c>
      <x:c r="AU16" s="4" t="n">
        <x:v>11.4</x:v>
      </x:c>
      <x:c r="AV16" s="10" t="n">
        <x:v>2</x:v>
      </x:c>
      <x:c r="AW16" s="10" t="n">
        <x:v>3</x:v>
      </x:c>
      <x:c r="AX16" s="10" t="n">
        <x:v>0</x:v>
      </x:c>
      <x:c r="AY16" s="10" t="n">
        <x:v>1</x:v>
      </x:c>
      <x:c r="AZ16" s="10" t="n">
        <x:v>931</x:v>
      </x:c>
      <x:c r="BA16" s="10" t="n">
        <x:v>955</x:v>
      </x:c>
      <x:c r="BB16" s="4" t="n">
        <x:v>49.4</x:v>
      </x:c>
      <x:c r="BC16" s="4" t="n">
        <x:v>0.5</x:v>
      </x:c>
      <x:c r="BD16" s="10" t="n">
        <x:v>655</x:v>
      </x:c>
      <x:c r="BE16" s="10" t="n">
        <x:v>684</x:v>
      </x:c>
      <x:c r="BF16" s="4" t="n">
        <x:v>48.9</x:v>
      </x:c>
      <x:c r="BG16" s="4" t="n">
        <x:v>-0.1</x:v>
      </x:c>
      <x:c r="BH16" s="4" t="n">
        <x:v>11.7</x:v>
      </x:c>
      <x:c r="BI16" s="4" t="n">
        <x:v>89.4</x:v>
      </x:c>
      <x:c r="BJ16" s="4" t="n">
        <x:v>101.1</x:v>
      </x:c>
      <x:c r="BK16" s="4" t="n">
        <x:v>56.2</x:v>
      </x:c>
      <x:c r="BL16" s="4" t="n">
        <x:v>43.8</x:v>
      </x:c>
      <x:c r="BM16" s="4" t="n">
        <x:v>15.583333333333334</x:v>
      </x:c>
      <x:c r="BN16" s="4" t="n">
        <x:v>13.25</x:v>
      </x:c>
      <x:c r="BO16" s="10" t="n">
        <x:v>11</x:v>
      </x:c>
      <x:c r="BP16" s="10" t="n">
        <x:v>28</x:v>
      </x:c>
      <x:c r="BQ16" s="4" t="n">
        <x:v>-1.2</x:v>
      </x:c>
      <x:c r="BR16" s="10" t="n">
        <x:v>203</x:v>
      </x:c>
      <x:c r="BS16" s="4" t="n">
        <x:v>56.2</x:v>
      </x:c>
      <x:c r="BT16" s="10" t="n">
        <x:v>79</x:v>
      </x:c>
      <x:c r="BU16" s="4" t="str">
        <x:v>WPG</x:v>
      </x:c>
      <x:c r="BV16" s="10" t="n">
        <x:v>373</x:v>
      </x:c>
      <x:c r="BW16" s="10" t="n">
        <x:v>342</x:v>
      </x:c>
      <x:c r="BX16" s="10" t="n">
        <x:v>447</x:v>
      </x:c>
      <x:c r="BY16" s="4" t="str">
        <x:v>Alex Iafallo</x:v>
      </x:c>
      <x:c r="BZ16" s="4" t="str">
        <x:v>Alex Iafallo</x:v>
      </x:c>
      <x:c r="CA16" s="4" t="str">
        <x:v>Alex Iafallo</x:v>
      </x:c>
      <x:c r="CB16" s="4" t="str">
        <x:v>iafalal01</x:v>
      </x:c>
    </x:row>
    <x:row r="17" ht="22" customHeight="1">
      <x:c r="A17" s="4" t="str">
        <x:v>Alex Killorn</x:v>
      </x:c>
      <x:c r="B17" s="4" t="str">
        <x:v>alexkillorn</x:v>
      </x:c>
      <x:c r="C17" s="10" t="n">
        <x:v>1</x:v>
      </x:c>
      <x:c r="D17" s="10" t="n">
        <x:v>1</x:v>
      </x:c>
      <x:c r="E17" s="10" t="n">
        <x:v>1</x:v>
      </x:c>
      <x:c r="F17" s="4" t="n">
        <x:f>IF(COUNT(N17,Q17,T17,W17,Z17,AC17,AF17,AI17)=8,N17*Guide!$E$5+Q17*Guide!$E$6+T17*Guide!$E$7+W17*Guide!$E$8+Z17*Guide!$E$9+AC17*Guide!$E$10+AF17*Guide!$E$11+AI17*Guide!$E$12,"")</x:f>
        <x:v>229.25</x:v>
      </x:c>
      <x:c r="G17" s="4" t="n">
        <x:f>IF(COUNT(O17,R17,U17,X17,AA17,AD17,AG17,AJ17)=8,O17*Guide!$E$5+R17*Guide!$E$6+U17*Guide!$E$7+X17*Guide!$E$8+AA17*Guide!$E$9+AD17*Guide!$E$10+AG17*Guide!$E$11+AJ17*Guide!$E$12,"")</x:f>
        <x:v>197</x:v>
      </x:c>
      <x:c r="H17" s="4" t="n">
        <x:f>IF(COUNT(G17,F17)=2,G17-F17,"")</x:f>
        <x:v>-32.25</x:v>
      </x:c>
      <x:c r="I17" s="4" t="n">
        <x:f>IF(AND(ISNUMBER(F17),K17&gt;0),F17/K17,"")</x:f>
        <x:v>2.865625</x:v>
      </x:c>
      <x:c r="J17" s="4" t="n">
        <x:f>IF(AND(ISNUMBER(G17),L17&gt;0),G17/L17,"")</x:f>
        <x:v>2.402439024390244</x:v>
      </x:c>
      <x:c r="K17" s="10" t="n">
        <x:v>80</x:v>
      </x:c>
      <x:c r="L17" s="10" t="n">
        <x:v>82</x:v>
      </x:c>
      <x:c r="M17" s="10" t="n">
        <x:f>IF(COUNT(L17,K17)=2,L17-K17,"")</x:f>
        <x:v>2</x:v>
      </x:c>
      <x:c r="N17" s="10" t="n">
        <x:v>20</x:v>
      </x:c>
      <x:c r="O17" s="10" t="n">
        <x:v>15</x:v>
      </x:c>
      <x:c r="P17" s="10" t="n">
        <x:f>IF(COUNT(O17,N17)=2,O17-N17,"")</x:f>
        <x:v>-5</x:v>
      </x:c>
      <x:c r="Q17" s="10" t="n">
        <x:v>23</x:v>
      </x:c>
      <x:c r="R17" s="10" t="n">
        <x:v>18</x:v>
      </x:c>
      <x:c r="S17" s="10" t="n">
        <x:f>IF(COUNT(R17,Q17)=2,R17-Q17,"")</x:f>
        <x:v>-5</x:v>
      </x:c>
      <x:c r="T17" s="10" t="n">
        <x:v>-1</x:v>
      </x:c>
      <x:c r="U17" s="10" t="n">
        <x:v>-2</x:v>
      </x:c>
      <x:c r="V17" s="10" t="n">
        <x:f>IF(COUNT(U17,T17)=2,U17-T17,"")</x:f>
        <x:v>-1</x:v>
      </x:c>
      <x:c r="W17" s="10" t="n">
        <x:v>6</x:v>
      </x:c>
      <x:c r="X17" s="10" t="n">
        <x:f>IF(COUNT(AV17,AW17)=2,AV17+AW17,"")</x:f>
        <x:v>5</x:v>
      </x:c>
      <x:c r="Y17" s="10" t="n">
        <x:f>IF(COUNT(X17,W17)=2,X17-W17,"")</x:f>
        <x:v>-1</x:v>
      </x:c>
      <x:c r="Z17" s="10" t="n">
        <x:v>1</x:v>
      </x:c>
      <x:c r="AA17" s="10" t="n">
        <x:f>IF(COUNT(AX17,AY17)=2,AX17+AY17,"")</x:f>
        <x:v>1</x:v>
      </x:c>
      <x:c r="AB17" s="10" t="n">
        <x:f>IF(COUNT(AA17,Z17)=2,AA17-Z17,"")</x:f>
        <x:v>0</x:v>
      </x:c>
      <x:c r="AC17" s="10" t="n">
        <x:v>128</x:v>
      </x:c>
      <x:c r="AD17" s="10" t="n">
        <x:v>148</x:v>
      </x:c>
      <x:c r="AE17" s="10" t="n">
        <x:f>IF(COUNT(AD17,AC17)=2,AD17-AC17,"")</x:f>
        <x:v>20</x:v>
      </x:c>
      <x:c r="AF17" s="10" t="n">
        <x:v>74</x:v>
      </x:c>
      <x:c r="AG17" s="10" t="n">
        <x:v>70</x:v>
      </x:c>
      <x:c r="AH17" s="10" t="n">
        <x:f>IF(COUNT(AG17,AF17)=2,AG17-AF17,"")</x:f>
        <x:v>-4</x:v>
      </x:c>
      <x:c r="AI17" s="10" t="n">
        <x:v>29</x:v>
      </x:c>
      <x:c r="AJ17" s="10" t="n">
        <x:v>30</x:v>
      </x:c>
      <x:c r="AK17" s="10" t="n">
        <x:f>IF(COUNT(AJ17,AI17)=2,AJ17-AI17,"")</x:f>
        <x:v>1</x:v>
      </x:c>
      <x:c r="AL17" s="10" t="n">
        <x:v>36</x:v>
      </x:c>
      <x:c r="AM17" s="10" t="n">
        <x:v>36</x:v>
      </x:c>
      <x:c r="AN17" s="4" t="str">
        <x:v>C,LW,RW</x:v>
      </x:c>
      <x:c r="AO17" s="4" t="str">
        <x:v>C</x:v>
      </x:c>
      <x:c r="AP17" s="4" t="str">
        <x:v>ANA</x:v>
      </x:c>
      <x:c r="AQ17" s="4" t="str">
        <x:v>ANA</x:v>
      </x:c>
      <x:c r="AR17" s="4" t="n">
        <x:v>16.89</x:v>
      </x:c>
      <x:c r="AS17" s="4" t="n">
        <x:v>16.7</x:v>
      </x:c>
      <x:c r="AT17" s="4" t="n">
        <x:v>1.9</x:v>
      </x:c>
      <x:c r="AU17" s="4" t="n">
        <x:v>10.1</x:v>
      </x:c>
      <x:c r="AV17" s="10" t="n">
        <x:v>3</x:v>
      </x:c>
      <x:c r="AW17" s="10" t="n">
        <x:v>2</x:v>
      </x:c>
      <x:c r="AX17" s="10" t="n">
        <x:v>0</x:v>
      </x:c>
      <x:c r="AY17" s="10" t="n">
        <x:v>1</x:v>
      </x:c>
      <x:c r="AZ17" s="10" t="n">
        <x:v>1116</x:v>
      </x:c>
      <x:c r="BA17" s="10" t="n">
        <x:v>1010</x:v>
      </x:c>
      <x:c r="BB17" s="4" t="n">
        <x:v>52.5</x:v>
      </x:c>
      <x:c r="BC17" s="4" t="n">
        <x:v>0</x:v>
      </x:c>
      <x:c r="BD17" s="10" t="n">
        <x:v>813</x:v>
      </x:c>
      <x:c r="BE17" s="10" t="n">
        <x:v>740</x:v>
      </x:c>
      <x:c r="BF17" s="4" t="n">
        <x:v>52.4</x:v>
      </x:c>
      <x:c r="BG17" s="4" t="n">
        <x:v>-0.3</x:v>
      </x:c>
      <x:c r="BH17" s="4" t="n">
        <x:v>9.1</x:v>
      </x:c>
      <x:c r="BI17" s="4" t="n">
        <x:v>89.2</x:v>
      </x:c>
      <x:c r="BJ17" s="4" t="n">
        <x:v>98.4</x:v>
      </x:c>
      <x:c r="BK17" s="4" t="n">
        <x:v>48.9</x:v>
      </x:c>
      <x:c r="BL17" s="4" t="n">
        <x:v>51.1</x:v>
      </x:c>
      <x:c r="BM17" s="4" t="n">
        <x:v>16.7</x:v>
      </x:c>
      <x:c r="BN17" s="4" t="n">
        <x:v>12.933333333333334</x:v>
      </x:c>
      <x:c r="BO17" s="10" t="n">
        <x:v>21</x:v>
      </x:c>
      <x:c r="BP17" s="10" t="n">
        <x:v>64</x:v>
      </x:c>
      <x:c r="BQ17" s="4" t="n">
        <x:v>4.9</x:v>
      </x:c>
      <x:c r="BR17" s="10" t="n">
        <x:v>261</x:v>
      </x:c>
      <x:c r="BS17" s="4" t="n">
        <x:v>56.7</x:v>
      </x:c>
      <x:c r="BT17" s="10" t="n">
        <x:v>82</x:v>
      </x:c>
      <x:c r="BU17" s="4" t="str">
        <x:v>ANA</x:v>
      </x:c>
      <x:c r="BV17" s="10" t="n">
        <x:v>216</x:v>
      </x:c>
      <x:c r="BW17" s="10" t="n">
        <x:v>286</x:v>
      </x:c>
      <x:c r="BX17" s="10" t="n">
        <x:v>519</x:v>
      </x:c>
      <x:c r="BY17" s="4" t="str">
        <x:v>Alex Killorn</x:v>
      </x:c>
      <x:c r="BZ17" s="4" t="str">
        <x:v>Alex Killorn</x:v>
      </x:c>
      <x:c r="CA17" s="4" t="str">
        <x:v>Alex Killorn</x:v>
      </x:c>
      <x:c r="CB17" s="4" t="str">
        <x:v>killoal01</x:v>
      </x:c>
    </x:row>
    <x:row r="18" ht="22" customHeight="1">
      <x:c r="A18" s="4" t="str">
        <x:v>Alex Laferriere</x:v>
      </x:c>
      <x:c r="B18" s="4" t="str">
        <x:v>alexlaferriere</x:v>
      </x:c>
      <x:c r="C18" s="10" t="n">
        <x:v>1</x:v>
      </x:c>
      <x:c r="D18" s="10" t="n">
        <x:v>1</x:v>
      </x:c>
      <x:c r="E18" s="10" t="n">
        <x:v>1</x:v>
      </x:c>
      <x:c r="F18" s="4" t="n">
        <x:f>IF(COUNT(N18,Q18,T18,W18,Z18,AC18,AF18,AI18)=8,N18*Guide!$E$5+Q18*Guide!$E$6+T18*Guide!$E$7+W18*Guide!$E$8+Z18*Guide!$E$9+AC18*Guide!$E$10+AF18*Guide!$E$11+AI18*Guide!$E$12,"")</x:f>
        <x:v>265.5</x:v>
      </x:c>
      <x:c r="G18" s="4" t="n">
        <x:f>IF(COUNT(O18,R18,U18,X18,AA18,AD18,AG18,AJ18)=8,O18*Guide!$E$5+R18*Guide!$E$6+U18*Guide!$E$7+X18*Guide!$E$8+AA18*Guide!$E$9+AD18*Guide!$E$10+AG18*Guide!$E$11+AJ18*Guide!$E$12,"")</x:f>
        <x:v>319.75</x:v>
      </x:c>
      <x:c r="H18" s="4" t="n">
        <x:f>IF(COUNT(G18,F18)=2,G18-F18,"")</x:f>
        <x:v>54.25</x:v>
      </x:c>
      <x:c r="I18" s="4" t="n">
        <x:f>IF(AND(ISNUMBER(F18),K18&gt;0),F18/K18,"")</x:f>
        <x:v>3.4934210526315788</x:v>
      </x:c>
      <x:c r="J18" s="4" t="n">
        <x:f>IF(AND(ISNUMBER(G18),L18&gt;0),G18/L18,"")</x:f>
        <x:v>3.899390243902439</x:v>
      </x:c>
      <x:c r="K18" s="10" t="n">
        <x:v>76</x:v>
      </x:c>
      <x:c r="L18" s="10" t="n">
        <x:v>82</x:v>
      </x:c>
      <x:c r="M18" s="10" t="n">
        <x:f>IF(COUNT(L18,K18)=2,L18-K18,"")</x:f>
        <x:v>6</x:v>
      </x:c>
      <x:c r="N18" s="10" t="n">
        <x:v>21</x:v>
      </x:c>
      <x:c r="O18" s="10" t="n">
        <x:v>21</x:v>
      </x:c>
      <x:c r="P18" s="10" t="n">
        <x:f>IF(COUNT(O18,N18)=2,O18-N18,"")</x:f>
        <x:v>0</x:v>
      </x:c>
      <x:c r="Q18" s="10" t="n">
        <x:v>21</x:v>
      </x:c>
      <x:c r="R18" s="10" t="n">
        <x:v>23</x:v>
      </x:c>
      <x:c r="S18" s="10" t="n">
        <x:f>IF(COUNT(R18,Q18)=2,R18-Q18,"")</x:f>
        <x:v>2</x:v>
      </x:c>
      <x:c r="T18" s="10" t="n">
        <x:v>6</x:v>
      </x:c>
      <x:c r="U18" s="10" t="n">
        <x:v>3</x:v>
      </x:c>
      <x:c r="V18" s="10" t="n">
        <x:f>IF(COUNT(U18,T18)=2,U18-T18,"")</x:f>
        <x:v>-3</x:v>
      </x:c>
      <x:c r="W18" s="10" t="n">
        <x:v>8</x:v>
      </x:c>
      <x:c r="X18" s="10" t="n">
        <x:f>IF(COUNT(AV18,AW18)=2,AV18+AW18,"")</x:f>
        <x:v>5</x:v>
      </x:c>
      <x:c r="Y18" s="10" t="n">
        <x:f>IF(COUNT(X18,W18)=2,X18-W18,"")</x:f>
        <x:v>-3</x:v>
      </x:c>
      <x:c r="Z18" s="10" t="n">
        <x:v>0</x:v>
      </x:c>
      <x:c r="AA18" s="10" t="n">
        <x:f>IF(COUNT(AX18,AY18)=2,AX18+AY18,"")</x:f>
        <x:v>2</x:v>
      </x:c>
      <x:c r="AB18" s="10" t="n">
        <x:f>IF(COUNT(AA18,Z18)=2,AA18-Z18,"")</x:f>
        <x:v>2</x:v>
      </x:c>
      <x:c r="AC18" s="10" t="n">
        <x:v>180</x:v>
      </x:c>
      <x:c r="AD18" s="10" t="n">
        <x:v>209</x:v>
      </x:c>
      <x:c r="AE18" s="10" t="n">
        <x:f>IF(COUNT(AD18,AC18)=2,AD18-AC18,"")</x:f>
        <x:v>29</x:v>
      </x:c>
      <x:c r="AF18" s="10" t="n">
        <x:v>121</x:v>
      </x:c>
      <x:c r="AG18" s="10" t="n">
        <x:v>255</x:v>
      </x:c>
      <x:c r="AH18" s="10" t="n">
        <x:f>IF(COUNT(AG18,AF18)=2,AG18-AF18,"")</x:f>
        <x:v>134</x:v>
      </x:c>
      <x:c r="AI18" s="10" t="n">
        <x:v>39</x:v>
      </x:c>
      <x:c r="AJ18" s="10" t="n">
        <x:v>49</x:v>
      </x:c>
      <x:c r="AK18" s="10" t="n">
        <x:f>IF(COUNT(AJ18,AI18)=2,AJ18-AI18,"")</x:f>
        <x:v>10</x:v>
      </x:c>
      <x:c r="AL18" s="10" t="n">
        <x:v>24</x:v>
      </x:c>
      <x:c r="AM18" s="10" t="n">
        <x:v>24</x:v>
      </x:c>
      <x:c r="AN18" s="4" t="str">
        <x:v>RW</x:v>
      </x:c>
      <x:c r="AO18" s="4" t="str">
        <x:v>RW</x:v>
      </x:c>
      <x:c r="AP18" s="4" t="str">
        <x:v>LA</x:v>
      </x:c>
      <x:c r="AQ18" s="4" t="str">
        <x:v>LAK</x:v>
      </x:c>
      <x:c r="AR18" s="4" t="n">
        <x:v>16.369999999999997</x:v>
      </x:c>
      <x:c r="AS18" s="4" t="n">
        <x:v>18.316666666666666</x:v>
      </x:c>
      <x:c r="AT18" s="4" t="n">
        <x:v>1.56</x:v>
      </x:c>
      <x:c r="AU18" s="4" t="n">
        <x:v>10</x:v>
      </x:c>
      <x:c r="AV18" s="10" t="n">
        <x:v>3</x:v>
      </x:c>
      <x:c r="AW18" s="10" t="n">
        <x:v>2</x:v>
      </x:c>
      <x:c r="AX18" s="10" t="n">
        <x:v>2</x:v>
      </x:c>
      <x:c r="AY18" s="10" t="n">
        <x:v>0</x:v>
      </x:c>
      <x:c r="AZ18" s="10" t="n">
        <x:v>1292</x:v>
      </x:c>
      <x:c r="BA18" s="10" t="n">
        <x:v>1156</x:v>
      </x:c>
      <x:c r="BB18" s="4" t="n">
        <x:v>52.8</x:v>
      </x:c>
      <x:c r="BC18" s="4" t="n">
        <x:v>1.3</x:v>
      </x:c>
      <x:c r="BD18" s="10" t="n">
        <x:v>901</x:v>
      </x:c>
      <x:c r="BE18" s="10" t="n">
        <x:v>847</x:v>
      </x:c>
      <x:c r="BF18" s="4" t="n">
        <x:v>51.5</x:v>
      </x:c>
      <x:c r="BG18" s="4" t="n">
        <x:v>-0.1</x:v>
      </x:c>
      <x:c r="BH18" s="4" t="n">
        <x:v>9.2</x:v>
      </x:c>
      <x:c r="BI18" s="4" t="n">
        <x:v>91.4</x:v>
      </x:c>
      <x:c r="BJ18" s="4" t="n">
        <x:v>100.6</x:v>
      </x:c>
      <x:c r="BK18" s="4" t="n">
        <x:v>46.3</x:v>
      </x:c>
      <x:c r="BL18" s="4" t="n">
        <x:v>53.7</x:v>
      </x:c>
      <x:c r="BM18" s="4" t="n">
        <x:v>18.316666666666666</x:v>
      </x:c>
      <x:c r="BN18" s="4" t="n">
        <x:v>14.966666666666667</x:v>
      </x:c>
      <x:c r="BO18" s="10" t="n">
        <x:v>22</x:v>
      </x:c>
      <x:c r="BP18" s="10" t="n">
        <x:v>85</x:v>
      </x:c>
      <x:c r="BQ18" s="4" t="n">
        <x:v>-2.3</x:v>
      </x:c>
      <x:c r="BR18" s="10" t="n">
        <x:v>456</x:v>
      </x:c>
      <x:c r="BS18" s="4" t="n">
        <x:v>45.8</x:v>
      </x:c>
      <x:c r="BT18" s="10" t="n">
        <x:v>82</x:v>
      </x:c>
      <x:c r="BU18" s="4" t="str">
        <x:v>LAK</x:v>
      </x:c>
      <x:c r="BV18" s="10" t="n">
        <x:v>223</x:v>
      </x:c>
      <x:c r="BW18" s="10" t="n">
        <x:v>184</x:v>
      </x:c>
      <x:c r="BX18" s="10" t="n">
        <x:v>564</x:v>
      </x:c>
      <x:c r="BY18" s="4" t="str">
        <x:v>Alex Laferriere</x:v>
      </x:c>
      <x:c r="BZ18" s="4" t="str">
        <x:v>Alex Laferriere</x:v>
      </x:c>
      <x:c r="CA18" s="4" t="str">
        <x:v>Alex Laferriere</x:v>
      </x:c>
      <x:c r="CB18" s="4" t="str">
        <x:v>laferal01</x:v>
      </x:c>
    </x:row>
    <x:row r="19" ht="22" customHeight="1">
      <x:c r="A19" s="4" t="str">
        <x:v>Alex Newhook</x:v>
      </x:c>
      <x:c r="B19" s="4" t="str">
        <x:v>alexnewhook</x:v>
      </x:c>
      <x:c r="C19" s="10" t="n">
        <x:v>1</x:v>
      </x:c>
      <x:c r="D19" s="10" t="n">
        <x:v>1</x:v>
      </x:c>
      <x:c r="E19" s="10" t="n">
        <x:v>1</x:v>
      </x:c>
      <x:c r="F19" s="4" t="n">
        <x:f>IF(COUNT(N19,Q19,T19,W19,Z19,AC19,AF19,AI19)=8,N19*Guide!$E$5+Q19*Guide!$E$6+T19*Guide!$E$7+W19*Guide!$E$8+Z19*Guide!$E$9+AC19*Guide!$E$10+AF19*Guide!$E$11+AI19*Guide!$E$12,"")</x:f>
        <x:v>218.25</x:v>
      </x:c>
      <x:c r="G19" s="4" t="n">
        <x:f>IF(COUNT(O19,R19,U19,X19,AA19,AD19,AG19,AJ19)=8,O19*Guide!$E$5+R19*Guide!$E$6+U19*Guide!$E$7+X19*Guide!$E$8+AA19*Guide!$E$9+AD19*Guide!$E$10+AG19*Guide!$E$11+AJ19*Guide!$E$12,"")</x:f>
        <x:v>140</x:v>
      </x:c>
      <x:c r="H19" s="4" t="n">
        <x:f>IF(COUNT(G19,F19)=2,G19-F19,"")</x:f>
        <x:v>-78.25</x:v>
      </x:c>
      <x:c r="I19" s="4" t="n">
        <x:f>IF(AND(ISNUMBER(F19),K19&gt;0),F19/K19,"")</x:f>
        <x:v>2.6615853658536586</x:v>
      </x:c>
      <x:c r="J19" s="4" t="n">
        <x:f>IF(AND(ISNUMBER(G19),L19&gt;0),G19/L19,"")</x:f>
        <x:v>3.3333333333333335</x:v>
      </x:c>
      <x:c r="K19" s="10" t="n">
        <x:v>82</x:v>
      </x:c>
      <x:c r="L19" s="10" t="n">
        <x:v>42</x:v>
      </x:c>
      <x:c r="M19" s="10" t="n">
        <x:f>IF(COUNT(L19,K19)=2,L19-K19,"")</x:f>
        <x:v>-40</x:v>
      </x:c>
      <x:c r="N19" s="10" t="n">
        <x:v>20</x:v>
      </x:c>
      <x:c r="O19" s="10" t="n">
        <x:v>13</x:v>
      </x:c>
      <x:c r="P19" s="10" t="n">
        <x:f>IF(COUNT(O19,N19)=2,O19-N19,"")</x:f>
        <x:v>-7</x:v>
      </x:c>
      <x:c r="Q19" s="10" t="n">
        <x:v>21</x:v>
      </x:c>
      <x:c r="R19" s="10" t="n">
        <x:v>12</x:v>
      </x:c>
      <x:c r="S19" s="10" t="n">
        <x:f>IF(COUNT(R19,Q19)=2,R19-Q19,"")</x:f>
        <x:v>-9</x:v>
      </x:c>
      <x:c r="T19" s="10" t="n">
        <x:v>-10</x:v>
      </x:c>
      <x:c r="U19" s="10" t="n">
        <x:v>9</x:v>
      </x:c>
      <x:c r="V19" s="10" t="n">
        <x:f>IF(COUNT(U19,T19)=2,U19-T19,"")</x:f>
        <x:v>19</x:v>
      </x:c>
      <x:c r="W19" s="10" t="n">
        <x:v>7</x:v>
      </x:c>
      <x:c r="X19" s="10" t="n">
        <x:f>IF(COUNT(AV19,AW19)=2,AV19+AW19,"")</x:f>
        <x:v>3</x:v>
      </x:c>
      <x:c r="Y19" s="10" t="n">
        <x:f>IF(COUNT(X19,W19)=2,X19-W19,"")</x:f>
        <x:v>-4</x:v>
      </x:c>
      <x:c r="Z19" s="10" t="n">
        <x:v>0</x:v>
      </x:c>
      <x:c r="AA19" s="10" t="n">
        <x:f>IF(COUNT(AX19,AY19)=2,AX19+AY19,"")</x:f>
        <x:v>0</x:v>
      </x:c>
      <x:c r="AB19" s="10" t="n">
        <x:f>IF(COUNT(AA19,Z19)=2,AA19-Z19,"")</x:f>
        <x:v>0</x:v>
      </x:c>
      <x:c r="AC19" s="10" t="n">
        <x:v>122</x:v>
      </x:c>
      <x:c r="AD19" s="10" t="n">
        <x:v>61</x:v>
      </x:c>
      <x:c r="AE19" s="10" t="n">
        <x:f>IF(COUNT(AD19,AC19)=2,AD19-AC19,"")</x:f>
        <x:v>-61</x:v>
      </x:c>
      <x:c r="AF19" s="10" t="n">
        <x:v>80</x:v>
      </x:c>
      <x:c r="AG19" s="10" t="n">
        <x:v>48</x:v>
      </x:c>
      <x:c r="AH19" s="10" t="n">
        <x:f>IF(COUNT(AG19,AF19)=2,AG19-AF19,"")</x:f>
        <x:v>-32</x:v>
      </x:c>
      <x:c r="AI19" s="10" t="n">
        <x:v>37</x:v>
      </x:c>
      <x:c r="AJ19" s="10" t="n">
        <x:v>17</x:v>
      </x:c>
      <x:c r="AK19" s="10" t="n">
        <x:f>IF(COUNT(AJ19,AI19)=2,AJ19-AI19,"")</x:f>
        <x:v>-20</x:v>
      </x:c>
      <x:c r="AL19" s="10" t="n">
        <x:v>25</x:v>
      </x:c>
      <x:c r="AM19" s="10" t="n">
        <x:v>25</x:v>
      </x:c>
      <x:c r="AN19" s="4" t="str">
        <x:v>C</x:v>
      </x:c>
      <x:c r="AO19" s="4" t="str">
        <x:v>C</x:v>
      </x:c>
      <x:c r="AP19" s="4" t="str">
        <x:v>MTL</x:v>
      </x:c>
      <x:c r="AQ19" s="4" t="str">
        <x:v>MTL</x:v>
      </x:c>
      <x:c r="AR19" s="4" t="n">
        <x:v>15.519999999999998</x:v>
      </x:c>
      <x:c r="AS19" s="4" t="n">
        <x:v>14.483333333333333</x:v>
      </x:c>
      <x:c r="AT19" s="4" t="n">
        <x:v>1.86</x:v>
      </x:c>
      <x:c r="AU19" s="4" t="n">
        <x:v>21.3</x:v>
      </x:c>
      <x:c r="AV19" s="10" t="n">
        <x:v>2</x:v>
      </x:c>
      <x:c r="AW19" s="10" t="n">
        <x:v>1</x:v>
      </x:c>
      <x:c r="AX19" s="10" t="n">
        <x:v>0</x:v>
      </x:c>
      <x:c r="AY19" s="10" t="n">
        <x:v>0</x:v>
      </x:c>
      <x:c r="AZ19" s="10" t="n">
        <x:v>420</x:v>
      </x:c>
      <x:c r="BA19" s="10" t="n">
        <x:v>536</x:v>
      </x:c>
      <x:c r="BB19" s="4" t="n">
        <x:v>43.9</x:v>
      </x:c>
      <x:c r="BC19" s="4" t="n">
        <x:v>-5.1</x:v>
      </x:c>
      <x:c r="BD19" s="10" t="n">
        <x:v>309</x:v>
      </x:c>
      <x:c r="BE19" s="10" t="n">
        <x:v>393</x:v>
      </x:c>
      <x:c r="BF19" s="4" t="n">
        <x:v>44</x:v>
      </x:c>
      <x:c r="BG19" s="4" t="n">
        <x:v>-6.2</x:v>
      </x:c>
      <x:c r="BH19" s="4" t="n">
        <x:v>17.7</x:v>
      </x:c>
      <x:c r="BI19" s="4" t="n">
        <x:v>90.1</x:v>
      </x:c>
      <x:c r="BJ19" s="4" t="n">
        <x:v>107.8</x:v>
      </x:c>
      <x:c r="BK19" s="4" t="n">
        <x:v>58.4</x:v>
      </x:c>
      <x:c r="BL19" s="4" t="n">
        <x:v>41.6</x:v>
      </x:c>
      <x:c r="BM19" s="4" t="n">
        <x:v>14.483333333333333</x:v>
      </x:c>
      <x:c r="BN19" s="4" t="n">
        <x:v>12.516666666666667</x:v>
      </x:c>
      <x:c r="BO19" s="10" t="n">
        <x:v>2</x:v>
      </x:c>
      <x:c r="BP19" s="10" t="n">
        <x:v>13</x:v>
      </x:c>
      <x:c r="BQ19" s="4" t="n">
        <x:v>-4.9</x:v>
      </x:c>
      <x:c r="BR19" s="10" t="n">
        <x:v>113</x:v>
      </x:c>
      <x:c r="BS19" s="4" t="n">
        <x:v>54</x:v>
      </x:c>
      <x:c r="BT19" s="10" t="n">
        <x:v>42</x:v>
      </x:c>
      <x:c r="BU19" s="4" t="str">
        <x:v>MTL</x:v>
      </x:c>
      <x:c r="BV19" s="10" t="n">
        <x:v>238</x:v>
      </x:c>
      <x:c r="BW19" s="10" t="n">
        <x:v>400</x:v>
      </x:c>
      <x:c r="BX19" s="10" t="n">
        <x:v>737</x:v>
      </x:c>
      <x:c r="BY19" s="4" t="str">
        <x:v>Alex Newhook</x:v>
      </x:c>
      <x:c r="BZ19" s="4" t="str">
        <x:v>Alex Newhook</x:v>
      </x:c>
      <x:c r="CA19" s="4" t="str">
        <x:v>Alex Newhook</x:v>
      </x:c>
      <x:c r="CB19" s="4" t="str">
        <x:v>newhoal01</x:v>
      </x:c>
    </x:row>
    <x:row r="20" ht="22" customHeight="1">
      <x:c r="A20" s="4" t="str">
        <x:v>Alex Ovechkin</x:v>
      </x:c>
      <x:c r="B20" s="4" t="str">
        <x:v>alexovechkin</x:v>
      </x:c>
      <x:c r="C20" s="10" t="n">
        <x:v>1</x:v>
      </x:c>
      <x:c r="D20" s="10" t="n">
        <x:v>1</x:v>
      </x:c>
      <x:c r="E20" s="10" t="n">
        <x:v>1</x:v>
      </x:c>
      <x:c r="F20" s="4" t="n">
        <x:f>IF(COUNT(N20,Q20,T20,W20,Z20,AC20,AF20,AI20)=8,N20*Guide!$E$5+Q20*Guide!$E$6+T20*Guide!$E$7+W20*Guide!$E$8+Z20*Guide!$E$9+AC20*Guide!$E$10+AF20*Guide!$E$11+AI20*Guide!$E$12,"")</x:f>
        <x:v>350.25</x:v>
      </x:c>
      <x:c r="G20" s="4" t="n">
        <x:f>IF(COUNT(O20,R20,U20,X20,AA20,AD20,AG20,AJ20)=8,O20*Guide!$E$5+R20*Guide!$E$6+U20*Guide!$E$7+X20*Guide!$E$8+AA20*Guide!$E$9+AD20*Guide!$E$10+AG20*Guide!$E$11+AJ20*Guide!$E$12,"")</x:f>
        <x:v>344.5</x:v>
      </x:c>
      <x:c r="H20" s="4" t="n">
        <x:f>IF(COUNT(G20,F20)=2,G20-F20,"")</x:f>
        <x:v>-5.75</x:v>
      </x:c>
      <x:c r="I20" s="4" t="n">
        <x:f>IF(AND(ISNUMBER(F20),K20&gt;0),F20/K20,"")</x:f>
        <x:v>4.864583333333333</x:v>
      </x:c>
      <x:c r="J20" s="4" t="n">
        <x:f>IF(AND(ISNUMBER(G20),L20&gt;0),G20/L20,"")</x:f>
        <x:v>4.201219512195122</x:v>
      </x:c>
      <x:c r="K20" s="10" t="n">
        <x:v>72</x:v>
      </x:c>
      <x:c r="L20" s="10" t="n">
        <x:v>82</x:v>
      </x:c>
      <x:c r="M20" s="10" t="n">
        <x:f>IF(COUNT(L20,K20)=2,L20-K20,"")</x:f>
        <x:v>10</x:v>
      </x:c>
      <x:c r="N20" s="10" t="n">
        <x:v>35</x:v>
      </x:c>
      <x:c r="O20" s="10" t="n">
        <x:v>32</x:v>
      </x:c>
      <x:c r="P20" s="10" t="n">
        <x:f>IF(COUNT(O20,N20)=2,O20-N20,"")</x:f>
        <x:v>-3</x:v>
      </x:c>
      <x:c r="Q20" s="10" t="n">
        <x:v>29</x:v>
      </x:c>
      <x:c r="R20" s="10" t="n">
        <x:v>32</x:v>
      </x:c>
      <x:c r="S20" s="10" t="n">
        <x:f>IF(COUNT(R20,Q20)=2,R20-Q20,"")</x:f>
        <x:v>3</x:v>
      </x:c>
      <x:c r="T20" s="10" t="n">
        <x:v>-3</x:v>
      </x:c>
      <x:c r="U20" s="10" t="n">
        <x:v>-5</x:v>
      </x:c>
      <x:c r="V20" s="10" t="n">
        <x:f>IF(COUNT(U20,T20)=2,U20-T20,"")</x:f>
        <x:v>-2</x:v>
      </x:c>
      <x:c r="W20" s="10" t="n">
        <x:v>22</x:v>
      </x:c>
      <x:c r="X20" s="10" t="n">
        <x:f>IF(COUNT(AV20,AW20)=2,AV20+AW20,"")</x:f>
        <x:v>19</x:v>
      </x:c>
      <x:c r="Y20" s="10" t="n">
        <x:f>IF(COUNT(X20,W20)=2,X20-W20,"")</x:f>
        <x:v>-3</x:v>
      </x:c>
      <x:c r="Z20" s="10" t="n">
        <x:v>0</x:v>
      </x:c>
      <x:c r="AA20" s="10" t="n">
        <x:f>IF(COUNT(AX20,AY20)=2,AX20+AY20,"")</x:f>
        <x:v>0</x:v>
      </x:c>
      <x:c r="AB20" s="10" t="n">
        <x:f>IF(COUNT(AA20,Z20)=2,AA20-Z20,"")</x:f>
        <x:v>0</x:v>
      </x:c>
      <x:c r="AC20" s="10" t="n">
        <x:v>231</x:v>
      </x:c>
      <x:c r="AD20" s="10" t="n">
        <x:v>244</x:v>
      </x:c>
      <x:c r="AE20" s="10" t="n">
        <x:f>IF(COUNT(AD20,AC20)=2,AD20-AC20,"")</x:f>
        <x:v>13</x:v>
      </x:c>
      <x:c r="AF20" s="10" t="n">
        <x:v>129</x:v>
      </x:c>
      <x:c r="AG20" s="10" t="n">
        <x:v>134</x:v>
      </x:c>
      <x:c r="AH20" s="10" t="n">
        <x:f>IF(COUNT(AG20,AF20)=2,AG20-AF20,"")</x:f>
        <x:v>5</x:v>
      </x:c>
      <x:c r="AI20" s="10" t="n">
        <x:v>19</x:v>
      </x:c>
      <x:c r="AJ20" s="10" t="n">
        <x:v>16</x:v>
      </x:c>
      <x:c r="AK20" s="10" t="n">
        <x:f>IF(COUNT(AJ20,AI20)=2,AJ20-AI20,"")</x:f>
        <x:v>-3</x:v>
      </x:c>
      <x:c r="AL20" s="10" t="n">
        <x:v>40</x:v>
      </x:c>
      <x:c r="AM20" s="10" t="n">
        <x:v>40</x:v>
      </x:c>
      <x:c r="AN20" s="4" t="str">
        <x:v>LW,RW</x:v>
      </x:c>
      <x:c r="AO20" s="4" t="str">
        <x:v>LW</x:v>
      </x:c>
      <x:c r="AP20" s="4" t="str">
        <x:v>WSH</x:v>
      </x:c>
      <x:c r="AQ20" s="4" t="str">
        <x:v>WSH</x:v>
      </x:c>
      <x:c r="AR20" s="4" t="n">
        <x:v>17.490000000000002</x:v>
      </x:c>
      <x:c r="AS20" s="4" t="n">
        <x:v>17.45</x:v>
      </x:c>
      <x:c r="AT20" s="4" t="n">
        <x:v>3.88</x:v>
      </x:c>
      <x:c r="AU20" s="4" t="n">
        <x:v>13.1</x:v>
      </x:c>
      <x:c r="AV20" s="10" t="n">
        <x:v>5</x:v>
      </x:c>
      <x:c r="AW20" s="10" t="n">
        <x:v>14</x:v>
      </x:c>
      <x:c r="AX20" s="10" t="n">
        <x:v>0</x:v>
      </x:c>
      <x:c r="AY20" s="10" t="n">
        <x:v>0</x:v>
      </x:c>
      <x:c r="AZ20" s="10" t="n">
        <x:v>1140</x:v>
      </x:c>
      <x:c r="BA20" s="10" t="n">
        <x:v>1074</x:v>
      </x:c>
      <x:c r="BB20" s="4" t="n">
        <x:v>51.5</x:v>
      </x:c>
      <x:c r="BC20" s="4" t="n">
        <x:v>2.6</x:v>
      </x:c>
      <x:c r="BD20" s="10" t="n">
        <x:v>816</x:v>
      </x:c>
      <x:c r="BE20" s="10" t="n">
        <x:v>795</x:v>
      </x:c>
      <x:c r="BF20" s="4" t="n">
        <x:v>50.7</x:v>
      </x:c>
      <x:c r="BG20" s="4" t="n">
        <x:v>0.2</x:v>
      </x:c>
      <x:c r="BH20" s="4" t="n">
        <x:v>12.5</x:v>
      </x:c>
      <x:c r="BI20" s="4" t="n">
        <x:v>89.1</x:v>
      </x:c>
      <x:c r="BJ20" s="4" t="n">
        <x:v>101.6</x:v>
      </x:c>
      <x:c r="BK20" s="4" t="n">
        <x:v>85.7</x:v>
      </x:c>
      <x:c r="BL20" s="4" t="n">
        <x:v>14.3</x:v>
      </x:c>
      <x:c r="BM20" s="4" t="n">
        <x:v>17.45</x:v>
      </x:c>
      <x:c r="BN20" s="4" t="n">
        <x:v>12.933333333333334</x:v>
      </x:c>
      <x:c r="BO20" s="10" t="n">
        <x:v>9</x:v>
      </x:c>
      <x:c r="BP20" s="10" t="n">
        <x:v>62</x:v>
      </x:c>
      <x:c r="BQ20" s="4" t="n">
        <x:v>3.5</x:v>
      </x:c>
      <x:c r="BR20" s="10" t="n">
        <x:v>542</x:v>
      </x:c>
      <x:c r="BS20" s="4" t="n">
        <x:v>45</x:v>
      </x:c>
      <x:c r="BT20" s="10" t="n">
        <x:v>82</x:v>
      </x:c>
      <x:c r="BU20" s="4" t="str">
        <x:v>WSH</x:v>
      </x:c>
      <x:c r="BV20" s="10" t="n">
        <x:v>69</x:v>
      </x:c>
      <x:c r="BW20" s="10" t="n">
        <x:v>78</x:v>
      </x:c>
      <x:c r="BX20" s="10" t="n">
        <x:v>772</x:v>
      </x:c>
      <x:c r="BY20" s="4" t="str">
        <x:v>Alex Ovechkin</x:v>
      </x:c>
      <x:c r="BZ20" s="4" t="str">
        <x:v>Alex Ovechkin</x:v>
      </x:c>
      <x:c r="CA20" s="4" t="str">
        <x:v>Alex Ovechkin</x:v>
      </x:c>
      <x:c r="CB20" s="4" t="str">
        <x:v>ovechal01</x:v>
      </x:c>
    </x:row>
    <x:row r="21" ht="22" customHeight="1">
      <x:c r="A21" s="4" t="str">
        <x:v>Alex Tuch</x:v>
      </x:c>
      <x:c r="B21" s="4" t="str">
        <x:v>alextuch</x:v>
      </x:c>
      <x:c r="C21" s="10" t="n">
        <x:v>1</x:v>
      </x:c>
      <x:c r="D21" s="10" t="n">
        <x:v>1</x:v>
      </x:c>
      <x:c r="E21" s="10" t="n">
        <x:v>1</x:v>
      </x:c>
      <x:c r="F21" s="4" t="n">
        <x:f>IF(COUNT(N21,Q21,T21,W21,Z21,AC21,AF21,AI21)=8,N21*Guide!$E$5+Q21*Guide!$E$6+T21*Guide!$E$7+W21*Guide!$E$8+Z21*Guide!$E$9+AC21*Guide!$E$10+AF21*Guide!$E$11+AI21*Guide!$E$12,"")</x:f>
        <x:v>390</x:v>
      </x:c>
      <x:c r="G21" s="4" t="n">
        <x:f>IF(COUNT(O21,R21,U21,X21,AA21,AD21,AG21,AJ21)=8,O21*Guide!$E$5+R21*Guide!$E$6+U21*Guide!$E$7+X21*Guide!$E$8+AA21*Guide!$E$9+AD21*Guide!$E$10+AG21*Guide!$E$11+AJ21*Guide!$E$12,"")</x:f>
        <x:v>415.75</x:v>
      </x:c>
      <x:c r="H21" s="4" t="n">
        <x:f>IF(COUNT(G21,F21)=2,G21-F21,"")</x:f>
        <x:v>25.75</x:v>
      </x:c>
      <x:c r="I21" s="4" t="n">
        <x:f>IF(AND(ISNUMBER(F21),K21&gt;0),F21/K21,"")</x:f>
        <x:v>4.814814814814815</x:v>
      </x:c>
      <x:c r="J21" s="4" t="n">
        <x:f>IF(AND(ISNUMBER(G21),L21&gt;0),G21/L21,"")</x:f>
        <x:v>5.262658227848101</x:v>
      </x:c>
      <x:c r="K21" s="10" t="n">
        <x:v>81</x:v>
      </x:c>
      <x:c r="L21" s="10" t="n">
        <x:v>79</x:v>
      </x:c>
      <x:c r="M21" s="10" t="n">
        <x:f>IF(COUNT(L21,K21)=2,L21-K21,"")</x:f>
        <x:v>-2</x:v>
      </x:c>
      <x:c r="N21" s="10" t="n">
        <x:v>32</x:v>
      </x:c>
      <x:c r="O21" s="10" t="n">
        <x:v>33</x:v>
      </x:c>
      <x:c r="P21" s="10" t="n">
        <x:f>IF(COUNT(O21,N21)=2,O21-N21,"")</x:f>
        <x:v>1</x:v>
      </x:c>
      <x:c r="Q21" s="10" t="n">
        <x:v>34</x:v>
      </x:c>
      <x:c r="R21" s="10" t="n">
        <x:v>33</x:v>
      </x:c>
      <x:c r="S21" s="10" t="n">
        <x:f>IF(COUNT(R21,Q21)=2,R21-Q21,"")</x:f>
        <x:v>-1</x:v>
      </x:c>
      <x:c r="T21" s="10" t="n">
        <x:v>3</x:v>
      </x:c>
      <x:c r="U21" s="10" t="n">
        <x:v>24</x:v>
      </x:c>
      <x:c r="V21" s="10" t="n">
        <x:f>IF(COUNT(U21,T21)=2,U21-T21,"")</x:f>
        <x:v>21</x:v>
      </x:c>
      <x:c r="W21" s="10" t="n">
        <x:v>13</x:v>
      </x:c>
      <x:c r="X21" s="10" t="n">
        <x:f>IF(COUNT(AV21,AW21)=2,AV21+AW21,"")</x:f>
        <x:v>9</x:v>
      </x:c>
      <x:c r="Y21" s="10" t="n">
        <x:f>IF(COUNT(X21,W21)=2,X21-W21,"")</x:f>
        <x:v>-4</x:v>
      </x:c>
      <x:c r="Z21" s="10" t="n">
        <x:v>3</x:v>
      </x:c>
      <x:c r="AA21" s="10" t="n">
        <x:f>IF(COUNT(AX21,AY21)=2,AX21+AY21,"")</x:f>
        <x:v>5</x:v>
      </x:c>
      <x:c r="AB21" s="10" t="n">
        <x:f>IF(COUNT(AA21,Z21)=2,AA21-Z21,"")</x:f>
        <x:v>2</x:v>
      </x:c>
      <x:c r="AC21" s="10" t="n">
        <x:v>192</x:v>
      </x:c>
      <x:c r="AD21" s="10" t="n">
        <x:v>195</x:v>
      </x:c>
      <x:c r="AE21" s="10" t="n">
        <x:f>IF(COUNT(AD21,AC21)=2,AD21-AC21,"")</x:f>
        <x:v>3</x:v>
      </x:c>
      <x:c r="AF21" s="10" t="n">
        <x:v>69</x:v>
      </x:c>
      <x:c r="AG21" s="10" t="n">
        <x:v>82</x:v>
      </x:c>
      <x:c r="AH21" s="10" t="n">
        <x:f>IF(COUNT(AG21,AF21)=2,AG21-AF21,"")</x:f>
        <x:v>13</x:v>
      </x:c>
      <x:c r="AI21" s="10" t="n">
        <x:v>93</x:v>
      </x:c>
      <x:c r="AJ21" s="10" t="n">
        <x:v>90</x:v>
      </x:c>
      <x:c r="AK21" s="10" t="n">
        <x:f>IF(COUNT(AJ21,AI21)=2,AJ21-AI21,"")</x:f>
        <x:v>-3</x:v>
      </x:c>
      <x:c r="AL21" s="10" t="n">
        <x:v>29</x:v>
      </x:c>
      <x:c r="AM21" s="10" t="n">
        <x:v>29</x:v>
      </x:c>
      <x:c r="AN21" s="4" t="str">
        <x:v>RW</x:v>
      </x:c>
      <x:c r="AO21" s="4" t="str">
        <x:v>RW</x:v>
      </x:c>
      <x:c r="AP21" s="4" t="str">
        <x:v>BUF</x:v>
      </x:c>
      <x:c r="AQ21" s="4" t="str">
        <x:v>BUF</x:v>
      </x:c>
      <x:c r="AR21" s="4" t="n">
        <x:v>18.92</x:v>
      </x:c>
      <x:c r="AS21" s="4" t="n">
        <x:v>19</x:v>
      </x:c>
      <x:c r="AT21" s="4" t="n">
        <x:v>2.28</x:v>
      </x:c>
      <x:c r="AU21" s="4" t="n">
        <x:v>16.9</x:v>
      </x:c>
      <x:c r="AV21" s="10" t="n">
        <x:v>7</x:v>
      </x:c>
      <x:c r="AW21" s="10" t="n">
        <x:v>2</x:v>
      </x:c>
      <x:c r="AX21" s="10" t="n">
        <x:v>3</x:v>
      </x:c>
      <x:c r="AY21" s="10" t="n">
        <x:v>2</x:v>
      </x:c>
      <x:c r="AZ21" s="10" t="n">
        <x:v>1235</x:v>
      </x:c>
      <x:c r="BA21" s="10" t="n">
        <x:v>1209</x:v>
      </x:c>
      <x:c r="BB21" s="4" t="n">
        <x:v>50.5</x:v>
      </x:c>
      <x:c r="BC21" s="4" t="n">
        <x:v>2</x:v>
      </x:c>
      <x:c r="BD21" s="10" t="n">
        <x:v>928</x:v>
      </x:c>
      <x:c r="BE21" s="10" t="n">
        <x:v>885</x:v>
      </x:c>
      <x:c r="BF21" s="4" t="n">
        <x:v>51.2</x:v>
      </x:c>
      <x:c r="BG21" s="4" t="n">
        <x:v>2.3</x:v>
      </x:c>
      <x:c r="BH21" s="4" t="n">
        <x:v>13.7</x:v>
      </x:c>
      <x:c r="BI21" s="4" t="n">
        <x:v>89.4</x:v>
      </x:c>
      <x:c r="BJ21" s="4" t="n">
        <x:v>103.2</x:v>
      </x:c>
      <x:c r="BK21" s="4" t="n">
        <x:v>53.6</x:v>
      </x:c>
      <x:c r="BL21" s="4" t="n">
        <x:v>46.4</x:v>
      </x:c>
      <x:c r="BM21" s="4" t="n">
        <x:v>0.7916666666666666</x:v>
      </x:c>
      <x:c r="BN21" s="4" t="n">
        <x:v>14.883333333333333</x:v>
      </x:c>
      <x:c r="BO21" s="10" t="n">
        <x:v>39</x:v>
      </x:c>
      <x:c r="BP21" s="10" t="n">
        <x:v>60</x:v>
      </x:c>
      <x:c r="BQ21" s="4" t="n">
        <x:v>-1.8</x:v>
      </x:c>
      <x:c r="BR21" s="10" t="n">
        <x:v>376</x:v>
      </x:c>
      <x:c r="BS21" s="4" t="n">
        <x:v>51.9</x:v>
      </x:c>
      <x:c r="BT21" s="10" t="n">
        <x:v>79</x:v>
      </x:c>
      <x:c r="BU21" s="4" t="str">
        <x:v>BUF</x:v>
      </x:c>
      <x:c r="BV21" s="10" t="n">
        <x:v>61</x:v>
      </x:c>
      <x:c r="BW21" s="10" t="n">
        <x:v>72</x:v>
      </x:c>
      <x:c r="BX21" s="10" t="n">
        <x:v>1035</x:v>
      </x:c>
      <x:c r="BY21" s="4" t="str">
        <x:v>Alex Tuch</x:v>
      </x:c>
      <x:c r="BZ21" s="4" t="str">
        <x:v>Alex Tuch</x:v>
      </x:c>
      <x:c r="CA21" s="4" t="str">
        <x:v>Alex Tuch</x:v>
      </x:c>
      <x:c r="CB21" s="4" t="str">
        <x:v>tuchal01</x:v>
      </x:c>
    </x:row>
    <x:row r="22" ht="22" customHeight="1">
      <x:c r="A22" s="4" t="str">
        <x:v>Alex Vlasic</x:v>
      </x:c>
      <x:c r="B22" s="4" t="str">
        <x:v>alexvlasic</x:v>
      </x:c>
      <x:c r="C22" s="10" t="n">
        <x:v>1</x:v>
      </x:c>
      <x:c r="D22" s="10" t="n">
        <x:v>1</x:v>
      </x:c>
      <x:c r="E22" s="10" t="n">
        <x:v>1</x:v>
      </x:c>
      <x:c r="F22" s="4" t="n">
        <x:f>IF(COUNT(N22,Q22,T22,W22,Z22,AC22,AF22,AI22)=8,N22*Guide!$E$5+Q22*Guide!$E$6+T22*Guide!$E$7+W22*Guide!$E$8+Z22*Guide!$E$9+AC22*Guide!$E$10+AF22*Guide!$E$11+AI22*Guide!$E$12,"")</x:f>
        <x:v>231.75</x:v>
      </x:c>
      <x:c r="G22" s="4" t="n">
        <x:f>IF(COUNT(O22,R22,U22,X22,AA22,AD22,AG22,AJ22)=8,O22*Guide!$E$5+R22*Guide!$E$6+U22*Guide!$E$7+X22*Guide!$E$8+AA22*Guide!$E$9+AD22*Guide!$E$10+AG22*Guide!$E$11+AJ22*Guide!$E$12,"")</x:f>
        <x:v>170</x:v>
      </x:c>
      <x:c r="H22" s="4" t="n">
        <x:f>IF(COUNT(G22,F22)=2,G22-F22,"")</x:f>
        <x:v>-61.75</x:v>
      </x:c>
      <x:c r="I22" s="4" t="n">
        <x:f>IF(AND(ISNUMBER(F22),K22&gt;0),F22/K22,"")</x:f>
        <x:v>2.861111111111111</x:v>
      </x:c>
      <x:c r="J22" s="4" t="n">
        <x:f>IF(AND(ISNUMBER(G22),L22&gt;0),G22/L22,"")</x:f>
        <x:v>2.0987654320987654</x:v>
      </x:c>
      <x:c r="K22" s="10" t="n">
        <x:v>81</x:v>
      </x:c>
      <x:c r="L22" s="10" t="n">
        <x:v>81</x:v>
      </x:c>
      <x:c r="M22" s="10" t="n">
        <x:f>IF(COUNT(L22,K22)=2,L22-K22,"")</x:f>
        <x:v>0</x:v>
      </x:c>
      <x:c r="N22" s="10" t="n">
        <x:v>4</x:v>
      </x:c>
      <x:c r="O22" s="10" t="n">
        <x:v>2</x:v>
      </x:c>
      <x:c r="P22" s="10" t="n">
        <x:f>IF(COUNT(O22,N22)=2,O22-N22,"")</x:f>
        <x:v>-2</x:v>
      </x:c>
      <x:c r="Q22" s="10" t="n">
        <x:v>23</x:v>
      </x:c>
      <x:c r="R22" s="10" t="n">
        <x:v>19</x:v>
      </x:c>
      <x:c r="S22" s="10" t="n">
        <x:f>IF(COUNT(R22,Q22)=2,R22-Q22,"")</x:f>
        <x:v>-4</x:v>
      </x:c>
      <x:c r="T22" s="10" t="n">
        <x:v>-15</x:v>
      </x:c>
      <x:c r="U22" s="10" t="n">
        <x:v>-16</x:v>
      </x:c>
      <x:c r="V22" s="10" t="n">
        <x:f>IF(COUNT(U22,T22)=2,U22-T22,"")</x:f>
        <x:v>-1</x:v>
      </x:c>
      <x:c r="W22" s="10" t="n">
        <x:v>8</x:v>
      </x:c>
      <x:c r="X22" s="10" t="n">
        <x:f>IF(COUNT(AV22,AW22)=2,AV22+AW22,"")</x:f>
        <x:v>0</x:v>
      </x:c>
      <x:c r="Y22" s="10" t="n">
        <x:f>IF(COUNT(X22,W22)=2,X22-W22,"")</x:f>
        <x:v>-8</x:v>
      </x:c>
      <x:c r="Z22" s="10" t="n">
        <x:v>1</x:v>
      </x:c>
      <x:c r="AA22" s="10" t="n">
        <x:f>IF(COUNT(AX22,AY22)=2,AX22+AY22,"")</x:f>
        <x:v>1</x:v>
      </x:c>
      <x:c r="AB22" s="10" t="n">
        <x:f>IF(COUNT(AA22,Z22)=2,AA22-Z22,"")</x:f>
        <x:v>0</x:v>
      </x:c>
      <x:c r="AC22" s="10" t="n">
        <x:v>95</x:v>
      </x:c>
      <x:c r="AD22" s="10" t="n">
        <x:v>86</x:v>
      </x:c>
      <x:c r="AE22" s="10" t="n">
        <x:f>IF(COUNT(AD22,AC22)=2,AD22-AC22,"")</x:f>
        <x:v>-9</x:v>
      </x:c>
      <x:c r="AF22" s="10" t="n">
        <x:v>55</x:v>
      </x:c>
      <x:c r="AG22" s="10" t="n">
        <x:v>29</x:v>
      </x:c>
      <x:c r="AH22" s="10" t="n">
        <x:f>IF(COUNT(AG22,AF22)=2,AG22-AF22,"")</x:f>
        <x:v>-26</x:v>
      </x:c>
      <x:c r="AI22" s="10" t="n">
        <x:v>151</x:v>
      </x:c>
      <x:c r="AJ22" s="10" t="n">
        <x:v>119</x:v>
      </x:c>
      <x:c r="AK22" s="10" t="n">
        <x:f>IF(COUNT(AJ22,AI22)=2,AJ22-AI22,"")</x:f>
        <x:v>-32</x:v>
      </x:c>
      <x:c r="AL22" s="10" t="n">
        <x:v>24</x:v>
      </x:c>
      <x:c r="AM22" s="10" t="n">
        <x:v>24</x:v>
      </x:c>
      <x:c r="AN22" s="4" t="str">
        <x:v>D</x:v>
      </x:c>
      <x:c r="AO22" s="4" t="str">
        <x:v>D</x:v>
      </x:c>
      <x:c r="AP22" s="4" t="str">
        <x:v>CHI</x:v>
      </x:c>
      <x:c r="AQ22" s="4" t="str">
        <x:v>CHI</x:v>
      </x:c>
      <x:c r="AR22" s="4" t="n">
        <x:v>22.950000000000003</x:v>
      </x:c>
      <x:c r="AS22" s="4" t="n">
        <x:v>21.133333333333333</x:v>
      </x:c>
      <x:c r="AT22" s="4" t="n">
        <x:v>1.3</x:v>
      </x:c>
      <x:c r="AU22" s="4" t="n">
        <x:v>2.3</x:v>
      </x:c>
      <x:c r="AV22" s="10" t="n">
        <x:v>0</x:v>
      </x:c>
      <x:c r="AW22" s="10" t="n">
        <x:v>0</x:v>
      </x:c>
      <x:c r="AX22" s="10" t="n">
        <x:v>0</x:v>
      </x:c>
      <x:c r="AY22" s="10" t="n">
        <x:v>1</x:v>
      </x:c>
      <x:c r="AZ22" s="10" t="n">
        <x:v>1244</x:v>
      </x:c>
      <x:c r="BA22" s="10" t="n">
        <x:v>1542</x:v>
      </x:c>
      <x:c r="BB22" s="4" t="n">
        <x:v>44.7</x:v>
      </x:c>
      <x:c r="BC22" s="4" t="n">
        <x:v>-1.9</x:v>
      </x:c>
      <x:c r="BD22" s="10" t="n">
        <x:v>902</x:v>
      </x:c>
      <x:c r="BE22" s="10" t="n">
        <x:v>1161</x:v>
      </x:c>
      <x:c r="BF22" s="4" t="n">
        <x:v>43.7</x:v>
      </x:c>
      <x:c r="BG22" s="4" t="n">
        <x:v>-2.6</x:v>
      </x:c>
      <x:c r="BH22" s="4" t="n">
        <x:v>9.8</x:v>
      </x:c>
      <x:c r="BI22" s="4" t="n">
        <x:v>90.1</x:v>
      </x:c>
      <x:c r="BJ22" s="4" t="n">
        <x:v>99.8</x:v>
      </x:c>
      <x:c r="BK22" s="4" t="n">
        <x:v>35</x:v>
      </x:c>
      <x:c r="BL22" s="4" t="n">
        <x:v>65</x:v>
      </x:c>
      <x:c r="BM22" s="4" t="n">
        <x:v>21.133333333333333</x:v>
      </x:c>
      <x:c r="BN22" s="4" t="n">
        <x:v>18.216666666666665</x:v>
      </x:c>
      <x:c r="BO22" s="10" t="n">
        <x:v>28</x:v>
      </x:c>
      <x:c r="BP22" s="10" t="n">
        <x:v>92</x:v>
      </x:c>
      <x:c r="BQ22" s="4" t="n">
        <x:v>-29.9</x:v>
      </x:c>
      <x:c r="BR22" s="10" t="n">
        <x:v>213</x:v>
      </x:c>
      <x:c r="BS22" s="4" t="n">
        <x:v>40.4</x:v>
      </x:c>
      <x:c r="BT22" s="10" t="n">
        <x:v>81</x:v>
      </x:c>
      <x:c r="BU22" s="4" t="str">
        <x:v>CHI</x:v>
      </x:c>
      <x:c r="BV22" s="10" t="n">
        <x:v>406</x:v>
      </x:c>
      <x:c r="BW22" s="10" t="n">
        <x:v>453</x:v>
      </x:c>
      <x:c r="BX22" s="10" t="n">
        <x:v>1057</x:v>
      </x:c>
      <x:c r="BY22" s="4" t="str">
        <x:v>Alex Vlasic</x:v>
      </x:c>
      <x:c r="BZ22" s="4" t="str">
        <x:v>Alex Vlasic</x:v>
      </x:c>
      <x:c r="CA22" s="4" t="str">
        <x:v>Alex Vlasic</x:v>
      </x:c>
      <x:c r="CB22" s="4" t="str">
        <x:v>vlasial01</x:v>
      </x:c>
    </x:row>
    <x:row r="23" ht="22" customHeight="1">
      <x:c r="A23" s="4" t="str">
        <x:v>Alexander Nikishin</x:v>
      </x:c>
      <x:c r="B23" s="4" t="str">
        <x:v>alexandernikishin</x:v>
      </x:c>
      <x:c r="C23" s="10" t="n">
        <x:v>1</x:v>
      </x:c>
      <x:c r="D23" s="10" t="n">
        <x:v>1</x:v>
      </x:c>
      <x:c r="E23" s="10" t="n">
        <x:v>1</x:v>
      </x:c>
      <x:c r="F23" s="4" t="n">
        <x:f>IF(COUNT(N23,Q23,T23,W23,Z23,AC23,AF23,AI23)=8,N23*Guide!$E$5+Q23*Guide!$E$6+T23*Guide!$E$7+W23*Guide!$E$8+Z23*Guide!$E$9+AC23*Guide!$E$10+AF23*Guide!$E$11+AI23*Guide!$E$12,"")</x:f>
        <x:v>359.25</x:v>
      </x:c>
      <x:c r="G23" s="4" t="n">
        <x:f>IF(COUNT(O23,R23,U23,X23,AA23,AD23,AG23,AJ23)=8,O23*Guide!$E$5+R23*Guide!$E$6+U23*Guide!$E$7+X23*Guide!$E$8+AA23*Guide!$E$9+AD23*Guide!$E$10+AG23*Guide!$E$11+AJ23*Guide!$E$12,"")</x:f>
        <x:v>275</x:v>
      </x:c>
      <x:c r="H23" s="4" t="n">
        <x:f>IF(COUNT(G23,F23)=2,G23-F23,"")</x:f>
        <x:v>-84.25</x:v>
      </x:c>
      <x:c r="I23" s="4" t="n">
        <x:f>IF(AND(ISNUMBER(F23),K23&gt;0),F23/K23,"")</x:f>
        <x:v>4.605769230769231</x:v>
      </x:c>
      <x:c r="J23" s="4" t="n">
        <x:f>IF(AND(ISNUMBER(G23),L23&gt;0),G23/L23,"")</x:f>
        <x:v>3.3950617283950617</x:v>
      </x:c>
      <x:c r="K23" s="10" t="n">
        <x:v>78</x:v>
      </x:c>
      <x:c r="L23" s="10" t="n">
        <x:v>81</x:v>
      </x:c>
      <x:c r="M23" s="10" t="n">
        <x:f>IF(COUNT(L23,K23)=2,L23-K23,"")</x:f>
        <x:v>3</x:v>
      </x:c>
      <x:c r="N23" s="10" t="n">
        <x:v>10</x:v>
      </x:c>
      <x:c r="O23" s="10" t="n">
        <x:v>11</x:v>
      </x:c>
      <x:c r="P23" s="10" t="n">
        <x:f>IF(COUNT(O23,N23)=2,O23-N23,"")</x:f>
        <x:v>1</x:v>
      </x:c>
      <x:c r="Q23" s="10" t="n">
        <x:v>31</x:v>
      </x:c>
      <x:c r="R23" s="10" t="n">
        <x:v>22</x:v>
      </x:c>
      <x:c r="S23" s="10" t="n">
        <x:f>IF(COUNT(R23,Q23)=2,R23-Q23,"")</x:f>
        <x:v>-9</x:v>
      </x:c>
      <x:c r="T23" s="10" t="n">
        <x:v>6</x:v>
      </x:c>
      <x:c r="U23" s="10" t="n">
        <x:v>18</x:v>
      </x:c>
      <x:c r="V23" s="10" t="n">
        <x:f>IF(COUNT(U23,T23)=2,U23-T23,"")</x:f>
        <x:v>12</x:v>
      </x:c>
      <x:c r="W23" s="10" t="n">
        <x:v>13</x:v>
      </x:c>
      <x:c r="X23" s="10" t="n">
        <x:f>IF(COUNT(AV23,AW23)=2,AV23+AW23,"")</x:f>
        <x:v>10</x:v>
      </x:c>
      <x:c r="Y23" s="10" t="n">
        <x:f>IF(COUNT(X23,W23)=2,X23-W23,"")</x:f>
        <x:v>-3</x:v>
      </x:c>
      <x:c r="Z23" s="10" t="n">
        <x:v>1</x:v>
      </x:c>
      <x:c r="AA23" s="10" t="n">
        <x:f>IF(COUNT(AX23,AY23)=2,AX23+AY23,"")</x:f>
        <x:v>1</x:v>
      </x:c>
      <x:c r="AB23" s="10" t="n">
        <x:f>IF(COUNT(AA23,Z23)=2,AA23-Z23,"")</x:f>
        <x:v>0</x:v>
      </x:c>
      <x:c r="AC23" s="10" t="n">
        <x:v>163</x:v>
      </x:c>
      <x:c r="AD23" s="10" t="n">
        <x:v>122</x:v>
      </x:c>
      <x:c r="AE23" s="10" t="n">
        <x:f>IF(COUNT(AD23,AC23)=2,AD23-AC23,"")</x:f>
        <x:v>-41</x:v>
      </x:c>
      <x:c r="AF23" s="10" t="n">
        <x:v>180</x:v>
      </x:c>
      <x:c r="AG23" s="10" t="n">
        <x:v>132</x:v>
      </x:c>
      <x:c r="AH23" s="10" t="n">
        <x:f>IF(COUNT(AG23,AF23)=2,AG23-AF23,"")</x:f>
        <x:v>-48</x:v>
      </x:c>
      <x:c r="AI23" s="10" t="n">
        <x:v>158</x:v>
      </x:c>
      <x:c r="AJ23" s="10" t="n">
        <x:v>94</x:v>
      </x:c>
      <x:c r="AK23" s="10" t="n">
        <x:f>IF(COUNT(AJ23,AI23)=2,AJ23-AI23,"")</x:f>
        <x:v>-64</x:v>
      </x:c>
      <x:c r="AL23" s="10" t="n">
        <x:v>24</x:v>
      </x:c>
      <x:c r="AM23" s="10" t="n">
        <x:v>24</x:v>
      </x:c>
      <x:c r="AN23" s="4" t="str">
        <x:v>D</x:v>
      </x:c>
      <x:c r="AO23" s="4" t="str">
        <x:v>D</x:v>
      </x:c>
      <x:c r="AP23" s="4" t="str">
        <x:v>CAR</x:v>
      </x:c>
      <x:c r="AQ23" s="4" t="str">
        <x:v>CAR</x:v>
      </x:c>
      <x:c r="AR23" s="4" t="n">
        <x:v>22.25</x:v>
      </x:c>
      <x:c r="AS23" s="4" t="n">
        <x:v>18.183333333333334</x:v>
      </x:c>
      <x:c r="AT23" s="4" t="n">
        <x:v>2</x:v>
      </x:c>
      <x:c r="AU23" s="4" t="n">
        <x:v>9</x:v>
      </x:c>
      <x:c r="AV23" s="10" t="n">
        <x:v>4</x:v>
      </x:c>
      <x:c r="AW23" s="10" t="n">
        <x:v>6</x:v>
      </x:c>
      <x:c r="AX23" s="10" t="n">
        <x:v>1</x:v>
      </x:c>
      <x:c r="AY23" s="10" t="n">
        <x:v>0</x:v>
      </x:c>
      <x:c r="AZ23" s="10" t="n">
        <x:v>1456</x:v>
      </x:c>
      <x:c r="BA23" s="10" t="n">
        <x:v>1040</x:v>
      </x:c>
      <x:c r="BB23" s="4" t="n">
        <x:v>58.3</x:v>
      </x:c>
      <x:c r="BC23" s="4" t="n">
        <x:v>-1.8</x:v>
      </x:c>
      <x:c r="BD23" s="10" t="n">
        <x:v>1010</x:v>
      </x:c>
      <x:c r="BE23" s="10" t="n">
        <x:v>766</x:v>
      </x:c>
      <x:c r="BF23" s="4" t="n">
        <x:v>56.9</x:v>
      </x:c>
      <x:c r="BG23" s="4" t="n">
        <x:v>-2.7</x:v>
      </x:c>
      <x:c r="BH23" s="4" t="n">
        <x:v>9.7</x:v>
      </x:c>
      <x:c r="BI23" s="4" t="n">
        <x:v>90.7</x:v>
      </x:c>
      <x:c r="BJ23" s="4" t="n">
        <x:v>100.4</x:v>
      </x:c>
      <x:c r="BK23" s="4" t="n">
        <x:v>65</x:v>
      </x:c>
      <x:c r="BL23" s="4" t="n">
        <x:v>35</x:v>
      </x:c>
      <x:c r="BM23" s="4" t="n">
        <x:v>18.183333333333334</x:v>
      </x:c>
      <x:c r="BN23" s="4" t="n">
        <x:v>15.666666666666666</x:v>
      </x:c>
      <x:c r="BO23" s="10" t="n">
        <x:v>26</x:v>
      </x:c>
      <x:c r="BP23" s="10" t="n">
        <x:v>87</x:v>
      </x:c>
      <x:c r="BQ23" s="4" t="n">
        <x:v>7</x:v>
      </x:c>
      <x:c r="BR23" s="10" t="n">
        <x:v>321</x:v>
      </x:c>
      <x:c r="BS23" s="4" t="n">
        <x:v>38</x:v>
      </x:c>
      <x:c r="BT23" s="10" t="n">
        <x:v>81</x:v>
      </x:c>
      <x:c r="BU23" s="4" t="str">
        <x:v>CAR</x:v>
      </x:c>
      <x:c r="BV23" s="10" t="n">
        <x:v>231</x:v>
      </x:c>
      <x:c r="BW23" s="10" t="n">
        <x:v>288</x:v>
      </x:c>
      <x:c r="BX23" s="10" t="n">
        <x:v>741</x:v>
      </x:c>
      <x:c r="BY23" s="4" t="str">
        <x:v>Alexander Nikishin</x:v>
      </x:c>
      <x:c r="BZ23" s="4" t="str">
        <x:v>Alexander Nikishin</x:v>
      </x:c>
      <x:c r="CA23" s="4" t="str">
        <x:v>Alexander Nikishin</x:v>
      </x:c>
      <x:c r="CB23" s="4" t="str">
        <x:v>nikisal01</x:v>
      </x:c>
    </x:row>
    <x:row r="24" ht="22" customHeight="1">
      <x:c r="A24" s="4" t="str">
        <x:v>Alexander Wennberg</x:v>
      </x:c>
      <x:c r="B24" s="4" t="str">
        <x:v>alexanderwennberg</x:v>
      </x:c>
      <x:c r="C24" s="10" t="n">
        <x:v>1</x:v>
      </x:c>
      <x:c r="D24" s="10" t="n">
        <x:v>1</x:v>
      </x:c>
      <x:c r="E24" s="10" t="n">
        <x:v>1</x:v>
      </x:c>
      <x:c r="F24" s="4" t="n">
        <x:f>IF(COUNT(N24,Q24,T24,W24,Z24,AC24,AF24,AI24)=8,N24*Guide!$E$5+Q24*Guide!$E$6+T24*Guide!$E$7+W24*Guide!$E$8+Z24*Guide!$E$9+AC24*Guide!$E$10+AF24*Guide!$E$11+AI24*Guide!$E$12,"")</x:f>
        <x:v>196.75</x:v>
      </x:c>
      <x:c r="G24" s="4" t="n">
        <x:f>IF(COUNT(O24,R24,U24,X24,AA24,AD24,AG24,AJ24)=8,O24*Guide!$E$5+R24*Guide!$E$6+U24*Guide!$E$7+X24*Guide!$E$8+AA24*Guide!$E$9+AD24*Guide!$E$10+AG24*Guide!$E$11+AJ24*Guide!$E$12,"")</x:f>
        <x:v>276</x:v>
      </x:c>
      <x:c r="H24" s="4" t="n">
        <x:f>IF(COUNT(G24,F24)=2,G24-F24,"")</x:f>
        <x:v>79.25</x:v>
      </x:c>
      <x:c r="I24" s="4" t="n">
        <x:f>IF(AND(ISNUMBER(F24),K24&gt;0),F24/K24,"")</x:f>
        <x:v>2.588815789473684</x:v>
      </x:c>
      <x:c r="J24" s="4" t="n">
        <x:f>IF(AND(ISNUMBER(G24),L24&gt;0),G24/L24,"")</x:f>
        <x:v>3.45</x:v>
      </x:c>
      <x:c r="K24" s="10" t="n">
        <x:v>76</x:v>
      </x:c>
      <x:c r="L24" s="10" t="n">
        <x:v>80</x:v>
      </x:c>
      <x:c r="M24" s="10" t="n">
        <x:f>IF(COUNT(L24,K24)=2,L24-K24,"")</x:f>
        <x:v>4</x:v>
      </x:c>
      <x:c r="N24" s="10" t="n">
        <x:v>11</x:v>
      </x:c>
      <x:c r="O24" s="10" t="n">
        <x:v>18</x:v>
      </x:c>
      <x:c r="P24" s="10" t="n">
        <x:f>IF(COUNT(O24,N24)=2,O24-N24,"")</x:f>
        <x:v>7</x:v>
      </x:c>
      <x:c r="Q24" s="10" t="n">
        <x:v>23</x:v>
      </x:c>
      <x:c r="R24" s="10" t="n">
        <x:v>37</x:v>
      </x:c>
      <x:c r="S24" s="10" t="n">
        <x:f>IF(COUNT(R24,Q24)=2,R24-Q24,"")</x:f>
        <x:v>14</x:v>
      </x:c>
      <x:c r="T24" s="10" t="n">
        <x:v>-13</x:v>
      </x:c>
      <x:c r="U24" s="10" t="n">
        <x:v>-25</x:v>
      </x:c>
      <x:c r="V24" s="10" t="n">
        <x:f>IF(COUNT(U24,T24)=2,U24-T24,"")</x:f>
        <x:v>-12</x:v>
      </x:c>
      <x:c r="W24" s="10" t="n">
        <x:v>10</x:v>
      </x:c>
      <x:c r="X24" s="10" t="n">
        <x:f>IF(COUNT(AV24,AW24)=2,AV24+AW24,"")</x:f>
        <x:v>15</x:v>
      </x:c>
      <x:c r="Y24" s="10" t="n">
        <x:f>IF(COUNT(X24,W24)=2,X24-W24,"")</x:f>
        <x:v>5</x:v>
      </x:c>
      <x:c r="Z24" s="10" t="n">
        <x:v>1</x:v>
      </x:c>
      <x:c r="AA24" s="10" t="n">
        <x:f>IF(COUNT(AX24,AY24)=2,AX24+AY24,"")</x:f>
        <x:v>1</x:v>
      </x:c>
      <x:c r="AB24" s="10" t="n">
        <x:f>IF(COUNT(AA24,Z24)=2,AA24-Z24,"")</x:f>
        <x:v>0</x:v>
      </x:c>
      <x:c r="AC24" s="10" t="n">
        <x:v>82</x:v>
      </x:c>
      <x:c r="AD24" s="10" t="n">
        <x:v>93</x:v>
      </x:c>
      <x:c r="AE24" s="10" t="n">
        <x:f>IF(COUNT(AD24,AC24)=2,AD24-AC24,"")</x:f>
        <x:v>11</x:v>
      </x:c>
      <x:c r="AF24" s="10" t="n">
        <x:v>34</x:v>
      </x:c>
      <x:c r="AG24" s="10" t="n">
        <x:v>28</x:v>
      </x:c>
      <x:c r="AH24" s="10" t="n">
        <x:f>IF(COUNT(AG24,AF24)=2,AG24-AF24,"")</x:f>
        <x:v>-6</x:v>
      </x:c>
      <x:c r="AI24" s="10" t="n">
        <x:v>73</x:v>
      </x:c>
      <x:c r="AJ24" s="10" t="n">
        <x:v>93</x:v>
      </x:c>
      <x:c r="AK24" s="10" t="n">
        <x:f>IF(COUNT(AJ24,AI24)=2,AJ24-AI24,"")</x:f>
        <x:v>20</x:v>
      </x:c>
      <x:c r="AL24" s="10" t="n">
        <x:v>31</x:v>
      </x:c>
      <x:c r="AM24" s="10" t="n">
        <x:v>31</x:v>
      </x:c>
      <x:c r="AN24" s="4" t="str">
        <x:v>C</x:v>
      </x:c>
      <x:c r="AO24" s="4" t="str">
        <x:v>C</x:v>
      </x:c>
      <x:c r="AP24" s="4" t="str">
        <x:v>SJ</x:v>
      </x:c>
      <x:c r="AQ24" s="4" t="str">
        <x:v>SJS</x:v>
      </x:c>
      <x:c r="AR24" s="4" t="n">
        <x:v>18.46</x:v>
      </x:c>
      <x:c r="AS24" s="4" t="n">
        <x:v>20.45</x:v>
      </x:c>
      <x:c r="AT24" s="4" t="n">
        <x:v>2.5</x:v>
      </x:c>
      <x:c r="AU24" s="4" t="n">
        <x:v>19.4</x:v>
      </x:c>
      <x:c r="AV24" s="10" t="n">
        <x:v>8</x:v>
      </x:c>
      <x:c r="AW24" s="10" t="n">
        <x:v>7</x:v>
      </x:c>
      <x:c r="AX24" s="10" t="n">
        <x:v>0</x:v>
      </x:c>
      <x:c r="AY24" s="10" t="n">
        <x:v>1</x:v>
      </x:c>
      <x:c r="AZ24" s="10" t="n">
        <x:v>1071</x:v>
      </x:c>
      <x:c r="BA24" s="10" t="n">
        <x:v>1159</x:v>
      </x:c>
      <x:c r="BB24" s="4" t="n">
        <x:v>48</x:v>
      </x:c>
      <x:c r="BC24" s="4" t="n">
        <x:v>1.7</x:v>
      </x:c>
      <x:c r="BD24" s="10" t="n">
        <x:v>748</x:v>
      </x:c>
      <x:c r="BE24" s="10" t="n">
        <x:v>831</x:v>
      </x:c>
      <x:c r="BF24" s="4" t="n">
        <x:v>47.4</x:v>
      </x:c>
      <x:c r="BG24" s="4" t="n">
        <x:v>1.6</x:v>
      </x:c>
      <x:c r="BH24" s="4" t="n">
        <x:v>11.1</x:v>
      </x:c>
      <x:c r="BI24" s="4" t="n">
        <x:v>86.4</x:v>
      </x:c>
      <x:c r="BJ24" s="4" t="n">
        <x:v>97.6</x:v>
      </x:c>
      <x:c r="BK24" s="4" t="n">
        <x:v>41.1</x:v>
      </x:c>
      <x:c r="BL24" s="4" t="n">
        <x:v>58.9</x:v>
      </x:c>
      <x:c r="BM24" s="4" t="n">
        <x:v>20.45</x:v>
      </x:c>
      <x:c r="BN24" s="4" t="n">
        <x:v>14.95</x:v>
      </x:c>
      <x:c r="BO24" s="10" t="n">
        <x:v>35</x:v>
      </x:c>
      <x:c r="BP24" s="10" t="n">
        <x:v>54</x:v>
      </x:c>
      <x:c r="BQ24" s="4" t="n">
        <x:v>-3.1</x:v>
      </x:c>
      <x:c r="BR24" s="10" t="n">
        <x:v>170</x:v>
      </x:c>
      <x:c r="BS24" s="4" t="n">
        <x:v>54.7</x:v>
      </x:c>
      <x:c r="BT24" s="10" t="n">
        <x:v>80</x:v>
      </x:c>
      <x:c r="BU24" s="4" t="str">
        <x:v>SJS</x:v>
      </x:c>
      <x:c r="BV24" s="10" t="n">
        <x:v>320</x:v>
      </x:c>
      <x:c r="BW24" s="10" t="n">
        <x:v>115</x:v>
      </x:c>
      <x:c r="BX24" s="10" t="n">
        <x:v>1068</x:v>
      </x:c>
      <x:c r="BY24" s="4" t="str">
        <x:v>Alexander Wennberg</x:v>
      </x:c>
      <x:c r="BZ24" s="4" t="str">
        <x:v>Alexander Wennberg</x:v>
      </x:c>
      <x:c r="CA24" s="4" t="str">
        <x:v>Alexander Wennberg</x:v>
      </x:c>
      <x:c r="CB24" s="4" t="str">
        <x:v>wennbal01</x:v>
      </x:c>
    </x:row>
    <x:row r="25" ht="22" customHeight="1">
      <x:c r="A25" s="4" t="str">
        <x:v>Alexandre Carrier</x:v>
      </x:c>
      <x:c r="B25" s="4" t="str">
        <x:v>alexandrecarrier</x:v>
      </x:c>
      <x:c r="C25" s="10" t="n">
        <x:v>1</x:v>
      </x:c>
      <x:c r="D25" s="10" t="n">
        <x:v>1</x:v>
      </x:c>
      <x:c r="E25" s="10" t="n">
        <x:v>1</x:v>
      </x:c>
      <x:c r="F25" s="4" t="n">
        <x:f>IF(COUNT(N25,Q25,T25,W25,Z25,AC25,AF25,AI25)=8,N25*Guide!$E$5+Q25*Guide!$E$6+T25*Guide!$E$7+W25*Guide!$E$8+Z25*Guide!$E$9+AC25*Guide!$E$10+AF25*Guide!$E$11+AI25*Guide!$E$12,"")</x:f>
        <x:v>214.5</x:v>
      </x:c>
      <x:c r="G25" s="4" t="n">
        <x:f>IF(COUNT(O25,R25,U25,X25,AA25,AD25,AG25,AJ25)=8,O25*Guide!$E$5+R25*Guide!$E$6+U25*Guide!$E$7+X25*Guide!$E$8+AA25*Guide!$E$9+AD25*Guide!$E$10+AG25*Guide!$E$11+AJ25*Guide!$E$12,"")</x:f>
        <x:v>214</x:v>
      </x:c>
      <x:c r="H25" s="4" t="n">
        <x:f>IF(COUNT(G25,F25)=2,G25-F25,"")</x:f>
        <x:v>-0.5</x:v>
      </x:c>
      <x:c r="I25" s="4" t="n">
        <x:f>IF(AND(ISNUMBER(F25),K25&gt;0),F25/K25,"")</x:f>
        <x:v>2.8223684210526314</x:v>
      </x:c>
      <x:c r="J25" s="4" t="n">
        <x:f>IF(AND(ISNUMBER(G25),L25&gt;0),G25/L25,"")</x:f>
        <x:v>2.9315068493150687</x:v>
      </x:c>
      <x:c r="K25" s="10" t="n">
        <x:v>76</x:v>
      </x:c>
      <x:c r="L25" s="10" t="n">
        <x:v>73</x:v>
      </x:c>
      <x:c r="M25" s="10" t="n">
        <x:f>IF(COUNT(L25,K25)=2,L25-K25,"")</x:f>
        <x:v>-3</x:v>
      </x:c>
      <x:c r="N25" s="10" t="n">
        <x:v>4</x:v>
      </x:c>
      <x:c r="O25" s="10" t="n">
        <x:v>7</x:v>
      </x:c>
      <x:c r="P25" s="10" t="n">
        <x:f>IF(COUNT(O25,N25)=2,O25-N25,"")</x:f>
        <x:v>3</x:v>
      </x:c>
      <x:c r="Q25" s="10" t="n">
        <x:v>19</x:v>
      </x:c>
      <x:c r="R25" s="10" t="n">
        <x:v>15</x:v>
      </x:c>
      <x:c r="S25" s="10" t="n">
        <x:f>IF(COUNT(R25,Q25)=2,R25-Q25,"")</x:f>
        <x:v>-4</x:v>
      </x:c>
      <x:c r="T25" s="10" t="n">
        <x:v>-8</x:v>
      </x:c>
      <x:c r="U25" s="10" t="n">
        <x:v>2</x:v>
      </x:c>
      <x:c r="V25" s="10" t="n">
        <x:f>IF(COUNT(U25,T25)=2,U25-T25,"")</x:f>
        <x:v>10</x:v>
      </x:c>
      <x:c r="W25" s="10" t="n">
        <x:v>1</x:v>
      </x:c>
      <x:c r="X25" s="10" t="n">
        <x:f>IF(COUNT(AV25,AW25)=2,AV25+AW25,"")</x:f>
        <x:v>0</x:v>
      </x:c>
      <x:c r="Y25" s="10" t="n">
        <x:f>IF(COUNT(X25,W25)=2,X25-W25,"")</x:f>
        <x:v>-1</x:v>
      </x:c>
      <x:c r="Z25" s="10" t="n">
        <x:v>1</x:v>
      </x:c>
      <x:c r="AA25" s="10" t="n">
        <x:f>IF(COUNT(AX25,AY25)=2,AX25+AY25,"")</x:f>
        <x:v>0</x:v>
      </x:c>
      <x:c r="AB25" s="10" t="n">
        <x:f>IF(COUNT(AA25,Z25)=2,AA25-Z25,"")</x:f>
        <x:v>-1</x:v>
      </x:c>
      <x:c r="AC25" s="10" t="n">
        <x:v>78</x:v>
      </x:c>
      <x:c r="AD25" s="10" t="n">
        <x:v>56</x:v>
      </x:c>
      <x:c r="AE25" s="10" t="n">
        <x:f>IF(COUNT(AD25,AC25)=2,AD25-AC25,"")</x:f>
        <x:v>-22</x:v>
      </x:c>
      <x:c r="AF25" s="10" t="n">
        <x:v>69</x:v>
      </x:c>
      <x:c r="AG25" s="10" t="n">
        <x:v>35</x:v>
      </x:c>
      <x:c r="AH25" s="10" t="n">
        <x:f>IF(COUNT(AG25,AF25)=2,AG25-AF25,"")</x:f>
        <x:v>-34</x:v>
      </x:c>
      <x:c r="AI25" s="10" t="n">
        <x:v>145</x:v>
      </x:c>
      <x:c r="AJ25" s="10" t="n">
        <x:v>155</x:v>
      </x:c>
      <x:c r="AK25" s="10" t="n">
        <x:f>IF(COUNT(AJ25,AI25)=2,AJ25-AI25,"")</x:f>
        <x:v>10</x:v>
      </x:c>
      <x:c r="AL25" s="10" t="n">
        <x:v>29</x:v>
      </x:c>
      <x:c r="AM25" s="10" t="n">
        <x:v>29</x:v>
      </x:c>
      <x:c r="AN25" s="4" t="str">
        <x:v>D</x:v>
      </x:c>
      <x:c r="AO25" s="4" t="str">
        <x:v>D</x:v>
      </x:c>
      <x:c r="AP25" s="4" t="str">
        <x:v>MTL</x:v>
      </x:c>
      <x:c r="AQ25" s="4" t="str">
        <x:v>MTL</x:v>
      </x:c>
      <x:c r="AR25" s="4" t="n">
        <x:v>20.369999999999997</x:v>
      </x:c>
      <x:c r="AS25" s="4" t="n">
        <x:v>19.083333333333332</x:v>
      </x:c>
      <x:c r="AT25" s="4" t="n">
        <x:v>0.18</x:v>
      </x:c>
      <x:c r="AU25" s="4" t="n">
        <x:v>12.5</x:v>
      </x:c>
      <x:c r="AV25" s="10" t="n">
        <x:v>0</x:v>
      </x:c>
      <x:c r="AW25" s="10" t="n">
        <x:v>0</x:v>
      </x:c>
      <x:c r="AX25" s="10" t="n">
        <x:v>0</x:v>
      </x:c>
      <x:c r="AY25" s="10" t="n">
        <x:v>0</x:v>
      </x:c>
      <x:c r="AZ25" s="10" t="n">
        <x:v>1049</x:v>
      </x:c>
      <x:c r="BA25" s="10" t="n">
        <x:v>1202</x:v>
      </x:c>
      <x:c r="BB25" s="4" t="n">
        <x:v>46.6</x:v>
      </x:c>
      <x:c r="BC25" s="4" t="n">
        <x:v>-2.8</x:v>
      </x:c>
      <x:c r="BD25" s="10" t="n">
        <x:v>742</x:v>
      </x:c>
      <x:c r="BE25" s="10" t="n">
        <x:v>828</x:v>
      </x:c>
      <x:c r="BF25" s="4" t="n">
        <x:v>47.3</x:v>
      </x:c>
      <x:c r="BG25" s="4" t="n">
        <x:v>-3.5</x:v>
      </x:c>
      <x:c r="BH25" s="4" t="n">
        <x:v>12.9</x:v>
      </x:c>
      <x:c r="BI25" s="4" t="n">
        <x:v>88.6</x:v>
      </x:c>
      <x:c r="BJ25" s="4" t="n">
        <x:v>101.5</x:v>
      </x:c>
      <x:c r="BK25" s="4" t="n">
        <x:v>39.7</x:v>
      </x:c>
      <x:c r="BL25" s="4" t="n">
        <x:v>60.3</x:v>
      </x:c>
      <x:c r="BM25" s="4" t="n">
        <x:v>19.083333333333332</x:v>
      </x:c>
      <x:c r="BN25" s="4" t="n">
        <x:v>16.033333333333335</x:v>
      </x:c>
      <x:c r="BO25" s="10" t="n">
        <x:v>28</x:v>
      </x:c>
      <x:c r="BP25" s="10" t="n">
        <x:v>50</x:v>
      </x:c>
      <x:c r="BQ25" s="4" t="n">
        <x:v>-3</x:v>
      </x:c>
      <x:c r="BR25" s="10" t="n">
        <x:v>141</x:v>
      </x:c>
      <x:c r="BS25" s="4" t="n">
        <x:v>39.7</x:v>
      </x:c>
      <x:c r="BT25" s="10" t="n">
        <x:v>73</x:v>
      </x:c>
      <x:c r="BU25" s="4" t="str">
        <x:v>MTL</x:v>
      </x:c>
      <x:c r="BV25" s="10" t="n">
        <x:v>465</x:v>
      </x:c>
      <x:c r="BW25" s="10" t="n">
        <x:v>429</x:v>
      </x:c>
      <x:c r="BX25" s="10" t="n">
        <x:v>134</x:v>
      </x:c>
      <x:c r="BY25" s="4" t="str">
        <x:v>Alexandre Carrier</x:v>
      </x:c>
      <x:c r="BZ25" s="4" t="str">
        <x:v>Alexandre Carrier</x:v>
      </x:c>
      <x:c r="CA25" s="4" t="str">
        <x:v>Alexandre Carrier</x:v>
      </x:c>
      <x:c r="CB25" s="4" t="str">
        <x:v>carrial01</x:v>
      </x:c>
    </x:row>
    <x:row r="26" ht="22" customHeight="1">
      <x:c r="A26" s="4" t="str">
        <x:v>Alexandre Texier</x:v>
      </x:c>
      <x:c r="B26" s="4" t="str">
        <x:v>alexandretexier</x:v>
      </x:c>
      <x:c r="C26" s="10" t="n">
        <x:v>1</x:v>
      </x:c>
      <x:c r="D26" s="10" t="n">
        <x:v>1</x:v>
      </x:c>
      <x:c r="E26" s="10" t="n">
        <x:v>1</x:v>
      </x:c>
      <x:c r="F26" s="4" t="n">
        <x:f>IF(COUNT(N26,Q26,T26,W26,Z26,AC26,AF26,AI26)=8,N26*Guide!$E$5+Q26*Guide!$E$6+T26*Guide!$E$7+W26*Guide!$E$8+Z26*Guide!$E$9+AC26*Guide!$E$10+AF26*Guide!$E$11+AI26*Guide!$E$12,"")</x:f>
        <x:v>111.25</x:v>
      </x:c>
      <x:c r="G26" s="4" t="n">
        <x:f>IF(COUNT(O26,R26,U26,X26,AA26,AD26,AG26,AJ26)=8,O26*Guide!$E$5+R26*Guide!$E$6+U26*Guide!$E$7+X26*Guide!$E$8+AA26*Guide!$E$9+AD26*Guide!$E$10+AG26*Guide!$E$11+AJ26*Guide!$E$12,"")</x:f>
        <x:v>127</x:v>
      </x:c>
      <x:c r="H26" s="4" t="n">
        <x:f>IF(COUNT(G26,F26)=2,G26-F26,"")</x:f>
        <x:v>15.75</x:v>
      </x:c>
      <x:c r="I26" s="4" t="n">
        <x:f>IF(AND(ISNUMBER(F26),K26&gt;0),F26/K26,"")</x:f>
        <x:v>2.1813725490196076</x:v>
      </x:c>
      <x:c r="J26" s="4" t="n">
        <x:f>IF(AND(ISNUMBER(G26),L26&gt;0),G26/L26,"")</x:f>
        <x:v>2.4901960784313726</x:v>
      </x:c>
      <x:c r="K26" s="10" t="n">
        <x:v>51</x:v>
      </x:c>
      <x:c r="L26" s="10" t="n">
        <x:v>51</x:v>
      </x:c>
      <x:c r="M26" s="10" t="n">
        <x:f>IF(COUNT(L26,K26)=2,L26-K26,"")</x:f>
        <x:v>0</x:v>
      </x:c>
      <x:c r="N26" s="10" t="n">
        <x:v>9</x:v>
      </x:c>
      <x:c r="O26" s="10" t="n">
        <x:v>8</x:v>
      </x:c>
      <x:c r="P26" s="10" t="n">
        <x:f>IF(COUNT(O26,N26)=2,O26-N26,"")</x:f>
        <x:v>-1</x:v>
      </x:c>
      <x:c r="Q26" s="10" t="n">
        <x:v>11</x:v>
      </x:c>
      <x:c r="R26" s="10" t="n">
        <x:v>13</x:v>
      </x:c>
      <x:c r="S26" s="10" t="n">
        <x:f>IF(COUNT(R26,Q26)=2,R26-Q26,"")</x:f>
        <x:v>2</x:v>
      </x:c>
      <x:c r="T26" s="10" t="n">
        <x:v>-4</x:v>
      </x:c>
      <x:c r="U26" s="10" t="n">
        <x:v>9</x:v>
      </x:c>
      <x:c r="V26" s="10" t="n">
        <x:f>IF(COUNT(U26,T26)=2,U26-T26,"")</x:f>
        <x:v>13</x:v>
      </x:c>
      <x:c r="W26" s="10" t="n">
        <x:v>3</x:v>
      </x:c>
      <x:c r="X26" s="10" t="n">
        <x:f>IF(COUNT(AV26,AW26)=2,AV26+AW26,"")</x:f>
        <x:v>1</x:v>
      </x:c>
      <x:c r="Y26" s="10" t="n">
        <x:f>IF(COUNT(X26,W26)=2,X26-W26,"")</x:f>
        <x:v>-2</x:v>
      </x:c>
      <x:c r="Z26" s="10" t="n">
        <x:v>0</x:v>
      </x:c>
      <x:c r="AA26" s="10" t="n">
        <x:f>IF(COUNT(AX26,AY26)=2,AX26+AY26,"")</x:f>
        <x:v>0</x:v>
      </x:c>
      <x:c r="AB26" s="10" t="n">
        <x:f>IF(COUNT(AA26,Z26)=2,AA26-Z26,"")</x:f>
        <x:v>0</x:v>
      </x:c>
      <x:c r="AC26" s="10" t="n">
        <x:v>75</x:v>
      </x:c>
      <x:c r="AD26" s="10" t="n">
        <x:v>74</x:v>
      </x:c>
      <x:c r="AE26" s="10" t="n">
        <x:f>IF(COUNT(AD26,AC26)=2,AD26-AC26,"")</x:f>
        <x:v>-1</x:v>
      </x:c>
      <x:c r="AF26" s="10" t="n">
        <x:v>35</x:v>
      </x:c>
      <x:c r="AG26" s="10" t="n">
        <x:v>65</x:v>
      </x:c>
      <x:c r="AH26" s="10" t="n">
        <x:f>IF(COUNT(AG26,AF26)=2,AG26-AF26,"")</x:f>
        <x:v>30</x:v>
      </x:c>
      <x:c r="AI26" s="10" t="n">
        <x:v>21</x:v>
      </x:c>
      <x:c r="AJ26" s="10" t="n">
        <x:v>15</x:v>
      </x:c>
      <x:c r="AK26" s="10" t="n">
        <x:f>IF(COUNT(AJ26,AI26)=2,AJ26-AI26,"")</x:f>
        <x:v>-6</x:v>
      </x:c>
      <x:c r="AL26" s="10" t="n">
        <x:v>26</x:v>
      </x:c>
      <x:c r="AM26" s="10" t="n">
        <x:v>26</x:v>
      </x:c>
      <x:c r="AN26" s="4" t="str">
        <x:v>LW,RW</x:v>
      </x:c>
      <x:c r="AO26" s="4" t="str">
        <x:v>C</x:v>
      </x:c>
      <x:c r="AP26" s="4" t="str">
        <x:v>STL</x:v>
      </x:c>
      <x:c r="AQ26" s="4" t="str">
        <x:v>2TM</x:v>
      </x:c>
      <x:c r="AR26" s="4" t="n">
        <x:v>13.19</x:v>
      </x:c>
      <x:c r="AS26" s="4" t="n">
        <x:v>13.65</x:v>
      </x:c>
      <x:c r="AT26" s="4" t="n">
        <x:v>0.78</x:v>
      </x:c>
      <x:c r="AU26" s="4" t="n">
        <x:v>10.8</x:v>
      </x:c>
      <x:c r="AV26" s="10" t="n">
        <x:v>0</x:v>
      </x:c>
      <x:c r="AW26" s="10" t="n">
        <x:v>1</x:v>
      </x:c>
      <x:c r="AX26" s="10" t="n">
        <x:v>0</x:v>
      </x:c>
      <x:c r="AY26" s="10" t="n">
        <x:v>0</x:v>
      </x:c>
      <x:c r="AZ26" s="10" t="n">
        <x:v>627</x:v>
      </x:c>
      <x:c r="BA26" s="10" t="n">
        <x:v>571</x:v>
      </x:c>
      <x:c r="BB26" s="4" t="n">
        <x:v>52.3</x:v>
      </x:c>
      <x:c r="BC26" s="4" t="n">
        <x:v>3.8</x:v>
      </x:c>
      <x:c r="BD26" s="10" t="n">
        <x:v>437</x:v>
      </x:c>
      <x:c r="BE26" s="10" t="n">
        <x:v>408</x:v>
      </x:c>
      <x:c r="BF26" s="4" t="n">
        <x:v>51.7</x:v>
      </x:c>
      <x:c r="BG26" s="4" t="n">
        <x:v>1.9</x:v>
      </x:c>
      <x:c r="BH26" s="4" t="n">
        <x:v>10</x:v>
      </x:c>
      <x:c r="BI26" s="4" t="n">
        <x:v>93.1</x:v>
      </x:c>
      <x:c r="BJ26" s="4" t="n">
        <x:v>103.1</x:v>
      </x:c>
      <x:c r="BK26" s="4" t="n">
        <x:v>46.5</x:v>
      </x:c>
      <x:c r="BL26" s="4" t="n">
        <x:v>53.5</x:v>
      </x:c>
      <x:c r="BM26" s="4" t="n">
        <x:v>13.65</x:v>
      </x:c>
      <x:c r="BN26" s="4" t="n">
        <x:v>12.433333333333334</x:v>
      </x:c>
      <x:c r="BO26" s="10" t="n">
        <x:v>6</x:v>
      </x:c>
      <x:c r="BP26" s="10" t="n">
        <x:v>23</x:v>
      </x:c>
      <x:c r="BQ26" s="4" t="n">
        <x:v>2.7</x:v>
      </x:c>
      <x:c r="BR26" s="10" t="n">
        <x:v>150</x:v>
      </x:c>
      <x:c r="BS26" s="4" t="n">
        <x:v>49.3</x:v>
      </x:c>
      <x:c r="BT26" s="10" t="n">
        <x:v>51</x:v>
      </x:c>
      <x:c r="BU26" s="4" t="str">
        <x:v>TOT</x:v>
      </x:c>
      <x:c r="BV26" s="10" t="n">
        <x:v>527</x:v>
      </x:c>
      <x:c r="BW26" s="10" t="n">
        <x:v>455</x:v>
      </x:c>
      <x:c r="BX26" s="10" t="n">
        <x:v>1008</x:v>
      </x:c>
      <x:c r="BY26" s="4" t="str">
        <x:v>Alexandre Texier</x:v>
      </x:c>
      <x:c r="BZ26" s="4" t="str">
        <x:v>Alexandre Texier</x:v>
      </x:c>
      <x:c r="CA26" s="4" t="str">
        <x:v>Alexandre Texier</x:v>
      </x:c>
      <x:c r="CB26" s="4" t="str">
        <x:v>texieal01</x:v>
      </x:c>
    </x:row>
    <x:row r="27" ht="22" customHeight="1">
      <x:c r="A27" s="4" t="str">
        <x:v>Alexis Lafrenière</x:v>
      </x:c>
      <x:c r="B27" s="4" t="str">
        <x:v>alexislafreniere</x:v>
      </x:c>
      <x:c r="C27" s="10" t="n">
        <x:v>1</x:v>
      </x:c>
      <x:c r="D27" s="10" t="n">
        <x:v>1</x:v>
      </x:c>
      <x:c r="E27" s="10" t="n">
        <x:v>1</x:v>
      </x:c>
      <x:c r="F27" s="4" t="n">
        <x:f>IF(COUNT(N27,Q27,T27,W27,Z27,AC27,AF27,AI27)=8,N27*Guide!$E$5+Q27*Guide!$E$6+T27*Guide!$E$7+W27*Guide!$E$8+Z27*Guide!$E$9+AC27*Guide!$E$10+AF27*Guide!$E$11+AI27*Guide!$E$12,"")</x:f>
        <x:v>288.5</x:v>
      </x:c>
      <x:c r="G27" s="4" t="n">
        <x:f>IF(COUNT(O27,R27,U27,X27,AA27,AD27,AG27,AJ27)=8,O27*Guide!$E$5+R27*Guide!$E$6+U27*Guide!$E$7+X27*Guide!$E$8+AA27*Guide!$E$9+AD27*Guide!$E$10+AG27*Guide!$E$11+AJ27*Guide!$E$12,"")</x:f>
        <x:v>296.5</x:v>
      </x:c>
      <x:c r="H27" s="4" t="n">
        <x:f>IF(COUNT(G27,F27)=2,G27-F27,"")</x:f>
        <x:v>8</x:v>
      </x:c>
      <x:c r="I27" s="4" t="n">
        <x:f>IF(AND(ISNUMBER(F27),K27&gt;0),F27/K27,"")</x:f>
        <x:v>3.518292682926829</x:v>
      </x:c>
      <x:c r="J27" s="4" t="n">
        <x:f>IF(AND(ISNUMBER(G27),L27&gt;0),G27/L27,"")</x:f>
        <x:v>3.6158536585365852</x:v>
      </x:c>
      <x:c r="K27" s="10" t="n">
        <x:v>82</x:v>
      </x:c>
      <x:c r="L27" s="10" t="n">
        <x:v>82</x:v>
      </x:c>
      <x:c r="M27" s="10" t="n">
        <x:f>IF(COUNT(L27,K27)=2,L27-K27,"")</x:f>
        <x:v>0</x:v>
      </x:c>
      <x:c r="N27" s="10" t="n">
        <x:v>24</x:v>
      </x:c>
      <x:c r="O27" s="10" t="n">
        <x:v>24</x:v>
      </x:c>
      <x:c r="P27" s="10" t="n">
        <x:f>IF(COUNT(O27,N27)=2,O27-N27,"")</x:f>
        <x:v>0</x:v>
      </x:c>
      <x:c r="Q27" s="10" t="n">
        <x:v>31</x:v>
      </x:c>
      <x:c r="R27" s="10" t="n">
        <x:v>33</x:v>
      </x:c>
      <x:c r="S27" s="10" t="n">
        <x:f>IF(COUNT(R27,Q27)=2,R27-Q27,"")</x:f>
        <x:v>2</x:v>
      </x:c>
      <x:c r="T27" s="10" t="n">
        <x:v>-5</x:v>
      </x:c>
      <x:c r="U27" s="10" t="n">
        <x:v>-7</x:v>
      </x:c>
      <x:c r="V27" s="10" t="n">
        <x:f>IF(COUNT(U27,T27)=2,U27-T27,"")</x:f>
        <x:v>-2</x:v>
      </x:c>
      <x:c r="W27" s="10" t="n">
        <x:v>10</x:v>
      </x:c>
      <x:c r="X27" s="10" t="n">
        <x:f>IF(COUNT(AV27,AW27)=2,AV27+AW27,"")</x:f>
        <x:v>15</x:v>
      </x:c>
      <x:c r="Y27" s="10" t="n">
        <x:f>IF(COUNT(X27,W27)=2,X27-W27,"")</x:f>
        <x:v>5</x:v>
      </x:c>
      <x:c r="Z27" s="10" t="n">
        <x:v>0</x:v>
      </x:c>
      <x:c r="AA27" s="10" t="n">
        <x:f>IF(COUNT(AX27,AY27)=2,AX27+AY27,"")</x:f>
        <x:v>0</x:v>
      </x:c>
      <x:c r="AB27" s="10" t="n">
        <x:f>IF(COUNT(AA27,Z27)=2,AA27-Z27,"")</x:f>
        <x:v>0</x:v>
      </x:c>
      <x:c r="AC27" s="10" t="n">
        <x:v>175</x:v>
      </x:c>
      <x:c r="AD27" s="10" t="n">
        <x:v>164</x:v>
      </x:c>
      <x:c r="AE27" s="10" t="n">
        <x:f>IF(COUNT(AD27,AC27)=2,AD27-AC27,"")</x:f>
        <x:v>-11</x:v>
      </x:c>
      <x:c r="AF27" s="10" t="n">
        <x:v>119</x:v>
      </x:c>
      <x:c r="AG27" s="10" t="n">
        <x:v>84</x:v>
      </x:c>
      <x:c r="AH27" s="10" t="n">
        <x:f>IF(COUNT(AG27,AF27)=2,AG27-AF27,"")</x:f>
        <x:v>-35</x:v>
      </x:c>
      <x:c r="AI27" s="10" t="n">
        <x:v>28</x:v>
      </x:c>
      <x:c r="AJ27" s="10" t="n">
        <x:v>42</x:v>
      </x:c>
      <x:c r="AK27" s="10" t="n">
        <x:f>IF(COUNT(AJ27,AI27)=2,AJ27-AI27,"")</x:f>
        <x:v>14</x:v>
      </x:c>
      <x:c r="AL27" s="10" t="n">
        <x:v>24</x:v>
      </x:c>
      <x:c r="AM27" s="10" t="n">
        <x:v>24</x:v>
      </x:c>
      <x:c r="AN27" s="4" t="str">
        <x:v>LW,RW</x:v>
      </x:c>
      <x:c r="AO27" s="4" t="str">
        <x:v>LW</x:v>
      </x:c>
      <x:c r="AP27" s="4" t="str">
        <x:v>NYR</x:v>
      </x:c>
      <x:c r="AQ27" s="4" t="str">
        <x:v>NYR</x:v>
      </x:c>
      <x:c r="AR27" s="4" t="n">
        <x:v>17.890000000000004</x:v>
      </x:c>
      <x:c r="AS27" s="4" t="n">
        <x:v>17.6</x:v>
      </x:c>
      <x:c r="AT27" s="4" t="n">
        <x:v>2.25</x:v>
      </x:c>
      <x:c r="AU27" s="4" t="n">
        <x:v>14.6</x:v>
      </x:c>
      <x:c r="AV27" s="10" t="n">
        <x:v>9</x:v>
      </x:c>
      <x:c r="AW27" s="10" t="n">
        <x:v>6</x:v>
      </x:c>
      <x:c r="AX27" s="10" t="n">
        <x:v>0</x:v>
      </x:c>
      <x:c r="AY27" s="10" t="n">
        <x:v>0</x:v>
      </x:c>
      <x:c r="AZ27" s="10" t="n">
        <x:v>1260</x:v>
      </x:c>
      <x:c r="BA27" s="10" t="n">
        <x:v>1105</x:v>
      </x:c>
      <x:c r="BB27" s="4" t="n">
        <x:v>53.3</x:v>
      </x:c>
      <x:c r="BC27" s="4" t="n">
        <x:v>5.9</x:v>
      </x:c>
      <x:c r="BD27" s="10" t="n">
        <x:v>898</x:v>
      </x:c>
      <x:c r="BE27" s="10" t="n">
        <x:v>818</x:v>
      </x:c>
      <x:c r="BF27" s="4" t="n">
        <x:v>52.3</x:v>
      </x:c>
      <x:c r="BG27" s="4" t="n">
        <x:v>5.9</x:v>
      </x:c>
      <x:c r="BH27" s="4" t="n">
        <x:v>11.5</x:v>
      </x:c>
      <x:c r="BI27" s="4" t="n">
        <x:v>88.1</x:v>
      </x:c>
      <x:c r="BJ27" s="4" t="n">
        <x:v>99.6</x:v>
      </x:c>
      <x:c r="BK27" s="4" t="n">
        <x:v>56.9</x:v>
      </x:c>
      <x:c r="BL27" s="4" t="n">
        <x:v>43.1</x:v>
      </x:c>
      <x:c r="BM27" s="4" t="n">
        <x:v>17.6</x:v>
      </x:c>
      <x:c r="BN27" s="4" t="n">
        <x:v>15.166666666666666</x:v>
      </x:c>
      <x:c r="BO27" s="10" t="n">
        <x:v>25</x:v>
      </x:c>
      <x:c r="BP27" s="10" t="n">
        <x:v>51</x:v>
      </x:c>
      <x:c r="BQ27" s="4" t="n">
        <x:v>6.1</x:v>
      </x:c>
      <x:c r="BR27" s="10" t="n">
        <x:v>330</x:v>
      </x:c>
      <x:c r="BS27" s="4" t="n">
        <x:v>49.7</x:v>
      </x:c>
      <x:c r="BT27" s="10" t="n">
        <x:v>82</x:v>
      </x:c>
      <x:c r="BU27" s="4" t="str">
        <x:v>NYR</x:v>
      </x:c>
      <x:c r="BV27" s="10" t="n">
        <x:v>120</x:v>
      </x:c>
      <x:c r="BW27" s="10" t="n">
        <x:v>107</x:v>
      </x:c>
      <x:c r="BX27" s="10" t="n">
        <x:v>566</x:v>
      </x:c>
      <x:c r="BY27" s="4" t="str">
        <x:v>Alexis Lafreniere</x:v>
      </x:c>
      <x:c r="BZ27" s="4" t="str">
        <x:v>Alexis Lafrenière</x:v>
      </x:c>
      <x:c r="CA27" s="4" t="str">
        <x:v>Alexis Lafrenière</x:v>
      </x:c>
      <x:c r="CB27" s="4" t="str">
        <x:v>lafreal01</x:v>
      </x:c>
    </x:row>
    <x:row r="28" ht="22" customHeight="1">
      <x:c r="A28" s="4" t="str">
        <x:v>Aliaksei Protas</x:v>
      </x:c>
      <x:c r="B28" s="4" t="str">
        <x:v>aliakseiprotas</x:v>
      </x:c>
      <x:c r="C28" s="10" t="n">
        <x:v>1</x:v>
      </x:c>
      <x:c r="D28" s="10" t="n">
        <x:v>1</x:v>
      </x:c>
      <x:c r="E28" s="10" t="n">
        <x:v>1</x:v>
      </x:c>
      <x:c r="F28" s="4" t="n">
        <x:f>IF(COUNT(N28,Q28,T28,W28,Z28,AC28,AF28,AI28)=8,N28*Guide!$E$5+Q28*Guide!$E$6+T28*Guide!$E$7+W28*Guide!$E$8+Z28*Guide!$E$9+AC28*Guide!$E$10+AF28*Guide!$E$11+AI28*Guide!$E$12,"")</x:f>
        <x:v>230.75</x:v>
      </x:c>
      <x:c r="G28" s="4" t="n">
        <x:f>IF(COUNT(O28,R28,U28,X28,AA28,AD28,AG28,AJ28)=8,O28*Guide!$E$5+R28*Guide!$E$6+U28*Guide!$E$7+X28*Guide!$E$8+AA28*Guide!$E$9+AD28*Guide!$E$10+AG28*Guide!$E$11+AJ28*Guide!$E$12,"")</x:f>
        <x:v>290.5</x:v>
      </x:c>
      <x:c r="H28" s="4" t="n">
        <x:f>IF(COUNT(G28,F28)=2,G28-F28,"")</x:f>
        <x:v>59.75</x:v>
      </x:c>
      <x:c r="I28" s="4" t="n">
        <x:f>IF(AND(ISNUMBER(F28),K28&gt;0),F28/K28,"")</x:f>
        <x:v>3.036184210526316</x:v>
      </x:c>
      <x:c r="J28" s="4" t="n">
        <x:f>IF(AND(ISNUMBER(G28),L28&gt;0),G28/L28,"")</x:f>
        <x:v>3.8223684210526314</x:v>
      </x:c>
      <x:c r="K28" s="10" t="n">
        <x:v>76</x:v>
      </x:c>
      <x:c r="L28" s="10" t="n">
        <x:v>76</x:v>
      </x:c>
      <x:c r="M28" s="10" t="n">
        <x:f>IF(COUNT(L28,K28)=2,L28-K28,"")</x:f>
        <x:v>0</x:v>
      </x:c>
      <x:c r="N28" s="10" t="n">
        <x:v>19</x:v>
      </x:c>
      <x:c r="O28" s="10" t="n">
        <x:v>25</x:v>
      </x:c>
      <x:c r="P28" s="10" t="n">
        <x:f>IF(COUNT(O28,N28)=2,O28-N28,"")</x:f>
        <x:v>6</x:v>
      </x:c>
      <x:c r="Q28" s="10" t="n">
        <x:v>24</x:v>
      </x:c>
      <x:c r="R28" s="10" t="n">
        <x:v>27</x:v>
      </x:c>
      <x:c r="S28" s="10" t="n">
        <x:f>IF(COUNT(R28,Q28)=2,R28-Q28,"")</x:f>
        <x:v>3</x:v>
      </x:c>
      <x:c r="T28" s="10" t="n">
        <x:v>5</x:v>
      </x:c>
      <x:c r="U28" s="10" t="n">
        <x:v>20</x:v>
      </x:c>
      <x:c r="V28" s="10" t="n">
        <x:f>IF(COUNT(U28,T28)=2,U28-T28,"")</x:f>
        <x:v>15</x:v>
      </x:c>
      <x:c r="W28" s="10" t="n">
        <x:v>2</x:v>
      </x:c>
      <x:c r="X28" s="10" t="n">
        <x:f>IF(COUNT(AV28,AW28)=2,AV28+AW28,"")</x:f>
        <x:v>1</x:v>
      </x:c>
      <x:c r="Y28" s="10" t="n">
        <x:f>IF(COUNT(X28,W28)=2,X28-W28,"")</x:f>
        <x:v>-1</x:v>
      </x:c>
      <x:c r="Z28" s="10" t="n">
        <x:v>2</x:v>
      </x:c>
      <x:c r="AA28" s="10" t="n">
        <x:f>IF(COUNT(AX28,AY28)=2,AX28+AY28,"")</x:f>
        <x:v>3</x:v>
      </x:c>
      <x:c r="AB28" s="10" t="n">
        <x:f>IF(COUNT(AA28,Z28)=2,AA28-Z28,"")</x:f>
        <x:v>1</x:v>
      </x:c>
      <x:c r="AC28" s="10" t="n">
        <x:v>132</x:v>
      </x:c>
      <x:c r="AD28" s="10" t="n">
        <x:v>159</x:v>
      </x:c>
      <x:c r="AE28" s="10" t="n">
        <x:f>IF(COUNT(AD28,AC28)=2,AD28-AC28,"")</x:f>
        <x:v>27</x:v>
      </x:c>
      <x:c r="AF28" s="10" t="n">
        <x:v>30</x:v>
      </x:c>
      <x:c r="AG28" s="10" t="n">
        <x:v>33</x:v>
      </x:c>
      <x:c r="AH28" s="10" t="n">
        <x:f>IF(COUNT(AG28,AF28)=2,AG28-AF28,"")</x:f>
        <x:v>3</x:v>
      </x:c>
      <x:c r="AI28" s="10" t="n">
        <x:v>39</x:v>
      </x:c>
      <x:c r="AJ28" s="10" t="n">
        <x:v>42</x:v>
      </x:c>
      <x:c r="AK28" s="10" t="n">
        <x:f>IF(COUNT(AJ28,AI28)=2,AJ28-AI28,"")</x:f>
        <x:v>3</x:v>
      </x:c>
      <x:c r="AL28" s="10" t="n">
        <x:v>25</x:v>
      </x:c>
      <x:c r="AM28" s="10" t="n">
        <x:v>25</x:v>
      </x:c>
      <x:c r="AN28" s="4" t="str">
        <x:v>LW,RW</x:v>
      </x:c>
      <x:c r="AO28" s="4" t="str">
        <x:v>C</x:v>
      </x:c>
      <x:c r="AP28" s="4" t="str">
        <x:v>WSH</x:v>
      </x:c>
      <x:c r="AQ28" s="4" t="str">
        <x:v>WSH</x:v>
      </x:c>
      <x:c r="AR28" s="4" t="n">
        <x:v>16.07</x:v>
      </x:c>
      <x:c r="AS28" s="4" t="n">
        <x:v>18.233333333333334</x:v>
      </x:c>
      <x:c r="AT28" s="4" t="n">
        <x:v>0.35</x:v>
      </x:c>
      <x:c r="AU28" s="4" t="n">
        <x:v>15.7</x:v>
      </x:c>
      <x:c r="AV28" s="10" t="n">
        <x:v>0</x:v>
      </x:c>
      <x:c r="AW28" s="10" t="n">
        <x:v>1</x:v>
      </x:c>
      <x:c r="AX28" s="10" t="n">
        <x:v>2</x:v>
      </x:c>
      <x:c r="AY28" s="10" t="n">
        <x:v>1</x:v>
      </x:c>
      <x:c r="AZ28" s="10" t="n">
        <x:v>1288</x:v>
      </x:c>
      <x:c r="BA28" s="10" t="n">
        <x:v>1121</x:v>
      </x:c>
      <x:c r="BB28" s="4" t="n">
        <x:v>53.5</x:v>
      </x:c>
      <x:c r="BC28" s="4" t="n">
        <x:v>4.9</x:v>
      </x:c>
      <x:c r="BD28" s="10" t="n">
        <x:v>959</x:v>
      </x:c>
      <x:c r="BE28" s="10" t="n">
        <x:v>794</x:v>
      </x:c>
      <x:c r="BF28" s="4" t="n">
        <x:v>54.7</x:v>
      </x:c>
      <x:c r="BG28" s="4" t="n">
        <x:v>5.8</x:v>
      </x:c>
      <x:c r="BH28" s="4" t="n">
        <x:v>13</x:v>
      </x:c>
      <x:c r="BI28" s="4" t="n">
        <x:v>88.2</x:v>
      </x:c>
      <x:c r="BJ28" s="4" t="n">
        <x:v>101.2</x:v>
      </x:c>
      <x:c r="BK28" s="4" t="n">
        <x:v>47.9</x:v>
      </x:c>
      <x:c r="BL28" s="4" t="n">
        <x:v>52.1</x:v>
      </x:c>
      <x:c r="BM28" s="4" t="n">
        <x:v>18.233333333333334</x:v>
      </x:c>
      <x:c r="BN28" s="4" t="n">
        <x:v>15.833333333333334</x:v>
      </x:c>
      <x:c r="BO28" s="10" t="n">
        <x:v>26</x:v>
      </x:c>
      <x:c r="BP28" s="10" t="n">
        <x:v>86</x:v>
      </x:c>
      <x:c r="BQ28" s="4" t="n">
        <x:v>6</x:v>
      </x:c>
      <x:c r="BR28" s="10" t="n">
        <x:v>322</x:v>
      </x:c>
      <x:c r="BS28" s="4" t="n">
        <x:v>49.4</x:v>
      </x:c>
      <x:c r="BT28" s="10" t="n">
        <x:v>76</x:v>
      </x:c>
      <x:c r="BU28" s="4" t="str">
        <x:v>WSH</x:v>
      </x:c>
      <x:c r="BV28" s="10" t="n">
        <x:v>221</x:v>
      </x:c>
      <x:c r="BW28" s="10" t="n">
        <x:v>130</x:v>
      </x:c>
      <x:c r="BX28" s="10" t="n">
        <x:v>831</x:v>
      </x:c>
      <x:c r="BY28" s="4" t="str">
        <x:v>Aliaksei Protas</x:v>
      </x:c>
      <x:c r="BZ28" s="4" t="str">
        <x:v>Aliaksei Protas</x:v>
      </x:c>
      <x:c r="CA28" s="4" t="str">
        <x:v>Aliaksei Protas</x:v>
      </x:c>
      <x:c r="CB28" s="4" t="str">
        <x:v>protaal01</x:v>
      </x:c>
    </x:row>
    <x:row r="29" ht="22" customHeight="1">
      <x:c r="A29" s="4" t="str">
        <x:v>Anders Lee</x:v>
      </x:c>
      <x:c r="B29" s="4" t="str">
        <x:v>anderslee</x:v>
      </x:c>
      <x:c r="C29" s="10" t="n">
        <x:v>1</x:v>
      </x:c>
      <x:c r="D29" s="10" t="n">
        <x:v>1</x:v>
      </x:c>
      <x:c r="E29" s="10" t="n">
        <x:v>1</x:v>
      </x:c>
      <x:c r="F29" s="4" t="n">
        <x:f>IF(COUNT(N29,Q29,T29,W29,Z29,AC29,AF29,AI29)=8,N29*Guide!$E$5+Q29*Guide!$E$6+T29*Guide!$E$7+W29*Guide!$E$8+Z29*Guide!$E$9+AC29*Guide!$E$10+AF29*Guide!$E$11+AI29*Guide!$E$12,"")</x:f>
        <x:v>295.5</x:v>
      </x:c>
      <x:c r="G29" s="4" t="n">
        <x:f>IF(COUNT(O29,R29,U29,X29,AA29,AD29,AG29,AJ29)=8,O29*Guide!$E$5+R29*Guide!$E$6+U29*Guide!$E$7+X29*Guide!$E$8+AA29*Guide!$E$9+AD29*Guide!$E$10+AG29*Guide!$E$11+AJ29*Guide!$E$12,"")</x:f>
        <x:v>253.25</x:v>
      </x:c>
      <x:c r="H29" s="4" t="n">
        <x:f>IF(COUNT(G29,F29)=2,G29-F29,"")</x:f>
        <x:v>-42.25</x:v>
      </x:c>
      <x:c r="I29" s="4" t="n">
        <x:f>IF(AND(ISNUMBER(F29),K29&gt;0),F29/K29,"")</x:f>
        <x:v>3.6481481481481484</x:v>
      </x:c>
      <x:c r="J29" s="4" t="n">
        <x:f>IF(AND(ISNUMBER(G29),L29&gt;0),G29/L29,"")</x:f>
        <x:v>3.0884146341463414</x:v>
      </x:c>
      <x:c r="K29" s="10" t="n">
        <x:v>81</x:v>
      </x:c>
      <x:c r="L29" s="10" t="n">
        <x:v>82</x:v>
      </x:c>
      <x:c r="M29" s="10" t="n">
        <x:f>IF(COUNT(L29,K29)=2,L29-K29,"")</x:f>
        <x:v>1</x:v>
      </x:c>
      <x:c r="N29" s="10" t="n">
        <x:v>28</x:v>
      </x:c>
      <x:c r="O29" s="10" t="n">
        <x:v>19</x:v>
      </x:c>
      <x:c r="P29" s="10" t="n">
        <x:f>IF(COUNT(O29,N29)=2,O29-N29,"")</x:f>
        <x:v>-9</x:v>
      </x:c>
      <x:c r="Q29" s="10" t="n">
        <x:v>18</x:v>
      </x:c>
      <x:c r="R29" s="10" t="n">
        <x:v>23</x:v>
      </x:c>
      <x:c r="S29" s="10" t="n">
        <x:f>IF(COUNT(R29,Q29)=2,R29-Q29,"")</x:f>
        <x:v>5</x:v>
      </x:c>
      <x:c r="T29" s="10" t="n">
        <x:v>3</x:v>
      </x:c>
      <x:c r="U29" s="10" t="n">
        <x:v>0</x:v>
      </x:c>
      <x:c r="V29" s="10" t="n">
        <x:f>IF(COUNT(U29,T29)=2,U29-T29,"")</x:f>
        <x:v>-3</x:v>
      </x:c>
      <x:c r="W29" s="10" t="n">
        <x:v>10</x:v>
      </x:c>
      <x:c r="X29" s="10" t="n">
        <x:f>IF(COUNT(AV29,AW29)=2,AV29+AW29,"")</x:f>
        <x:v>8</x:v>
      </x:c>
      <x:c r="Y29" s="10" t="n">
        <x:f>IF(COUNT(X29,W29)=2,X29-W29,"")</x:f>
        <x:v>-2</x:v>
      </x:c>
      <x:c r="Z29" s="10" t="n">
        <x:v>0</x:v>
      </x:c>
      <x:c r="AA29" s="10" t="n">
        <x:f>IF(COUNT(AX29,AY29)=2,AX29+AY29,"")</x:f>
        <x:v>0</x:v>
      </x:c>
      <x:c r="AB29" s="10" t="n">
        <x:f>IF(COUNT(AA29,Z29)=2,AA29-Z29,"")</x:f>
        <x:v>0</x:v>
      </x:c>
      <x:c r="AC29" s="10" t="n">
        <x:v>199</x:v>
      </x:c>
      <x:c r="AD29" s="10" t="n">
        <x:v>199</x:v>
      </x:c>
      <x:c r="AE29" s="10" t="n">
        <x:f>IF(COUNT(AD29,AC29)=2,AD29-AC29,"")</x:f>
        <x:v>0</x:v>
      </x:c>
      <x:c r="AF29" s="10" t="n">
        <x:v>126</x:v>
      </x:c>
      <x:c r="AG29" s="10" t="n">
        <x:v>91</x:v>
      </x:c>
      <x:c r="AH29" s="10" t="n">
        <x:f>IF(COUNT(AG29,AF29)=2,AG29-AF29,"")</x:f>
        <x:v>-35</x:v>
      </x:c>
      <x:c r="AI29" s="10" t="n">
        <x:v>47</x:v>
      </x:c>
      <x:c r="AJ29" s="10" t="n">
        <x:v>37</x:v>
      </x:c>
      <x:c r="AK29" s="10" t="n">
        <x:f>IF(COUNT(AJ29,AI29)=2,AJ29-AI29,"")</x:f>
        <x:v>-10</x:v>
      </x:c>
      <x:c r="AL29" s="10" t="n">
        <x:v>35</x:v>
      </x:c>
      <x:c r="AM29" s="10" t="n">
        <x:v>35</x:v>
      </x:c>
      <x:c r="AN29" s="4" t="str">
        <x:v>LW</x:v>
      </x:c>
      <x:c r="AO29" s="4" t="str">
        <x:v>LW</x:v>
      </x:c>
      <x:c r="AP29" s="4" t="str">
        <x:v>NYI</x:v>
      </x:c>
      <x:c r="AQ29" s="4" t="str">
        <x:v>NYI</x:v>
      </x:c>
      <x:c r="AR29" s="4" t="n">
        <x:v>16.450000000000003</x:v>
      </x:c>
      <x:c r="AS29" s="4" t="n">
        <x:v>15.633333333333333</x:v>
      </x:c>
      <x:c r="AT29" s="4" t="n">
        <x:v>2.21</x:v>
      </x:c>
      <x:c r="AU29" s="4" t="n">
        <x:v>9.5</x:v>
      </x:c>
      <x:c r="AV29" s="10" t="n">
        <x:v>5</x:v>
      </x:c>
      <x:c r="AW29" s="10" t="n">
        <x:v>3</x:v>
      </x:c>
      <x:c r="AX29" s="10" t="n">
        <x:v>0</x:v>
      </x:c>
      <x:c r="AY29" s="10" t="n">
        <x:v>0</x:v>
      </x:c>
      <x:c r="AZ29" s="10" t="n">
        <x:v>1267</x:v>
      </x:c>
      <x:c r="BA29" s="10" t="n">
        <x:v>1167</x:v>
      </x:c>
      <x:c r="BB29" s="4" t="n">
        <x:v>52.1</x:v>
      </x:c>
      <x:c r="BC29" s="4" t="n">
        <x:v>3.6</x:v>
      </x:c>
      <x:c r="BD29" s="10" t="n">
        <x:v>910</x:v>
      </x:c>
      <x:c r="BE29" s="10" t="n">
        <x:v>852</x:v>
      </x:c>
      <x:c r="BF29" s="4" t="n">
        <x:v>51.6</x:v>
      </x:c>
      <x:c r="BG29" s="4" t="n">
        <x:v>2.5</x:v>
      </x:c>
      <x:c r="BH29" s="4" t="n">
        <x:v>10.4</x:v>
      </x:c>
      <x:c r="BI29" s="4" t="n">
        <x:v>89.3</x:v>
      </x:c>
      <x:c r="BJ29" s="4" t="n">
        <x:v>99.8</x:v>
      </x:c>
      <x:c r="BK29" s="4" t="n">
        <x:v>56.3</x:v>
      </x:c>
      <x:c r="BL29" s="4" t="n">
        <x:v>43.7</x:v>
      </x:c>
      <x:c r="BM29" s="4" t="n">
        <x:v>15.633333333333333</x:v>
      </x:c>
      <x:c r="BN29" s="4" t="n">
        <x:v>13.866666666666667</x:v>
      </x:c>
      <x:c r="BO29" s="10" t="n">
        <x:v>10</x:v>
      </x:c>
      <x:c r="BP29" s="10" t="n">
        <x:v>60</x:v>
      </x:c>
      <x:c r="BQ29" s="4" t="n">
        <x:v>9.2</x:v>
      </x:c>
      <x:c r="BR29" s="10" t="n">
        <x:v>369</x:v>
      </x:c>
      <x:c r="BS29" s="4" t="n">
        <x:v>53.9</x:v>
      </x:c>
      <x:c r="BT29" s="10" t="n">
        <x:v>82</x:v>
      </x:c>
      <x:c r="BU29" s="4" t="str">
        <x:v>NYI</x:v>
      </x:c>
      <x:c r="BV29" s="10" t="n">
        <x:v>187</x:v>
      </x:c>
      <x:c r="BW29" s="10" t="n">
        <x:v>197</x:v>
      </x:c>
      <x:c r="BX29" s="10" t="n">
        <x:v>585</x:v>
      </x:c>
      <x:c r="BY29" s="4" t="str">
        <x:v>Anders Lee</x:v>
      </x:c>
      <x:c r="BZ29" s="4" t="str">
        <x:v>Anders Lee</x:v>
      </x:c>
      <x:c r="CA29" s="4" t="str">
        <x:v>Anders Lee</x:v>
      </x:c>
      <x:c r="CB29" s="4" t="str">
        <x:v>leean01</x:v>
      </x:c>
    </x:row>
    <x:row r="30" ht="22" customHeight="1">
      <x:c r="A30" s="4" t="str">
        <x:v>André Burakovsky</x:v>
      </x:c>
      <x:c r="B30" s="4" t="str">
        <x:v>andreburakovsky</x:v>
      </x:c>
      <x:c r="C30" s="10" t="n">
        <x:v>1</x:v>
      </x:c>
      <x:c r="D30" s="10" t="n">
        <x:v>1</x:v>
      </x:c>
      <x:c r="E30" s="10" t="n">
        <x:v>1</x:v>
      </x:c>
      <x:c r="F30" s="4" t="n">
        <x:f>IF(COUNT(N30,Q30,T30,W30,Z30,AC30,AF30,AI30)=8,N30*Guide!$E$5+Q30*Guide!$E$6+T30*Guide!$E$7+W30*Guide!$E$8+Z30*Guide!$E$9+AC30*Guide!$E$10+AF30*Guide!$E$11+AI30*Guide!$E$12,"")</x:f>
        <x:v>175.5</x:v>
      </x:c>
      <x:c r="G30" s="4" t="n">
        <x:f>IF(COUNT(O30,R30,U30,X30,AA30,AD30,AG30,AJ30)=8,O30*Guide!$E$5+R30*Guide!$E$6+U30*Guide!$E$7+X30*Guide!$E$8+AA30*Guide!$E$9+AD30*Guide!$E$10+AG30*Guide!$E$11+AJ30*Guide!$E$12,"")</x:f>
        <x:v>140.25</x:v>
      </x:c>
      <x:c r="H30" s="4" t="n">
        <x:f>IF(COUNT(G30,F30)=2,G30-F30,"")</x:f>
        <x:v>-35.25</x:v>
      </x:c>
      <x:c r="I30" s="4" t="n">
        <x:f>IF(AND(ISNUMBER(F30),K30&gt;0),F30/K30,"")</x:f>
        <x:v>2.3092105263157894</x:v>
      </x:c>
      <x:c r="J30" s="4" t="n">
        <x:f>IF(AND(ISNUMBER(G30),L30&gt;0),G30/L30,"")</x:f>
        <x:v>1.87</x:v>
      </x:c>
      <x:c r="K30" s="10" t="n">
        <x:v>76</x:v>
      </x:c>
      <x:c r="L30" s="10" t="n">
        <x:v>75</x:v>
      </x:c>
      <x:c r="M30" s="10" t="n">
        <x:f>IF(COUNT(L30,K30)=2,L30-K30,"")</x:f>
        <x:v>-1</x:v>
      </x:c>
      <x:c r="N30" s="10" t="n">
        <x:v>12</x:v>
      </x:c>
      <x:c r="O30" s="10" t="n">
        <x:v>11</x:v>
      </x:c>
      <x:c r="P30" s="10" t="n">
        <x:f>IF(COUNT(O30,N30)=2,O30-N30,"")</x:f>
        <x:v>-1</x:v>
      </x:c>
      <x:c r="Q30" s="10" t="n">
        <x:v>23</x:v>
      </x:c>
      <x:c r="R30" s="10" t="n">
        <x:v>22</x:v>
      </x:c>
      <x:c r="S30" s="10" t="n">
        <x:f>IF(COUNT(R30,Q30)=2,R30-Q30,"")</x:f>
        <x:v>-1</x:v>
      </x:c>
      <x:c r="T30" s="10" t="n">
        <x:v>-7</x:v>
      </x:c>
      <x:c r="U30" s="10" t="n">
        <x:v>-32</x:v>
      </x:c>
      <x:c r="V30" s="10" t="n">
        <x:f>IF(COUNT(U30,T30)=2,U30-T30,"")</x:f>
        <x:v>-25</x:v>
      </x:c>
      <x:c r="W30" s="10" t="n">
        <x:v>11</x:v>
      </x:c>
      <x:c r="X30" s="10" t="n">
        <x:f>IF(COUNT(AV30,AW30)=2,AV30+AW30,"")</x:f>
        <x:v>10</x:v>
      </x:c>
      <x:c r="Y30" s="10" t="n">
        <x:f>IF(COUNT(X30,W30)=2,X30-W30,"")</x:f>
        <x:v>-1</x:v>
      </x:c>
      <x:c r="Z30" s="10" t="n">
        <x:v>0</x:v>
      </x:c>
      <x:c r="AA30" s="10" t="n">
        <x:f>IF(COUNT(AX30,AY30)=2,AX30+AY30,"")</x:f>
        <x:v>0</x:v>
      </x:c>
      <x:c r="AB30" s="10" t="n">
        <x:f>IF(COUNT(AA30,Z30)=2,AA30-Z30,"")</x:f>
        <x:v>0</x:v>
      </x:c>
      <x:c r="AC30" s="10" t="n">
        <x:v>113</x:v>
      </x:c>
      <x:c r="AD30" s="10" t="n">
        <x:v>86</x:v>
      </x:c>
      <x:c r="AE30" s="10" t="n">
        <x:f>IF(COUNT(AD30,AC30)=2,AD30-AC30,"")</x:f>
        <x:v>-27</x:v>
      </x:c>
      <x:c r="AF30" s="10" t="n">
        <x:v>30</x:v>
      </x:c>
      <x:c r="AG30" s="10" t="n">
        <x:v>18</x:v>
      </x:c>
      <x:c r="AH30" s="10" t="n">
        <x:f>IF(COUNT(AG30,AF30)=2,AG30-AF30,"")</x:f>
        <x:v>-12</x:v>
      </x:c>
      <x:c r="AI30" s="10" t="n">
        <x:v>25</x:v>
      </x:c>
      <x:c r="AJ30" s="10" t="n">
        <x:v>35</x:v>
      </x:c>
      <x:c r="AK30" s="10" t="n">
        <x:f>IF(COUNT(AJ30,AI30)=2,AJ30-AI30,"")</x:f>
        <x:v>10</x:v>
      </x:c>
      <x:c r="AL30" s="10" t="n">
        <x:v>30</x:v>
      </x:c>
      <x:c r="AM30" s="10" t="n">
        <x:v>30</x:v>
      </x:c>
      <x:c r="AN30" s="4" t="str">
        <x:v>LW</x:v>
      </x:c>
      <x:c r="AO30" s="4" t="str">
        <x:v>LW</x:v>
      </x:c>
      <x:c r="AP30" s="4" t="str">
        <x:v>CHI</x:v>
      </x:c>
      <x:c r="AQ30" s="4" t="str">
        <x:v>CHI</x:v>
      </x:c>
      <x:c r="AR30" s="4" t="n">
        <x:v>14.38</x:v>
      </x:c>
      <x:c r="AS30" s="4" t="n">
        <x:v>16.416666666666668</x:v>
      </x:c>
      <x:c r="AT30" s="4" t="n">
        <x:v>1.66</x:v>
      </x:c>
      <x:c r="AU30" s="4" t="n">
        <x:v>12.8</x:v>
      </x:c>
      <x:c r="AV30" s="10" t="n">
        <x:v>3</x:v>
      </x:c>
      <x:c r="AW30" s="10" t="n">
        <x:v>7</x:v>
      </x:c>
      <x:c r="AX30" s="10" t="n">
        <x:v>0</x:v>
      </x:c>
      <x:c r="AY30" s="10" t="n">
        <x:v>0</x:v>
      </x:c>
      <x:c r="AZ30" s="10" t="n">
        <x:v>980</x:v>
      </x:c>
      <x:c r="BA30" s="10" t="n">
        <x:v>1122</x:v>
      </x:c>
      <x:c r="BB30" s="4" t="n">
        <x:v>46.6</x:v>
      </x:c>
      <x:c r="BC30" s="4" t="n">
        <x:v>0.7</x:v>
      </x:c>
      <x:c r="BD30" s="10" t="n">
        <x:v>729</x:v>
      </x:c>
      <x:c r="BE30" s="10" t="n">
        <x:v>861</x:v>
      </x:c>
      <x:c r="BF30" s="4" t="n">
        <x:v>45.8</x:v>
      </x:c>
      <x:c r="BG30" s="4" t="n">
        <x:v>0.4</x:v>
      </x:c>
      <x:c r="BH30" s="4" t="n">
        <x:v>9</x:v>
      </x:c>
      <x:c r="BI30" s="4" t="n">
        <x:v>87.4</x:v>
      </x:c>
      <x:c r="BJ30" s="4" t="n">
        <x:v>96.3</x:v>
      </x:c>
      <x:c r="BK30" s="4" t="n">
        <x:v>62.6</x:v>
      </x:c>
      <x:c r="BL30" s="4" t="n">
        <x:v>37.4</x:v>
      </x:c>
      <x:c r="BM30" s="4" t="n">
        <x:v>16.416666666666668</x:v>
      </x:c>
      <x:c r="BN30" s="4" t="n">
        <x:v>14.2</x:v>
      </x:c>
      <x:c r="BO30" s="10" t="n">
        <x:v>30</x:v>
      </x:c>
      <x:c r="BP30" s="10" t="n">
        <x:v>61</x:v>
      </x:c>
      <x:c r="BQ30" s="4" t="n">
        <x:v>-12.3</x:v>
      </x:c>
      <x:c r="BR30" s="10" t="n">
        <x:v>184</x:v>
      </x:c>
      <x:c r="BS30" s="4" t="n">
        <x:v>46.7</x:v>
      </x:c>
      <x:c r="BT30" s="10" t="n">
        <x:v>75</x:v>
      </x:c>
      <x:c r="BU30" s="4" t="str">
        <x:v>CHI</x:v>
      </x:c>
      <x:c r="BV30" s="10" t="n">
        <x:v>309</x:v>
      </x:c>
      <x:c r="BW30" s="10" t="n">
        <x:v>283</x:v>
      </x:c>
      <x:c r="BX30" s="10" t="n">
        <x:v>115</x:v>
      </x:c>
      <x:c r="BY30" s="4" t="str">
        <x:v>Andre Burakovsky</x:v>
      </x:c>
      <x:c r="BZ30" s="4" t="str">
        <x:v>André Burakovsky</x:v>
      </x:c>
      <x:c r="CA30" s="4" t="str">
        <x:v>André Burakovsky</x:v>
      </x:c>
      <x:c r="CB30" s="4" t="str">
        <x:v>burakan01</x:v>
      </x:c>
    </x:row>
    <x:row r="31" ht="22" customHeight="1">
      <x:c r="A31" s="4" t="str">
        <x:v>Andrei Kuzmenko</x:v>
      </x:c>
      <x:c r="B31" s="4" t="str">
        <x:v>andreikuzmenko</x:v>
      </x:c>
      <x:c r="C31" s="10" t="n">
        <x:v>1</x:v>
      </x:c>
      <x:c r="D31" s="10" t="n">
        <x:v>1</x:v>
      </x:c>
      <x:c r="E31" s="10" t="n">
        <x:v>1</x:v>
      </x:c>
      <x:c r="F31" s="4" t="n">
        <x:f>IF(COUNT(N31,Q31,T31,W31,Z31,AC31,AF31,AI31)=8,N31*Guide!$E$5+Q31*Guide!$E$6+T31*Guide!$E$7+W31*Guide!$E$8+Z31*Guide!$E$9+AC31*Guide!$E$10+AF31*Guide!$E$11+AI31*Guide!$E$12,"")</x:f>
        <x:v>206.5</x:v>
      </x:c>
      <x:c r="G31" s="4" t="n">
        <x:f>IF(COUNT(O31,R31,U31,X31,AA31,AD31,AG31,AJ31)=8,O31*Guide!$E$5+R31*Guide!$E$6+U31*Guide!$E$7+X31*Guide!$E$8+AA31*Guide!$E$9+AD31*Guide!$E$10+AG31*Guide!$E$11+AJ31*Guide!$E$12,"")</x:f>
        <x:v>129.25</x:v>
      </x:c>
      <x:c r="H31" s="4" t="n">
        <x:f>IF(COUNT(G31,F31)=2,G31-F31,"")</x:f>
        <x:v>-77.25</x:v>
      </x:c>
      <x:c r="I31" s="4" t="n">
        <x:f>IF(AND(ISNUMBER(F31),K31&gt;0),F31/K31,"")</x:f>
        <x:v>2.95</x:v>
      </x:c>
      <x:c r="J31" s="4" t="n">
        <x:f>IF(AND(ISNUMBER(G31),L31&gt;0),G31/L31,"")</x:f>
        <x:v>2.485576923076923</x:v>
      </x:c>
      <x:c r="K31" s="10" t="n">
        <x:v>70</x:v>
      </x:c>
      <x:c r="L31" s="10" t="n">
        <x:v>52</x:v>
      </x:c>
      <x:c r="M31" s="10" t="n">
        <x:f>IF(COUNT(L31,K31)=2,L31-K31,"")</x:f>
        <x:v>-18</x:v>
      </x:c>
      <x:c r="N31" s="10" t="n">
        <x:v>18</x:v>
      </x:c>
      <x:c r="O31" s="10" t="n">
        <x:v>13</x:v>
      </x:c>
      <x:c r="P31" s="10" t="n">
        <x:f>IF(COUNT(O31,N31)=2,O31-N31,"")</x:f>
        <x:v>-5</x:v>
      </x:c>
      <x:c r="Q31" s="10" t="n">
        <x:v>25</x:v>
      </x:c>
      <x:c r="R31" s="10" t="n">
        <x:v>12</x:v>
      </x:c>
      <x:c r="S31" s="10" t="n">
        <x:f>IF(COUNT(R31,Q31)=2,R31-Q31,"")</x:f>
        <x:v>-13</x:v>
      </x:c>
      <x:c r="T31" s="10" t="n">
        <x:v>1</x:v>
      </x:c>
      <x:c r="U31" s="10" t="n">
        <x:v>-4</x:v>
      </x:c>
      <x:c r="V31" s="10" t="n">
        <x:f>IF(COUNT(U31,T31)=2,U31-T31,"")</x:f>
        <x:v>-5</x:v>
      </x:c>
      <x:c r="W31" s="10" t="n">
        <x:v>14</x:v>
      </x:c>
      <x:c r="X31" s="10" t="n">
        <x:f>IF(COUNT(AV31,AW31)=2,AV31+AW31,"")</x:f>
        <x:v>13</x:v>
      </x:c>
      <x:c r="Y31" s="10" t="n">
        <x:f>IF(COUNT(X31,W31)=2,X31-W31,"")</x:f>
        <x:v>-1</x:v>
      </x:c>
      <x:c r="Z31" s="10" t="n">
        <x:v>0</x:v>
      </x:c>
      <x:c r="AA31" s="10" t="n">
        <x:f>IF(COUNT(AX31,AY31)=2,AX31+AY31,"")</x:f>
        <x:v>0</x:v>
      </x:c>
      <x:c r="AB31" s="10" t="n">
        <x:f>IF(COUNT(AA31,Z31)=2,AA31-Z31,"")</x:f>
        <x:v>0</x:v>
      </x:c>
      <x:c r="AC31" s="10" t="n">
        <x:v>96</x:v>
      </x:c>
      <x:c r="AD31" s="10" t="n">
        <x:v>69</x:v>
      </x:c>
      <x:c r="AE31" s="10" t="n">
        <x:f>IF(COUNT(AD31,AC31)=2,AD31-AC31,"")</x:f>
        <x:v>-27</x:v>
      </x:c>
      <x:c r="AF31" s="10" t="n">
        <x:v>19</x:v>
      </x:c>
      <x:c r="AG31" s="10" t="n">
        <x:v>18</x:v>
      </x:c>
      <x:c r="AH31" s="10" t="n">
        <x:f>IF(COUNT(AG31,AF31)=2,AG31-AF31,"")</x:f>
        <x:v>-1</x:v>
      </x:c>
      <x:c r="AI31" s="10" t="n">
        <x:v>21</x:v>
      </x:c>
      <x:c r="AJ31" s="10" t="n">
        <x:v>14</x:v>
      </x:c>
      <x:c r="AK31" s="10" t="n">
        <x:f>IF(COUNT(AJ31,AI31)=2,AJ31-AI31,"")</x:f>
        <x:v>-7</x:v>
      </x:c>
      <x:c r="AL31" s="10" t="n">
        <x:v>29</x:v>
      </x:c>
      <x:c r="AM31" s="10" t="n">
        <x:v>29</x:v>
      </x:c>
      <x:c r="AN31" s="4" t="str">
        <x:v>LW,RW</x:v>
      </x:c>
      <x:c r="AO31" s="4" t="str">
        <x:v>F</x:v>
      </x:c>
      <x:c r="AP31" s="4" t="str">
        <x:v>LA</x:v>
      </x:c>
      <x:c r="AQ31" s="4" t="str">
        <x:v>LAK</x:v>
      </x:c>
      <x:c r="AR31" s="4" t="n">
        <x:v>15.4</x:v>
      </x:c>
      <x:c r="AS31" s="4" t="n">
        <x:v>14.916666666666666</x:v>
      </x:c>
      <x:c r="AT31" s="4" t="n">
        <x:v>2.68</x:v>
      </x:c>
      <x:c r="AU31" s="4" t="n">
        <x:v>18.8</x:v>
      </x:c>
      <x:c r="AV31" s="10" t="n">
        <x:v>8</x:v>
      </x:c>
      <x:c r="AW31" s="10" t="n">
        <x:v>5</x:v>
      </x:c>
      <x:c r="AX31" s="10" t="n">
        <x:v>0</x:v>
      </x:c>
      <x:c r="AY31" s="10" t="n">
        <x:v>0</x:v>
      </x:c>
      <x:c r="AZ31" s="10" t="n">
        <x:v>641</x:v>
      </x:c>
      <x:c r="BA31" s="10" t="n">
        <x:v>558</x:v>
      </x:c>
      <x:c r="BB31" s="4" t="n">
        <x:v>53.5</x:v>
      </x:c>
      <x:c r="BC31" s="4" t="n">
        <x:v>1.4</x:v>
      </x:c>
      <x:c r="BD31" s="10" t="n">
        <x:v>438</x:v>
      </x:c>
      <x:c r="BE31" s="10" t="n">
        <x:v>400</x:v>
      </x:c>
      <x:c r="BF31" s="4" t="n">
        <x:v>52.3</x:v>
      </x:c>
      <x:c r="BG31" s="4" t="n">
        <x:v>1.2</x:v>
      </x:c>
      <x:c r="BH31" s="4" t="n">
        <x:v>8.4</x:v>
      </x:c>
      <x:c r="BI31" s="4" t="n">
        <x:v>88.7</x:v>
      </x:c>
      <x:c r="BJ31" s="4" t="n">
        <x:v>97.1</x:v>
      </x:c>
      <x:c r="BK31" s="4" t="n">
        <x:v>57.1</x:v>
      </x:c>
      <x:c r="BL31" s="4" t="n">
        <x:v>42.9</x:v>
      </x:c>
      <x:c r="BM31" s="4" t="n">
        <x:v>14.916666666666666</x:v>
      </x:c>
      <x:c r="BN31" s="4" t="n">
        <x:v>11.916666666666666</x:v>
      </x:c>
      <x:c r="BO31" s="10" t="n">
        <x:v>10</x:v>
      </x:c>
      <x:c r="BP31" s="10" t="n">
        <x:v>49</x:v>
      </x:c>
      <x:c r="BQ31" s="4" t="n">
        <x:v>6.4</x:v>
      </x:c>
      <x:c r="BR31" s="10" t="n">
        <x:v>173</x:v>
      </x:c>
      <x:c r="BS31" s="4" t="n">
        <x:v>39.9</x:v>
      </x:c>
      <x:c r="BT31" s="10" t="n">
        <x:v>52</x:v>
      </x:c>
      <x:c r="BU31" s="4" t="str">
        <x:v>LAK</x:v>
      </x:c>
      <x:c r="BV31" s="10" t="n">
        <x:v>222</x:v>
      </x:c>
      <x:c r="BW31" s="10" t="n">
        <x:v>396</x:v>
      </x:c>
      <x:c r="BX31" s="10" t="n">
        <x:v>555</x:v>
      </x:c>
      <x:c r="BY31" s="4" t="str">
        <x:v>Andrei Kuzmenko</x:v>
      </x:c>
      <x:c r="BZ31" s="4" t="str">
        <x:v>Andrei Kuzmenko</x:v>
      </x:c>
      <x:c r="CA31" s="4" t="str">
        <x:v>Andrei Kuzmenko</x:v>
      </x:c>
      <x:c r="CB31" s="4" t="str">
        <x:v>kuzmean01</x:v>
      </x:c>
    </x:row>
    <x:row r="32" ht="22" customHeight="1">
      <x:c r="A32" s="4" t="str">
        <x:v>Andrei Svechnikov</x:v>
      </x:c>
      <x:c r="B32" s="4" t="str">
        <x:v>andreisvechnikov</x:v>
      </x:c>
      <x:c r="C32" s="10" t="n">
        <x:v>1</x:v>
      </x:c>
      <x:c r="D32" s="10" t="n">
        <x:v>1</x:v>
      </x:c>
      <x:c r="E32" s="10" t="n">
        <x:v>1</x:v>
      </x:c>
      <x:c r="F32" s="4" t="n">
        <x:f>IF(COUNT(N32,Q32,T32,W32,Z32,AC32,AF32,AI32)=8,N32*Guide!$E$5+Q32*Guide!$E$6+T32*Guide!$E$7+W32*Guide!$E$8+Z32*Guide!$E$9+AC32*Guide!$E$10+AF32*Guide!$E$11+AI32*Guide!$E$12,"")</x:f>
        <x:v>331.75</x:v>
      </x:c>
      <x:c r="G32" s="4" t="n">
        <x:f>IF(COUNT(O32,R32,U32,X32,AA32,AD32,AG32,AJ32)=8,O32*Guide!$E$5+R32*Guide!$E$6+U32*Guide!$E$7+X32*Guide!$E$8+AA32*Guide!$E$9+AD32*Guide!$E$10+AG32*Guide!$E$11+AJ32*Guide!$E$12,"")</x:f>
        <x:v>370.75</x:v>
      </x:c>
      <x:c r="H32" s="4" t="n">
        <x:f>IF(COUNT(G32,F32)=2,G32-F32,"")</x:f>
        <x:v>39</x:v>
      </x:c>
      <x:c r="I32" s="4" t="n">
        <x:f>IF(AND(ISNUMBER(F32),K32&gt;0),F32/K32,"")</x:f>
        <x:v>4.544520547945205</x:v>
      </x:c>
      <x:c r="J32" s="4" t="n">
        <x:f>IF(AND(ISNUMBER(G32),L32&gt;0),G32/L32,"")</x:f>
        <x:v>4.693037974683544</x:v>
      </x:c>
      <x:c r="K32" s="10" t="n">
        <x:v>73</x:v>
      </x:c>
      <x:c r="L32" s="10" t="n">
        <x:v>79</x:v>
      </x:c>
      <x:c r="M32" s="10" t="n">
        <x:f>IF(COUNT(L32,K32)=2,L32-K32,"")</x:f>
        <x:v>6</x:v>
      </x:c>
      <x:c r="N32" s="10" t="n">
        <x:v>25</x:v>
      </x:c>
      <x:c r="O32" s="10" t="n">
        <x:v>31</x:v>
      </x:c>
      <x:c r="P32" s="10" t="n">
        <x:f>IF(COUNT(O32,N32)=2,O32-N32,"")</x:f>
        <x:v>6</x:v>
      </x:c>
      <x:c r="Q32" s="10" t="n">
        <x:v>35</x:v>
      </x:c>
      <x:c r="R32" s="10" t="n">
        <x:v>39</x:v>
      </x:c>
      <x:c r="S32" s="10" t="n">
        <x:f>IF(COUNT(R32,Q32)=2,R32-Q32,"")</x:f>
        <x:v>4</x:v>
      </x:c>
      <x:c r="T32" s="10" t="n">
        <x:v>2</x:v>
      </x:c>
      <x:c r="U32" s="10" t="n">
        <x:v>1</x:v>
      </x:c>
      <x:c r="V32" s="10" t="n">
        <x:f>IF(COUNT(U32,T32)=2,U32-T32,"")</x:f>
        <x:v>-1</x:v>
      </x:c>
      <x:c r="W32" s="10" t="n">
        <x:v>21</x:v>
      </x:c>
      <x:c r="X32" s="10" t="n">
        <x:f>IF(COUNT(AV32,AW32)=2,AV32+AW32,"")</x:f>
        <x:v>29</x:v>
      </x:c>
      <x:c r="Y32" s="10" t="n">
        <x:f>IF(COUNT(X32,W32)=2,X32-W32,"")</x:f>
        <x:v>8</x:v>
      </x:c>
      <x:c r="Z32" s="10" t="n">
        <x:v>0</x:v>
      </x:c>
      <x:c r="AA32" s="10" t="n">
        <x:f>IF(COUNT(AX32,AY32)=2,AX32+AY32,"")</x:f>
        <x:v>0</x:v>
      </x:c>
      <x:c r="AB32" s="10" t="n">
        <x:f>IF(COUNT(AA32,Z32)=2,AA32-Z32,"")</x:f>
        <x:v>0</x:v>
      </x:c>
      <x:c r="AC32" s="10" t="n">
        <x:v>184</x:v>
      </x:c>
      <x:c r="AD32" s="10" t="n">
        <x:v>203</x:v>
      </x:c>
      <x:c r="AE32" s="10" t="n">
        <x:f>IF(COUNT(AD32,AC32)=2,AD32-AC32,"")</x:f>
        <x:v>19</x:v>
      </x:c>
      <x:c r="AF32" s="10" t="n">
        <x:v>156</x:v>
      </x:c>
      <x:c r="AG32" s="10" t="n">
        <x:v>148</x:v>
      </x:c>
      <x:c r="AH32" s="10" t="n">
        <x:f>IF(COUNT(AG32,AF32)=2,AG32-AF32,"")</x:f>
        <x:v>-8</x:v>
      </x:c>
      <x:c r="AI32" s="10" t="n">
        <x:v>25</x:v>
      </x:c>
      <x:c r="AJ32" s="10" t="n">
        <x:v>16</x:v>
      </x:c>
      <x:c r="AK32" s="10" t="n">
        <x:f>IF(COUNT(AJ32,AI32)=2,AJ32-AI32,"")</x:f>
        <x:v>-9</x:v>
      </x:c>
      <x:c r="AL32" s="10" t="n">
        <x:v>25</x:v>
      </x:c>
      <x:c r="AM32" s="10" t="n">
        <x:v>25</x:v>
      </x:c>
      <x:c r="AN32" s="4" t="str">
        <x:v>LW,RW</x:v>
      </x:c>
      <x:c r="AO32" s="4" t="str">
        <x:v>RW</x:v>
      </x:c>
      <x:c r="AP32" s="4" t="str">
        <x:v>CAR</x:v>
      </x:c>
      <x:c r="AQ32" s="4" t="str">
        <x:v>CAR</x:v>
      </x:c>
      <x:c r="AR32" s="4" t="n">
        <x:v>17.310000000000002</x:v>
      </x:c>
      <x:c r="AS32" s="4" t="n">
        <x:v>16.983333333333334</x:v>
      </x:c>
      <x:c r="AT32" s="4" t="n">
        <x:v>3.04</x:v>
      </x:c>
      <x:c r="AU32" s="4" t="n">
        <x:v>15.3</x:v>
      </x:c>
      <x:c r="AV32" s="10" t="n">
        <x:v>12</x:v>
      </x:c>
      <x:c r="AW32" s="10" t="n">
        <x:v>17</x:v>
      </x:c>
      <x:c r="AX32" s="10" t="n">
        <x:v>0</x:v>
      </x:c>
      <x:c r="AY32" s="10" t="n">
        <x:v>0</x:v>
      </x:c>
      <x:c r="AZ32" s="10" t="n">
        <x:v>1421</x:v>
      </x:c>
      <x:c r="BA32" s="10" t="n">
        <x:v>925</x:v>
      </x:c>
      <x:c r="BB32" s="4" t="n">
        <x:v>60.6</x:v>
      </x:c>
      <x:c r="BC32" s="4" t="n">
        <x:v>1.3</x:v>
      </x:c>
      <x:c r="BD32" s="10" t="n">
        <x:v>1034</x:v>
      </x:c>
      <x:c r="BE32" s="10" t="n">
        <x:v>726</x:v>
      </x:c>
      <x:c r="BF32" s="4" t="n">
        <x:v>58.8</x:v>
      </x:c>
      <x:c r="BG32" s="4" t="n">
        <x:v>0.1</x:v>
      </x:c>
      <x:c r="BH32" s="4" t="n">
        <x:v>9.2</x:v>
      </x:c>
      <x:c r="BI32" s="4" t="n">
        <x:v>88.1</x:v>
      </x:c>
      <x:c r="BJ32" s="4" t="n">
        <x:v>97.4</x:v>
      </x:c>
      <x:c r="BK32" s="4" t="n">
        <x:v>61.4</x:v>
      </x:c>
      <x:c r="BL32" s="4" t="n">
        <x:v>38.6</x:v>
      </x:c>
      <x:c r="BM32" s="4" t="n">
        <x:v>16.983333333333334</x:v>
      </x:c>
      <x:c r="BN32" s="4" t="n">
        <x:v>14</x:v>
      </x:c>
      <x:c r="BO32" s="10" t="n">
        <x:v>23</x:v>
      </x:c>
      <x:c r="BP32" s="10" t="n">
        <x:v>92</x:v>
      </x:c>
      <x:c r="BQ32" s="4" t="n">
        <x:v>9.1</x:v>
      </x:c>
      <x:c r="BR32" s="10" t="n">
        <x:v>426</x:v>
      </x:c>
      <x:c r="BS32" s="4" t="n">
        <x:v>47.7</x:v>
      </x:c>
      <x:c r="BT32" s="10" t="n">
        <x:v>79</x:v>
      </x:c>
      <x:c r="BU32" s="4" t="str">
        <x:v>CAR</x:v>
      </x:c>
      <x:c r="BV32" s="10" t="n">
        <x:v>92</x:v>
      </x:c>
      <x:c r="BW32" s="10" t="n">
        <x:v>58</x:v>
      </x:c>
      <x:c r="BX32" s="10" t="n">
        <x:v>1000</x:v>
      </x:c>
      <x:c r="BY32" s="4" t="str">
        <x:v>Andrei Svechnikov</x:v>
      </x:c>
      <x:c r="BZ32" s="4" t="str">
        <x:v>Andrei Svechnikov</x:v>
      </x:c>
      <x:c r="CA32" s="4" t="str">
        <x:v>Andrei Svechnikov</x:v>
      </x:c>
      <x:c r="CB32" s="4" t="str">
        <x:v>svechan01</x:v>
      </x:c>
    </x:row>
    <x:row r="33" ht="22" customHeight="1">
      <x:c r="A33" s="4" t="str">
        <x:v>Andrew Copp</x:v>
      </x:c>
      <x:c r="B33" s="4" t="str">
        <x:v>andrewcopp</x:v>
      </x:c>
      <x:c r="C33" s="10" t="n">
        <x:v>1</x:v>
      </x:c>
      <x:c r="D33" s="10" t="n">
        <x:v>1</x:v>
      </x:c>
      <x:c r="E33" s="10" t="n">
        <x:v>1</x:v>
      </x:c>
      <x:c r="F33" s="4" t="n">
        <x:f>IF(COUNT(N33,Q33,T33,W33,Z33,AC33,AF33,AI33)=8,N33*Guide!$E$5+Q33*Guide!$E$6+T33*Guide!$E$7+W33*Guide!$E$8+Z33*Guide!$E$9+AC33*Guide!$E$10+AF33*Guide!$E$11+AI33*Guide!$E$12,"")</x:f>
        <x:v>181.25</x:v>
      </x:c>
      <x:c r="G33" s="4" t="n">
        <x:f>IF(COUNT(O33,R33,U33,X33,AA33,AD33,AG33,AJ33)=8,O33*Guide!$E$5+R33*Guide!$E$6+U33*Guide!$E$7+X33*Guide!$E$8+AA33*Guide!$E$9+AD33*Guide!$E$10+AG33*Guide!$E$11+AJ33*Guide!$E$12,"")</x:f>
        <x:v>236.75</x:v>
      </x:c>
      <x:c r="H33" s="4" t="n">
        <x:f>IF(COUNT(G33,F33)=2,G33-F33,"")</x:f>
        <x:v>55.5</x:v>
      </x:c>
      <x:c r="I33" s="4" t="n">
        <x:f>IF(AND(ISNUMBER(F33),K33&gt;0),F33/K33,"")</x:f>
        <x:v>2.265625</x:v>
      </x:c>
      <x:c r="J33" s="4" t="n">
        <x:f>IF(AND(ISNUMBER(G33),L33&gt;0),G33/L33,"")</x:f>
        <x:v>2.9968354430379747</x:v>
      </x:c>
      <x:c r="K33" s="10" t="n">
        <x:v>80</x:v>
      </x:c>
      <x:c r="L33" s="10" t="n">
        <x:v>79</x:v>
      </x:c>
      <x:c r="M33" s="10" t="n">
        <x:f>IF(COUNT(L33,K33)=2,L33-K33,"")</x:f>
        <x:v>-1</x:v>
      </x:c>
      <x:c r="N33" s="10" t="n">
        <x:v>13</x:v>
      </x:c>
      <x:c r="O33" s="10" t="n">
        <x:v>9</x:v>
      </x:c>
      <x:c r="P33" s="10" t="n">
        <x:f>IF(COUNT(O33,N33)=2,O33-N33,"")</x:f>
        <x:v>-4</x:v>
      </x:c>
      <x:c r="Q33" s="10" t="n">
        <x:v>20</x:v>
      </x:c>
      <x:c r="R33" s="10" t="n">
        <x:v>34</x:v>
      </x:c>
      <x:c r="S33" s="10" t="n">
        <x:f>IF(COUNT(R33,Q33)=2,R33-Q33,"")</x:f>
        <x:v>14</x:v>
      </x:c>
      <x:c r="T33" s="10" t="n">
        <x:v>-1</x:v>
      </x:c>
      <x:c r="U33" s="10" t="n">
        <x:v>3</x:v>
      </x:c>
      <x:c r="V33" s="10" t="n">
        <x:f>IF(COUNT(U33,T33)=2,U33-T33,"")</x:f>
        <x:v>4</x:v>
      </x:c>
      <x:c r="W33" s="10" t="n">
        <x:v>3</x:v>
      </x:c>
      <x:c r="X33" s="10" t="n">
        <x:f>IF(COUNT(AV33,AW33)=2,AV33+AW33,"")</x:f>
        <x:v>8</x:v>
      </x:c>
      <x:c r="Y33" s="10" t="n">
        <x:f>IF(COUNT(X33,W33)=2,X33-W33,"")</x:f>
        <x:v>5</x:v>
      </x:c>
      <x:c r="Z33" s="10" t="n">
        <x:v>1</x:v>
      </x:c>
      <x:c r="AA33" s="10" t="n">
        <x:f>IF(COUNT(AX33,AY33)=2,AX33+AY33,"")</x:f>
        <x:v>0</x:v>
      </x:c>
      <x:c r="AB33" s="10" t="n">
        <x:f>IF(COUNT(AA33,Z33)=2,AA33-Z33,"")</x:f>
        <x:v>-1</x:v>
      </x:c>
      <x:c r="AC33" s="10" t="n">
        <x:v>94</x:v>
      </x:c>
      <x:c r="AD33" s="10" t="n">
        <x:v>115</x:v>
      </x:c>
      <x:c r="AE33" s="10" t="n">
        <x:f>IF(COUNT(AD33,AC33)=2,AD33-AC33,"")</x:f>
        <x:v>21</x:v>
      </x:c>
      <x:c r="AF33" s="10" t="n">
        <x:v>19</x:v>
      </x:c>
      <x:c r="AG33" s="10" t="n">
        <x:v>44</x:v>
      </x:c>
      <x:c r="AH33" s="10" t="n">
        <x:f>IF(COUNT(AG33,AF33)=2,AG33-AF33,"")</x:f>
        <x:v>25</x:v>
      </x:c>
      <x:c r="AI33" s="10" t="n">
        <x:v>48</x:v>
      </x:c>
      <x:c r="AJ33" s="10" t="n">
        <x:v>64</x:v>
      </x:c>
      <x:c r="AK33" s="10" t="n">
        <x:f>IF(COUNT(AJ33,AI33)=2,AJ33-AI33,"")</x:f>
        <x:v>16</x:v>
      </x:c>
      <x:c r="AL33" s="10" t="n">
        <x:v>31</x:v>
      </x:c>
      <x:c r="AM33" s="10" t="n">
        <x:v>31</x:v>
      </x:c>
      <x:c r="AN33" s="4" t="str">
        <x:v>C,LW</x:v>
      </x:c>
      <x:c r="AO33" s="4" t="str">
        <x:v>C</x:v>
      </x:c>
      <x:c r="AP33" s="4" t="str">
        <x:v>DET</x:v>
      </x:c>
      <x:c r="AQ33" s="4" t="str">
        <x:v>DET</x:v>
      </x:c>
      <x:c r="AR33" s="4" t="n">
        <x:v>15.01</x:v>
      </x:c>
      <x:c r="AS33" s="4" t="n">
        <x:v>16.566666666666666</x:v>
      </x:c>
      <x:c r="AT33" s="4" t="n">
        <x:v>0.55</x:v>
      </x:c>
      <x:c r="AU33" s="4" t="n">
        <x:v>7.8</x:v>
      </x:c>
      <x:c r="AV33" s="10" t="n">
        <x:v>1</x:v>
      </x:c>
      <x:c r="AW33" s="10" t="n">
        <x:v>7</x:v>
      </x:c>
      <x:c r="AX33" s="10" t="n">
        <x:v>0</x:v>
      </x:c>
      <x:c r="AY33" s="10" t="n">
        <x:v>0</x:v>
      </x:c>
      <x:c r="AZ33" s="10" t="n">
        <x:v>1099</x:v>
      </x:c>
      <x:c r="BA33" s="10" t="n">
        <x:v>1056</x:v>
      </x:c>
      <x:c r="BB33" s="4" t="n">
        <x:v>51</x:v>
      </x:c>
      <x:c r="BC33" s="4" t="n">
        <x:v>2.6</x:v>
      </x:c>
      <x:c r="BD33" s="10" t="n">
        <x:v>794</x:v>
      </x:c>
      <x:c r="BE33" s="10" t="n">
        <x:v>726</x:v>
      </x:c>
      <x:c r="BF33" s="4" t="n">
        <x:v>52.2</x:v>
      </x:c>
      <x:c r="BG33" s="4" t="n">
        <x:v>3.1</x:v>
      </x:c>
      <x:c r="BH33" s="4" t="n">
        <x:v>10.4</x:v>
      </x:c>
      <x:c r="BI33" s="4" t="n">
        <x:v>88.6</x:v>
      </x:c>
      <x:c r="BJ33" s="4" t="n">
        <x:v>99</x:v>
      </x:c>
      <x:c r="BK33" s="4" t="n">
        <x:v>50.6</x:v>
      </x:c>
      <x:c r="BL33" s="4" t="n">
        <x:v>49.4</x:v>
      </x:c>
      <x:c r="BM33" s="4" t="n">
        <x:v>16.566666666666666</x:v>
      </x:c>
      <x:c r="BN33" s="4" t="n">
        <x:v>13.766666666666667</x:v>
      </x:c>
      <x:c r="BO33" s="10" t="n">
        <x:v>22</x:v>
      </x:c>
      <x:c r="BP33" s="10" t="n">
        <x:v>75</x:v>
      </x:c>
      <x:c r="BQ33" s="4" t="n">
        <x:v>5.4</x:v>
      </x:c>
      <x:c r="BR33" s="10" t="n">
        <x:v>219</x:v>
      </x:c>
      <x:c r="BS33" s="4" t="n">
        <x:v>52.5</x:v>
      </x:c>
      <x:c r="BT33" s="10" t="n">
        <x:v>79</x:v>
      </x:c>
      <x:c r="BU33" s="4" t="str">
        <x:v>DET</x:v>
      </x:c>
      <x:c r="BV33" s="10" t="n">
        <x:v>335</x:v>
      </x:c>
      <x:c r="BW33" s="10" t="n">
        <x:v>192</x:v>
      </x:c>
      <x:c r="BX33" s="10" t="n">
        <x:v>173</x:v>
      </x:c>
      <x:c r="BY33" s="4" t="str">
        <x:v>Andrew Copp</x:v>
      </x:c>
      <x:c r="BZ33" s="4" t="str">
        <x:v>Andrew Copp</x:v>
      </x:c>
      <x:c r="CA33" s="4" t="str">
        <x:v>Andrew Copp</x:v>
      </x:c>
      <x:c r="CB33" s="4" t="str">
        <x:v>coppan01</x:v>
      </x:c>
    </x:row>
    <x:row r="34" ht="22" customHeight="1">
      <x:c r="A34" s="4" t="str">
        <x:v>Anthony Beauvillier</x:v>
      </x:c>
      <x:c r="B34" s="4" t="str">
        <x:v>anthonybeauvillier</x:v>
      </x:c>
      <x:c r="C34" s="10" t="n">
        <x:v>1</x:v>
      </x:c>
      <x:c r="D34" s="10" t="n">
        <x:v>1</x:v>
      </x:c>
      <x:c r="E34" s="10" t="n">
        <x:v>1</x:v>
      </x:c>
      <x:c r="F34" s="4" t="n">
        <x:f>IF(COUNT(N34,Q34,T34,W34,Z34,AC34,AF34,AI34)=8,N34*Guide!$E$5+Q34*Guide!$E$6+T34*Guide!$E$7+W34*Guide!$E$8+Z34*Guide!$E$9+AC34*Guide!$E$10+AF34*Guide!$E$11+AI34*Guide!$E$12,"")</x:f>
        <x:v>183.75</x:v>
      </x:c>
      <x:c r="G34" s="4" t="n">
        <x:f>IF(COUNT(O34,R34,U34,X34,AA34,AD34,AG34,AJ34)=8,O34*Guide!$E$5+R34*Guide!$E$6+U34*Guide!$E$7+X34*Guide!$E$8+AA34*Guide!$E$9+AD34*Guide!$E$10+AG34*Guide!$E$11+AJ34*Guide!$E$12,"")</x:f>
        <x:v>208</x:v>
      </x:c>
      <x:c r="H34" s="4" t="n">
        <x:f>IF(COUNT(G34,F34)=2,G34-F34,"")</x:f>
        <x:v>24.25</x:v>
      </x:c>
      <x:c r="I34" s="4" t="n">
        <x:f>IF(AND(ISNUMBER(F34),K34&gt;0),F34/K34,"")</x:f>
        <x:v>2.296875</x:v>
      </x:c>
      <x:c r="J34" s="4" t="n">
        <x:f>IF(AND(ISNUMBER(G34),L34&gt;0),G34/L34,"")</x:f>
        <x:v>2.5365853658536586</x:v>
      </x:c>
      <x:c r="K34" s="10" t="n">
        <x:v>80</x:v>
      </x:c>
      <x:c r="L34" s="10" t="n">
        <x:v>82</x:v>
      </x:c>
      <x:c r="M34" s="10" t="n">
        <x:f>IF(COUNT(L34,K34)=2,L34-K34,"")</x:f>
        <x:v>2</x:v>
      </x:c>
      <x:c r="N34" s="10" t="n">
        <x:v>13</x:v>
      </x:c>
      <x:c r="O34" s="10" t="n">
        <x:v>15</x:v>
      </x:c>
      <x:c r="P34" s="10" t="n">
        <x:f>IF(COUNT(O34,N34)=2,O34-N34,"")</x:f>
        <x:v>2</x:v>
      </x:c>
      <x:c r="Q34" s="10" t="n">
        <x:v>13</x:v>
      </x:c>
      <x:c r="R34" s="10" t="n">
        <x:v>13</x:v>
      </x:c>
      <x:c r="S34" s="10" t="n">
        <x:f>IF(COUNT(R34,Q34)=2,R34-Q34,"")</x:f>
        <x:v>0</x:v>
      </x:c>
      <x:c r="T34" s="10" t="n">
        <x:v>0</x:v>
      </x:c>
      <x:c r="U34" s="10" t="n">
        <x:v>7</x:v>
      </x:c>
      <x:c r="V34" s="10" t="n">
        <x:f>IF(COUNT(U34,T34)=2,U34-T34,"")</x:f>
        <x:v>7</x:v>
      </x:c>
      <x:c r="W34" s="10" t="n">
        <x:v>2</x:v>
      </x:c>
      <x:c r="X34" s="10" t="n">
        <x:f>IF(COUNT(AV34,AW34)=2,AV34+AW34,"")</x:f>
        <x:v>1</x:v>
      </x:c>
      <x:c r="Y34" s="10" t="n">
        <x:f>IF(COUNT(X34,W34)=2,X34-W34,"")</x:f>
        <x:v>-1</x:v>
      </x:c>
      <x:c r="Z34" s="10" t="n">
        <x:v>0</x:v>
      </x:c>
      <x:c r="AA34" s="10" t="n">
        <x:f>IF(COUNT(AX34,AY34)=2,AX34+AY34,"")</x:f>
        <x:v>1</x:v>
      </x:c>
      <x:c r="AB34" s="10" t="n">
        <x:f>IF(COUNT(AA34,Z34)=2,AA34-Z34,"")</x:f>
        <x:v>1</x:v>
      </x:c>
      <x:c r="AC34" s="10" t="n">
        <x:v>132</x:v>
      </x:c>
      <x:c r="AD34" s="10" t="n">
        <x:v>155</x:v>
      </x:c>
      <x:c r="AE34" s="10" t="n">
        <x:f>IF(COUNT(AD34,AC34)=2,AD34-AC34,"")</x:f>
        <x:v>23</x:v>
      </x:c>
      <x:c r="AF34" s="10" t="n">
        <x:v>117</x:v>
      </x:c>
      <x:c r="AG34" s="10" t="n">
        <x:v>93</x:v>
      </x:c>
      <x:c r="AH34" s="10" t="n">
        <x:f>IF(COUNT(AG34,AF34)=2,AG34-AF34,"")</x:f>
        <x:v>-24</x:v>
      </x:c>
      <x:c r="AI34" s="10" t="n">
        <x:v>38</x:v>
      </x:c>
      <x:c r="AJ34" s="10" t="n">
        <x:v>48</x:v>
      </x:c>
      <x:c r="AK34" s="10" t="n">
        <x:f>IF(COUNT(AJ34,AI34)=2,AJ34-AI34,"")</x:f>
        <x:v>10</x:v>
      </x:c>
      <x:c r="AL34" s="10" t="n">
        <x:v>28</x:v>
      </x:c>
      <x:c r="AM34" s="10" t="n">
        <x:v>28</x:v>
      </x:c>
      <x:c r="AN34" s="4" t="str">
        <x:v>LW</x:v>
      </x:c>
      <x:c r="AO34" s="4" t="str">
        <x:v>LW</x:v>
      </x:c>
      <x:c r="AP34" s="4" t="str">
        <x:v>WSH</x:v>
      </x:c>
      <x:c r="AQ34" s="4" t="str">
        <x:v>WSH</x:v>
      </x:c>
      <x:c r="AR34" s="4" t="n">
        <x:v>13.209999999999999</x:v>
      </x:c>
      <x:c r="AS34" s="4" t="n">
        <x:v>15.8</x:v>
      </x:c>
      <x:c r="AT34" s="4" t="n">
        <x:v>0.41</x:v>
      </x:c>
      <x:c r="AU34" s="4" t="n">
        <x:v>9.7</x:v>
      </x:c>
      <x:c r="AV34" s="10" t="n">
        <x:v>1</x:v>
      </x:c>
      <x:c r="AW34" s="10" t="n">
        <x:v>0</x:v>
      </x:c>
      <x:c r="AX34" s="10" t="n">
        <x:v>0</x:v>
      </x:c>
      <x:c r="AY34" s="10" t="n">
        <x:v>1</x:v>
      </x:c>
      <x:c r="AZ34" s="10" t="n">
        <x:v>1140</x:v>
      </x:c>
      <x:c r="BA34" s="10" t="n">
        <x:v>1197</x:v>
      </x:c>
      <x:c r="BB34" s="4" t="n">
        <x:v>48.8</x:v>
      </x:c>
      <x:c r="BC34" s="4" t="n">
        <x:v>-1.1</x:v>
      </x:c>
      <x:c r="BD34" s="10" t="n">
        <x:v>843</x:v>
      </x:c>
      <x:c r="BE34" s="10" t="n">
        <x:v>854</x:v>
      </x:c>
      <x:c r="BF34" s="4" t="n">
        <x:v>49.7</x:v>
      </x:c>
      <x:c r="BG34" s="4" t="n">
        <x:v>-1.1</x:v>
      </x:c>
      <x:c r="BH34" s="4" t="n">
        <x:v>9.9</x:v>
      </x:c>
      <x:c r="BI34" s="4" t="n">
        <x:v>91.1</x:v>
      </x:c>
      <x:c r="BJ34" s="4" t="n">
        <x:v>101.1</x:v>
      </x:c>
      <x:c r="BK34" s="4" t="n">
        <x:v>53.5</x:v>
      </x:c>
      <x:c r="BL34" s="4" t="n">
        <x:v>46.5</x:v>
      </x:c>
      <x:c r="BM34" s="4" t="n">
        <x:v>15.8</x:v>
      </x:c>
      <x:c r="BN34" s="4" t="n">
        <x:v>14.1</x:v>
      </x:c>
      <x:c r="BO34" s="10" t="n">
        <x:v>21</x:v>
      </x:c>
      <x:c r="BP34" s="10" t="n">
        <x:v>44</x:v>
      </x:c>
      <x:c r="BQ34" s="4" t="n">
        <x:v>0.5</x:v>
      </x:c>
      <x:c r="BR34" s="10" t="n">
        <x:v>280</x:v>
      </x:c>
      <x:c r="BS34" s="4" t="n">
        <x:v>55.4</x:v>
      </x:c>
      <x:c r="BT34" s="10" t="n">
        <x:v>82</x:v>
      </x:c>
      <x:c r="BU34" s="4" t="str">
        <x:v>WSH</x:v>
      </x:c>
      <x:c r="BV34" s="10" t="n">
        <x:v>424</x:v>
      </x:c>
      <x:c r="BW34" s="10" t="n">
        <x:v>351</x:v>
      </x:c>
      <x:c r="BX34" s="10" t="n">
        <x:v>38</x:v>
      </x:c>
      <x:c r="BY34" s="4" t="str">
        <x:v>Anthony Beauvillier</x:v>
      </x:c>
      <x:c r="BZ34" s="4" t="str">
        <x:v>Anthony Beauvillier</x:v>
      </x:c>
      <x:c r="CA34" s="4" t="str">
        <x:v>Anthony Beauvillier</x:v>
      </x:c>
      <x:c r="CB34" s="4" t="str">
        <x:v>beauvan01</x:v>
      </x:c>
    </x:row>
    <x:row r="35" ht="22" customHeight="1">
      <x:c r="A35" s="4" t="str">
        <x:v>Anthony Cirelli</x:v>
      </x:c>
      <x:c r="B35" s="4" t="str">
        <x:v>anthonycirelli</x:v>
      </x:c>
      <x:c r="C35" s="10" t="n">
        <x:v>1</x:v>
      </x:c>
      <x:c r="D35" s="10" t="n">
        <x:v>1</x:v>
      </x:c>
      <x:c r="E35" s="10" t="n">
        <x:v>1</x:v>
      </x:c>
      <x:c r="F35" s="4" t="n">
        <x:f>IF(COUNT(N35,Q35,T35,W35,Z35,AC35,AF35,AI35)=8,N35*Guide!$E$5+Q35*Guide!$E$6+T35*Guide!$E$7+W35*Guide!$E$8+Z35*Guide!$E$9+AC35*Guide!$E$10+AF35*Guide!$E$11+AI35*Guide!$E$12,"")</x:f>
        <x:v>288</x:v>
      </x:c>
      <x:c r="G35" s="4" t="n">
        <x:f>IF(COUNT(O35,R35,U35,X35,AA35,AD35,AG35,AJ35)=8,O35*Guide!$E$5+R35*Guide!$E$6+U35*Guide!$E$7+X35*Guide!$E$8+AA35*Guide!$E$9+AD35*Guide!$E$10+AG35*Guide!$E$11+AJ35*Guide!$E$12,"")</x:f>
        <x:v>312</x:v>
      </x:c>
      <x:c r="H35" s="4" t="n">
        <x:f>IF(COUNT(G35,F35)=2,G35-F35,"")</x:f>
        <x:v>24</x:v>
      </x:c>
      <x:c r="I35" s="4" t="n">
        <x:f>IF(AND(ISNUMBER(F35),K35&gt;0),F35/K35,"")</x:f>
        <x:v>3.84</x:v>
      </x:c>
      <x:c r="J35" s="4" t="n">
        <x:f>IF(AND(ISNUMBER(G35),L35&gt;0),G35/L35,"")</x:f>
        <x:v>4.394366197183099</x:v>
      </x:c>
      <x:c r="K35" s="10" t="n">
        <x:v>75</x:v>
      </x:c>
      <x:c r="L35" s="10" t="n">
        <x:v>71</x:v>
      </x:c>
      <x:c r="M35" s="10" t="n">
        <x:f>IF(COUNT(L35,K35)=2,L35-K35,"")</x:f>
        <x:v>-4</x:v>
      </x:c>
      <x:c r="N35" s="10" t="n">
        <x:v>22</x:v>
      </x:c>
      <x:c r="O35" s="10" t="n">
        <x:v>23</x:v>
      </x:c>
      <x:c r="P35" s="10" t="n">
        <x:f>IF(COUNT(O35,N35)=2,O35-N35,"")</x:f>
        <x:v>1</x:v>
      </x:c>
      <x:c r="Q35" s="10" t="n">
        <x:v>26</x:v>
      </x:c>
      <x:c r="R35" s="10" t="n">
        <x:v>29</x:v>
      </x:c>
      <x:c r="S35" s="10" t="n">
        <x:f>IF(COUNT(R35,Q35)=2,R35-Q35,"")</x:f>
        <x:v>3</x:v>
      </x:c>
      <x:c r="T35" s="10" t="n">
        <x:v>12</x:v>
      </x:c>
      <x:c r="U35" s="10" t="n">
        <x:v>38</x:v>
      </x:c>
      <x:c r="V35" s="10" t="n">
        <x:f>IF(COUNT(U35,T35)=2,U35-T35,"")</x:f>
        <x:v>26</x:v>
      </x:c>
      <x:c r="W35" s="10" t="n">
        <x:v>7</x:v>
      </x:c>
      <x:c r="X35" s="10" t="n">
        <x:f>IF(COUNT(AV35,AW35)=2,AV35+AW35,"")</x:f>
        <x:v>4</x:v>
      </x:c>
      <x:c r="Y35" s="10" t="n">
        <x:f>IF(COUNT(X35,W35)=2,X35-W35,"")</x:f>
        <x:v>-3</x:v>
      </x:c>
      <x:c r="Z35" s="10" t="n">
        <x:v>3</x:v>
      </x:c>
      <x:c r="AA35" s="10" t="n">
        <x:f>IF(COUNT(AX35,AY35)=2,AX35+AY35,"")</x:f>
        <x:v>4</x:v>
      </x:c>
      <x:c r="AB35" s="10" t="n">
        <x:f>IF(COUNT(AA35,Z35)=2,AA35-Z35,"")</x:f>
        <x:v>1</x:v>
      </x:c>
      <x:c r="AC35" s="10" t="n">
        <x:v>138</x:v>
      </x:c>
      <x:c r="AD35" s="10" t="n">
        <x:v>125</x:v>
      </x:c>
      <x:c r="AE35" s="10" t="n">
        <x:f>IF(COUNT(AD35,AC35)=2,AD35-AC35,"")</x:f>
        <x:v>-13</x:v>
      </x:c>
      <x:c r="AF35" s="10" t="n">
        <x:v>34</x:v>
      </x:c>
      <x:c r="AG35" s="10" t="n">
        <x:v>50</x:v>
      </x:c>
      <x:c r="AH35" s="10" t="n">
        <x:f>IF(COUNT(AG35,AF35)=2,AG35-AF35,"")</x:f>
        <x:v>16</x:v>
      </x:c>
      <x:c r="AI35" s="10" t="n">
        <x:v>68</x:v>
      </x:c>
      <x:c r="AJ35" s="10" t="n">
        <x:v>47</x:v>
      </x:c>
      <x:c r="AK35" s="10" t="n">
        <x:f>IF(COUNT(AJ35,AI35)=2,AJ35-AI35,"")</x:f>
        <x:v>-21</x:v>
      </x:c>
      <x:c r="AL35" s="10" t="n">
        <x:v>28</x:v>
      </x:c>
      <x:c r="AM35" s="10" t="n">
        <x:v>28</x:v>
      </x:c>
      <x:c r="AN35" s="4" t="str">
        <x:v>C</x:v>
      </x:c>
      <x:c r="AO35" s="4" t="str">
        <x:v>C</x:v>
      </x:c>
      <x:c r="AP35" s="4" t="str">
        <x:v>TB</x:v>
      </x:c>
      <x:c r="AQ35" s="4" t="str">
        <x:v>TBL</x:v>
      </x:c>
      <x:c r="AR35" s="4" t="n">
        <x:v>18.51</x:v>
      </x:c>
      <x:c r="AS35" s="4" t="n">
        <x:v>17.316666666666666</x:v>
      </x:c>
      <x:c r="AT35" s="4" t="n">
        <x:v>1.34</x:v>
      </x:c>
      <x:c r="AU35" s="4" t="n">
        <x:v>18.4</x:v>
      </x:c>
      <x:c r="AV35" s="10" t="n">
        <x:v>3</x:v>
      </x:c>
      <x:c r="AW35" s="10" t="n">
        <x:v>1</x:v>
      </x:c>
      <x:c r="AX35" s="10" t="n">
        <x:v>2</x:v>
      </x:c>
      <x:c r="AY35" s="10" t="n">
        <x:v>2</x:v>
      </x:c>
      <x:c r="AZ35" s="10" t="n">
        <x:v>1119</x:v>
      </x:c>
      <x:c r="BA35" s="10" t="n">
        <x:v>878</x:v>
      </x:c>
      <x:c r="BB35" s="4" t="n">
        <x:v>56</x:v>
      </x:c>
      <x:c r="BC35" s="4" t="n">
        <x:v>4</x:v>
      </x:c>
      <x:c r="BD35" s="10" t="n">
        <x:v>812</x:v>
      </x:c>
      <x:c r="BE35" s="10" t="n">
        <x:v>649</x:v>
      </x:c>
      <x:c r="BF35" s="4" t="n">
        <x:v>55.6</x:v>
      </x:c>
      <x:c r="BG35" s="4" t="n">
        <x:v>4.6</x:v>
      </x:c>
      <x:c r="BH35" s="4" t="n">
        <x:v>14.3</x:v>
      </x:c>
      <x:c r="BI35" s="4" t="n">
        <x:v>90.3</x:v>
      </x:c>
      <x:c r="BJ35" s="4" t="n">
        <x:v>104.6</x:v>
      </x:c>
      <x:c r="BK35" s="4" t="n">
        <x:v>52.2</x:v>
      </x:c>
      <x:c r="BL35" s="4" t="n">
        <x:v>47.8</x:v>
      </x:c>
      <x:c r="BM35" s="4" t="n">
        <x:v>17.316666666666666</x:v>
      </x:c>
      <x:c r="BN35" s="4" t="n">
        <x:v>13.466666666666667</x:v>
      </x:c>
      <x:c r="BO35" s="10" t="n">
        <x:v>25</x:v>
      </x:c>
      <x:c r="BP35" s="10" t="n">
        <x:v>50</x:v>
      </x:c>
      <x:c r="BQ35" s="4" t="n">
        <x:v>14.5</x:v>
      </x:c>
      <x:c r="BR35" s="10" t="n">
        <x:v>220</x:v>
      </x:c>
      <x:c r="BS35" s="4" t="n">
        <x:v>56.8</x:v>
      </x:c>
      <x:c r="BT35" s="10" t="n">
        <x:v>71</x:v>
      </x:c>
      <x:c r="BU35" s="4" t="str">
        <x:v>TBL</x:v>
      </x:c>
      <x:c r="BV35" s="10" t="n">
        <x:v>170</x:v>
      </x:c>
      <x:c r="BW35" s="10" t="n">
        <x:v>127</x:v>
      </x:c>
      <x:c r="BX35" s="10" t="n">
        <x:v>158</x:v>
      </x:c>
      <x:c r="BY35" s="4" t="str">
        <x:v>Anthony Cirelli</x:v>
      </x:c>
      <x:c r="BZ35" s="4" t="str">
        <x:v>Anthony Cirelli</x:v>
      </x:c>
      <x:c r="CA35" s="4" t="str">
        <x:v>Anthony Cirelli</x:v>
      </x:c>
      <x:c r="CB35" s="4" t="str">
        <x:v>cirelan01</x:v>
      </x:c>
    </x:row>
    <x:row r="36" ht="22" customHeight="1">
      <x:c r="A36" s="4" t="str">
        <x:v>Anthony Duclair</x:v>
      </x:c>
      <x:c r="B36" s="4" t="str">
        <x:v>anthonyduclair</x:v>
      </x:c>
      <x:c r="C36" s="10" t="n">
        <x:v>1</x:v>
      </x:c>
      <x:c r="D36" s="10" t="n">
        <x:v>1</x:v>
      </x:c>
      <x:c r="E36" s="10" t="n">
        <x:v>1</x:v>
      </x:c>
      <x:c r="F36" s="4" t="n">
        <x:f>IF(COUNT(N36,Q36,T36,W36,Z36,AC36,AF36,AI36)=8,N36*Guide!$E$5+Q36*Guide!$E$6+T36*Guide!$E$7+W36*Guide!$E$8+Z36*Guide!$E$9+AC36*Guide!$E$10+AF36*Guide!$E$11+AI36*Guide!$E$12,"")</x:f>
        <x:v>180.25</x:v>
      </x:c>
      <x:c r="G36" s="4" t="n">
        <x:f>IF(COUNT(O36,R36,U36,X36,AA36,AD36,AG36,AJ36)=8,O36*Guide!$E$5+R36*Guide!$E$6+U36*Guide!$E$7+X36*Guide!$E$8+AA36*Guide!$E$9+AD36*Guide!$E$10+AG36*Guide!$E$11+AJ36*Guide!$E$12,"")</x:f>
        <x:v>151.25</x:v>
      </x:c>
      <x:c r="H36" s="4" t="n">
        <x:f>IF(COUNT(G36,F36)=2,G36-F36,"")</x:f>
        <x:v>-29</x:v>
      </x:c>
      <x:c r="I36" s="4" t="n">
        <x:f>IF(AND(ISNUMBER(F36),K36&gt;0),F36/K36,"")</x:f>
        <x:v>2.5034722222222223</x:v>
      </x:c>
      <x:c r="J36" s="4" t="n">
        <x:f>IF(AND(ISNUMBER(G36),L36&gt;0),G36/L36,"")</x:f>
        <x:v>2.439516129032258</x:v>
      </x:c>
      <x:c r="K36" s="10" t="n">
        <x:v>72</x:v>
      </x:c>
      <x:c r="L36" s="10" t="n">
        <x:v>62</x:v>
      </x:c>
      <x:c r="M36" s="10" t="n">
        <x:f>IF(COUNT(L36,K36)=2,L36-K36,"")</x:f>
        <x:v>-10</x:v>
      </x:c>
      <x:c r="N36" s="10" t="n">
        <x:v>15</x:v>
      </x:c>
      <x:c r="O36" s="10" t="n">
        <x:v>12</x:v>
      </x:c>
      <x:c r="P36" s="10" t="n">
        <x:f>IF(COUNT(O36,N36)=2,O36-N36,"")</x:f>
        <x:v>-3</x:v>
      </x:c>
      <x:c r="Q36" s="10" t="n">
        <x:v>18</x:v>
      </x:c>
      <x:c r="R36" s="10" t="n">
        <x:v>15</x:v>
      </x:c>
      <x:c r="S36" s="10" t="n">
        <x:f>IF(COUNT(R36,Q36)=2,R36-Q36,"")</x:f>
        <x:v>-3</x:v>
      </x:c>
      <x:c r="T36" s="10" t="n">
        <x:v>-8</x:v>
      </x:c>
      <x:c r="U36" s="10" t="n">
        <x:v>0</x:v>
      </x:c>
      <x:c r="V36" s="10" t="n">
        <x:f>IF(COUNT(U36,T36)=2,U36-T36,"")</x:f>
        <x:v>8</x:v>
      </x:c>
      <x:c r="W36" s="10" t="n">
        <x:v>9</x:v>
      </x:c>
      <x:c r="X36" s="10" t="n">
        <x:f>IF(COUNT(AV36,AW36)=2,AV36+AW36,"")</x:f>
        <x:v>6</x:v>
      </x:c>
      <x:c r="Y36" s="10" t="n">
        <x:f>IF(COUNT(X36,W36)=2,X36-W36,"")</x:f>
        <x:v>-3</x:v>
      </x:c>
      <x:c r="Z36" s="10" t="n">
        <x:v>0</x:v>
      </x:c>
      <x:c r="AA36" s="10" t="n">
        <x:f>IF(COUNT(AX36,AY36)=2,AX36+AY36,"")</x:f>
        <x:v>0</x:v>
      </x:c>
      <x:c r="AB36" s="10" t="n">
        <x:f>IF(COUNT(AA36,Z36)=2,AA36-Z36,"")</x:f>
        <x:v>0</x:v>
      </x:c>
      <x:c r="AC36" s="10" t="n">
        <x:v>108</x:v>
      </x:c>
      <x:c r="AD36" s="10" t="n">
        <x:v>74</x:v>
      </x:c>
      <x:c r="AE36" s="10" t="n">
        <x:f>IF(COUNT(AD36,AC36)=2,AD36-AC36,"")</x:f>
        <x:v>-34</x:v>
      </x:c>
      <x:c r="AF36" s="10" t="n">
        <x:v>48</x:v>
      </x:c>
      <x:c r="AG36" s="10" t="n">
        <x:v>9</x:v>
      </x:c>
      <x:c r="AH36" s="10" t="n">
        <x:f>IF(COUNT(AG36,AF36)=2,AG36-AF36,"")</x:f>
        <x:v>-39</x:v>
      </x:c>
      <x:c r="AI36" s="10" t="n">
        <x:v>35</x:v>
      </x:c>
      <x:c r="AJ36" s="10" t="n">
        <x:v>42</x:v>
      </x:c>
      <x:c r="AK36" s="10" t="n">
        <x:f>IF(COUNT(AJ36,AI36)=2,AJ36-AI36,"")</x:f>
        <x:v>7</x:v>
      </x:c>
      <x:c r="AL36" s="10" t="n">
        <x:v>30</x:v>
      </x:c>
      <x:c r="AM36" s="10" t="n">
        <x:v>30</x:v>
      </x:c>
      <x:c r="AN36" s="4" t="str">
        <x:v>LW</x:v>
      </x:c>
      <x:c r="AO36" s="4" t="str">
        <x:v>LW</x:v>
      </x:c>
      <x:c r="AP36" s="4" t="str">
        <x:v>NYI</x:v>
      </x:c>
      <x:c r="AQ36" s="4" t="str">
        <x:v>NYI</x:v>
      </x:c>
      <x:c r="AR36" s="4" t="n">
        <x:v>15.01</x:v>
      </x:c>
      <x:c r="AS36" s="4" t="n">
        <x:v>13.2</x:v>
      </x:c>
      <x:c r="AT36" s="4" t="n">
        <x:v>1.68</x:v>
      </x:c>
      <x:c r="AU36" s="4" t="n">
        <x:v>16.2</x:v>
      </x:c>
      <x:c r="AV36" s="10" t="n">
        <x:v>4</x:v>
      </x:c>
      <x:c r="AW36" s="10" t="n">
        <x:v>2</x:v>
      </x:c>
      <x:c r="AX36" s="10" t="n">
        <x:v>0</x:v>
      </x:c>
      <x:c r="AY36" s="10" t="n">
        <x:v>0</x:v>
      </x:c>
      <x:c r="AZ36" s="10" t="n">
        <x:v>648</x:v>
      </x:c>
      <x:c r="BA36" s="10" t="n">
        <x:v>802</x:v>
      </x:c>
      <x:c r="BB36" s="4" t="n">
        <x:v>44.7</x:v>
      </x:c>
      <x:c r="BC36" s="4" t="n">
        <x:v>-5.2</x:v>
      </x:c>
      <x:c r="BD36" s="10" t="n">
        <x:v>466</x:v>
      </x:c>
      <x:c r="BE36" s="10" t="n">
        <x:v>582</x:v>
      </x:c>
      <x:c r="BF36" s="4" t="n">
        <x:v>44.5</x:v>
      </x:c>
      <x:c r="BG36" s="4" t="n">
        <x:v>-6</x:v>
      </x:c>
      <x:c r="BH36" s="4" t="n">
        <x:v>9.9</x:v>
      </x:c>
      <x:c r="BI36" s="4" t="n">
        <x:v>92.6</x:v>
      </x:c>
      <x:c r="BJ36" s="4" t="n">
        <x:v>102.6</x:v>
      </x:c>
      <x:c r="BK36" s="4" t="n">
        <x:v>56.7</x:v>
      </x:c>
      <x:c r="BL36" s="4" t="n">
        <x:v>43.3</x:v>
      </x:c>
      <x:c r="BM36" s="4" t="n">
        <x:v>13.2</x:v>
      </x:c>
      <x:c r="BN36" s="4" t="n">
        <x:v>11.933333333333334</x:v>
      </x:c>
      <x:c r="BO36" s="10" t="n">
        <x:v>9</x:v>
      </x:c>
      <x:c r="BP36" s="10" t="n">
        <x:v>27</x:v>
      </x:c>
      <x:c r="BQ36" s="4" t="n">
        <x:v>-10.8</x:v>
      </x:c>
      <x:c r="BR36" s="10" t="n">
        <x:v>152</x:v>
      </x:c>
      <x:c r="BS36" s="4" t="n">
        <x:v>48.7</x:v>
      </x:c>
      <x:c r="BT36" s="10" t="n">
        <x:v>62</x:v>
      </x:c>
      <x:c r="BU36" s="4" t="str">
        <x:v>NYI</x:v>
      </x:c>
      <x:c r="BV36" s="10" t="n">
        <x:v>332</x:v>
      </x:c>
      <x:c r="BW36" s="10" t="n">
        <x:v>363</x:v>
      </x:c>
      <x:c r="BX36" s="10" t="n">
        <x:v>244</x:v>
      </x:c>
      <x:c r="BY36" s="4" t="str">
        <x:v>Anthony Duclair</x:v>
      </x:c>
      <x:c r="BZ36" s="4" t="str">
        <x:v>Anthony Duclair</x:v>
      </x:c>
      <x:c r="CA36" s="4" t="str">
        <x:v>Anthony Duclair</x:v>
      </x:c>
      <x:c r="CB36" s="4" t="str">
        <x:v>duclaan01</x:v>
      </x:c>
    </x:row>
    <x:row r="37" ht="22" customHeight="1">
      <x:c r="A37" s="4" t="str">
        <x:v>Anthony Mantha</x:v>
      </x:c>
      <x:c r="B37" s="4" t="str">
        <x:v>anthonymantha</x:v>
      </x:c>
      <x:c r="C37" s="10" t="n">
        <x:v>1</x:v>
      </x:c>
      <x:c r="D37" s="10" t="n">
        <x:v>1</x:v>
      </x:c>
      <x:c r="E37" s="10" t="n">
        <x:v>1</x:v>
      </x:c>
      <x:c r="F37" s="4" t="n">
        <x:f>IF(COUNT(N37,Q37,T37,W37,Z37,AC37,AF37,AI37)=8,N37*Guide!$E$5+Q37*Guide!$E$6+T37*Guide!$E$7+W37*Guide!$E$8+Z37*Guide!$E$9+AC37*Guide!$E$10+AF37*Guide!$E$11+AI37*Guide!$E$12,"")</x:f>
        <x:v>250.25</x:v>
      </x:c>
      <x:c r="G37" s="4" t="n">
        <x:f>IF(COUNT(O37,R37,U37,X37,AA37,AD37,AG37,AJ37)=8,O37*Guide!$E$5+R37*Guide!$E$6+U37*Guide!$E$7+X37*Guide!$E$8+AA37*Guide!$E$9+AD37*Guide!$E$10+AG37*Guide!$E$11+AJ37*Guide!$E$12,"")</x:f>
        <x:v>329</x:v>
      </x:c>
      <x:c r="H37" s="4" t="n">
        <x:f>IF(COUNT(G37,F37)=2,G37-F37,"")</x:f>
        <x:v>78.75</x:v>
      </x:c>
      <x:c r="I37" s="4" t="n">
        <x:f>IF(AND(ISNUMBER(F37),K37&gt;0),F37/K37,"")</x:f>
        <x:v>3.2083333333333335</x:v>
      </x:c>
      <x:c r="J37" s="4" t="n">
        <x:f>IF(AND(ISNUMBER(G37),L37&gt;0),G37/L37,"")</x:f>
        <x:v>4.061728395061729</x:v>
      </x:c>
      <x:c r="K37" s="10" t="n">
        <x:v>78</x:v>
      </x:c>
      <x:c r="L37" s="10" t="n">
        <x:v>81</x:v>
      </x:c>
      <x:c r="M37" s="10" t="n">
        <x:f>IF(COUNT(L37,K37)=2,L37-K37,"")</x:f>
        <x:v>3</x:v>
      </x:c>
      <x:c r="N37" s="10" t="n">
        <x:v>20</x:v>
      </x:c>
      <x:c r="O37" s="10" t="n">
        <x:v>33</x:v>
      </x:c>
      <x:c r="P37" s="10" t="n">
        <x:f>IF(COUNT(O37,N37)=2,O37-N37,"")</x:f>
        <x:v>13</x:v>
      </x:c>
      <x:c r="Q37" s="10" t="n">
        <x:v>24</x:v>
      </x:c>
      <x:c r="R37" s="10" t="n">
        <x:v>31</x:v>
      </x:c>
      <x:c r="S37" s="10" t="n">
        <x:f>IF(COUNT(R37,Q37)=2,R37-Q37,"")</x:f>
        <x:v>7</x:v>
      </x:c>
      <x:c r="T37" s="10" t="n">
        <x:v>5</x:v>
      </x:c>
      <x:c r="U37" s="10" t="n">
        <x:v>10</x:v>
      </x:c>
      <x:c r="V37" s="10" t="n">
        <x:f>IF(COUNT(U37,T37)=2,U37-T37,"")</x:f>
        <x:v>5</x:v>
      </x:c>
      <x:c r="W37" s="10" t="n">
        <x:v>9</x:v>
      </x:c>
      <x:c r="X37" s="10" t="n">
        <x:f>IF(COUNT(AV37,AW37)=2,AV37+AW37,"")</x:f>
        <x:v>13</x:v>
      </x:c>
      <x:c r="Y37" s="10" t="n">
        <x:f>IF(COUNT(X37,W37)=2,X37-W37,"")</x:f>
        <x:v>4</x:v>
      </x:c>
      <x:c r="Z37" s="10" t="n">
        <x:v>0</x:v>
      </x:c>
      <x:c r="AA37" s="10" t="n">
        <x:f>IF(COUNT(AX37,AY37)=2,AX37+AY37,"")</x:f>
        <x:v>0</x:v>
      </x:c>
      <x:c r="AB37" s="10" t="n">
        <x:f>IF(COUNT(AA37,Z37)=2,AA37-Z37,"")</x:f>
        <x:v>0</x:v>
      </x:c>
      <x:c r="AC37" s="10" t="n">
        <x:v>124</x:v>
      </x:c>
      <x:c r="AD37" s="10" t="n">
        <x:v>152</x:v>
      </x:c>
      <x:c r="AE37" s="10" t="n">
        <x:f>IF(COUNT(AD37,AC37)=2,AD37-AC37,"")</x:f>
        <x:v>28</x:v>
      </x:c>
      <x:c r="AF37" s="10" t="n">
        <x:v>84</x:v>
      </x:c>
      <x:c r="AG37" s="10" t="n">
        <x:v>52</x:v>
      </x:c>
      <x:c r="AH37" s="10" t="n">
        <x:f>IF(COUNT(AG37,AF37)=2,AG37-AF37,"")</x:f>
        <x:v>-32</x:v>
      </x:c>
      <x:c r="AI37" s="10" t="n">
        <x:v>43</x:v>
      </x:c>
      <x:c r="AJ37" s="10" t="n">
        <x:v>40</x:v>
      </x:c>
      <x:c r="AK37" s="10" t="n">
        <x:f>IF(COUNT(AJ37,AI37)=2,AJ37-AI37,"")</x:f>
        <x:v>-3</x:v>
      </x:c>
      <x:c r="AL37" s="10" t="n">
        <x:v>31</x:v>
      </x:c>
      <x:c r="AM37" s="10" t="n">
        <x:v>31</x:v>
      </x:c>
      <x:c r="AN37" s="4" t="str">
        <x:v>RW</x:v>
      </x:c>
      <x:c r="AO37" s="4" t="str">
        <x:v>RW</x:v>
      </x:c>
      <x:c r="AP37" s="4" t="str">
        <x:v>PIT</x:v>
      </x:c>
      <x:c r="AQ37" s="4" t="str">
        <x:v>PIT</x:v>
      </x:c>
      <x:c r="AR37" s="4" t="n">
        <x:v>15.61</x:v>
      </x:c>
      <x:c r="AS37" s="4" t="n">
        <x:v>15.183333333333334</x:v>
      </x:c>
      <x:c r="AT37" s="4" t="n">
        <x:v>1.85</x:v>
      </x:c>
      <x:c r="AU37" s="4" t="n">
        <x:v>21.7</x:v>
      </x:c>
      <x:c r="AV37" s="10" t="n">
        <x:v>7</x:v>
      </x:c>
      <x:c r="AW37" s="10" t="n">
        <x:v>6</x:v>
      </x:c>
      <x:c r="AX37" s="10" t="n">
        <x:v>0</x:v>
      </x:c>
      <x:c r="AY37" s="10" t="n">
        <x:v>0</x:v>
      </x:c>
      <x:c r="AZ37" s="10" t="n">
        <x:v>1014</x:v>
      </x:c>
      <x:c r="BA37" s="10" t="n">
        <x:v>1033</x:v>
      </x:c>
      <x:c r="BB37" s="4" t="n">
        <x:v>49.5</x:v>
      </x:c>
      <x:c r="BC37" s="4" t="n">
        <x:v>-0.8</x:v>
      </x:c>
      <x:c r="BD37" s="10" t="n">
        <x:v>734</x:v>
      </x:c>
      <x:c r="BE37" s="10" t="n">
        <x:v>734</x:v>
      </x:c>
      <x:c r="BF37" s="4" t="n">
        <x:v>50</x:v>
      </x:c>
      <x:c r="BG37" s="4" t="n">
        <x:v>-0.6</x:v>
      </x:c>
      <x:c r="BH37" s="4" t="n">
        <x:v>14.2</x:v>
      </x:c>
      <x:c r="BI37" s="4" t="n">
        <x:v>87.8</x:v>
      </x:c>
      <x:c r="BJ37" s="4" t="n">
        <x:v>102</x:v>
      </x:c>
      <x:c r="BK37" s="4" t="n">
        <x:v>65.6</x:v>
      </x:c>
      <x:c r="BL37" s="4" t="n">
        <x:v>34.4</x:v>
      </x:c>
      <x:c r="BM37" s="4" t="n">
        <x:v>15.183333333333334</x:v>
      </x:c>
      <x:c r="BN37" s="4" t="n">
        <x:v>12.883333333333333</x:v>
      </x:c>
      <x:c r="BO37" s="10" t="n">
        <x:v>20</x:v>
      </x:c>
      <x:c r="BP37" s="10" t="n">
        <x:v>82</x:v>
      </x:c>
      <x:c r="BQ37" s="4" t="n">
        <x:v>7</x:v>
      </x:c>
      <x:c r="BR37" s="10" t="n">
        <x:v>281</x:v>
      </x:c>
      <x:c r="BS37" s="4" t="n">
        <x:v>54.1</x:v>
      </x:c>
      <x:c r="BT37" s="10" t="n">
        <x:v>81</x:v>
      </x:c>
      <x:c r="BU37" s="4" t="str">
        <x:v>PIT</x:v>
      </x:c>
      <x:c r="BV37" s="10" t="n">
        <x:v>209</x:v>
      </x:c>
      <x:c r="BW37" s="10" t="n">
        <x:v>77</x:v>
      </x:c>
      <x:c r="BX37" s="10" t="n">
        <x:v>642</x:v>
      </x:c>
      <x:c r="BY37" s="4" t="str">
        <x:v>Anthony Mantha</x:v>
      </x:c>
      <x:c r="BZ37" s="4" t="str">
        <x:v>Anthony Mantha</x:v>
      </x:c>
      <x:c r="CA37" s="4" t="str">
        <x:v>Anthony Mantha</x:v>
      </x:c>
      <x:c r="CB37" s="4" t="str">
        <x:v>manthan01</x:v>
      </x:c>
    </x:row>
    <x:row r="38" ht="22" customHeight="1">
      <x:c r="A38" s="4" t="str">
        <x:v>Anton Lundell</x:v>
      </x:c>
      <x:c r="B38" s="4" t="str">
        <x:v>antonlundell</x:v>
      </x:c>
      <x:c r="C38" s="10" t="n">
        <x:v>1</x:v>
      </x:c>
      <x:c r="D38" s="10" t="n">
        <x:v>1</x:v>
      </x:c>
      <x:c r="E38" s="10" t="n">
        <x:v>1</x:v>
      </x:c>
      <x:c r="F38" s="4" t="n">
        <x:f>IF(COUNT(N38,Q38,T38,W38,Z38,AC38,AF38,AI38)=8,N38*Guide!$E$5+Q38*Guide!$E$6+T38*Guide!$E$7+W38*Guide!$E$8+Z38*Guide!$E$9+AC38*Guide!$E$10+AF38*Guide!$E$11+AI38*Guide!$E$12,"")</x:f>
        <x:v>264.25</x:v>
      </x:c>
      <x:c r="G38" s="4" t="n">
        <x:f>IF(COUNT(O38,R38,U38,X38,AA38,AD38,AG38,AJ38)=8,O38*Guide!$E$5+R38*Guide!$E$6+U38*Guide!$E$7+X38*Guide!$E$8+AA38*Guide!$E$9+AD38*Guide!$E$10+AG38*Guide!$E$11+AJ38*Guide!$E$12,"")</x:f>
        <x:v>248.25</x:v>
      </x:c>
      <x:c r="H38" s="4" t="n">
        <x:f>IF(COUNT(G38,F38)=2,G38-F38,"")</x:f>
        <x:v>-16</x:v>
      </x:c>
      <x:c r="I38" s="4" t="n">
        <x:f>IF(AND(ISNUMBER(F38),K38&gt;0),F38/K38,"")</x:f>
        <x:v>3.3878205128205128</x:v>
      </x:c>
      <x:c r="J38" s="4" t="n">
        <x:f>IF(AND(ISNUMBER(G38),L38&gt;0),G38/L38,"")</x:f>
        <x:v>3.87890625</x:v>
      </x:c>
      <x:c r="K38" s="10" t="n">
        <x:v>78</x:v>
      </x:c>
      <x:c r="L38" s="10" t="n">
        <x:v>64</x:v>
      </x:c>
      <x:c r="M38" s="10" t="n">
        <x:f>IF(COUNT(L38,K38)=2,L38-K38,"")</x:f>
        <x:v>-14</x:v>
      </x:c>
      <x:c r="N38" s="10" t="n">
        <x:v>18</x:v>
      </x:c>
      <x:c r="O38" s="10" t="n">
        <x:v>18</x:v>
      </x:c>
      <x:c r="P38" s="10" t="n">
        <x:f>IF(COUNT(O38,N38)=2,O38-N38,"")</x:f>
        <x:v>0</x:v>
      </x:c>
      <x:c r="Q38" s="10" t="n">
        <x:v>24</x:v>
      </x:c>
      <x:c r="R38" s="10" t="n">
        <x:v>26</x:v>
      </x:c>
      <x:c r="S38" s="10" t="n">
        <x:f>IF(COUNT(R38,Q38)=2,R38-Q38,"")</x:f>
        <x:v>2</x:v>
      </x:c>
      <x:c r="T38" s="10" t="n">
        <x:v>8</x:v>
      </x:c>
      <x:c r="U38" s="10" t="n">
        <x:v>-8</x:v>
      </x:c>
      <x:c r="V38" s="10" t="n">
        <x:f>IF(COUNT(U38,T38)=2,U38-T38,"")</x:f>
        <x:v>-16</x:v>
      </x:c>
      <x:c r="W38" s="10" t="n">
        <x:v>7</x:v>
      </x:c>
      <x:c r="X38" s="10" t="n">
        <x:f>IF(COUNT(AV38,AW38)=2,AV38+AW38,"")</x:f>
        <x:v>15</x:v>
      </x:c>
      <x:c r="Y38" s="10" t="n">
        <x:f>IF(COUNT(X38,W38)=2,X38-W38,"")</x:f>
        <x:v>8</x:v>
      </x:c>
      <x:c r="Z38" s="10" t="n">
        <x:v>2</x:v>
      </x:c>
      <x:c r="AA38" s="10" t="n">
        <x:f>IF(COUNT(AX38,AY38)=2,AX38+AY38,"")</x:f>
        <x:v>4</x:v>
      </x:c>
      <x:c r="AB38" s="10" t="n">
        <x:f>IF(COUNT(AA38,Z38)=2,AA38-Z38,"")</x:f>
        <x:v>2</x:v>
      </x:c>
      <x:c r="AC38" s="10" t="n">
        <x:v>159</x:v>
      </x:c>
      <x:c r="AD38" s="10" t="n">
        <x:v>137</x:v>
      </x:c>
      <x:c r="AE38" s="10" t="n">
        <x:f>IF(COUNT(AD38,AC38)=2,AD38-AC38,"")</x:f>
        <x:v>-22</x:v>
      </x:c>
      <x:c r="AF38" s="10" t="n">
        <x:v>91</x:v>
      </x:c>
      <x:c r="AG38" s="10" t="n">
        <x:v>75</x:v>
      </x:c>
      <x:c r="AH38" s="10" t="n">
        <x:f>IF(COUNT(AG38,AF38)=2,AG38-AF38,"")</x:f>
        <x:v>-16</x:v>
      </x:c>
      <x:c r="AI38" s="10" t="n">
        <x:v>49</x:v>
      </x:c>
      <x:c r="AJ38" s="10" t="n">
        <x:v>35</x:v>
      </x:c>
      <x:c r="AK38" s="10" t="n">
        <x:f>IF(COUNT(AJ38,AI38)=2,AJ38-AI38,"")</x:f>
        <x:v>-14</x:v>
      </x:c>
      <x:c r="AL38" s="10" t="n">
        <x:v>24</x:v>
      </x:c>
      <x:c r="AM38" s="10" t="n">
        <x:v>24</x:v>
      </x:c>
      <x:c r="AN38" s="4" t="str">
        <x:v>C</x:v>
      </x:c>
      <x:c r="AO38" s="4" t="str">
        <x:v>C</x:v>
      </x:c>
      <x:c r="AP38" s="4" t="str">
        <x:v>FLA</x:v>
      </x:c>
      <x:c r="AQ38" s="4" t="str">
        <x:v>FLA</x:v>
      </x:c>
      <x:c r="AR38" s="4" t="n">
        <x:v>16.8</x:v>
      </x:c>
      <x:c r="AS38" s="4" t="n">
        <x:v>19.15</x:v>
      </x:c>
      <x:c r="AT38" s="4" t="n">
        <x:v>1.39</x:v>
      </x:c>
      <x:c r="AU38" s="4" t="n">
        <x:v>13.1</x:v>
      </x:c>
      <x:c r="AV38" s="10" t="n">
        <x:v>4</x:v>
      </x:c>
      <x:c r="AW38" s="10" t="n">
        <x:v>11</x:v>
      </x:c>
      <x:c r="AX38" s="10" t="n">
        <x:v>2</x:v>
      </x:c>
      <x:c r="AY38" s="10" t="n">
        <x:v>2</x:v>
      </x:c>
      <x:c r="AZ38" s="10" t="n">
        <x:v>909</x:v>
      </x:c>
      <x:c r="BA38" s="10" t="n">
        <x:v>821</x:v>
      </x:c>
      <x:c r="BB38" s="4" t="n">
        <x:v>52.5</x:v>
      </x:c>
      <x:c r="BC38" s="4" t="n">
        <x:v>0.1</x:v>
      </x:c>
      <x:c r="BD38" s="10" t="n">
        <x:v>668</x:v>
      </x:c>
      <x:c r="BE38" s="10" t="n">
        <x:v>639</x:v>
      </x:c>
      <x:c r="BF38" s="4" t="n">
        <x:v>51.1</x:v>
      </x:c>
      <x:c r="BG38" s="4" t="n">
        <x:v>-1</x:v>
      </x:c>
      <x:c r="BH38" s="4" t="n">
        <x:v>11.2</x:v>
      </x:c>
      <x:c r="BI38" s="4" t="n">
        <x:v>86.6</x:v>
      </x:c>
      <x:c r="BJ38" s="4" t="n">
        <x:v>97.8</x:v>
      </x:c>
      <x:c r="BK38" s="4" t="n">
        <x:v>49.3</x:v>
      </x:c>
      <x:c r="BL38" s="4" t="n">
        <x:v>50.7</x:v>
      </x:c>
      <x:c r="BM38" s="4" t="n">
        <x:v>19.15</x:v>
      </x:c>
      <x:c r="BN38" s="4" t="n">
        <x:v>14.35</x:v>
      </x:c>
      <x:c r="BO38" s="10" t="n">
        <x:v>14</x:v>
      </x:c>
      <x:c r="BP38" s="10" t="n">
        <x:v>64</x:v>
      </x:c>
      <x:c r="BQ38" s="4" t="n">
        <x:v>-1.3</x:v>
      </x:c>
      <x:c r="BR38" s="10" t="n">
        <x:v>281</x:v>
      </x:c>
      <x:c r="BS38" s="4" t="n">
        <x:v>48.8</x:v>
      </x:c>
      <x:c r="BT38" s="10" t="n">
        <x:v>64</x:v>
      </x:c>
      <x:c r="BU38" s="4" t="str">
        <x:v>FLA</x:v>
      </x:c>
      <x:c r="BV38" s="10" t="n">
        <x:v>225</x:v>
      </x:c>
      <x:c r="BW38" s="10" t="n">
        <x:v>185</x:v>
      </x:c>
      <x:c r="BX38" s="10" t="n">
        <x:v>611</x:v>
      </x:c>
      <x:c r="BY38" s="4" t="str">
        <x:v>Anton Lundell</x:v>
      </x:c>
      <x:c r="BZ38" s="4" t="str">
        <x:v>Anton Lundell</x:v>
      </x:c>
      <x:c r="CA38" s="4" t="str">
        <x:v>Anton Lundell</x:v>
      </x:c>
      <x:c r="CB38" s="4" t="str">
        <x:v>lundean01</x:v>
      </x:c>
    </x:row>
    <x:row r="39" ht="22" customHeight="1">
      <x:c r="A39" s="4" t="str">
        <x:v>Anže Kopitar</x:v>
      </x:c>
      <x:c r="B39" s="4" t="str">
        <x:v>anzekopitar</x:v>
      </x:c>
      <x:c r="C39" s="10" t="n">
        <x:v>1</x:v>
      </x:c>
      <x:c r="D39" s="10" t="n">
        <x:v>1</x:v>
      </x:c>
      <x:c r="E39" s="10" t="n">
        <x:v>1</x:v>
      </x:c>
      <x:c r="F39" s="4" t="n">
        <x:f>IF(COUNT(N39,Q39,T39,W39,Z39,AC39,AF39,AI39)=8,N39*Guide!$E$5+Q39*Guide!$E$6+T39*Guide!$E$7+W39*Guide!$E$8+Z39*Guide!$E$9+AC39*Guide!$E$10+AF39*Guide!$E$11+AI39*Guide!$E$12,"")</x:f>
        <x:v>324.5</x:v>
      </x:c>
      <x:c r="G39" s="4" t="n">
        <x:f>IF(COUNT(O39,R39,U39,X39,AA39,AD39,AG39,AJ39)=8,O39*Guide!$E$5+R39*Guide!$E$6+U39*Guide!$E$7+X39*Guide!$E$8+AA39*Guide!$E$9+AD39*Guide!$E$10+AG39*Guide!$E$11+AJ39*Guide!$E$12,"")</x:f>
        <x:v>236.25</x:v>
      </x:c>
      <x:c r="H39" s="4" t="n">
        <x:f>IF(COUNT(G39,F39)=2,G39-F39,"")</x:f>
        <x:v>-88.25</x:v>
      </x:c>
      <x:c r="I39" s="4" t="n">
        <x:f>IF(AND(ISNUMBER(F39),K39&gt;0),F39/K39,"")</x:f>
        <x:v>4.05625</x:v>
      </x:c>
      <x:c r="J39" s="4" t="n">
        <x:f>IF(AND(ISNUMBER(G39),L39&gt;0),G39/L39,"")</x:f>
        <x:v>3.5261194029850746</x:v>
      </x:c>
      <x:c r="K39" s="10" t="n">
        <x:v>80</x:v>
      </x:c>
      <x:c r="L39" s="10" t="n">
        <x:v>67</x:v>
      </x:c>
      <x:c r="M39" s="10" t="n">
        <x:f>IF(COUNT(L39,K39)=2,L39-K39,"")</x:f>
        <x:v>-13</x:v>
      </x:c>
      <x:c r="N39" s="10" t="n">
        <x:v>20</x:v>
      </x:c>
      <x:c r="O39" s="10" t="n">
        <x:v>12</x:v>
      </x:c>
      <x:c r="P39" s="10" t="n">
        <x:f>IF(COUNT(O39,N39)=2,O39-N39,"")</x:f>
        <x:v>-8</x:v>
      </x:c>
      <x:c r="Q39" s="10" t="n">
        <x:v>43</x:v>
      </x:c>
      <x:c r="R39" s="10" t="n">
        <x:v>26</x:v>
      </x:c>
      <x:c r="S39" s="10" t="n">
        <x:f>IF(COUNT(R39,Q39)=2,R39-Q39,"")</x:f>
        <x:v>-17</x:v>
      </x:c>
      <x:c r="T39" s="10" t="n">
        <x:v>9</x:v>
      </x:c>
      <x:c r="U39" s="10" t="n">
        <x:v>19</x:v>
      </x:c>
      <x:c r="V39" s="10" t="n">
        <x:f>IF(COUNT(U39,T39)=2,U39-T39,"")</x:f>
        <x:v>10</x:v>
      </x:c>
      <x:c r="W39" s="10" t="n">
        <x:v>18</x:v>
      </x:c>
      <x:c r="X39" s="10" t="n">
        <x:f>IF(COUNT(AV39,AW39)=2,AV39+AW39,"")</x:f>
        <x:v>12</x:v>
      </x:c>
      <x:c r="Y39" s="10" t="n">
        <x:f>IF(COUNT(X39,W39)=2,X39-W39,"")</x:f>
        <x:v>-6</x:v>
      </x:c>
      <x:c r="Z39" s="10" t="n">
        <x:v>1</x:v>
      </x:c>
      <x:c r="AA39" s="10" t="n">
        <x:f>IF(COUNT(AX39,AY39)=2,AX39+AY39,"")</x:f>
        <x:v>0</x:v>
      </x:c>
      <x:c r="AB39" s="10" t="n">
        <x:f>IF(COUNT(AA39,Z39)=2,AA39-Z39,"")</x:f>
        <x:v>-1</x:v>
      </x:c>
      <x:c r="AC39" s="10" t="n">
        <x:v>105</x:v>
      </x:c>
      <x:c r="AD39" s="10" t="n">
        <x:v>101</x:v>
      </x:c>
      <x:c r="AE39" s="10" t="n">
        <x:f>IF(COUNT(AD39,AC39)=2,AD39-AC39,"")</x:f>
        <x:v>-4</x:v>
      </x:c>
      <x:c r="AF39" s="10" t="n">
        <x:v>36</x:v>
      </x:c>
      <x:c r="AG39" s="10" t="n">
        <x:v>33</x:v>
      </x:c>
      <x:c r="AH39" s="10" t="n">
        <x:f>IF(COUNT(AG39,AF39)=2,AG39-AF39,"")</x:f>
        <x:v>-3</x:v>
      </x:c>
      <x:c r="AI39" s="10" t="n">
        <x:v>67</x:v>
      </x:c>
      <x:c r="AJ39" s="10" t="n">
        <x:v>61</x:v>
      </x:c>
      <x:c r="AK39" s="10" t="n">
        <x:f>IF(COUNT(AJ39,AI39)=2,AJ39-AI39,"")</x:f>
        <x:v>-6</x:v>
      </x:c>
      <x:c r="AL39" s="10" t="n">
        <x:v>38</x:v>
      </x:c>
      <x:c r="AM39" s="10" t="n">
        <x:v>38</x:v>
      </x:c>
      <x:c r="AN39" s="4" t="str">
        <x:v>C</x:v>
      </x:c>
      <x:c r="AO39" s="4" t="str">
        <x:v>C</x:v>
      </x:c>
      <x:c r="AP39" s="4" t="str">
        <x:v>LA</x:v>
      </x:c>
      <x:c r="AQ39" s="4" t="str">
        <x:v>LAK</x:v>
      </x:c>
      <x:c r="AR39" s="4" t="n">
        <x:v>18.73</x:v>
      </x:c>
      <x:c r="AS39" s="4" t="n">
        <x:v>19.116666666666667</x:v>
      </x:c>
      <x:c r="AT39" s="4" t="n">
        <x:v>2.63</x:v>
      </x:c>
      <x:c r="AU39" s="4" t="n">
        <x:v>11.9</x:v>
      </x:c>
      <x:c r="AV39" s="10" t="n">
        <x:v>5</x:v>
      </x:c>
      <x:c r="AW39" s="10" t="n">
        <x:v>7</x:v>
      </x:c>
      <x:c r="AX39" s="10" t="n">
        <x:v>0</x:v>
      </x:c>
      <x:c r="AY39" s="10" t="n">
        <x:v>0</x:v>
      </x:c>
      <x:c r="AZ39" s="10" t="n">
        <x:v>1068</x:v>
      </x:c>
      <x:c r="BA39" s="10" t="n">
        <x:v>961</x:v>
      </x:c>
      <x:c r="BB39" s="4" t="n">
        <x:v>52.6</x:v>
      </x:c>
      <x:c r="BC39" s="4" t="n">
        <x:v>1.4</x:v>
      </x:c>
      <x:c r="BD39" s="10" t="n">
        <x:v>753</x:v>
      </x:c>
      <x:c r="BE39" s="10" t="n">
        <x:v>659</x:v>
      </x:c>
      <x:c r="BF39" s="4" t="n">
        <x:v>53.3</x:v>
      </x:c>
      <x:c r="BG39" s="4" t="n">
        <x:v>2.4</x:v>
      </x:c>
      <x:c r="BH39" s="4" t="n">
        <x:v>12.1</x:v>
      </x:c>
      <x:c r="BI39" s="4" t="n">
        <x:v>91.9</x:v>
      </x:c>
      <x:c r="BJ39" s="4" t="n">
        <x:v>104</x:v>
      </x:c>
      <x:c r="BK39" s="4" t="n">
        <x:v>56</x:v>
      </x:c>
      <x:c r="BL39" s="4" t="n">
        <x:v>44</x:v>
      </x:c>
      <x:c r="BM39" s="4" t="n">
        <x:v>19.116666666666667</x:v>
      </x:c>
      <x:c r="BN39" s="4" t="n">
        <x:v>15.416666666666666</x:v>
      </x:c>
      <x:c r="BO39" s="10" t="n">
        <x:v>23</x:v>
      </x:c>
      <x:c r="BP39" s="10" t="n">
        <x:v>58</x:v>
      </x:c>
      <x:c r="BQ39" s="4" t="n">
        <x:v>5.1</x:v>
      </x:c>
      <x:c r="BR39" s="10" t="n">
        <x:v>212</x:v>
      </x:c>
      <x:c r="BS39" s="4" t="n">
        <x:v>47.6</x:v>
      </x:c>
      <x:c r="BT39" s="10" t="n">
        <x:v>67</x:v>
      </x:c>
      <x:c r="BU39" s="4" t="str">
        <x:v>LAK</x:v>
      </x:c>
      <x:c r="BV39" s="10" t="n">
        <x:v>83</x:v>
      </x:c>
      <x:c r="BW39" s="10" t="n">
        <x:v>231</x:v>
      </x:c>
      <x:c r="BX39" s="10" t="n">
        <x:v>534</x:v>
      </x:c>
      <x:c r="BY39" s="4" t="str">
        <x:v>Anze Kopitar</x:v>
      </x:c>
      <x:c r="BZ39" s="4" t="str">
        <x:v>Anže Kopitar</x:v>
      </x:c>
      <x:c r="CA39" s="4" t="str">
        <x:v>Anže Kopitar</x:v>
      </x:c>
      <x:c r="CB39" s="4" t="str">
        <x:v>kopitan01</x:v>
      </x:c>
    </x:row>
    <x:row r="40" ht="22" customHeight="1">
      <x:c r="A40" s="4" t="str">
        <x:v>Arseny Gritsyuk</x:v>
      </x:c>
      <x:c r="B40" s="4" t="str">
        <x:v>arsenygritsyuk</x:v>
      </x:c>
      <x:c r="C40" s="10" t="n">
        <x:v>1</x:v>
      </x:c>
      <x:c r="D40" s="10" t="n">
        <x:v>1</x:v>
      </x:c>
      <x:c r="E40" s="10" t="n">
        <x:v>1</x:v>
      </x:c>
      <x:c r="F40" s="4" t="n">
        <x:f>IF(COUNT(N40,Q40,T40,W40,Z40,AC40,AF40,AI40)=8,N40*Guide!$E$5+Q40*Guide!$E$6+T40*Guide!$E$7+W40*Guide!$E$8+Z40*Guide!$E$9+AC40*Guide!$E$10+AF40*Guide!$E$11+AI40*Guide!$E$12,"")</x:f>
        <x:v>295.5</x:v>
      </x:c>
      <x:c r="G40" s="4" t="n">
        <x:f>IF(COUNT(O40,R40,U40,X40,AA40,AD40,AG40,AJ40)=8,O40*Guide!$E$5+R40*Guide!$E$6+U40*Guide!$E$7+X40*Guide!$E$8+AA40*Guide!$E$9+AD40*Guide!$E$10+AG40*Guide!$E$11+AJ40*Guide!$E$12,"")</x:f>
        <x:v>173.25</x:v>
      </x:c>
      <x:c r="H40" s="4" t="n">
        <x:f>IF(COUNT(G40,F40)=2,G40-F40,"")</x:f>
        <x:v>-122.25</x:v>
      </x:c>
      <x:c r="I40" s="4" t="n">
        <x:f>IF(AND(ISNUMBER(F40),K40&gt;0),F40/K40,"")</x:f>
        <x:v>3.888157894736842</x:v>
      </x:c>
      <x:c r="J40" s="4" t="n">
        <x:f>IF(AND(ISNUMBER(G40),L40&gt;0),G40/L40,"")</x:f>
        <x:v>2.625</x:v>
      </x:c>
      <x:c r="K40" s="10" t="n">
        <x:v>76</x:v>
      </x:c>
      <x:c r="L40" s="10" t="n">
        <x:v>66</x:v>
      </x:c>
      <x:c r="M40" s="10" t="n">
        <x:f>IF(COUNT(L40,K40)=2,L40-K40,"")</x:f>
        <x:v>-10</x:v>
      </x:c>
      <x:c r="N40" s="10" t="n">
        <x:v>23</x:v>
      </x:c>
      <x:c r="O40" s="10" t="n">
        <x:v>13</x:v>
      </x:c>
      <x:c r="P40" s="10" t="n">
        <x:f>IF(COUNT(O40,N40)=2,O40-N40,"")</x:f>
        <x:v>-10</x:v>
      </x:c>
      <x:c r="Q40" s="10" t="n">
        <x:v>25</x:v>
      </x:c>
      <x:c r="R40" s="10" t="n">
        <x:v>18</x:v>
      </x:c>
      <x:c r="S40" s="10" t="n">
        <x:f>IF(COUNT(R40,Q40)=2,R40-Q40,"")</x:f>
        <x:v>-7</x:v>
      </x:c>
      <x:c r="T40" s="10" t="n">
        <x:v>2</x:v>
      </x:c>
      <x:c r="U40" s="10" t="n">
        <x:v>-3</x:v>
      </x:c>
      <x:c r="V40" s="10" t="n">
        <x:f>IF(COUNT(U40,T40)=2,U40-T40,"")</x:f>
        <x:v>-5</x:v>
      </x:c>
      <x:c r="W40" s="10" t="n">
        <x:v>10</x:v>
      </x:c>
      <x:c r="X40" s="10" t="n">
        <x:f>IF(COUNT(AV40,AW40)=2,AV40+AW40,"")</x:f>
        <x:v>5</x:v>
      </x:c>
      <x:c r="Y40" s="10" t="n">
        <x:f>IF(COUNT(X40,W40)=2,X40-W40,"")</x:f>
        <x:v>-5</x:v>
      </x:c>
      <x:c r="Z40" s="10" t="n">
        <x:v>0</x:v>
      </x:c>
      <x:c r="AA40" s="10" t="n">
        <x:f>IF(COUNT(AX40,AY40)=2,AX40+AY40,"")</x:f>
        <x:v>0</x:v>
      </x:c>
      <x:c r="AB40" s="10" t="n">
        <x:f>IF(COUNT(AA40,Z40)=2,AA40-Z40,"")</x:f>
        <x:v>0</x:v>
      </x:c>
      <x:c r="AC40" s="10" t="n">
        <x:v>226</x:v>
      </x:c>
      <x:c r="AD40" s="10" t="n">
        <x:v>149</x:v>
      </x:c>
      <x:c r="AE40" s="10" t="n">
        <x:f>IF(COUNT(AD40,AC40)=2,AD40-AC40,"")</x:f>
        <x:v>-77</x:v>
      </x:c>
      <x:c r="AF40" s="10" t="n">
        <x:v>126</x:v>
      </x:c>
      <x:c r="AG40" s="10" t="n">
        <x:v>58</x:v>
      </x:c>
      <x:c r="AH40" s="10" t="n">
        <x:f>IF(COUNT(AG40,AF40)=2,AG40-AF40,"")</x:f>
        <x:v>-68</x:v>
      </x:c>
      <x:c r="AI40" s="10" t="n">
        <x:v>38</x:v>
      </x:c>
      <x:c r="AJ40" s="10" t="n">
        <x:v>18</x:v>
      </x:c>
      <x:c r="AK40" s="10" t="n">
        <x:f>IF(COUNT(AJ40,AI40)=2,AJ40-AI40,"")</x:f>
        <x:v>-20</x:v>
      </x:c>
      <x:c r="AL40" s="10" t="n">
        <x:v>24</x:v>
      </x:c>
      <x:c r="AM40" s="10" t="n">
        <x:v>24</x:v>
      </x:c>
      <x:c r="AN40" s="4" t="str">
        <x:v>RW</x:v>
      </x:c>
      <x:c r="AO40" s="4" t="str">
        <x:v>RW</x:v>
      </x:c>
      <x:c r="AP40" s="4" t="str">
        <x:v>NJ</x:v>
      </x:c>
      <x:c r="AQ40" s="4" t="str">
        <x:v>NJD</x:v>
      </x:c>
      <x:c r="AR40" s="4" t="n">
        <x:v>15.5</x:v>
      </x:c>
      <x:c r="AS40" s="4" t="n">
        <x:v>15.166666666666666</x:v>
      </x:c>
      <x:c r="AT40" s="4" t="n">
        <x:v>1.75</x:v>
      </x:c>
      <x:c r="AU40" s="4" t="n">
        <x:v>8.7</x:v>
      </x:c>
      <x:c r="AV40" s="10" t="n">
        <x:v>2</x:v>
      </x:c>
      <x:c r="AW40" s="10" t="n">
        <x:v>3</x:v>
      </x:c>
      <x:c r="AX40" s="10" t="n">
        <x:v>0</x:v>
      </x:c>
      <x:c r="AY40" s="10" t="n">
        <x:v>0</x:v>
      </x:c>
      <x:c r="AZ40" s="10" t="n">
        <x:v>1085</x:v>
      </x:c>
      <x:c r="BA40" s="10" t="n">
        <x:v>760</x:v>
      </x:c>
      <x:c r="BB40" s="4" t="n">
        <x:v>58.8</x:v>
      </x:c>
      <x:c r="BC40" s="4" t="n">
        <x:v>9.4</x:v>
      </x:c>
      <x:c r="BD40" s="10" t="n">
        <x:v>799</x:v>
      </x:c>
      <x:c r="BE40" s="10" t="n">
        <x:v>555</x:v>
      </x:c>
      <x:c r="BF40" s="4" t="n">
        <x:v>59</x:v>
      </x:c>
      <x:c r="BG40" s="4" t="n">
        <x:v>9.6</x:v>
      </x:c>
      <x:c r="BH40" s="4" t="n">
        <x:v>8.3</x:v>
      </x:c>
      <x:c r="BI40" s="4" t="n">
        <x:v>87.7</x:v>
      </x:c>
      <x:c r="BJ40" s="4" t="n">
        <x:v>96</x:v>
      </x:c>
      <x:c r="BK40" s="4" t="n">
        <x:v>53.2</x:v>
      </x:c>
      <x:c r="BL40" s="4" t="n">
        <x:v>46.8</x:v>
      </x:c>
      <x:c r="BM40" s="4" t="n">
        <x:v>15.166666666666666</x:v>
      </x:c>
      <x:c r="BN40" s="4" t="n">
        <x:v>14.133333333333333</x:v>
      </x:c>
      <x:c r="BO40" s="10" t="n">
        <x:v>24</x:v>
      </x:c>
      <x:c r="BP40" s="10" t="n">
        <x:v>46</x:v>
      </x:c>
      <x:c r="BQ40" s="4" t="n">
        <x:v>10.5</x:v>
      </x:c>
      <x:c r="BR40" s="10" t="n">
        <x:v>269</x:v>
      </x:c>
      <x:c r="BS40" s="4" t="n">
        <x:v>55.4</x:v>
      </x:c>
      <x:c r="BT40" s="10" t="n">
        <x:v>66</x:v>
      </x:c>
      <x:c r="BU40" s="4" t="str">
        <x:v>NJD</x:v>
      </x:c>
      <x:c r="BV40" s="10" t="n">
        <x:v>167</x:v>
      </x:c>
      <x:c r="BW40" s="10" t="n">
        <x:v>312</x:v>
      </x:c>
      <x:c r="BX40" s="10" t="n">
        <x:v>362</x:v>
      </x:c>
      <x:c r="BY40" s="4" t="str">
        <x:v>Arseny Gritsyuk</x:v>
      </x:c>
      <x:c r="BZ40" s="4" t="str">
        <x:v>Arseny Gritsyuk</x:v>
      </x:c>
      <x:c r="CA40" s="4" t="str">
        <x:v>Arseny Gritsyuk</x:v>
      </x:c>
      <x:c r="CB40" s="4" t="str">
        <x:v>gritsar01</x:v>
      </x:c>
    </x:row>
    <x:row r="41" ht="22" customHeight="1">
      <x:c r="A41" s="4" t="str">
        <x:v>Artem Zub</x:v>
      </x:c>
      <x:c r="B41" s="4" t="str">
        <x:v>artemzub</x:v>
      </x:c>
      <x:c r="C41" s="10" t="n">
        <x:v>1</x:v>
      </x:c>
      <x:c r="D41" s="10" t="n">
        <x:v>1</x:v>
      </x:c>
      <x:c r="E41" s="10" t="n">
        <x:v>1</x:v>
      </x:c>
      <x:c r="F41" s="4" t="n">
        <x:f>IF(COUNT(N41,Q41,T41,W41,Z41,AC41,AF41,AI41)=8,N41*Guide!$E$5+Q41*Guide!$E$6+T41*Guide!$E$7+W41*Guide!$E$8+Z41*Guide!$E$9+AC41*Guide!$E$10+AF41*Guide!$E$11+AI41*Guide!$E$12,"")</x:f>
        <x:v>228.75</x:v>
      </x:c>
      <x:c r="G41" s="4" t="n">
        <x:f>IF(COUNT(O41,R41,U41,X41,AA41,AD41,AG41,AJ41)=8,O41*Guide!$E$5+R41*Guide!$E$6+U41*Guide!$E$7+X41*Guide!$E$8+AA41*Guide!$E$9+AD41*Guide!$E$10+AG41*Guide!$E$11+AJ41*Guide!$E$12,"")</x:f>
        <x:v>246.5</x:v>
      </x:c>
      <x:c r="H41" s="4" t="n">
        <x:f>IF(COUNT(G41,F41)=2,G41-F41,"")</x:f>
        <x:v>17.75</x:v>
      </x:c>
      <x:c r="I41" s="4" t="n">
        <x:f>IF(AND(ISNUMBER(F41),K41&gt;0),F41/K41,"")</x:f>
        <x:v>3.0098684210526314</x:v>
      </x:c>
      <x:c r="J41" s="4" t="n">
        <x:f>IF(AND(ISNUMBER(G41),L41&gt;0),G41/L41,"")</x:f>
        <x:v>3.04320987654321</x:v>
      </x:c>
      <x:c r="K41" s="10" t="n">
        <x:v>76</x:v>
      </x:c>
      <x:c r="L41" s="10" t="n">
        <x:v>81</x:v>
      </x:c>
      <x:c r="M41" s="10" t="n">
        <x:f>IF(COUNT(L41,K41)=2,L41-K41,"")</x:f>
        <x:v>5</x:v>
      </x:c>
      <x:c r="N41" s="10" t="n">
        <x:v>5</x:v>
      </x:c>
      <x:c r="O41" s="10" t="n">
        <x:v>5</x:v>
      </x:c>
      <x:c r="P41" s="10" t="n">
        <x:f>IF(COUNT(O41,N41)=2,O41-N41,"")</x:f>
        <x:v>0</x:v>
      </x:c>
      <x:c r="Q41" s="10" t="n">
        <x:v>17</x:v>
      </x:c>
      <x:c r="R41" s="10" t="n">
        <x:v>25</x:v>
      </x:c>
      <x:c r="S41" s="10" t="n">
        <x:f>IF(COUNT(R41,Q41)=2,R41-Q41,"")</x:f>
        <x:v>8</x:v>
      </x:c>
      <x:c r="T41" s="10" t="n">
        <x:v>11</x:v>
      </x:c>
      <x:c r="U41" s="10" t="n">
        <x:v>22</x:v>
      </x:c>
      <x:c r="V41" s="10" t="n">
        <x:f>IF(COUNT(U41,T41)=2,U41-T41,"")</x:f>
        <x:v>11</x:v>
      </x:c>
      <x:c r="W41" s="10" t="n">
        <x:v>1</x:v>
      </x:c>
      <x:c r="X41" s="10" t="n">
        <x:f>IF(COUNT(AV41,AW41)=2,AV41+AW41,"")</x:f>
        <x:v>0</x:v>
      </x:c>
      <x:c r="Y41" s="10" t="n">
        <x:f>IF(COUNT(X41,W41)=2,X41-W41,"")</x:f>
        <x:v>-1</x:v>
      </x:c>
      <x:c r="Z41" s="10" t="n">
        <x:v>1</x:v>
      </x:c>
      <x:c r="AA41" s="10" t="n">
        <x:f>IF(COUNT(AX41,AY41)=2,AX41+AY41,"")</x:f>
        <x:v>0</x:v>
      </x:c>
      <x:c r="AB41" s="10" t="n">
        <x:f>IF(COUNT(AA41,Z41)=2,AA41-Z41,"")</x:f>
        <x:v>-1</x:v>
      </x:c>
      <x:c r="AC41" s="10" t="n">
        <x:v>74</x:v>
      </x:c>
      <x:c r="AD41" s="10" t="n">
        <x:v>92</x:v>
      </x:c>
      <x:c r="AE41" s="10" t="n">
        <x:f>IF(COUNT(AD41,AC41)=2,AD41-AC41,"")</x:f>
        <x:v>18</x:v>
      </x:c>
      <x:c r="AF41" s="10" t="n">
        <x:v>92</x:v>
      </x:c>
      <x:c r="AG41" s="10" t="n">
        <x:v>66</x:v>
      </x:c>
      <x:c r="AH41" s="10" t="n">
        <x:f>IF(COUNT(AG41,AF41)=2,AG41-AF41,"")</x:f>
        <x:v>-26</x:v>
      </x:c>
      <x:c r="AI41" s="10" t="n">
        <x:v>135</x:v>
      </x:c>
      <x:c r="AJ41" s="10" t="n">
        <x:v>120</x:v>
      </x:c>
      <x:c r="AK41" s="10" t="n">
        <x:f>IF(COUNT(AJ41,AI41)=2,AJ41-AI41,"")</x:f>
        <x:v>-15</x:v>
      </x:c>
      <x:c r="AL41" s="10" t="n">
        <x:v>30</x:v>
      </x:c>
      <x:c r="AM41" s="10" t="n">
        <x:v>30</x:v>
      </x:c>
      <x:c r="AN41" s="4" t="str">
        <x:v>D</x:v>
      </x:c>
      <x:c r="AO41" s="4" t="str">
        <x:v>D</x:v>
      </x:c>
      <x:c r="AP41" s="4" t="str">
        <x:v>OTT</x:v>
      </x:c>
      <x:c r="AQ41" s="4" t="str">
        <x:v>OTT</x:v>
      </x:c>
      <x:c r="AR41" s="4" t="n">
        <x:v>20.63</x:v>
      </x:c>
      <x:c r="AS41" s="4" t="n">
        <x:v>20.8</x:v>
      </x:c>
      <x:c r="AT41" s="4" t="n">
        <x:v>0.15</x:v>
      </x:c>
      <x:c r="AU41" s="4" t="n">
        <x:v>5.4</x:v>
      </x:c>
      <x:c r="AV41" s="10" t="n">
        <x:v>0</x:v>
      </x:c>
      <x:c r="AW41" s="10" t="n">
        <x:v>0</x:v>
      </x:c>
      <x:c r="AX41" s="10" t="n">
        <x:v>0</x:v>
      </x:c>
      <x:c r="AY41" s="10" t="n">
        <x:v>0</x:v>
      </x:c>
      <x:c r="AZ41" s="10" t="n">
        <x:v>1293</x:v>
      </x:c>
      <x:c r="BA41" s="10" t="n">
        <x:v>1274</x:v>
      </x:c>
      <x:c r="BB41" s="4" t="n">
        <x:v>50.4</x:v>
      </x:c>
      <x:c r="BC41" s="4" t="n">
        <x:v>-3.7</x:v>
      </x:c>
      <x:c r="BD41" s="10" t="n">
        <x:v>963</x:v>
      </x:c>
      <x:c r="BE41" s="10" t="n">
        <x:v>893</x:v>
      </x:c>
      <x:c r="BF41" s="4" t="n">
        <x:v>51.9</x:v>
      </x:c>
      <x:c r="BG41" s="4" t="n">
        <x:v>-2.5</x:v>
      </x:c>
      <x:c r="BH41" s="4" t="n">
        <x:v>11.4</x:v>
      </x:c>
      <x:c r="BI41" s="4" t="n">
        <x:v>90.6</x:v>
      </x:c>
      <x:c r="BJ41" s="4" t="n">
        <x:v>102</x:v>
      </x:c>
      <x:c r="BK41" s="4" t="n">
        <x:v>36.6</x:v>
      </x:c>
      <x:c r="BL41" s="4" t="n">
        <x:v>63.4</x:v>
      </x:c>
      <x:c r="BM41" s="4" t="n">
        <x:v>20.8</x:v>
      </x:c>
      <x:c r="BN41" s="4" t="n">
        <x:v>17.85</x:v>
      </x:c>
      <x:c r="BO41" s="10" t="n">
        <x:v>26</x:v>
      </x:c>
      <x:c r="BP41" s="10" t="n">
        <x:v>78</x:v>
      </x:c>
      <x:c r="BQ41" s="4" t="n">
        <x:v>4.6</x:v>
      </x:c>
      <x:c r="BR41" s="10" t="n">
        <x:v>223</x:v>
      </x:c>
      <x:c r="BS41" s="4" t="n">
        <x:v>41.3</x:v>
      </x:c>
      <x:c r="BT41" s="10" t="n">
        <x:v>81</x:v>
      </x:c>
      <x:c r="BU41" s="4" t="str">
        <x:v>OTT</x:v>
      </x:c>
      <x:c r="BV41" s="10" t="n">
        <x:v>479</x:v>
      </x:c>
      <x:c r="BW41" s="10" t="n">
        <x:v>335</x:v>
      </x:c>
      <x:c r="BX41" s="10" t="n">
        <x:v>1104</x:v>
      </x:c>
      <x:c r="BY41" s="4" t="str">
        <x:v>Artem Zub</x:v>
      </x:c>
      <x:c r="BZ41" s="4" t="str">
        <x:v>Artem Zub</x:v>
      </x:c>
      <x:c r="CA41" s="4" t="str">
        <x:v>Artem Zub</x:v>
      </x:c>
      <x:c r="CB41" s="4" t="str">
        <x:v>zubar01</x:v>
      </x:c>
    </x:row>
    <x:row r="42" ht="22" customHeight="1">
      <x:c r="A42" s="4" t="str">
        <x:v>Artemi Panarin</x:v>
      </x:c>
      <x:c r="B42" s="4" t="str">
        <x:v>artemipanarin</x:v>
      </x:c>
      <x:c r="C42" s="10" t="n">
        <x:v>1</x:v>
      </x:c>
      <x:c r="D42" s="10" t="n">
        <x:v>1</x:v>
      </x:c>
      <x:c r="E42" s="10" t="n">
        <x:v>1</x:v>
      </x:c>
      <x:c r="F42" s="4" t="n">
        <x:f>IF(COUNT(N42,Q42,T42,W42,Z42,AC42,AF42,AI42)=8,N42*Guide!$E$5+Q42*Guide!$E$6+T42*Guide!$E$7+W42*Guide!$E$8+Z42*Guide!$E$9+AC42*Guide!$E$10+AF42*Guide!$E$11+AI42*Guide!$E$12,"")</x:f>
        <x:v>417.5</x:v>
      </x:c>
      <x:c r="G42" s="4" t="n">
        <x:f>IF(COUNT(O42,R42,U42,X42,AA42,AD42,AG42,AJ42)=8,O42*Guide!$E$5+R42*Guide!$E$6+U42*Guide!$E$7+X42*Guide!$E$8+AA42*Guide!$E$9+AD42*Guide!$E$10+AG42*Guide!$E$11+AJ42*Guide!$E$12,"")</x:f>
        <x:v>366.75</x:v>
      </x:c>
      <x:c r="H42" s="4" t="n">
        <x:f>IF(COUNT(G42,F42)=2,G42-F42,"")</x:f>
        <x:v>-50.75</x:v>
      </x:c>
      <x:c r="I42" s="4" t="n">
        <x:f>IF(AND(ISNUMBER(F42),K42&gt;0),F42/K42,"")</x:f>
        <x:v>5.284810126582278</x:v>
      </x:c>
      <x:c r="J42" s="4" t="n">
        <x:f>IF(AND(ISNUMBER(G42),L42&gt;0),G42/L42,"")</x:f>
        <x:v>4.701923076923077</x:v>
      </x:c>
      <x:c r="K42" s="10" t="n">
        <x:v>79</x:v>
      </x:c>
      <x:c r="L42" s="10" t="n">
        <x:v>78</x:v>
      </x:c>
      <x:c r="M42" s="10" t="n">
        <x:f>IF(COUNT(L42,K42)=2,L42-K42,"")</x:f>
        <x:v>-1</x:v>
      </x:c>
      <x:c r="N42" s="10" t="n">
        <x:v>35</x:v>
      </x:c>
      <x:c r="O42" s="10" t="n">
        <x:v>28</x:v>
      </x:c>
      <x:c r="P42" s="10" t="n">
        <x:f>IF(COUNT(O42,N42)=2,O42-N42,"")</x:f>
        <x:v>-7</x:v>
      </x:c>
      <x:c r="Q42" s="10" t="n">
        <x:v>58</x:v>
      </x:c>
      <x:c r="R42" s="10" t="n">
        <x:v>56</x:v>
      </x:c>
      <x:c r="S42" s="10" t="n">
        <x:f>IF(COUNT(R42,Q42)=2,R42-Q42,"")</x:f>
        <x:v>-2</x:v>
      </x:c>
      <x:c r="T42" s="10" t="n">
        <x:v>2</x:v>
      </x:c>
      <x:c r="U42" s="10" t="n">
        <x:v>-7</x:v>
      </x:c>
      <x:c r="V42" s="10" t="n">
        <x:f>IF(COUNT(U42,T42)=2,U42-T42,"")</x:f>
        <x:v>-9</x:v>
      </x:c>
      <x:c r="W42" s="10" t="n">
        <x:v>31</x:v>
      </x:c>
      <x:c r="X42" s="10" t="n">
        <x:f>IF(COUNT(AV42,AW42)=2,AV42+AW42,"")</x:f>
        <x:v>23</x:v>
      </x:c>
      <x:c r="Y42" s="10" t="n">
        <x:f>IF(COUNT(X42,W42)=2,X42-W42,"")</x:f>
        <x:v>-8</x:v>
      </x:c>
      <x:c r="Z42" s="10" t="n">
        <x:v>0</x:v>
      </x:c>
      <x:c r="AA42" s="10" t="n">
        <x:f>IF(COUNT(AX42,AY42)=2,AX42+AY42,"")</x:f>
        <x:v>0</x:v>
      </x:c>
      <x:c r="AB42" s="10" t="n">
        <x:f>IF(COUNT(AA42,Z42)=2,AA42-Z42,"")</x:f>
        <x:v>0</x:v>
      </x:c>
      <x:c r="AC42" s="10" t="n">
        <x:v>223</x:v>
      </x:c>
      <x:c r="AD42" s="10" t="n">
        <x:v>224</x:v>
      </x:c>
      <x:c r="AE42" s="10" t="n">
        <x:f>IF(COUNT(AD42,AC42)=2,AD42-AC42,"")</x:f>
        <x:v>1</x:v>
      </x:c>
      <x:c r="AF42" s="10" t="n">
        <x:v>20</x:v>
      </x:c>
      <x:c r="AG42" s="10" t="n">
        <x:v>11</x:v>
      </x:c>
      <x:c r="AH42" s="10" t="n">
        <x:f>IF(COUNT(AG42,AF42)=2,AG42-AF42,"")</x:f>
        <x:v>-9</x:v>
      </x:c>
      <x:c r="AI42" s="10" t="n">
        <x:v>13</x:v>
      </x:c>
      <x:c r="AJ42" s="10" t="n">
        <x:v>16</x:v>
      </x:c>
      <x:c r="AK42" s="10" t="n">
        <x:f>IF(COUNT(AJ42,AI42)=2,AJ42-AI42,"")</x:f>
        <x:v>3</x:v>
      </x:c>
      <x:c r="AL42" s="10" t="n">
        <x:v>34</x:v>
      </x:c>
      <x:c r="AM42" s="10" t="n">
        <x:v>34</x:v>
      </x:c>
      <x:c r="AN42" s="4" t="str">
        <x:v>LW</x:v>
      </x:c>
      <x:c r="AO42" s="4" t="str">
        <x:v>LW</x:v>
      </x:c>
      <x:c r="AP42" s="4" t="str">
        <x:v>NYR</x:v>
      </x:c>
      <x:c r="AQ42" s="4" t="str">
        <x:v>2TM</x:v>
      </x:c>
      <x:c r="AR42" s="4" t="n">
        <x:v>19.240000000000002</x:v>
      </x:c>
      <x:c r="AS42" s="4" t="n">
        <x:v>20.85</x:v>
      </x:c>
      <x:c r="AT42" s="4" t="n">
        <x:v>2.98</x:v>
      </x:c>
      <x:c r="AU42" s="4" t="n">
        <x:v>12.5</x:v>
      </x:c>
      <x:c r="AV42" s="10" t="n">
        <x:v>4</x:v>
      </x:c>
      <x:c r="AW42" s="10" t="n">
        <x:v>19</x:v>
      </x:c>
      <x:c r="AX42" s="10" t="n">
        <x:v>0</x:v>
      </x:c>
      <x:c r="AY42" s="10" t="n">
        <x:v>0</x:v>
      </x:c>
      <x:c r="AZ42" s="10" t="n">
        <x:v>1534</x:v>
      </x:c>
      <x:c r="BA42" s="10" t="n">
        <x:v>1231</x:v>
      </x:c>
      <x:c r="BB42" s="4" t="n">
        <x:v>55.5</x:v>
      </x:c>
      <x:c r="BC42" s="4" t="n">
        <x:v>8.5</x:v>
      </x:c>
      <x:c r="BD42" s="10" t="n">
        <x:v>1081</x:v>
      </x:c>
      <x:c r="BE42" s="10" t="n">
        <x:v>882</x:v>
      </x:c>
      <x:c r="BF42" s="4" t="n">
        <x:v>55.1</x:v>
      </x:c>
      <x:c r="BG42" s="4" t="n">
        <x:v>8.1</x:v>
      </x:c>
      <x:c r="BH42" s="4" t="n">
        <x:v>12</x:v>
      </x:c>
      <x:c r="BI42" s="4" t="n">
        <x:v>86.4</x:v>
      </x:c>
      <x:c r="BJ42" s="4" t="n">
        <x:v>98.3</x:v>
      </x:c>
      <x:c r="BK42" s="4" t="n">
        <x:v>64.5</x:v>
      </x:c>
      <x:c r="BL42" s="4" t="n">
        <x:v>35.5</x:v>
      </x:c>
      <x:c r="BM42" s="4" t="n">
        <x:v>20.85</x:v>
      </x:c>
      <x:c r="BN42" s="4" t="n">
        <x:v>17.466666666666665</x:v>
      </x:c>
      <x:c r="BO42" s="10" t="n">
        <x:v>25</x:v>
      </x:c>
      <x:c r="BP42" s="10" t="n">
        <x:v>105</x:v>
      </x:c>
      <x:c r="BQ42" s="4" t="n">
        <x:v>7.7</x:v>
      </x:c>
      <x:c r="BR42" s="10" t="n">
        <x:v>512</x:v>
      </x:c>
      <x:c r="BS42" s="4" t="n">
        <x:v>43.8</x:v>
      </x:c>
      <x:c r="BT42" s="10" t="n">
        <x:v>78</x:v>
      </x:c>
      <x:c r="BU42" s="4" t="str">
        <x:v>TOT</x:v>
      </x:c>
      <x:c r="BV42" s="10" t="n">
        <x:v>9</x:v>
      </x:c>
      <x:c r="BW42" s="10" t="n">
        <x:v>23</x:v>
      </x:c>
      <x:c r="BX42" s="10" t="n">
        <x:v>779</x:v>
      </x:c>
      <x:c r="BY42" s="4" t="str">
        <x:v>Artemi Panarin</x:v>
      </x:c>
      <x:c r="BZ42" s="4" t="str">
        <x:v>Artemi Panarin</x:v>
      </x:c>
      <x:c r="CA42" s="4" t="str">
        <x:v>Artemi Panarin</x:v>
      </x:c>
      <x:c r="CB42" s="4" t="str">
        <x:v>panarar01</x:v>
      </x:c>
    </x:row>
    <x:row r="43" ht="22" customHeight="1">
      <x:c r="A43" s="4" t="str">
        <x:v>Artturi Lehkonen</x:v>
      </x:c>
      <x:c r="B43" s="4" t="str">
        <x:v>artturilehkonen</x:v>
      </x:c>
      <x:c r="C43" s="10" t="n">
        <x:v>1</x:v>
      </x:c>
      <x:c r="D43" s="10" t="n">
        <x:v>1</x:v>
      </x:c>
      <x:c r="E43" s="10" t="n">
        <x:v>1</x:v>
      </x:c>
      <x:c r="F43" s="4" t="n">
        <x:f>IF(COUNT(N43,Q43,T43,W43,Z43,AC43,AF43,AI43)=8,N43*Guide!$E$5+Q43*Guide!$E$6+T43*Guide!$E$7+W43*Guide!$E$8+Z43*Guide!$E$9+AC43*Guide!$E$10+AF43*Guide!$E$11+AI43*Guide!$E$12,"")</x:f>
        <x:v>308.25</x:v>
      </x:c>
      <x:c r="G43" s="4" t="n">
        <x:f>IF(COUNT(O43,R43,U43,X43,AA43,AD43,AG43,AJ43)=8,O43*Guide!$E$5+R43*Guide!$E$6+U43*Guide!$E$7+X43*Guide!$E$8+AA43*Guide!$E$9+AD43*Guide!$E$10+AG43*Guide!$E$11+AJ43*Guide!$E$12,"")</x:f>
        <x:v>273.25</x:v>
      </x:c>
      <x:c r="H43" s="4" t="n">
        <x:f>IF(COUNT(G43,F43)=2,G43-F43,"")</x:f>
        <x:v>-35</x:v>
      </x:c>
      <x:c r="I43" s="4" t="n">
        <x:f>IF(AND(ISNUMBER(F43),K43&gt;0),F43/K43,"")</x:f>
        <x:v>4.11</x:v>
      </x:c>
      <x:c r="J43" s="4" t="n">
        <x:f>IF(AND(ISNUMBER(G43),L43&gt;0),G43/L43,"")</x:f>
        <x:v>3.9035714285714285</x:v>
      </x:c>
      <x:c r="K43" s="10" t="n">
        <x:v>75</x:v>
      </x:c>
      <x:c r="L43" s="10" t="n">
        <x:v>70</x:v>
      </x:c>
      <x:c r="M43" s="10" t="n">
        <x:f>IF(COUNT(L43,K43)=2,L43-K43,"")</x:f>
        <x:v>-5</x:v>
      </x:c>
      <x:c r="N43" s="10" t="n">
        <x:v>27</x:v>
      </x:c>
      <x:c r="O43" s="10" t="n">
        <x:v>21</x:v>
      </x:c>
      <x:c r="P43" s="10" t="n">
        <x:f>IF(COUNT(O43,N43)=2,O43-N43,"")</x:f>
        <x:v>-6</x:v>
      </x:c>
      <x:c r="Q43" s="10" t="n">
        <x:v>28</x:v>
      </x:c>
      <x:c r="R43" s="10" t="n">
        <x:v>27</x:v>
      </x:c>
      <x:c r="S43" s="10" t="n">
        <x:f>IF(COUNT(R43,Q43)=2,R43-Q43,"")</x:f>
        <x:v>-1</x:v>
      </x:c>
      <x:c r="T43" s="10" t="n">
        <x:v>16</x:v>
      </x:c>
      <x:c r="U43" s="10" t="n">
        <x:v>32</x:v>
      </x:c>
      <x:c r="V43" s="10" t="n">
        <x:f>IF(COUNT(U43,T43)=2,U43-T43,"")</x:f>
        <x:v>16</x:v>
      </x:c>
      <x:c r="W43" s="10" t="n">
        <x:v>12</x:v>
      </x:c>
      <x:c r="X43" s="10" t="n">
        <x:f>IF(COUNT(AV43,AW43)=2,AV43+AW43,"")</x:f>
        <x:v>2</x:v>
      </x:c>
      <x:c r="Y43" s="10" t="n">
        <x:f>IF(COUNT(X43,W43)=2,X43-W43,"")</x:f>
        <x:v>-10</x:v>
      </x:c>
      <x:c r="Z43" s="10" t="n">
        <x:v>1</x:v>
      </x:c>
      <x:c r="AA43" s="10" t="n">
        <x:f>IF(COUNT(AX43,AY43)=2,AX43+AY43,"")</x:f>
        <x:v>0</x:v>
      </x:c>
      <x:c r="AB43" s="10" t="n">
        <x:f>IF(COUNT(AA43,Z43)=2,AA43-Z43,"")</x:f>
        <x:v>-1</x:v>
      </x:c>
      <x:c r="AC43" s="10" t="n">
        <x:v>157</x:v>
      </x:c>
      <x:c r="AD43" s="10" t="n">
        <x:v>153</x:v>
      </x:c>
      <x:c r="AE43" s="10" t="n">
        <x:f>IF(COUNT(AD43,AC43)=2,AD43-AC43,"")</x:f>
        <x:v>-4</x:v>
      </x:c>
      <x:c r="AF43" s="10" t="n">
        <x:v>55</x:v>
      </x:c>
      <x:c r="AG43" s="10" t="n">
        <x:v>45</x:v>
      </x:c>
      <x:c r="AH43" s="10" t="n">
        <x:f>IF(COUNT(AG43,AF43)=2,AG43-AF43,"")</x:f>
        <x:v>-10</x:v>
      </x:c>
      <x:c r="AI43" s="10" t="n">
        <x:v>43</x:v>
      </x:c>
      <x:c r="AJ43" s="10" t="n">
        <x:v>33</x:v>
      </x:c>
      <x:c r="AK43" s="10" t="n">
        <x:f>IF(COUNT(AJ43,AI43)=2,AJ43-AI43,"")</x:f>
        <x:v>-10</x:v>
      </x:c>
      <x:c r="AL43" s="10" t="n">
        <x:v>30</x:v>
      </x:c>
      <x:c r="AM43" s="10" t="n">
        <x:v>30</x:v>
      </x:c>
      <x:c r="AN43" s="4" t="str">
        <x:v>LW,RW</x:v>
      </x:c>
      <x:c r="AO43" s="4" t="str">
        <x:v>LW</x:v>
      </x:c>
      <x:c r="AP43" s="4" t="str">
        <x:v>COL</x:v>
      </x:c>
      <x:c r="AQ43" s="4" t="str">
        <x:v>COL</x:v>
      </x:c>
      <x:c r="AR43" s="4" t="n">
        <x:v>19.96</x:v>
      </x:c>
      <x:c r="AS43" s="4" t="n">
        <x:v>18.483333333333334</x:v>
      </x:c>
      <x:c r="AT43" s="4" t="n">
        <x:v>2.29</x:v>
      </x:c>
      <x:c r="AU43" s="4" t="n">
        <x:v>13.7</x:v>
      </x:c>
      <x:c r="AV43" s="10" t="n">
        <x:v>1</x:v>
      </x:c>
      <x:c r="AW43" s="10" t="n">
        <x:v>1</x:v>
      </x:c>
      <x:c r="AX43" s="10" t="n">
        <x:v>0</x:v>
      </x:c>
      <x:c r="AY43" s="10" t="n">
        <x:v>0</x:v>
      </x:c>
      <x:c r="AZ43" s="10" t="n">
        <x:v>1231</x:v>
      </x:c>
      <x:c r="BA43" s="10" t="n">
        <x:v>1019</x:v>
      </x:c>
      <x:c r="BB43" s="4" t="n">
        <x:v>54.7</x:v>
      </x:c>
      <x:c r="BC43" s="4" t="n">
        <x:v>-1.9</x:v>
      </x:c>
      <x:c r="BD43" s="10" t="n">
        <x:v>875</x:v>
      </x:c>
      <x:c r="BE43" s="10" t="n">
        <x:v>759</x:v>
      </x:c>
      <x:c r="BF43" s="4" t="n">
        <x:v>53.5</x:v>
      </x:c>
      <x:c r="BG43" s="4" t="n">
        <x:v>-3</x:v>
      </x:c>
      <x:c r="BH43" s="4" t="n">
        <x:v>12.9</x:v>
      </x:c>
      <x:c r="BI43" s="4" t="n">
        <x:v>92.5</x:v>
      </x:c>
      <x:c r="BJ43" s="4" t="n">
        <x:v>105.5</x:v>
      </x:c>
      <x:c r="BK43" s="4" t="n">
        <x:v>57.1</x:v>
      </x:c>
      <x:c r="BL43" s="4" t="n">
        <x:v>42.9</x:v>
      </x:c>
      <x:c r="BM43" s="4" t="n">
        <x:v>18.483333333333334</x:v>
      </x:c>
      <x:c r="BN43" s="4" t="n">
        <x:v>14.983333333333333</x:v>
      </x:c>
      <x:c r="BO43" s="10" t="n">
        <x:v>13</x:v>
      </x:c>
      <x:c r="BP43" s="10" t="n">
        <x:v>45</x:v>
      </x:c>
      <x:c r="BQ43" s="4" t="n">
        <x:v>17.5</x:v>
      </x:c>
      <x:c r="BR43" s="10" t="n">
        <x:v>293</x:v>
      </x:c>
      <x:c r="BS43" s="4" t="n">
        <x:v>52.2</x:v>
      </x:c>
      <x:c r="BT43" s="10" t="n">
        <x:v>70</x:v>
      </x:c>
      <x:c r="BU43" s="4" t="str">
        <x:v>COL</x:v>
      </x:c>
      <x:c r="BV43" s="10" t="n">
        <x:v>122</x:v>
      </x:c>
      <x:c r="BW43" s="10" t="n">
        <x:v>157</x:v>
      </x:c>
      <x:c r="BX43" s="10" t="n">
        <x:v>589</x:v>
      </x:c>
      <x:c r="BY43" s="4" t="str">
        <x:v>Artturi Lehkonen</x:v>
      </x:c>
      <x:c r="BZ43" s="4" t="str">
        <x:v>Artturi Lehkonen</x:v>
      </x:c>
      <x:c r="CA43" s="4" t="str">
        <x:v>Artturi Lehkonen</x:v>
      </x:c>
      <x:c r="CB43" s="4" t="str">
        <x:v>lehkoar01</x:v>
      </x:c>
    </x:row>
    <x:row r="44" ht="22" customHeight="1">
      <x:c r="A44" s="4" t="str">
        <x:v>Artyom Levshunov</x:v>
      </x:c>
      <x:c r="B44" s="4" t="str">
        <x:v>artyomlevshunov</x:v>
      </x:c>
      <x:c r="C44" s="10" t="n">
        <x:v>1</x:v>
      </x:c>
      <x:c r="D44" s="10" t="n">
        <x:v>1</x:v>
      </x:c>
      <x:c r="E44" s="10" t="n">
        <x:v>1</x:v>
      </x:c>
      <x:c r="F44" s="4" t="n">
        <x:f>IF(COUNT(N44,Q44,T44,W44,Z44,AC44,AF44,AI44)=8,N44*Guide!$E$5+Q44*Guide!$E$6+T44*Guide!$E$7+W44*Guide!$E$8+Z44*Guide!$E$9+AC44*Guide!$E$10+AF44*Guide!$E$11+AI44*Guide!$E$12,"")</x:f>
        <x:v>213.25</x:v>
      </x:c>
      <x:c r="G44" s="4" t="n">
        <x:f>IF(COUNT(O44,R44,U44,X44,AA44,AD44,AG44,AJ44)=8,O44*Guide!$E$5+R44*Guide!$E$6+U44*Guide!$E$7+X44*Guide!$E$8+AA44*Guide!$E$9+AD44*Guide!$E$10+AG44*Guide!$E$11+AJ44*Guide!$E$12,"")</x:f>
        <x:v>145.75</x:v>
      </x:c>
      <x:c r="H44" s="4" t="n">
        <x:f>IF(COUNT(G44,F44)=2,G44-F44,"")</x:f>
        <x:v>-67.5</x:v>
      </x:c>
      <x:c r="I44" s="4" t="n">
        <x:f>IF(AND(ISNUMBER(F44),K44&gt;0),F44/K44,"")</x:f>
        <x:v>2.733974358974359</x:v>
      </x:c>
      <x:c r="J44" s="4" t="n">
        <x:f>IF(AND(ISNUMBER(G44),L44&gt;0),G44/L44,"")</x:f>
        <x:v>2.1433823529411766</x:v>
      </x:c>
      <x:c r="K44" s="10" t="n">
        <x:v>78</x:v>
      </x:c>
      <x:c r="L44" s="10" t="n">
        <x:v>68</x:v>
      </x:c>
      <x:c r="M44" s="10" t="n">
        <x:f>IF(COUNT(L44,K44)=2,L44-K44,"")</x:f>
        <x:v>-10</x:v>
      </x:c>
      <x:c r="N44" s="10" t="n">
        <x:v>5</x:v>
      </x:c>
      <x:c r="O44" s="10" t="n">
        <x:v>2</x:v>
      </x:c>
      <x:c r="P44" s="10" t="n">
        <x:f>IF(COUNT(O44,N44)=2,O44-N44,"")</x:f>
        <x:v>-3</x:v>
      </x:c>
      <x:c r="Q44" s="10" t="n">
        <x:v>26</x:v>
      </x:c>
      <x:c r="R44" s="10" t="n">
        <x:v>22</x:v>
      </x:c>
      <x:c r="S44" s="10" t="n">
        <x:f>IF(COUNT(R44,Q44)=2,R44-Q44,"")</x:f>
        <x:v>-4</x:v>
      </x:c>
      <x:c r="T44" s="10" t="n">
        <x:v>-12</x:v>
      </x:c>
      <x:c r="U44" s="10" t="n">
        <x:v>-41</x:v>
      </x:c>
      <x:c r="V44" s="10" t="n">
        <x:f>IF(COUNT(U44,T44)=2,U44-T44,"")</x:f>
        <x:v>-29</x:v>
      </x:c>
      <x:c r="W44" s="10" t="n">
        <x:v>8</x:v>
      </x:c>
      <x:c r="X44" s="10" t="n">
        <x:f>IF(COUNT(AV44,AW44)=2,AV44+AW44,"")</x:f>
        <x:v>11</x:v>
      </x:c>
      <x:c r="Y44" s="10" t="n">
        <x:f>IF(COUNT(X44,W44)=2,X44-W44,"")</x:f>
        <x:v>3</x:v>
      </x:c>
      <x:c r="Z44" s="10" t="n">
        <x:v>0</x:v>
      </x:c>
      <x:c r="AA44" s="10" t="n">
        <x:f>IF(COUNT(AX44,AY44)=2,AX44+AY44,"")</x:f>
        <x:v>0</x:v>
      </x:c>
      <x:c r="AB44" s="10" t="n">
        <x:f>IF(COUNT(AA44,Z44)=2,AA44-Z44,"")</x:f>
        <x:v>0</x:v>
      </x:c>
      <x:c r="AC44" s="10" t="n">
        <x:v>104</x:v>
      </x:c>
      <x:c r="AD44" s="10" t="n">
        <x:v>84</x:v>
      </x:c>
      <x:c r="AE44" s="10" t="n">
        <x:f>IF(COUNT(AD44,AC44)=2,AD44-AC44,"")</x:f>
        <x:v>-20</x:v>
      </x:c>
      <x:c r="AF44" s="10" t="n">
        <x:v>79</x:v>
      </x:c>
      <x:c r="AG44" s="10" t="n">
        <x:v>98</x:v>
      </x:c>
      <x:c r="AH44" s="10" t="n">
        <x:f>IF(COUNT(AG44,AF44)=2,AG44-AF44,"")</x:f>
        <x:v>19</x:v>
      </x:c>
      <x:c r="AI44" s="10" t="n">
        <x:v>98</x:v>
      </x:c>
      <x:c r="AJ44" s="10" t="n">
        <x:v>75</x:v>
      </x:c>
      <x:c r="AK44" s="10" t="n">
        <x:f>IF(COUNT(AJ44,AI44)=2,AJ44-AI44,"")</x:f>
        <x:v>-23</x:v>
      </x:c>
      <x:c r="AL44" s="10" t="n">
        <x:v>20</x:v>
      </x:c>
      <x:c r="AM44" s="10" t="n">
        <x:v>20</x:v>
      </x:c>
      <x:c r="AN44" s="4" t="str">
        <x:v>D</x:v>
      </x:c>
      <x:c r="AO44" s="4" t="str">
        <x:v>D</x:v>
      </x:c>
      <x:c r="AP44" s="4" t="str">
        <x:v>CHI</x:v>
      </x:c>
      <x:c r="AQ44" s="4" t="str">
        <x:v>CHI</x:v>
      </x:c>
      <x:c r="AR44" s="4" t="n">
        <x:v>20.309999999999995</x:v>
      </x:c>
      <x:c r="AS44" s="4" t="n">
        <x:v>19.583333333333332</x:v>
      </x:c>
      <x:c r="AT44" s="4" t="n">
        <x:v>1.49</x:v>
      </x:c>
      <x:c r="AU44" s="4" t="n">
        <x:v>2.4</x:v>
      </x:c>
      <x:c r="AV44" s="10" t="n">
        <x:v>1</x:v>
      </x:c>
      <x:c r="AW44" s="10" t="n">
        <x:v>10</x:v>
      </x:c>
      <x:c r="AX44" s="10" t="n">
        <x:v>0</x:v>
      </x:c>
      <x:c r="AY44" s="10" t="n">
        <x:v>0</x:v>
      </x:c>
      <x:c r="AZ44" s="10" t="n">
        <x:v>976</x:v>
      </x:c>
      <x:c r="BA44" s="10" t="n">
        <x:v>1158</x:v>
      </x:c>
      <x:c r="BB44" s="4" t="n">
        <x:v>45.7</x:v>
      </x:c>
      <x:c r="BC44" s="4" t="n">
        <x:v>-0.1</x:v>
      </x:c>
      <x:c r="BD44" s="10" t="n">
        <x:v>707</x:v>
      </x:c>
      <x:c r="BE44" s="10" t="n">
        <x:v>913</x:v>
      </x:c>
      <x:c r="BF44" s="4" t="n">
        <x:v>43.6</x:v>
      </x:c>
      <x:c r="BG44" s="4" t="n">
        <x:v>-2.3</x:v>
      </x:c>
      <x:c r="BH44" s="4" t="n">
        <x:v>8.2</x:v>
      </x:c>
      <x:c r="BI44" s="4" t="n">
        <x:v>87.9</x:v>
      </x:c>
      <x:c r="BJ44" s="4" t="n">
        <x:v>96.1</x:v>
      </x:c>
      <x:c r="BK44" s="4" t="n">
        <x:v>60.6</x:v>
      </x:c>
      <x:c r="BL44" s="4" t="n">
        <x:v>39.4</x:v>
      </x:c>
      <x:c r="BM44" s="4" t="n">
        <x:v>19.583333333333332</x:v>
      </x:c>
      <x:c r="BN44" s="4" t="n">
        <x:v>16.316666666666666</x:v>
      </x:c>
      <x:c r="BO44" s="10" t="n">
        <x:v>16</x:v>
      </x:c>
      <x:c r="BP44" s="10" t="n">
        <x:v>88</x:v>
      </x:c>
      <x:c r="BQ44" s="4" t="n">
        <x:v>-22.7</x:v>
      </x:c>
      <x:c r="BR44" s="10" t="n">
        <x:v>220</x:v>
      </x:c>
      <x:c r="BS44" s="4" t="n">
        <x:v>38.2</x:v>
      </x:c>
      <x:c r="BT44" s="10" t="n">
        <x:v>68</x:v>
      </x:c>
      <x:c r="BU44" s="4" t="str">
        <x:v>CHI</x:v>
      </x:c>
      <x:c r="BV44" s="10" t="n">
        <x:v>357</x:v>
      </x:c>
      <x:c r="BW44" s="10" t="n">
        <x:v>410</x:v>
      </x:c>
      <x:c r="BX44" s="10" t="n">
        <x:v>594</x:v>
      </x:c>
      <x:c r="BY44" s="4" t="str">
        <x:v>Artyom Levshunov</x:v>
      </x:c>
      <x:c r="BZ44" s="4" t="str">
        <x:v>Artyom Levshunov</x:v>
      </x:c>
      <x:c r="CA44" s="4" t="str">
        <x:v>Artyom Levshunov</x:v>
      </x:c>
      <x:c r="CB44" s="4" t="str">
        <x:v>levshar01</x:v>
      </x:c>
    </x:row>
    <x:row r="45" ht="22" customHeight="1">
      <x:c r="A45" s="4" t="str">
        <x:v>Auston Matthews</x:v>
      </x:c>
      <x:c r="B45" s="4" t="str">
        <x:v>austonmatthews</x:v>
      </x:c>
      <x:c r="C45" s="10" t="n">
        <x:v>1</x:v>
      </x:c>
      <x:c r="D45" s="10" t="n">
        <x:v>1</x:v>
      </x:c>
      <x:c r="E45" s="10" t="n">
        <x:v>1</x:v>
      </x:c>
      <x:c r="F45" s="4" t="n">
        <x:f>IF(COUNT(N45,Q45,T45,W45,Z45,AC45,AF45,AI45)=8,N45*Guide!$E$5+Q45*Guide!$E$6+T45*Guide!$E$7+W45*Guide!$E$8+Z45*Guide!$E$9+AC45*Guide!$E$10+AF45*Guide!$E$11+AI45*Guide!$E$12,"")</x:f>
        <x:v>521</x:v>
      </x:c>
      <x:c r="G45" s="4" t="n">
        <x:f>IF(COUNT(O45,R45,U45,X45,AA45,AD45,AG45,AJ45)=8,O45*Guide!$E$5+R45*Guide!$E$6+U45*Guide!$E$7+X45*Guide!$E$8+AA45*Guide!$E$9+AD45*Guide!$E$10+AG45*Guide!$E$11+AJ45*Guide!$E$12,"")</x:f>
        <x:v>322</x:v>
      </x:c>
      <x:c r="H45" s="4" t="n">
        <x:f>IF(COUNT(G45,F45)=2,G45-F45,"")</x:f>
        <x:v>-199</x:v>
      </x:c>
      <x:c r="I45" s="4" t="n">
        <x:f>IF(AND(ISNUMBER(F45),K45&gt;0),F45/K45,"")</x:f>
        <x:v>6.67948717948718</x:v>
      </x:c>
      <x:c r="J45" s="4" t="n">
        <x:f>IF(AND(ISNUMBER(G45),L45&gt;0),G45/L45,"")</x:f>
        <x:v>5.366666666666666</x:v>
      </x:c>
      <x:c r="K45" s="10" t="n">
        <x:v>78</x:v>
      </x:c>
      <x:c r="L45" s="10" t="n">
        <x:v>60</x:v>
      </x:c>
      <x:c r="M45" s="10" t="n">
        <x:f>IF(COUNT(L45,K45)=2,L45-K45,"")</x:f>
        <x:v>-18</x:v>
      </x:c>
      <x:c r="N45" s="10" t="n">
        <x:v>48</x:v>
      </x:c>
      <x:c r="O45" s="10" t="n">
        <x:v>27</x:v>
      </x:c>
      <x:c r="P45" s="10" t="n">
        <x:f>IF(COUNT(O45,N45)=2,O45-N45,"")</x:f>
        <x:v>-21</x:v>
      </x:c>
      <x:c r="Q45" s="10" t="n">
        <x:v>41</x:v>
      </x:c>
      <x:c r="R45" s="10" t="n">
        <x:v>26</x:v>
      </x:c>
      <x:c r="S45" s="10" t="n">
        <x:f>IF(COUNT(R45,Q45)=2,R45-Q45,"")</x:f>
        <x:v>-15</x:v>
      </x:c>
      <x:c r="T45" s="10" t="n">
        <x:v>15</x:v>
      </x:c>
      <x:c r="U45" s="10" t="n">
        <x:v>-4</x:v>
      </x:c>
      <x:c r="V45" s="10" t="n">
        <x:f>IF(COUNT(U45,T45)=2,U45-T45,"")</x:f>
        <x:v>-19</x:v>
      </x:c>
      <x:c r="W45" s="10" t="n">
        <x:v>26</x:v>
      </x:c>
      <x:c r="X45" s="10" t="n">
        <x:f>IF(COUNT(AV45,AW45)=2,AV45+AW45,"")</x:f>
        <x:v>12</x:v>
      </x:c>
      <x:c r="Y45" s="10" t="n">
        <x:f>IF(COUNT(X45,W45)=2,X45-W45,"")</x:f>
        <x:v>-14</x:v>
      </x:c>
      <x:c r="Z45" s="10" t="n">
        <x:v>1</x:v>
      </x:c>
      <x:c r="AA45" s="10" t="n">
        <x:f>IF(COUNT(AX45,AY45)=2,AX45+AY45,"")</x:f>
        <x:v>0</x:v>
      </x:c>
      <x:c r="AB45" s="10" t="n">
        <x:f>IF(COUNT(AA45,Z45)=2,AA45-Z45,"")</x:f>
        <x:v>-1</x:v>
      </x:c>
      <x:c r="AC45" s="10" t="n">
        <x:v>300</x:v>
      </x:c>
      <x:c r="AD45" s="10" t="n">
        <x:v>227</x:v>
      </x:c>
      <x:c r="AE45" s="10" t="n">
        <x:f>IF(COUNT(AD45,AC45)=2,AD45-AC45,"")</x:f>
        <x:v>-73</x:v>
      </x:c>
      <x:c r="AF45" s="10" t="n">
        <x:v>63</x:v>
      </x:c>
      <x:c r="AG45" s="10" t="n">
        <x:v>42</x:v>
      </x:c>
      <x:c r="AH45" s="10" t="n">
        <x:f>IF(COUNT(AG45,AF45)=2,AG45-AF45,"")</x:f>
        <x:v>-21</x:v>
      </x:c>
      <x:c r="AI45" s="10" t="n">
        <x:v>95</x:v>
      </x:c>
      <x:c r="AJ45" s="10" t="n">
        <x:v>81</x:v>
      </x:c>
      <x:c r="AK45" s="10" t="n">
        <x:f>IF(COUNT(AJ45,AI45)=2,AJ45-AI45,"")</x:f>
        <x:v>-14</x:v>
      </x:c>
      <x:c r="AL45" s="10" t="n">
        <x:v>28</x:v>
      </x:c>
      <x:c r="AM45" s="10" t="n">
        <x:v>28</x:v>
      </x:c>
      <x:c r="AN45" s="4" t="str">
        <x:v>C</x:v>
      </x:c>
      <x:c r="AO45" s="4" t="str">
        <x:v>C</x:v>
      </x:c>
      <x:c r="AP45" s="4" t="str">
        <x:v>TOR</x:v>
      </x:c>
      <x:c r="AQ45" s="4" t="str">
        <x:v>TOR</x:v>
      </x:c>
      <x:c r="AR45" s="4" t="n">
        <x:v>20.240000000000002</x:v>
      </x:c>
      <x:c r="AS45" s="4" t="n">
        <x:v>20.8</x:v>
      </x:c>
      <x:c r="AT45" s="4" t="n">
        <x:v>2.92</x:v>
      </x:c>
      <x:c r="AU45" s="4" t="n">
        <x:v>11.9</x:v>
      </x:c>
      <x:c r="AV45" s="10" t="n">
        <x:v>5</x:v>
      </x:c>
      <x:c r="AW45" s="10" t="n">
        <x:v>7</x:v>
      </x:c>
      <x:c r="AX45" s="10" t="n">
        <x:v>0</x:v>
      </x:c>
      <x:c r="AY45" s="10" t="n">
        <x:v>0</x:v>
      </x:c>
      <x:c r="AZ45" s="10" t="n">
        <x:v>948</x:v>
      </x:c>
      <x:c r="BA45" s="10" t="n">
        <x:v>1098</x:v>
      </x:c>
      <x:c r="BB45" s="4" t="n">
        <x:v>46.3</x:v>
      </x:c>
      <x:c r="BC45" s="4" t="n">
        <x:v>1.5</x:v>
      </x:c>
      <x:c r="BD45" s="10" t="n">
        <x:v>728</x:v>
      </x:c>
      <x:c r="BE45" s="10" t="n">
        <x:v>806</x:v>
      </x:c>
      <x:c r="BF45" s="4" t="n">
        <x:v>47.5</x:v>
      </x:c>
      <x:c r="BG45" s="4" t="n">
        <x:v>2</x:v>
      </x:c>
      <x:c r="BH45" s="4" t="n">
        <x:v>13.1</x:v>
      </x:c>
      <x:c r="BI45" s="4" t="n">
        <x:v>88.2</x:v>
      </x:c>
      <x:c r="BJ45" s="4" t="n">
        <x:v>101.3</x:v>
      </x:c>
      <x:c r="BK45" s="4" t="n">
        <x:v>53.6</x:v>
      </x:c>
      <x:c r="BL45" s="4" t="n">
        <x:v>46.4</x:v>
      </x:c>
      <x:c r="BM45" s="4" t="n">
        <x:v>20.8</x:v>
      </x:c>
      <x:c r="BN45" s="4" t="n">
        <x:v>16.866666666666667</x:v>
      </x:c>
      <x:c r="BO45" s="10" t="n">
        <x:v>30</x:v>
      </x:c>
      <x:c r="BP45" s="10" t="n">
        <x:v>51</x:v>
      </x:c>
      <x:c r="BQ45" s="4" t="n">
        <x:v>-1.5</x:v>
      </x:c>
      <x:c r="BR45" s="10" t="n">
        <x:v>402</x:v>
      </x:c>
      <x:c r="BS45" s="4" t="n">
        <x:v>56.5</x:v>
      </x:c>
      <x:c r="BT45" s="10" t="n">
        <x:v>60</x:v>
      </x:c>
      <x:c r="BU45" s="4" t="str">
        <x:v>TOR</x:v>
      </x:c>
      <x:c r="BV45" s="10" t="n">
        <x:v>11</x:v>
      </x:c>
      <x:c r="BW45" s="10" t="n">
        <x:v>124</x:v>
      </x:c>
      <x:c r="BX45" s="10" t="n">
        <x:v>658</x:v>
      </x:c>
      <x:c r="BY45" s="4" t="str">
        <x:v>Auston Matthews</x:v>
      </x:c>
      <x:c r="BZ45" s="4" t="str">
        <x:v>Auston Matthews</x:v>
      </x:c>
      <x:c r="CA45" s="4" t="str">
        <x:v>Auston Matthews</x:v>
      </x:c>
      <x:c r="CB45" s="4" t="str">
        <x:v>matthau01</x:v>
      </x:c>
    </x:row>
    <x:row r="46" ht="22" customHeight="1">
      <x:c r="A46" s="4" t="str">
        <x:v>Barrett Hayton</x:v>
      </x:c>
      <x:c r="B46" s="4" t="str">
        <x:v>barretthayton</x:v>
      </x:c>
      <x:c r="C46" s="10" t="n">
        <x:v>1</x:v>
      </x:c>
      <x:c r="D46" s="10" t="n">
        <x:v>1</x:v>
      </x:c>
      <x:c r="E46" s="10" t="n">
        <x:v>1</x:v>
      </x:c>
      <x:c r="F46" s="4" t="n">
        <x:f>IF(COUNT(N46,Q46,T46,W46,Z46,AC46,AF46,AI46)=8,N46*Guide!$E$5+Q46*Guide!$E$6+T46*Guide!$E$7+W46*Guide!$E$8+Z46*Guide!$E$9+AC46*Guide!$E$10+AF46*Guide!$E$11+AI46*Guide!$E$12,"")</x:f>
        <x:v>244.25</x:v>
      </x:c>
      <x:c r="G46" s="4" t="n">
        <x:f>IF(COUNT(O46,R46,U46,X46,AA46,AD46,AG46,AJ46)=8,O46*Guide!$E$5+R46*Guide!$E$6+U46*Guide!$E$7+X46*Guide!$E$8+AA46*Guide!$E$9+AD46*Guide!$E$10+AG46*Guide!$E$11+AJ46*Guide!$E$12,"")</x:f>
        <x:v>154</x:v>
      </x:c>
      <x:c r="H46" s="4" t="n">
        <x:f>IF(COUNT(G46,F46)=2,G46-F46,"")</x:f>
        <x:v>-90.25</x:v>
      </x:c>
      <x:c r="I46" s="4" t="n">
        <x:f>IF(AND(ISNUMBER(F46),K46&gt;0),F46/K46,"")</x:f>
        <x:v>3.015432098765432</x:v>
      </x:c>
      <x:c r="J46" s="4" t="n">
        <x:f>IF(AND(ISNUMBER(G46),L46&gt;0),G46/L46,"")</x:f>
        <x:v>2.298507462686567</x:v>
      </x:c>
      <x:c r="K46" s="10" t="n">
        <x:v>81</x:v>
      </x:c>
      <x:c r="L46" s="10" t="n">
        <x:v>67</x:v>
      </x:c>
      <x:c r="M46" s="10" t="n">
        <x:f>IF(COUNT(L46,K46)=2,L46-K46,"")</x:f>
        <x:v>-14</x:v>
      </x:c>
      <x:c r="N46" s="10" t="n">
        <x:v>21</x:v>
      </x:c>
      <x:c r="O46" s="10" t="n">
        <x:v>10</x:v>
      </x:c>
      <x:c r="P46" s="10" t="n">
        <x:f>IF(COUNT(O46,N46)=2,O46-N46,"")</x:f>
        <x:v>-11</x:v>
      </x:c>
      <x:c r="Q46" s="10" t="n">
        <x:v>22</x:v>
      </x:c>
      <x:c r="R46" s="10" t="n">
        <x:v>15</x:v>
      </x:c>
      <x:c r="S46" s="10" t="n">
        <x:f>IF(COUNT(R46,Q46)=2,R46-Q46,"")</x:f>
        <x:v>-7</x:v>
      </x:c>
      <x:c r="T46" s="10" t="n">
        <x:v>-1</x:v>
      </x:c>
      <x:c r="U46" s="10" t="n">
        <x:v>3</x:v>
      </x:c>
      <x:c r="V46" s="10" t="n">
        <x:f>IF(COUNT(U46,T46)=2,U46-T46,"")</x:f>
        <x:v>4</x:v>
      </x:c>
      <x:c r="W46" s="10" t="n">
        <x:v>11</x:v>
      </x:c>
      <x:c r="X46" s="10" t="n">
        <x:f>IF(COUNT(AV46,AW46)=2,AV46+AW46,"")</x:f>
        <x:v>6</x:v>
      </x:c>
      <x:c r="Y46" s="10" t="n">
        <x:f>IF(COUNT(X46,W46)=2,X46-W46,"")</x:f>
        <x:v>-5</x:v>
      </x:c>
      <x:c r="Z46" s="10" t="n">
        <x:v>1</x:v>
      </x:c>
      <x:c r="AA46" s="10" t="n">
        <x:f>IF(COUNT(AX46,AY46)=2,AX46+AY46,"")</x:f>
        <x:v>0</x:v>
      </x:c>
      <x:c r="AB46" s="10" t="n">
        <x:f>IF(COUNT(AA46,Z46)=2,AA46-Z46,"")</x:f>
        <x:v>-1</x:v>
      </x:c>
      <x:c r="AC46" s="10" t="n">
        <x:v>155</x:v>
      </x:c>
      <x:c r="AD46" s="10" t="n">
        <x:v>119</x:v>
      </x:c>
      <x:c r="AE46" s="10" t="n">
        <x:f>IF(COUNT(AD46,AC46)=2,AD46-AC46,"")</x:f>
        <x:v>-36</x:v>
      </x:c>
      <x:c r="AF46" s="10" t="n">
        <x:v>41</x:v>
      </x:c>
      <x:c r="AG46" s="10" t="n">
        <x:v>34</x:v>
      </x:c>
      <x:c r="AH46" s="10" t="n">
        <x:f>IF(COUNT(AG46,AF46)=2,AG46-AF46,"")</x:f>
        <x:v>-7</x:v>
      </x:c>
      <x:c r="AI46" s="10" t="n">
        <x:v>43</x:v>
      </x:c>
      <x:c r="AJ46" s="10" t="n">
        <x:v>29</x:v>
      </x:c>
      <x:c r="AK46" s="10" t="n">
        <x:f>IF(COUNT(AJ46,AI46)=2,AJ46-AI46,"")</x:f>
        <x:v>-14</x:v>
      </x:c>
      <x:c r="AL46" s="10" t="n">
        <x:v>25</x:v>
      </x:c>
      <x:c r="AM46" s="10" t="n">
        <x:v>25</x:v>
      </x:c>
      <x:c r="AN46" s="4" t="str">
        <x:v>C</x:v>
      </x:c>
      <x:c r="AO46" s="4" t="str">
        <x:v>C</x:v>
      </x:c>
      <x:c r="AP46" s="4" t="str">
        <x:v>UTA</x:v>
      </x:c>
      <x:c r="AQ46" s="4" t="str">
        <x:v>UTA</x:v>
      </x:c>
      <x:c r="AR46" s="4" t="n">
        <x:v>16.55</x:v>
      </x:c>
      <x:c r="AS46" s="4" t="n">
        <x:v>15.116666666666667</x:v>
      </x:c>
      <x:c r="AT46" s="4" t="n">
        <x:v>2.08</x:v>
      </x:c>
      <x:c r="AU46" s="4" t="n">
        <x:v>8.4</x:v>
      </x:c>
      <x:c r="AV46" s="10" t="n">
        <x:v>4</x:v>
      </x:c>
      <x:c r="AW46" s="10" t="n">
        <x:v>2</x:v>
      </x:c>
      <x:c r="AX46" s="10" t="n">
        <x:v>0</x:v>
      </x:c>
      <x:c r="AY46" s="10" t="n">
        <x:v>0</x:v>
      </x:c>
      <x:c r="AZ46" s="10" t="n">
        <x:v>861</x:v>
      </x:c>
      <x:c r="BA46" s="10" t="n">
        <x:v>730</x:v>
      </x:c>
      <x:c r="BB46" s="4" t="n">
        <x:v>54.1</x:v>
      </x:c>
      <x:c r="BC46" s="4" t="n">
        <x:v>1.1</x:v>
      </x:c>
      <x:c r="BD46" s="10" t="n">
        <x:v>617</x:v>
      </x:c>
      <x:c r="BE46" s="10" t="n">
        <x:v>521</x:v>
      </x:c>
      <x:c r="BF46" s="4" t="n">
        <x:v>54.2</x:v>
      </x:c>
      <x:c r="BG46" s="4" t="n">
        <x:v>1.9</x:v>
      </x:c>
      <x:c r="BH46" s="4" t="n">
        <x:v>9.4</x:v>
      </x:c>
      <x:c r="BI46" s="4" t="n">
        <x:v>89.4</x:v>
      </x:c>
      <x:c r="BJ46" s="4" t="n">
        <x:v>98.8</x:v>
      </x:c>
      <x:c r="BK46" s="4" t="n">
        <x:v>46.1</x:v>
      </x:c>
      <x:c r="BL46" s="4" t="n">
        <x:v>53.9</x:v>
      </x:c>
      <x:c r="BM46" s="4" t="n">
        <x:v>15.116666666666667</x:v>
      </x:c>
      <x:c r="BN46" s="4" t="n">
        <x:v>12.916666666666666</x:v>
      </x:c>
      <x:c r="BO46" s="10" t="n">
        <x:v>13</x:v>
      </x:c>
      <x:c r="BP46" s="10" t="n">
        <x:v>40</x:v>
      </x:c>
      <x:c r="BQ46" s="4" t="n">
        <x:v>12.7</x:v>
      </x:c>
      <x:c r="BR46" s="10" t="n">
        <x:v>208</x:v>
      </x:c>
      <x:c r="BS46" s="4" t="n">
        <x:v>57.2</x:v>
      </x:c>
      <x:c r="BT46" s="10" t="n">
        <x:v>67</x:v>
      </x:c>
      <x:c r="BU46" s="4" t="str">
        <x:v>UTA</x:v>
      </x:c>
      <x:c r="BV46" s="10" t="n">
        <x:v>215</x:v>
      </x:c>
      <x:c r="BW46" s="10" t="n">
        <x:v>394</x:v>
      </x:c>
      <x:c r="BX46" s="10" t="n">
        <x:v>399</x:v>
      </x:c>
      <x:c r="BY46" s="4" t="str">
        <x:v>Barrett Hayton</x:v>
      </x:c>
      <x:c r="BZ46" s="4" t="str">
        <x:v>Barrett Hayton</x:v>
      </x:c>
      <x:c r="CA46" s="4" t="str">
        <x:v>Barrett Hayton</x:v>
      </x:c>
      <x:c r="CB46" s="4" t="str">
        <x:v>haytoba01</x:v>
      </x:c>
    </x:row>
    <x:row r="47" ht="22" customHeight="1">
      <x:c r="A47" s="4" t="str">
        <x:v>Blake Coleman</x:v>
      </x:c>
      <x:c r="B47" s="4" t="str">
        <x:v>blakecoleman</x:v>
      </x:c>
      <x:c r="C47" s="10" t="n">
        <x:v>1</x:v>
      </x:c>
      <x:c r="D47" s="10" t="n">
        <x:v>1</x:v>
      </x:c>
      <x:c r="E47" s="10" t="n">
        <x:v>1</x:v>
      </x:c>
      <x:c r="F47" s="4" t="n">
        <x:f>IF(COUNT(N47,Q47,T47,W47,Z47,AC47,AF47,AI47)=8,N47*Guide!$E$5+Q47*Guide!$E$6+T47*Guide!$E$7+W47*Guide!$E$8+Z47*Guide!$E$9+AC47*Guide!$E$10+AF47*Guide!$E$11+AI47*Guide!$E$12,"")</x:f>
        <x:v>309.75</x:v>
      </x:c>
      <x:c r="G47" s="4" t="n">
        <x:f>IF(COUNT(O47,R47,U47,X47,AA47,AD47,AG47,AJ47)=8,O47*Guide!$E$5+R47*Guide!$E$6+U47*Guide!$E$7+X47*Guide!$E$8+AA47*Guide!$E$9+AD47*Guide!$E$10+AG47*Guide!$E$11+AJ47*Guide!$E$12,"")</x:f>
        <x:v>268</x:v>
      </x:c>
      <x:c r="H47" s="4" t="n">
        <x:f>IF(COUNT(G47,F47)=2,G47-F47,"")</x:f>
        <x:v>-41.75</x:v>
      </x:c>
      <x:c r="I47" s="4" t="n">
        <x:f>IF(AND(ISNUMBER(F47),K47&gt;0),F47/K47,"")</x:f>
        <x:v>3.777439024390244</x:v>
      </x:c>
      <x:c r="J47" s="4" t="n">
        <x:f>IF(AND(ISNUMBER(G47),L47&gt;0),G47/L47,"")</x:f>
        <x:v>3.8840579710144927</x:v>
      </x:c>
      <x:c r="K47" s="10" t="n">
        <x:v>82</x:v>
      </x:c>
      <x:c r="L47" s="10" t="n">
        <x:v>69</x:v>
      </x:c>
      <x:c r="M47" s="10" t="n">
        <x:f>IF(COUNT(L47,K47)=2,L47-K47,"")</x:f>
        <x:v>-13</x:v>
      </x:c>
      <x:c r="N47" s="10" t="n">
        <x:v>22</x:v>
      </x:c>
      <x:c r="O47" s="10" t="n">
        <x:v>20</x:v>
      </x:c>
      <x:c r="P47" s="10" t="n">
        <x:f>IF(COUNT(O47,N47)=2,O47-N47,"")</x:f>
        <x:v>-2</x:v>
      </x:c>
      <x:c r="Q47" s="10" t="n">
        <x:v>24</x:v>
      </x:c>
      <x:c r="R47" s="10" t="n">
        <x:v>15</x:v>
      </x:c>
      <x:c r="S47" s="10" t="n">
        <x:f>IF(COUNT(R47,Q47)=2,R47-Q47,"")</x:f>
        <x:v>-9</x:v>
      </x:c>
      <x:c r="T47" s="10" t="n">
        <x:v>4</x:v>
      </x:c>
      <x:c r="U47" s="10" t="n">
        <x:v>12</x:v>
      </x:c>
      <x:c r="V47" s="10" t="n">
        <x:f>IF(COUNT(U47,T47)=2,U47-T47,"")</x:f>
        <x:v>8</x:v>
      </x:c>
      <x:c r="W47" s="10" t="n">
        <x:v>7</x:v>
      </x:c>
      <x:c r="X47" s="10" t="n">
        <x:f>IF(COUNT(AV47,AW47)=2,AV47+AW47,"")</x:f>
        <x:v>1</x:v>
      </x:c>
      <x:c r="Y47" s="10" t="n">
        <x:f>IF(COUNT(X47,W47)=2,X47-W47,"")</x:f>
        <x:v>-6</x:v>
      </x:c>
      <x:c r="Z47" s="10" t="n">
        <x:v>3</x:v>
      </x:c>
      <x:c r="AA47" s="10" t="n">
        <x:f>IF(COUNT(AX47,AY47)=2,AX47+AY47,"")</x:f>
        <x:v>4</x:v>
      </x:c>
      <x:c r="AB47" s="10" t="n">
        <x:f>IF(COUNT(AA47,Z47)=2,AA47-Z47,"")</x:f>
        <x:v>1</x:v>
      </x:c>
      <x:c r="AC47" s="10" t="n">
        <x:v>185</x:v>
      </x:c>
      <x:c r="AD47" s="10" t="n">
        <x:v>176</x:v>
      </x:c>
      <x:c r="AE47" s="10" t="n">
        <x:f>IF(COUNT(AD47,AC47)=2,AD47-AC47,"")</x:f>
        <x:v>-9</x:v>
      </x:c>
      <x:c r="AF47" s="10" t="n">
        <x:v>154</x:v>
      </x:c>
      <x:c r="AG47" s="10" t="n">
        <x:v>152</x:v>
      </x:c>
      <x:c r="AH47" s="10" t="n">
        <x:f>IF(COUNT(AG47,AF47)=2,AG47-AF47,"")</x:f>
        <x:v>-2</x:v>
      </x:c>
      <x:c r="AI47" s="10" t="n">
        <x:v>60</x:v>
      </x:c>
      <x:c r="AJ47" s="10" t="n">
        <x:v>48</x:v>
      </x:c>
      <x:c r="AK47" s="10" t="n">
        <x:f>IF(COUNT(AJ47,AI47)=2,AJ47-AI47,"")</x:f>
        <x:v>-12</x:v>
      </x:c>
      <x:c r="AL47" s="10" t="n">
        <x:v>34</x:v>
      </x:c>
      <x:c r="AM47" s="10" t="n">
        <x:v>34</x:v>
      </x:c>
      <x:c r="AN47" s="4" t="str">
        <x:v>C,LW,RW</x:v>
      </x:c>
      <x:c r="AO47" s="4" t="str">
        <x:v>C</x:v>
      </x:c>
      <x:c r="AP47" s="4" t="str">
        <x:v>CGY</x:v>
      </x:c>
      <x:c r="AQ47" s="4" t="str">
        <x:v>CGY</x:v>
      </x:c>
      <x:c r="AR47" s="4" t="n">
        <x:v>17.11</x:v>
      </x:c>
      <x:c r="AS47" s="4" t="n">
        <x:v>17.333333333333332</x:v>
      </x:c>
      <x:c r="AT47" s="4" t="n">
        <x:v>1.34</x:v>
      </x:c>
      <x:c r="AU47" s="4" t="n">
        <x:v>11.4</x:v>
      </x:c>
      <x:c r="AV47" s="10" t="n">
        <x:v>0</x:v>
      </x:c>
      <x:c r="AW47" s="10" t="n">
        <x:v>1</x:v>
      </x:c>
      <x:c r="AX47" s="10" t="n">
        <x:v>4</x:v>
      </x:c>
      <x:c r="AY47" s="10" t="n">
        <x:v>0</x:v>
      </x:c>
      <x:c r="AZ47" s="10" t="n">
        <x:v>967</x:v>
      </x:c>
      <x:c r="BA47" s="10" t="n">
        <x:v>911</x:v>
      </x:c>
      <x:c r="BB47" s="4" t="n">
        <x:v>51.5</x:v>
      </x:c>
      <x:c r="BC47" s="4" t="n">
        <x:v>3.8</x:v>
      </x:c>
      <x:c r="BD47" s="10" t="n">
        <x:v>704</x:v>
      </x:c>
      <x:c r="BE47" s="10" t="n">
        <x:v>657</x:v>
      </x:c>
      <x:c r="BF47" s="4" t="n">
        <x:v>51.7</x:v>
      </x:c>
      <x:c r="BG47" s="4" t="n">
        <x:v>4.6</x:v>
      </x:c>
      <x:c r="BH47" s="4" t="n">
        <x:v>10.5</x:v>
      </x:c>
      <x:c r="BI47" s="4" t="n">
        <x:v>90.3</x:v>
      </x:c>
      <x:c r="BJ47" s="4" t="n">
        <x:v>100.8</x:v>
      </x:c>
      <x:c r="BK47" s="4" t="n">
        <x:v>33.5</x:v>
      </x:c>
      <x:c r="BL47" s="4" t="n">
        <x:v>66.5</x:v>
      </x:c>
      <x:c r="BM47" s="4" t="n">
        <x:v>17.333333333333332</x:v>
      </x:c>
      <x:c r="BN47" s="4" t="n">
        <x:v>13.883333333333333</x:v>
      </x:c>
      <x:c r="BO47" s="10" t="n">
        <x:v>27</x:v>
      </x:c>
      <x:c r="BP47" s="10" t="n">
        <x:v>62</x:v>
      </x:c>
      <x:c r="BQ47" s="4" t="n">
        <x:v>2.5</x:v>
      </x:c>
      <x:c r="BR47" s="10" t="n">
        <x:v>306</x:v>
      </x:c>
      <x:c r="BS47" s="4" t="n">
        <x:v>57.5</x:v>
      </x:c>
      <x:c r="BT47" s="10" t="n">
        <x:v>69</x:v>
      </x:c>
      <x:c r="BU47" s="4" t="str">
        <x:v>CGY</x:v>
      </x:c>
      <x:c r="BV47" s="10" t="n">
        <x:v>186</x:v>
      </x:c>
      <x:c r="BW47" s="10" t="n">
        <x:v>260</x:v>
      </x:c>
      <x:c r="BX47" s="10" t="n">
        <x:v>166</x:v>
      </x:c>
      <x:c r="BY47" s="4" t="str">
        <x:v>Blake Coleman</x:v>
      </x:c>
      <x:c r="BZ47" s="4" t="str">
        <x:v>Blake Coleman</x:v>
      </x:c>
      <x:c r="CA47" s="4" t="str">
        <x:v>Blake Coleman</x:v>
      </x:c>
      <x:c r="CB47" s="4" t="str">
        <x:v>colembl01</x:v>
      </x:c>
    </x:row>
    <x:row r="48" ht="22" customHeight="1">
      <x:c r="A48" s="4" t="str">
        <x:v>Blake Lizotte</x:v>
      </x:c>
      <x:c r="B48" s="4" t="str">
        <x:v>blakelizotte</x:v>
      </x:c>
      <x:c r="C48" s="10" t="n">
        <x:v>1</x:v>
      </x:c>
      <x:c r="D48" s="10" t="n">
        <x:v>1</x:v>
      </x:c>
      <x:c r="E48" s="10" t="n">
        <x:v>1</x:v>
      </x:c>
      <x:c r="F48" s="4" t="n">
        <x:f>IF(COUNT(N48,Q48,T48,W48,Z48,AC48,AF48,AI48)=8,N48*Guide!$E$5+Q48*Guide!$E$6+T48*Guide!$E$7+W48*Guide!$E$8+Z48*Guide!$E$9+AC48*Guide!$E$10+AF48*Guide!$E$11+AI48*Guide!$E$12,"")</x:f>
        <x:v>152.75</x:v>
      </x:c>
      <x:c r="G48" s="4" t="n">
        <x:f>IF(COUNT(O48,R48,U48,X48,AA48,AD48,AG48,AJ48)=8,O48*Guide!$E$5+R48*Guide!$E$6+U48*Guide!$E$7+X48*Guide!$E$8+AA48*Guide!$E$9+AD48*Guide!$E$10+AG48*Guide!$E$11+AJ48*Guide!$E$12,"")</x:f>
        <x:v>123.75</x:v>
      </x:c>
      <x:c r="H48" s="4" t="n">
        <x:f>IF(COUNT(G48,F48)=2,G48-F48,"")</x:f>
        <x:v>-29</x:v>
      </x:c>
      <x:c r="I48" s="4" t="n">
        <x:f>IF(AND(ISNUMBER(F48),K48&gt;0),F48/K48,"")</x:f>
        <x:v>2.0924657534246576</x:v>
      </x:c>
      <x:c r="J48" s="4" t="n">
        <x:f>IF(AND(ISNUMBER(G48),L48&gt;0),G48/L48,"")</x:f>
        <x:v>2.25</x:v>
      </x:c>
      <x:c r="K48" s="10" t="n">
        <x:v>73</x:v>
      </x:c>
      <x:c r="L48" s="10" t="n">
        <x:v>55</x:v>
      </x:c>
      <x:c r="M48" s="10" t="n">
        <x:f>IF(COUNT(L48,K48)=2,L48-K48,"")</x:f>
        <x:v>-18</x:v>
      </x:c>
      <x:c r="N48" s="10" t="n">
        <x:v>11</x:v>
      </x:c>
      <x:c r="O48" s="10" t="n">
        <x:v>7</x:v>
      </x:c>
      <x:c r="P48" s="10" t="n">
        <x:f>IF(COUNT(O48,N48)=2,O48-N48,"")</x:f>
        <x:v>-4</x:v>
      </x:c>
      <x:c r="Q48" s="10" t="n">
        <x:v>13</x:v>
      </x:c>
      <x:c r="R48" s="10" t="n">
        <x:v>12</x:v>
      </x:c>
      <x:c r="S48" s="10" t="n">
        <x:f>IF(COUNT(R48,Q48)=2,R48-Q48,"")</x:f>
        <x:v>-1</x:v>
      </x:c>
      <x:c r="T48" s="10" t="n">
        <x:v>-1</x:v>
      </x:c>
      <x:c r="U48" s="10" t="n">
        <x:v>6</x:v>
      </x:c>
      <x:c r="V48" s="10" t="n">
        <x:f>IF(COUNT(U48,T48)=2,U48-T48,"")</x:f>
        <x:v>7</x:v>
      </x:c>
      <x:c r="W48" s="10" t="n">
        <x:v>1</x:v>
      </x:c>
      <x:c r="X48" s="10" t="n">
        <x:f>IF(COUNT(AV48,AW48)=2,AV48+AW48,"")</x:f>
        <x:v>0</x:v>
      </x:c>
      <x:c r="Y48" s="10" t="n">
        <x:f>IF(COUNT(X48,W48)=2,X48-W48,"")</x:f>
        <x:v>-1</x:v>
      </x:c>
      <x:c r="Z48" s="10" t="n">
        <x:v>2</x:v>
      </x:c>
      <x:c r="AA48" s="10" t="n">
        <x:f>IF(COUNT(AX48,AY48)=2,AX48+AY48,"")</x:f>
        <x:v>1</x:v>
      </x:c>
      <x:c r="AB48" s="10" t="n">
        <x:f>IF(COUNT(AA48,Z48)=2,AA48-Z48,"")</x:f>
        <x:v>-1</x:v>
      </x:c>
      <x:c r="AC48" s="10" t="n">
        <x:v>75</x:v>
      </x:c>
      <x:c r="AD48" s="10" t="n">
        <x:v>49</x:v>
      </x:c>
      <x:c r="AE48" s="10" t="n">
        <x:f>IF(COUNT(AD48,AC48)=2,AD48-AC48,"")</x:f>
        <x:v>-26</x:v>
      </x:c>
      <x:c r="AF48" s="10" t="n">
        <x:v>75</x:v>
      </x:c>
      <x:c r="AG48" s="10" t="n">
        <x:v>49</x:v>
      </x:c>
      <x:c r="AH48" s="10" t="n">
        <x:f>IF(COUNT(AG48,AF48)=2,AG48-AF48,"")</x:f>
        <x:v>-26</x:v>
      </x:c>
      <x:c r="AI48" s="10" t="n">
        <x:v>35</x:v>
      </x:c>
      <x:c r="AJ48" s="10" t="n">
        <x:v>35</x:v>
      </x:c>
      <x:c r="AK48" s="10" t="n">
        <x:f>IF(COUNT(AJ48,AI48)=2,AJ48-AI48,"")</x:f>
        <x:v>0</x:v>
      </x:c>
      <x:c r="AL48" s="10" t="n">
        <x:v>28</x:v>
      </x:c>
      <x:c r="AM48" s="10" t="n">
        <x:v>28</x:v>
      </x:c>
      <x:c r="AN48" s="4" t="str">
        <x:v>C</x:v>
      </x:c>
      <x:c r="AO48" s="4" t="str">
        <x:v>C</x:v>
      </x:c>
      <x:c r="AP48" s="4" t="str">
        <x:v>PIT</x:v>
      </x:c>
      <x:c r="AQ48" s="4" t="str">
        <x:v>PIT</x:v>
      </x:c>
      <x:c r="AR48" s="4" t="n">
        <x:v>12.78</x:v>
      </x:c>
      <x:c r="AS48" s="4" t="n">
        <x:v>13.866666666666667</x:v>
      </x:c>
      <x:c r="AT48" s="4" t="n">
        <x:v>0.2</x:v>
      </x:c>
      <x:c r="AU48" s="4" t="n">
        <x:v>14.3</x:v>
      </x:c>
      <x:c r="AV48" s="10" t="n">
        <x:v>0</x:v>
      </x:c>
      <x:c r="AW48" s="10" t="n">
        <x:v>0</x:v>
      </x:c>
      <x:c r="AX48" s="10" t="n">
        <x:v>1</x:v>
      </x:c>
      <x:c r="AY48" s="10" t="n">
        <x:v>0</x:v>
      </x:c>
      <x:c r="AZ48" s="10" t="n">
        <x:v>619</x:v>
      </x:c>
      <x:c r="BA48" s="10" t="n">
        <x:v>596</x:v>
      </x:c>
      <x:c r="BB48" s="4" t="n">
        <x:v>50.9</x:v>
      </x:c>
      <x:c r="BC48" s="4" t="n">
        <x:v>0.6</x:v>
      </x:c>
      <x:c r="BD48" s="10" t="n">
        <x:v>437</x:v>
      </x:c>
      <x:c r="BE48" s="10" t="n">
        <x:v>422</x:v>
      </x:c>
      <x:c r="BF48" s="4" t="n">
        <x:v>50.9</x:v>
      </x:c>
      <x:c r="BG48" s="4" t="n">
        <x:v>-0.2</x:v>
      </x:c>
      <x:c r="BH48" s="4" t="n">
        <x:v>10.2</x:v>
      </x:c>
      <x:c r="BI48" s="4" t="n">
        <x:v>91.6</x:v>
      </x:c>
      <x:c r="BJ48" s="4" t="n">
        <x:v>101.8</x:v>
      </x:c>
      <x:c r="BK48" s="4" t="n">
        <x:v>15</x:v>
      </x:c>
      <x:c r="BL48" s="4" t="n">
        <x:v>85</x:v>
      </x:c>
      <x:c r="BM48" s="4" t="n">
        <x:v>13.866666666666667</x:v>
      </x:c>
      <x:c r="BN48" s="4" t="n">
        <x:v>11.333333333333334</x:v>
      </x:c>
      <x:c r="BO48" s="10" t="n">
        <x:v>12</x:v>
      </x:c>
      <x:c r="BP48" s="10" t="n">
        <x:v>32</x:v>
      </x:c>
      <x:c r="BQ48" s="4" t="n">
        <x:v>1.2</x:v>
      </x:c>
      <x:c r="BR48" s="10" t="n">
        <x:v>106</x:v>
      </x:c>
      <x:c r="BS48" s="4" t="n">
        <x:v>46.2</x:v>
      </x:c>
      <x:c r="BT48" s="10" t="n">
        <x:v>55</x:v>
      </x:c>
      <x:c r="BU48" s="4" t="str">
        <x:v>PIT</x:v>
      </x:c>
      <x:c r="BV48" s="10" t="n">
        <x:v>455</x:v>
      </x:c>
      <x:c r="BW48" s="10" t="n">
        <x:v>476</x:v>
      </x:c>
      <x:c r="BX48" s="10" t="n">
        <x:v>604</x:v>
      </x:c>
      <x:c r="BY48" s="4" t="str">
        <x:v>Blake Lizotte</x:v>
      </x:c>
      <x:c r="BZ48" s="4" t="str">
        <x:v>Blake Lizotte</x:v>
      </x:c>
      <x:c r="CA48" s="4" t="str">
        <x:v>Blake Lizotte</x:v>
      </x:c>
      <x:c r="CB48" s="4" t="str">
        <x:v>lizotbl01</x:v>
      </x:c>
    </x:row>
    <x:row r="49" ht="22" customHeight="1">
      <x:c r="A49" s="4" t="str">
        <x:v>Bo Horvat</x:v>
      </x:c>
      <x:c r="B49" s="4" t="str">
        <x:v>bohorvat</x:v>
      </x:c>
      <x:c r="C49" s="10" t="n">
        <x:v>1</x:v>
      </x:c>
      <x:c r="D49" s="10" t="n">
        <x:v>1</x:v>
      </x:c>
      <x:c r="E49" s="10" t="n">
        <x:v>1</x:v>
      </x:c>
      <x:c r="F49" s="4" t="n">
        <x:f>IF(COUNT(N49,Q49,T49,W49,Z49,AC49,AF49,AI49)=8,N49*Guide!$E$5+Q49*Guide!$E$6+T49*Guide!$E$7+W49*Guide!$E$8+Z49*Guide!$E$9+AC49*Guide!$E$10+AF49*Guide!$E$11+AI49*Guide!$E$12,"")</x:f>
        <x:v>332.75</x:v>
      </x:c>
      <x:c r="G49" s="4" t="n">
        <x:f>IF(COUNT(O49,R49,U49,X49,AA49,AD49,AG49,AJ49)=8,O49*Guide!$E$5+R49*Guide!$E$6+U49*Guide!$E$7+X49*Guide!$E$8+AA49*Guide!$E$9+AD49*Guide!$E$10+AG49*Guide!$E$11+AJ49*Guide!$E$12,"")</x:f>
        <x:v>326.75</x:v>
      </x:c>
      <x:c r="H49" s="4" t="n">
        <x:f>IF(COUNT(G49,F49)=2,G49-F49,"")</x:f>
        <x:v>-6</x:v>
      </x:c>
      <x:c r="I49" s="4" t="n">
        <x:f>IF(AND(ISNUMBER(F49),K49&gt;0),F49/K49,"")</x:f>
        <x:v>4.266025641025641</x:v>
      </x:c>
      <x:c r="J49" s="4" t="n">
        <x:f>IF(AND(ISNUMBER(G49),L49&gt;0),G49/L49,"")</x:f>
        <x:v>4.805147058823529</x:v>
      </x:c>
      <x:c r="K49" s="10" t="n">
        <x:v>78</x:v>
      </x:c>
      <x:c r="L49" s="10" t="n">
        <x:v>68</x:v>
      </x:c>
      <x:c r="M49" s="10" t="n">
        <x:f>IF(COUNT(L49,K49)=2,L49-K49,"")</x:f>
        <x:v>-10</x:v>
      </x:c>
      <x:c r="N49" s="10" t="n">
        <x:v>30</x:v>
      </x:c>
      <x:c r="O49" s="10" t="n">
        <x:v>31</x:v>
      </x:c>
      <x:c r="P49" s="10" t="n">
        <x:f>IF(COUNT(O49,N49)=2,O49-N49,"")</x:f>
        <x:v>1</x:v>
      </x:c>
      <x:c r="Q49" s="10" t="n">
        <x:v>31</x:v>
      </x:c>
      <x:c r="R49" s="10" t="n">
        <x:v>26</x:v>
      </x:c>
      <x:c r="S49" s="10" t="n">
        <x:f>IF(COUNT(R49,Q49)=2,R49-Q49,"")</x:f>
        <x:v>-5</x:v>
      </x:c>
      <x:c r="T49" s="10" t="n">
        <x:v>-3</x:v>
      </x:c>
      <x:c r="U49" s="10" t="n">
        <x:v>8</x:v>
      </x:c>
      <x:c r="V49" s="10" t="n">
        <x:f>IF(COUNT(U49,T49)=2,U49-T49,"")</x:f>
        <x:v>11</x:v>
      </x:c>
      <x:c r="W49" s="10" t="n">
        <x:v>14</x:v>
      </x:c>
      <x:c r="X49" s="10" t="n">
        <x:f>IF(COUNT(AV49,AW49)=2,AV49+AW49,"")</x:f>
        <x:v>16</x:v>
      </x:c>
      <x:c r="Y49" s="10" t="n">
        <x:f>IF(COUNT(X49,W49)=2,X49-W49,"")</x:f>
        <x:v>2</x:v>
      </x:c>
      <x:c r="Z49" s="10" t="n">
        <x:v>1</x:v>
      </x:c>
      <x:c r="AA49" s="10" t="n">
        <x:f>IF(COUNT(AX49,AY49)=2,AX49+AY49,"")</x:f>
        <x:v>1</x:v>
      </x:c>
      <x:c r="AB49" s="10" t="n">
        <x:f>IF(COUNT(AA49,Z49)=2,AA49-Z49,"")</x:f>
        <x:v>0</x:v>
      </x:c>
      <x:c r="AC49" s="10" t="n">
        <x:v>211</x:v>
      </x:c>
      <x:c r="AD49" s="10" t="n">
        <x:v>226</x:v>
      </x:c>
      <x:c r="AE49" s="10" t="n">
        <x:f>IF(COUNT(AD49,AC49)=2,AD49-AC49,"")</x:f>
        <x:v>15</x:v>
      </x:c>
      <x:c r="AF49" s="10" t="n">
        <x:v>83</x:v>
      </x:c>
      <x:c r="AG49" s="10" t="n">
        <x:v>51</x:v>
      </x:c>
      <x:c r="AH49" s="10" t="n">
        <x:f>IF(COUNT(AG49,AF49)=2,AG49-AF49,"")</x:f>
        <x:v>-32</x:v>
      </x:c>
      <x:c r="AI49" s="10" t="n">
        <x:v>43</x:v>
      </x:c>
      <x:c r="AJ49" s="10" t="n">
        <x:v>38</x:v>
      </x:c>
      <x:c r="AK49" s="10" t="n">
        <x:f>IF(COUNT(AJ49,AI49)=2,AJ49-AI49,"")</x:f>
        <x:v>-5</x:v>
      </x:c>
      <x:c r="AL49" s="10" t="n">
        <x:v>30</x:v>
      </x:c>
      <x:c r="AM49" s="10" t="n">
        <x:v>30</x:v>
      </x:c>
      <x:c r="AN49" s="4" t="str">
        <x:v>C</x:v>
      </x:c>
      <x:c r="AO49" s="4" t="str">
        <x:v>C</x:v>
      </x:c>
      <x:c r="AP49" s="4" t="str">
        <x:v>NYI</x:v>
      </x:c>
      <x:c r="AQ49" s="4" t="str">
        <x:v>NYI</x:v>
      </x:c>
      <x:c r="AR49" s="4" t="n">
        <x:v>19.78</x:v>
      </x:c>
      <x:c r="AS49" s="4" t="n">
        <x:v>20.766666666666666</x:v>
      </x:c>
      <x:c r="AT49" s="4" t="n">
        <x:v>2.77</x:v>
      </x:c>
      <x:c r="AU49" s="4" t="n">
        <x:v>13.7</x:v>
      </x:c>
      <x:c r="AV49" s="10" t="n">
        <x:v>7</x:v>
      </x:c>
      <x:c r="AW49" s="10" t="n">
        <x:v>9</x:v>
      </x:c>
      <x:c r="AX49" s="10" t="n">
        <x:v>1</x:v>
      </x:c>
      <x:c r="AY49" s="10" t="n">
        <x:v>0</x:v>
      </x:c>
      <x:c r="AZ49" s="10" t="n">
        <x:v>1160</x:v>
      </x:c>
      <x:c r="BA49" s="10" t="n">
        <x:v>1022</x:v>
      </x:c>
      <x:c r="BB49" s="4" t="n">
        <x:v>53.2</x:v>
      </x:c>
      <x:c r="BC49" s="4" t="n">
        <x:v>5</x:v>
      </x:c>
      <x:c r="BD49" s="10" t="n">
        <x:v>845</x:v>
      </x:c>
      <x:c r="BE49" s="10" t="n">
        <x:v>732</x:v>
      </x:c>
      <x:c r="BF49" s="4" t="n">
        <x:v>53.6</x:v>
      </x:c>
      <x:c r="BG49" s="4" t="n">
        <x:v>4.9</x:v>
      </x:c>
      <x:c r="BH49" s="4" t="n">
        <x:v>10.9</x:v>
      </x:c>
      <x:c r="BI49" s="4" t="n">
        <x:v>88.2</x:v>
      </x:c>
      <x:c r="BJ49" s="4" t="n">
        <x:v>99.1</x:v>
      </x:c>
      <x:c r="BK49" s="4" t="n">
        <x:v>55.6</x:v>
      </x:c>
      <x:c r="BL49" s="4" t="n">
        <x:v>44.4</x:v>
      </x:c>
      <x:c r="BM49" s="4" t="n">
        <x:v>20.766666666666666</x:v>
      </x:c>
      <x:c r="BN49" s="4" t="n">
        <x:v>15.233333333333333</x:v>
      </x:c>
      <x:c r="BO49" s="10" t="n">
        <x:v>19</x:v>
      </x:c>
      <x:c r="BP49" s="10" t="n">
        <x:v>69</x:v>
      </x:c>
      <x:c r="BQ49" s="4" t="n">
        <x:v>7.8</x:v>
      </x:c>
      <x:c r="BR49" s="10" t="n">
        <x:v>401</x:v>
      </x:c>
      <x:c r="BS49" s="4" t="n">
        <x:v>56.4</x:v>
      </x:c>
      <x:c r="BT49" s="10" t="n">
        <x:v>68</x:v>
      </x:c>
      <x:c r="BU49" s="4" t="str">
        <x:v>NYI</x:v>
      </x:c>
      <x:c r="BV49" s="10" t="n">
        <x:v>89</x:v>
      </x:c>
      <x:c r="BW49" s="10" t="n">
        <x:v>105</x:v>
      </x:c>
      <x:c r="BX49" s="10" t="n">
        <x:v>426</x:v>
      </x:c>
      <x:c r="BY49" s="4" t="str">
        <x:v>Bo Horvat</x:v>
      </x:c>
      <x:c r="BZ49" s="4" t="str">
        <x:v>Bo Horvat</x:v>
      </x:c>
      <x:c r="CA49" s="4" t="str">
        <x:v>Bo Horvat</x:v>
      </x:c>
      <x:c r="CB49" s="4" t="str">
        <x:v>horvabo01</x:v>
      </x:c>
    </x:row>
    <x:row r="50" ht="22" customHeight="1">
      <x:c r="A50" s="4" t="str">
        <x:v>Bobby Brink</x:v>
      </x:c>
      <x:c r="B50" s="4" t="str">
        <x:v>bobbybrink</x:v>
      </x:c>
      <x:c r="C50" s="10" t="n">
        <x:v>1</x:v>
      </x:c>
      <x:c r="D50" s="10" t="n">
        <x:v>1</x:v>
      </x:c>
      <x:c r="E50" s="10" t="n">
        <x:v>1</x:v>
      </x:c>
      <x:c r="F50" s="4" t="n">
        <x:f>IF(COUNT(N50,Q50,T50,W50,Z50,AC50,AF50,AI50)=8,N50*Guide!$E$5+Q50*Guide!$E$6+T50*Guide!$E$7+W50*Guide!$E$8+Z50*Guide!$E$9+AC50*Guide!$E$10+AF50*Guide!$E$11+AI50*Guide!$E$12,"")</x:f>
        <x:v>219.75</x:v>
      </x:c>
      <x:c r="G50" s="4" t="n">
        <x:f>IF(COUNT(O50,R50,U50,X50,AA50,AD50,AG50,AJ50)=8,O50*Guide!$E$5+R50*Guide!$E$6+U50*Guide!$E$7+X50*Guide!$E$8+AA50*Guide!$E$9+AD50*Guide!$E$10+AG50*Guide!$E$11+AJ50*Guide!$E$12,"")</x:f>
        <x:v>180.25</x:v>
      </x:c>
      <x:c r="H50" s="4" t="n">
        <x:f>IF(COUNT(G50,F50)=2,G50-F50,"")</x:f>
        <x:v>-39.5</x:v>
      </x:c>
      <x:c r="I50" s="4" t="n">
        <x:f>IF(AND(ISNUMBER(F50),K50&gt;0),F50/K50,"")</x:f>
        <x:v>2.853896103896104</x:v>
      </x:c>
      <x:c r="J50" s="4" t="n">
        <x:f>IF(AND(ISNUMBER(G50),L50&gt;0),G50/L50,"")</x:f>
        <x:v>2.650735294117647</x:v>
      </x:c>
      <x:c r="K50" s="10" t="n">
        <x:v>77</x:v>
      </x:c>
      <x:c r="L50" s="10" t="n">
        <x:v>68</x:v>
      </x:c>
      <x:c r="M50" s="10" t="n">
        <x:f>IF(COUNT(L50,K50)=2,L50-K50,"")</x:f>
        <x:v>-9</x:v>
      </x:c>
      <x:c r="N50" s="10" t="n">
        <x:v>16</x:v>
      </x:c>
      <x:c r="O50" s="10" t="n">
        <x:v>15</x:v>
      </x:c>
      <x:c r="P50" s="10" t="n">
        <x:f>IF(COUNT(O50,N50)=2,O50-N50,"")</x:f>
        <x:v>-1</x:v>
      </x:c>
      <x:c r="Q50" s="10" t="n">
        <x:v>24</x:v>
      </x:c>
      <x:c r="R50" s="10" t="n">
        <x:v>15</x:v>
      </x:c>
      <x:c r="S50" s="10" t="n">
        <x:f>IF(COUNT(R50,Q50)=2,R50-Q50,"")</x:f>
        <x:v>-9</x:v>
      </x:c>
      <x:c r="T50" s="10" t="n">
        <x:v>3</x:v>
      </x:c>
      <x:c r="U50" s="10" t="n">
        <x:v>-7</x:v>
      </x:c>
      <x:c r="V50" s="10" t="n">
        <x:f>IF(COUNT(U50,T50)=2,U50-T50,"")</x:f>
        <x:v>-10</x:v>
      </x:c>
      <x:c r="W50" s="10" t="n">
        <x:v>8</x:v>
      </x:c>
      <x:c r="X50" s="10" t="n">
        <x:f>IF(COUNT(AV50,AW50)=2,AV50+AW50,"")</x:f>
        <x:v>7</x:v>
      </x:c>
      <x:c r="Y50" s="10" t="n">
        <x:f>IF(COUNT(X50,W50)=2,X50-W50,"")</x:f>
        <x:v>-1</x:v>
      </x:c>
      <x:c r="Z50" s="10" t="n">
        <x:v>0</x:v>
      </x:c>
      <x:c r="AA50" s="10" t="n">
        <x:f>IF(COUNT(AX50,AY50)=2,AX50+AY50,"")</x:f>
        <x:v>0</x:v>
      </x:c>
      <x:c r="AB50" s="10" t="n">
        <x:f>IF(COUNT(AA50,Z50)=2,AA50-Z50,"")</x:f>
        <x:v>0</x:v>
      </x:c>
      <x:c r="AC50" s="10" t="n">
        <x:v>108</x:v>
      </x:c>
      <x:c r="AD50" s="10" t="n">
        <x:v>104</x:v>
      </x:c>
      <x:c r="AE50" s="10" t="n">
        <x:f>IF(COUNT(AD50,AC50)=2,AD50-AC50,"")</x:f>
        <x:v>-4</x:v>
      </x:c>
      <x:c r="AF50" s="10" t="n">
        <x:v>84</x:v>
      </x:c>
      <x:c r="AG50" s="10" t="n">
        <x:v>80</x:v>
      </x:c>
      <x:c r="AH50" s="10" t="n">
        <x:f>IF(COUNT(AG50,AF50)=2,AG50-AF50,"")</x:f>
        <x:v>-4</x:v>
      </x:c>
      <x:c r="AI50" s="10" t="n">
        <x:v>33</x:v>
      </x:c>
      <x:c r="AJ50" s="10" t="n">
        <x:v>39</x:v>
      </x:c>
      <x:c r="AK50" s="10" t="n">
        <x:f>IF(COUNT(AJ50,AI50)=2,AJ50-AI50,"")</x:f>
        <x:v>6</x:v>
      </x:c>
      <x:c r="AL50" s="10" t="n">
        <x:v>24</x:v>
      </x:c>
      <x:c r="AM50" s="10" t="n">
        <x:v>24</x:v>
      </x:c>
      <x:c r="AN50" s="4" t="str">
        <x:v>RW</x:v>
      </x:c>
      <x:c r="AO50" s="4" t="str">
        <x:v>RW</x:v>
      </x:c>
      <x:c r="AP50" s="4" t="str">
        <x:v>PHI</x:v>
      </x:c>
      <x:c r="AQ50" s="4" t="str">
        <x:v>2TM</x:v>
      </x:c>
      <x:c r="AR50" s="4" t="n">
        <x:v>15.04</x:v>
      </x:c>
      <x:c r="AS50" s="4" t="n">
        <x:v>15.166666666666666</x:v>
      </x:c>
      <x:c r="AT50" s="4" t="n">
        <x:v>2.07</x:v>
      </x:c>
      <x:c r="AU50" s="4" t="n">
        <x:v>14.4</x:v>
      </x:c>
      <x:c r="AV50" s="10" t="n">
        <x:v>3</x:v>
      </x:c>
      <x:c r="AW50" s="10" t="n">
        <x:v>4</x:v>
      </x:c>
      <x:c r="AX50" s="10" t="n">
        <x:v>0</x:v>
      </x:c>
      <x:c r="AY50" s="10" t="n">
        <x:v>0</x:v>
      </x:c>
      <x:c r="AZ50" s="10" t="n">
        <x:v>753</x:v>
      </x:c>
      <x:c r="BA50" s="10" t="n">
        <x:v>789</x:v>
      </x:c>
      <x:c r="BB50" s="4" t="n">
        <x:v>48.8</x:v>
      </x:c>
      <x:c r="BC50" s="4" t="n">
        <x:v>1.4</x:v>
      </x:c>
      <x:c r="BD50" s="10" t="n">
        <x:v>539</x:v>
      </x:c>
      <x:c r="BE50" s="10" t="n">
        <x:v>540</x:v>
      </x:c>
      <x:c r="BF50" s="4" t="n">
        <x:v>50</x:v>
      </x:c>
      <x:c r="BG50" s="4" t="n">
        <x:v>1.9</x:v>
      </x:c>
      <x:c r="BH50" s="4" t="n">
        <x:v>9.1</x:v>
      </x:c>
      <x:c r="BI50" s="4" t="n">
        <x:v>89</x:v>
      </x:c>
      <x:c r="BJ50" s="4" t="n">
        <x:v>98.2</x:v>
      </x:c>
      <x:c r="BK50" s="4" t="n">
        <x:v>54.4</x:v>
      </x:c>
      <x:c r="BL50" s="4" t="n">
        <x:v>45.6</x:v>
      </x:c>
      <x:c r="BM50" s="4" t="n">
        <x:v>15.166666666666666</x:v>
      </x:c>
      <x:c r="BN50" s="4" t="n">
        <x:v>13.166666666666666</x:v>
      </x:c>
      <x:c r="BO50" s="10" t="n">
        <x:v>12</x:v>
      </x:c>
      <x:c r="BP50" s="10" t="n">
        <x:v>44</x:v>
      </x:c>
      <x:c r="BQ50" s="4" t="n">
        <x:v>2.3</x:v>
      </x:c>
      <x:c r="BR50" s="10" t="n">
        <x:v>206</x:v>
      </x:c>
      <x:c r="BS50" s="4" t="n">
        <x:v>50.5</x:v>
      </x:c>
      <x:c r="BT50" s="10" t="n">
        <x:v>68</x:v>
      </x:c>
      <x:c r="BU50" s="4" t="str">
        <x:v>TOT</x:v>
      </x:c>
      <x:c r="BV50" s="10" t="n">
        <x:v>254</x:v>
      </x:c>
      <x:c r="BW50" s="10" t="n">
        <x:v>336</x:v>
      </x:c>
      <x:c r="BX50" s="10" t="n">
        <x:v>93</x:v>
      </x:c>
      <x:c r="BY50" s="4" t="str">
        <x:v>Bobby Brink</x:v>
      </x:c>
      <x:c r="BZ50" s="4" t="str">
        <x:v>Bobby Brink</x:v>
      </x:c>
      <x:c r="CA50" s="4" t="str">
        <x:v>Bobby Brink</x:v>
      </x:c>
      <x:c r="CB50" s="4" t="str">
        <x:v>brinkbo01</x:v>
      </x:c>
    </x:row>
    <x:row r="51" ht="22" customHeight="1">
      <x:c r="A51" s="4" t="str">
        <x:v>Bobby McMann</x:v>
      </x:c>
      <x:c r="B51" s="4" t="str">
        <x:v>bobbymcmann</x:v>
      </x:c>
      <x:c r="C51" s="10" t="n">
        <x:v>1</x:v>
      </x:c>
      <x:c r="D51" s="10" t="n">
        <x:v>1</x:v>
      </x:c>
      <x:c r="E51" s="10" t="n">
        <x:v>1</x:v>
      </x:c>
      <x:c r="F51" s="4" t="n">
        <x:f>IF(COUNT(N51,Q51,T51,W51,Z51,AC51,AF51,AI51)=8,N51*Guide!$E$5+Q51*Guide!$E$6+T51*Guide!$E$7+W51*Guide!$E$8+Z51*Guide!$E$9+AC51*Guide!$E$10+AF51*Guide!$E$11+AI51*Guide!$E$12,"")</x:f>
        <x:v>227.75</x:v>
      </x:c>
      <x:c r="G51" s="4" t="n">
        <x:f>IF(COUNT(O51,R51,U51,X51,AA51,AD51,AG51,AJ51)=8,O51*Guide!$E$5+R51*Guide!$E$6+U51*Guide!$E$7+X51*Guide!$E$8+AA51*Guide!$E$9+AD51*Guide!$E$10+AG51*Guide!$E$11+AJ51*Guide!$E$12,"")</x:f>
        <x:v>277.25</x:v>
      </x:c>
      <x:c r="H51" s="4" t="n">
        <x:f>IF(COUNT(G51,F51)=2,G51-F51,"")</x:f>
        <x:v>49.5</x:v>
      </x:c>
      <x:c r="I51" s="4" t="n">
        <x:f>IF(AND(ISNUMBER(F51),K51&gt;0),F51/K51,"")</x:f>
        <x:v>3.0777027027027026</x:v>
      </x:c>
      <x:c r="J51" s="4" t="n">
        <x:f>IF(AND(ISNUMBER(G51),L51&gt;0),G51/L51,"")</x:f>
        <x:v>3.5544871794871793</x:v>
      </x:c>
      <x:c r="K51" s="10" t="n">
        <x:v>74</x:v>
      </x:c>
      <x:c r="L51" s="10" t="n">
        <x:v>78</x:v>
      </x:c>
      <x:c r="M51" s="10" t="n">
        <x:f>IF(COUNT(L51,K51)=2,L51-K51,"")</x:f>
        <x:v>4</x:v>
      </x:c>
      <x:c r="N51" s="10" t="n">
        <x:v>20</x:v>
      </x:c>
      <x:c r="O51" s="10" t="n">
        <x:v>29</x:v>
      </x:c>
      <x:c r="P51" s="10" t="n">
        <x:f>IF(COUNT(O51,N51)=2,O51-N51,"")</x:f>
        <x:v>9</x:v>
      </x:c>
      <x:c r="Q51" s="10" t="n">
        <x:v>15</x:v>
      </x:c>
      <x:c r="R51" s="10" t="n">
        <x:v>17</x:v>
      </x:c>
      <x:c r="S51" s="10" t="n">
        <x:f>IF(COUNT(R51,Q51)=2,R51-Q51,"")</x:f>
        <x:v>2</x:v>
      </x:c>
      <x:c r="T51" s="10" t="n">
        <x:v>3</x:v>
      </x:c>
      <x:c r="U51" s="10" t="n">
        <x:v>-3</x:v>
      </x:c>
      <x:c r="V51" s="10" t="n">
        <x:f>IF(COUNT(U51,T51)=2,U51-T51,"")</x:f>
        <x:v>-6</x:v>
      </x:c>
      <x:c r="W51" s="10" t="n">
        <x:v>5</x:v>
      </x:c>
      <x:c r="X51" s="10" t="n">
        <x:f>IF(COUNT(AV51,AW51)=2,AV51+AW51,"")</x:f>
        <x:v>6</x:v>
      </x:c>
      <x:c r="Y51" s="10" t="n">
        <x:f>IF(COUNT(X51,W51)=2,X51-W51,"")</x:f>
        <x:v>1</x:v>
      </x:c>
      <x:c r="Z51" s="10" t="n">
        <x:v>0</x:v>
      </x:c>
      <x:c r="AA51" s="10" t="n">
        <x:f>IF(COUNT(AX51,AY51)=2,AX51+AY51,"")</x:f>
        <x:v>0</x:v>
      </x:c>
      <x:c r="AB51" s="10" t="n">
        <x:f>IF(COUNT(AA51,Z51)=2,AA51-Z51,"")</x:f>
        <x:v>0</x:v>
      </x:c>
      <x:c r="AC51" s="10" t="n">
        <x:v>158</x:v>
      </x:c>
      <x:c r="AD51" s="10" t="n">
        <x:v>183</x:v>
      </x:c>
      <x:c r="AE51" s="10" t="n">
        <x:f>IF(COUNT(AD51,AC51)=2,AD51-AC51,"")</x:f>
        <x:v>25</x:v>
      </x:c>
      <x:c r="AF51" s="10" t="n">
        <x:v>143</x:v>
      </x:c>
      <x:c r="AG51" s="10" t="n">
        <x:v>165</x:v>
      </x:c>
      <x:c r="AH51" s="10" t="n">
        <x:f>IF(COUNT(AG51,AF51)=2,AG51-AF51,"")</x:f>
        <x:v>22</x:v>
      </x:c>
      <x:c r="AI51" s="10" t="n">
        <x:v>26</x:v>
      </x:c>
      <x:c r="AJ51" s="10" t="n">
        <x:v>27</x:v>
      </x:c>
      <x:c r="AK51" s="10" t="n">
        <x:f>IF(COUNT(AJ51,AI51)=2,AJ51-AI51,"")</x:f>
        <x:v>1</x:v>
      </x:c>
      <x:c r="AL51" s="10" t="n">
        <x:v>29</x:v>
      </x:c>
      <x:c r="AM51" s="10" t="n">
        <x:v>29</x:v>
      </x:c>
      <x:c r="AN51" s="4" t="str">
        <x:v>LW</x:v>
      </x:c>
      <x:c r="AO51" s="4" t="str">
        <x:v>F</x:v>
      </x:c>
      <x:c r="AP51" s="4" t="str">
        <x:v>TOR</x:v>
      </x:c>
      <x:c r="AQ51" s="4" t="str">
        <x:v>2TM</x:v>
      </x:c>
      <x:c r="AR51" s="4" t="n">
        <x:v>13.95</x:v>
      </x:c>
      <x:c r="AS51" s="4" t="n">
        <x:v>15.933333333333334</x:v>
      </x:c>
      <x:c r="AT51" s="4" t="n">
        <x:v>1.02</x:v>
      </x:c>
      <x:c r="AU51" s="4" t="n">
        <x:v>15.8</x:v>
      </x:c>
      <x:c r="AV51" s="10" t="n">
        <x:v>4</x:v>
      </x:c>
      <x:c r="AW51" s="10" t="n">
        <x:v>2</x:v>
      </x:c>
      <x:c r="AX51" s="10" t="n">
        <x:v>0</x:v>
      </x:c>
      <x:c r="AY51" s="10" t="n">
        <x:v>0</x:v>
      </x:c>
      <x:c r="AZ51" s="10" t="n">
        <x:v>1080</x:v>
      </x:c>
      <x:c r="BA51" s="10" t="n">
        <x:v>1231</x:v>
      </x:c>
      <x:c r="BB51" s="4" t="n">
        <x:v>46.7</x:v>
      </x:c>
      <x:c r="BC51" s="4" t="n">
        <x:v>1.3</x:v>
      </x:c>
      <x:c r="BD51" s="10" t="n">
        <x:v>796</x:v>
      </x:c>
      <x:c r="BE51" s="10" t="n">
        <x:v>930</x:v>
      </x:c>
      <x:c r="BF51" s="4" t="n">
        <x:v>46.1</x:v>
      </x:c>
      <x:c r="BG51" s="4" t="n">
        <x:v>-0.2</x:v>
      </x:c>
      <x:c r="BH51" s="4" t="n">
        <x:v>11.5</x:v>
      </x:c>
      <x:c r="BI51" s="4" t="n">
        <x:v>89.5</x:v>
      </x:c>
      <x:c r="BJ51" s="4" t="n">
        <x:v>101</x:v>
      </x:c>
      <x:c r="BK51" s="4" t="n">
        <x:v>46.1</x:v>
      </x:c>
      <x:c r="BL51" s="4" t="n">
        <x:v>53.9</x:v>
      </x:c>
      <x:c r="BM51" s="4" t="n">
        <x:v>15.933333333333334</x:v>
      </x:c>
      <x:c r="BN51" s="4" t="n">
        <x:v>14.766666666666667</x:v>
      </x:c>
      <x:c r="BO51" s="10" t="n">
        <x:v>18</x:v>
      </x:c>
      <x:c r="BP51" s="10" t="n">
        <x:v>44</x:v>
      </x:c>
      <x:c r="BQ51" s="4" t="n">
        <x:v>-4.1</x:v>
      </x:c>
      <x:c r="BR51" s="10" t="n">
        <x:v>331</x:v>
      </x:c>
      <x:c r="BS51" s="4" t="n">
        <x:v>55.3</x:v>
      </x:c>
      <x:c r="BT51" s="10" t="n">
        <x:v>78</x:v>
      </x:c>
      <x:c r="BU51" s="4" t="str">
        <x:v>TOT</x:v>
      </x:c>
      <x:c r="BV51" s="10" t="n">
        <x:v>304</x:v>
      </x:c>
      <x:c r="BW51" s="10" t="n">
        <x:v>171</x:v>
      </x:c>
      <x:c r="BX51" s="10" t="n">
        <x:v>677</x:v>
      </x:c>
      <x:c r="BY51" s="4" t="str">
        <x:v>Bobby McMann</x:v>
      </x:c>
      <x:c r="BZ51" s="4" t="str">
        <x:v>Bobby McMann</x:v>
      </x:c>
      <x:c r="CA51" s="4" t="str">
        <x:v>Bobby McMann</x:v>
      </x:c>
      <x:c r="CB51" s="4" t="str">
        <x:v>mcmanbo02</x:v>
      </x:c>
    </x:row>
    <x:row r="52" ht="22" customHeight="1">
      <x:c r="A52" s="4" t="str">
        <x:v>Boone Jenner</x:v>
      </x:c>
      <x:c r="B52" s="4" t="str">
        <x:v>boonejenner</x:v>
      </x:c>
      <x:c r="C52" s="10" t="n">
        <x:v>1</x:v>
      </x:c>
      <x:c r="D52" s="10" t="n">
        <x:v>1</x:v>
      </x:c>
      <x:c r="E52" s="10" t="n">
        <x:v>1</x:v>
      </x:c>
      <x:c r="F52" s="4" t="n">
        <x:f>IF(COUNT(N52,Q52,T52,W52,Z52,AC52,AF52,AI52)=8,N52*Guide!$E$5+Q52*Guide!$E$6+T52*Guide!$E$7+W52*Guide!$E$8+Z52*Guide!$E$9+AC52*Guide!$E$10+AF52*Guide!$E$11+AI52*Guide!$E$12,"")</x:f>
        <x:v>304.25</x:v>
      </x:c>
      <x:c r="G52" s="4" t="n">
        <x:f>IF(COUNT(O52,R52,U52,X52,AA52,AD52,AG52,AJ52)=8,O52*Guide!$E$5+R52*Guide!$E$6+U52*Guide!$E$7+X52*Guide!$E$8+AA52*Guide!$E$9+AD52*Guide!$E$10+AG52*Guide!$E$11+AJ52*Guide!$E$12,"")</x:f>
        <x:v>255.25</x:v>
      </x:c>
      <x:c r="H52" s="4" t="n">
        <x:f>IF(COUNT(G52,F52)=2,G52-F52,"")</x:f>
        <x:v>-49</x:v>
      </x:c>
      <x:c r="I52" s="4" t="n">
        <x:f>IF(AND(ISNUMBER(F52),K52&gt;0),F52/K52,"")</x:f>
        <x:v>4.003289473684211</x:v>
      </x:c>
      <x:c r="J52" s="4" t="n">
        <x:f>IF(AND(ISNUMBER(G52),L52&gt;0),G52/L52,"")</x:f>
        <x:v>3.8097014925373136</x:v>
      </x:c>
      <x:c r="K52" s="10" t="n">
        <x:v>76</x:v>
      </x:c>
      <x:c r="L52" s="10" t="n">
        <x:v>67</x:v>
      </x:c>
      <x:c r="M52" s="10" t="n">
        <x:f>IF(COUNT(L52,K52)=2,L52-K52,"")</x:f>
        <x:v>-9</x:v>
      </x:c>
      <x:c r="N52" s="10" t="n">
        <x:v>24</x:v>
      </x:c>
      <x:c r="O52" s="10" t="n">
        <x:v>13</x:v>
      </x:c>
      <x:c r="P52" s="10" t="n">
        <x:f>IF(COUNT(O52,N52)=2,O52-N52,"")</x:f>
        <x:v>-11</x:v>
      </x:c>
      <x:c r="Q52" s="10" t="n">
        <x:v>23</x:v>
      </x:c>
      <x:c r="R52" s="10" t="n">
        <x:v>25</x:v>
      </x:c>
      <x:c r="S52" s="10" t="n">
        <x:f>IF(COUNT(R52,Q52)=2,R52-Q52,"")</x:f>
        <x:v>2</x:v>
      </x:c>
      <x:c r="T52" s="10" t="n">
        <x:v>-2</x:v>
      </x:c>
      <x:c r="U52" s="10" t="n">
        <x:v>3</x:v>
      </x:c>
      <x:c r="V52" s="10" t="n">
        <x:f>IF(COUNT(U52,T52)=2,U52-T52,"")</x:f>
        <x:v>5</x:v>
      </x:c>
      <x:c r="W52" s="10" t="n">
        <x:v>9</x:v>
      </x:c>
      <x:c r="X52" s="10" t="n">
        <x:f>IF(COUNT(AV52,AW52)=2,AV52+AW52,"")</x:f>
        <x:v>3</x:v>
      </x:c>
      <x:c r="Y52" s="10" t="n">
        <x:f>IF(COUNT(X52,W52)=2,X52-W52,"")</x:f>
        <x:v>-6</x:v>
      </x:c>
      <x:c r="Z52" s="10" t="n">
        <x:v>1</x:v>
      </x:c>
      <x:c r="AA52" s="10" t="n">
        <x:f>IF(COUNT(AX52,AY52)=2,AX52+AY52,"")</x:f>
        <x:v>1</x:v>
      </x:c>
      <x:c r="AB52" s="10" t="n">
        <x:f>IF(COUNT(AA52,Z52)=2,AA52-Z52,"")</x:f>
        <x:v>0</x:v>
      </x:c>
      <x:c r="AC52" s="10" t="n">
        <x:v>184</x:v>
      </x:c>
      <x:c r="AD52" s="10" t="n">
        <x:v>132</x:v>
      </x:c>
      <x:c r="AE52" s="10" t="n">
        <x:f>IF(COUNT(AD52,AC52)=2,AD52-AC52,"")</x:f>
        <x:v>-52</x:v>
      </x:c>
      <x:c r="AF52" s="10" t="n">
        <x:v>129</x:v>
      </x:c>
      <x:c r="AG52" s="10" t="n">
        <x:v>147</x:v>
      </x:c>
      <x:c r="AH52" s="10" t="n">
        <x:f>IF(COUNT(AG52,AF52)=2,AG52-AF52,"")</x:f>
        <x:v>18</x:v>
      </x:c>
      <x:c r="AI52" s="10" t="n">
        <x:v>68</x:v>
      </x:c>
      <x:c r="AJ52" s="10" t="n">
        <x:v>66</x:v>
      </x:c>
      <x:c r="AK52" s="10" t="n">
        <x:f>IF(COUNT(AJ52,AI52)=2,AJ52-AI52,"")</x:f>
        <x:v>-2</x:v>
      </x:c>
      <x:c r="AL52" s="10" t="n">
        <x:v>32</x:v>
      </x:c>
      <x:c r="AM52" s="10" t="n">
        <x:v>32</x:v>
      </x:c>
      <x:c r="AN52" s="4" t="str">
        <x:v>C,LW</x:v>
      </x:c>
      <x:c r="AO52" s="4" t="str">
        <x:v>C</x:v>
      </x:c>
      <x:c r="AP52" s="4" t="str">
        <x:v>CBJ</x:v>
      </x:c>
      <x:c r="AQ52" s="4" t="str">
        <x:v>CBJ</x:v>
      </x:c>
      <x:c r="AR52" s="4" t="n">
        <x:v>17.98</x:v>
      </x:c>
      <x:c r="AS52" s="4" t="n">
        <x:v>16.083333333333332</x:v>
      </x:c>
      <x:c r="AT52" s="4" t="n">
        <x:v>1.84</x:v>
      </x:c>
      <x:c r="AU52" s="4" t="n">
        <x:v>9.8</x:v>
      </x:c>
      <x:c r="AV52" s="10" t="n">
        <x:v>1</x:v>
      </x:c>
      <x:c r="AW52" s="10" t="n">
        <x:v>2</x:v>
      </x:c>
      <x:c r="AX52" s="10" t="n">
        <x:v>0</x:v>
      </x:c>
      <x:c r="AY52" s="10" t="n">
        <x:v>1</x:v>
      </x:c>
      <x:c r="AZ52" s="10" t="n">
        <x:v>1021</x:v>
      </x:c>
      <x:c r="BA52" s="10" t="n">
        <x:v>975</x:v>
      </x:c>
      <x:c r="BB52" s="4" t="n">
        <x:v>51.2</x:v>
      </x:c>
      <x:c r="BC52" s="4" t="n">
        <x:v>0.2</x:v>
      </x:c>
      <x:c r="BD52" s="10" t="n">
        <x:v>680</x:v>
      </x:c>
      <x:c r="BE52" s="10" t="n">
        <x:v>689</x:v>
      </x:c>
      <x:c r="BF52" s="4" t="n">
        <x:v>49.7</x:v>
      </x:c>
      <x:c r="BG52" s="4" t="n">
        <x:v>-1.6</x:v>
      </x:c>
      <x:c r="BH52" s="4" t="n">
        <x:v>10.2</x:v>
      </x:c>
      <x:c r="BI52" s="4" t="n">
        <x:v>90.3</x:v>
      </x:c>
      <x:c r="BJ52" s="4" t="n">
        <x:v>100.5</x:v>
      </x:c>
      <x:c r="BK52" s="4" t="n">
        <x:v>47.1</x:v>
      </x:c>
      <x:c r="BL52" s="4" t="n">
        <x:v>52.9</x:v>
      </x:c>
      <x:c r="BM52" s="4" t="n">
        <x:v>16.083333333333332</x:v>
      </x:c>
      <x:c r="BN52" s="4" t="n">
        <x:v>13.816666666666666</x:v>
      </x:c>
      <x:c r="BO52" s="10" t="n">
        <x:v>14</x:v>
      </x:c>
      <x:c r="BP52" s="10" t="n">
        <x:v>53</x:v>
      </x:c>
      <x:c r="BQ52" s="4" t="n">
        <x:v>-0.2</x:v>
      </x:c>
      <x:c r="BR52" s="10" t="n">
        <x:v>269</x:v>
      </x:c>
      <x:c r="BS52" s="4" t="n">
        <x:v>49.1</x:v>
      </x:c>
      <x:c r="BT52" s="10" t="n">
        <x:v>67</x:v>
      </x:c>
      <x:c r="BU52" s="4" t="str">
        <x:v>CBJ</x:v>
      </x:c>
      <x:c r="BV52" s="10" t="n">
        <x:v>173</x:v>
      </x:c>
      <x:c r="BW52" s="10" t="n">
        <x:v>230</x:v>
      </x:c>
      <x:c r="BX52" s="10" t="n">
        <x:v>461</x:v>
      </x:c>
      <x:c r="BY52" s="4" t="str">
        <x:v>Boone Jenner</x:v>
      </x:c>
      <x:c r="BZ52" s="4" t="str">
        <x:v>Boone Jenner</x:v>
      </x:c>
      <x:c r="CA52" s="4" t="str">
        <x:v>Boone Jenner</x:v>
      </x:c>
      <x:c r="CB52" s="4" t="str">
        <x:v>jennebo01</x:v>
      </x:c>
    </x:row>
    <x:row r="53" ht="22" customHeight="1">
      <x:c r="A53" s="4" t="str">
        <x:v>Bowen Byram</x:v>
      </x:c>
      <x:c r="B53" s="4" t="str">
        <x:v>bowenbyram</x:v>
      </x:c>
      <x:c r="C53" s="10" t="n">
        <x:v>1</x:v>
      </x:c>
      <x:c r="D53" s="10" t="n">
        <x:v>1</x:v>
      </x:c>
      <x:c r="E53" s="10" t="n">
        <x:v>1</x:v>
      </x:c>
      <x:c r="F53" s="4" t="n">
        <x:f>IF(COUNT(N53,Q53,T53,W53,Z53,AC53,AF53,AI53)=8,N53*Guide!$E$5+Q53*Guide!$E$6+T53*Guide!$E$7+W53*Guide!$E$8+Z53*Guide!$E$9+AC53*Guide!$E$10+AF53*Guide!$E$11+AI53*Guide!$E$12,"")</x:f>
        <x:v>261.5</x:v>
      </x:c>
      <x:c r="G53" s="4" t="n">
        <x:f>IF(COUNT(O53,R53,U53,X53,AA53,AD53,AG53,AJ53)=8,O53*Guide!$E$5+R53*Guide!$E$6+U53*Guide!$E$7+X53*Guide!$E$8+AA53*Guide!$E$9+AD53*Guide!$E$10+AG53*Guide!$E$11+AJ53*Guide!$E$12,"")</x:f>
        <x:v>271.5</x:v>
      </x:c>
      <x:c r="H53" s="4" t="n">
        <x:f>IF(COUNT(G53,F53)=2,G53-F53,"")</x:f>
        <x:v>10</x:v>
      </x:c>
      <x:c r="I53" s="4" t="n">
        <x:f>IF(AND(ISNUMBER(F53),K53&gt;0),F53/K53,"")</x:f>
        <x:v>3.26875</x:v>
      </x:c>
      <x:c r="J53" s="4" t="n">
        <x:f>IF(AND(ISNUMBER(G53),L53&gt;0),G53/L53,"")</x:f>
        <x:v>3.3109756097560976</x:v>
      </x:c>
      <x:c r="K53" s="10" t="n">
        <x:v>80</x:v>
      </x:c>
      <x:c r="L53" s="10" t="n">
        <x:v>82</x:v>
      </x:c>
      <x:c r="M53" s="10" t="n">
        <x:f>IF(COUNT(L53,K53)=2,L53-K53,"")</x:f>
        <x:v>2</x:v>
      </x:c>
      <x:c r="N53" s="10" t="n">
        <x:v>10</x:v>
      </x:c>
      <x:c r="O53" s="10" t="n">
        <x:v>11</x:v>
      </x:c>
      <x:c r="P53" s="10" t="n">
        <x:f>IF(COUNT(O53,N53)=2,O53-N53,"")</x:f>
        <x:v>1</x:v>
      </x:c>
      <x:c r="Q53" s="10" t="n">
        <x:v>29</x:v>
      </x:c>
      <x:c r="R53" s="10" t="n">
        <x:v>31</x:v>
      </x:c>
      <x:c r="S53" s="10" t="n">
        <x:f>IF(COUNT(R53,Q53)=2,R53-Q53,"")</x:f>
        <x:v>2</x:v>
      </x:c>
      <x:c r="T53" s="10" t="n">
        <x:v>-5</x:v>
      </x:c>
      <x:c r="U53" s="10" t="n">
        <x:v>15</x:v>
      </x:c>
      <x:c r="V53" s="10" t="n">
        <x:f>IF(COUNT(U53,T53)=2,U53-T53,"")</x:f>
        <x:v>20</x:v>
      </x:c>
      <x:c r="W53" s="10" t="n">
        <x:v>6</x:v>
      </x:c>
      <x:c r="X53" s="10" t="n">
        <x:f>IF(COUNT(AV53,AW53)=2,AV53+AW53,"")</x:f>
        <x:v>7</x:v>
      </x:c>
      <x:c r="Y53" s="10" t="n">
        <x:f>IF(COUNT(X53,W53)=2,X53-W53,"")</x:f>
        <x:v>1</x:v>
      </x:c>
      <x:c r="Z53" s="10" t="n">
        <x:v>1</x:v>
      </x:c>
      <x:c r="AA53" s="10" t="n">
        <x:f>IF(COUNT(AX53,AY53)=2,AX53+AY53,"")</x:f>
        <x:v>1</x:v>
      </x:c>
      <x:c r="AB53" s="10" t="n">
        <x:f>IF(COUNT(AA53,Z53)=2,AA53-Z53,"")</x:f>
        <x:v>0</x:v>
      </x:c>
      <x:c r="AC53" s="10" t="n">
        <x:v>98</x:v>
      </x:c>
      <x:c r="AD53" s="10" t="n">
        <x:v>109</x:v>
      </x:c>
      <x:c r="AE53" s="10" t="n">
        <x:f>IF(COUNT(AD53,AC53)=2,AD53-AC53,"")</x:f>
        <x:v>11</x:v>
      </x:c>
      <x:c r="AF53" s="10" t="n">
        <x:v>79</x:v>
      </x:c>
      <x:c r="AG53" s="10" t="n">
        <x:v>50</x:v>
      </x:c>
      <x:c r="AH53" s="10" t="n">
        <x:f>IF(COUNT(AG53,AF53)=2,AG53-AF53,"")</x:f>
        <x:v>-29</x:v>
      </x:c>
      <x:c r="AI53" s="10" t="n">
        <x:v>115</x:v>
      </x:c>
      <x:c r="AJ53" s="10" t="n">
        <x:v>93</x:v>
      </x:c>
      <x:c r="AK53" s="10" t="n">
        <x:f>IF(COUNT(AJ53,AI53)=2,AJ53-AI53,"")</x:f>
        <x:v>-22</x:v>
      </x:c>
      <x:c r="AL53" s="10" t="n">
        <x:v>24</x:v>
      </x:c>
      <x:c r="AM53" s="10" t="n">
        <x:v>24</x:v>
      </x:c>
      <x:c r="AN53" s="4" t="str">
        <x:v>D</x:v>
      </x:c>
      <x:c r="AO53" s="4" t="str">
        <x:v>D</x:v>
      </x:c>
      <x:c r="AP53" s="4" t="str">
        <x:v>BUF</x:v>
      </x:c>
      <x:c r="AQ53" s="4" t="str">
        <x:v>BUF</x:v>
      </x:c>
      <x:c r="AR53" s="4" t="n">
        <x:v>22.27</x:v>
      </x:c>
      <x:c r="AS53" s="4" t="n">
        <x:v>22.333333333333332</x:v>
      </x:c>
      <x:c r="AT53" s="4" t="n">
        <x:v>1.14</x:v>
      </x:c>
      <x:c r="AU53" s="4" t="n">
        <x:v>10.1</x:v>
      </x:c>
      <x:c r="AV53" s="10" t="n">
        <x:v>1</x:v>
      </x:c>
      <x:c r="AW53" s="10" t="n">
        <x:v>6</x:v>
      </x:c>
      <x:c r="AX53" s="10" t="n">
        <x:v>0</x:v>
      </x:c>
      <x:c r="AY53" s="10" t="n">
        <x:v>1</x:v>
      </x:c>
      <x:c r="AZ53" s="10" t="n">
        <x:v>1451</x:v>
      </x:c>
      <x:c r="BA53" s="10" t="n">
        <x:v>1496</x:v>
      </x:c>
      <x:c r="BB53" s="4" t="n">
        <x:v>49.2</x:v>
      </x:c>
      <x:c r="BC53" s="4" t="n">
        <x:v>0.4</x:v>
      </x:c>
      <x:c r="BD53" s="10" t="n">
        <x:v>1104</x:v>
      </x:c>
      <x:c r="BE53" s="10" t="n">
        <x:v>1105</x:v>
      </x:c>
      <x:c r="BF53" s="4" t="n">
        <x:v>50</x:v>
      </x:c>
      <x:c r="BG53" s="4" t="n">
        <x:v>0.9</x:v>
      </x:c>
      <x:c r="BH53" s="4" t="n">
        <x:v>12.6</x:v>
      </x:c>
      <x:c r="BI53" s="4" t="n">
        <x:v>89.2</x:v>
      </x:c>
      <x:c r="BJ53" s="4" t="n">
        <x:v>101.8</x:v>
      </x:c>
      <x:c r="BK53" s="4" t="n">
        <x:v>45.1</x:v>
      </x:c>
      <x:c r="BL53" s="4" t="n">
        <x:v>54.9</x:v>
      </x:c>
      <x:c r="BM53" s="4" t="n">
        <x:v>22.333333333333332</x:v>
      </x:c>
      <x:c r="BN53" s="4" t="n">
        <x:v>19.116666666666667</x:v>
      </x:c>
      <x:c r="BO53" s="10" t="n">
        <x:v>22</x:v>
      </x:c>
      <x:c r="BP53" s="10" t="n">
        <x:v>84</x:v>
      </x:c>
      <x:c r="BQ53" s="4" t="n">
        <x:v>-7.5</x:v>
      </x:c>
      <x:c r="BR53" s="10" t="n">
        <x:v>243</x:v>
      </x:c>
      <x:c r="BS53" s="4" t="n">
        <x:v>44.9</x:v>
      </x:c>
      <x:c r="BT53" s="10" t="n">
        <x:v>82</x:v>
      </x:c>
      <x:c r="BU53" s="4" t="str">
        <x:v>BUF</x:v>
      </x:c>
      <x:c r="BV53" s="10" t="n">
        <x:v>258</x:v>
      </x:c>
      <x:c r="BW53" s="10" t="n">
        <x:v>195</x:v>
      </x:c>
      <x:c r="BX53" s="10" t="n">
        <x:v>119</x:v>
      </x:c>
      <x:c r="BY53" s="4" t="str">
        <x:v>Bowen Byram</x:v>
      </x:c>
      <x:c r="BZ53" s="4" t="str">
        <x:v>Bowen Byram</x:v>
      </x:c>
      <x:c r="CA53" s="4" t="str">
        <x:v>Bowen Byram</x:v>
      </x:c>
      <x:c r="CB53" s="4" t="str">
        <x:v>byrambo01</x:v>
      </x:c>
    </x:row>
    <x:row r="54" ht="22" customHeight="1">
      <x:c r="A54" s="4" t="str">
        <x:v>Brad Marchand</x:v>
      </x:c>
      <x:c r="B54" s="4" t="str">
        <x:v>bradmarchand</x:v>
      </x:c>
      <x:c r="C54" s="10" t="n">
        <x:v>1</x:v>
      </x:c>
      <x:c r="D54" s="10" t="n">
        <x:v>1</x:v>
      </x:c>
      <x:c r="E54" s="10" t="n">
        <x:v>1</x:v>
      </x:c>
      <x:c r="F54" s="4" t="n">
        <x:f>IF(COUNT(N54,Q54,T54,W54,Z54,AC54,AF54,AI54)=8,N54*Guide!$E$5+Q54*Guide!$E$6+T54*Guide!$E$7+W54*Guide!$E$8+Z54*Guide!$E$9+AC54*Guide!$E$10+AF54*Guide!$E$11+AI54*Guide!$E$12,"")</x:f>
        <x:v>337.25</x:v>
      </x:c>
      <x:c r="G54" s="4" t="n">
        <x:f>IF(COUNT(O54,R54,U54,X54,AA54,AD54,AG54,AJ54)=8,O54*Guide!$E$5+R54*Guide!$E$6+U54*Guide!$E$7+X54*Guide!$E$8+AA54*Guide!$E$9+AD54*Guide!$E$10+AG54*Guide!$E$11+AJ54*Guide!$E$12,"")</x:f>
        <x:v>248.25</x:v>
      </x:c>
      <x:c r="H54" s="4" t="n">
        <x:f>IF(COUNT(G54,F54)=2,G54-F54,"")</x:f>
        <x:v>-89</x:v>
      </x:c>
      <x:c r="I54" s="4" t="n">
        <x:f>IF(AND(ISNUMBER(F54),K54&gt;0),F54/K54,"")</x:f>
        <x:v>4.268987341772152</x:v>
      </x:c>
      <x:c r="J54" s="4" t="n">
        <x:f>IF(AND(ISNUMBER(G54),L54&gt;0),G54/L54,"")</x:f>
        <x:v>4.774038461538462</x:v>
      </x:c>
      <x:c r="K54" s="10" t="n">
        <x:v>79</x:v>
      </x:c>
      <x:c r="L54" s="10" t="n">
        <x:v>52</x:v>
      </x:c>
      <x:c r="M54" s="10" t="n">
        <x:f>IF(COUNT(L54,K54)=2,L54-K54,"")</x:f>
        <x:v>-27</x:v>
      </x:c>
      <x:c r="N54" s="10" t="n">
        <x:v>26</x:v>
      </x:c>
      <x:c r="O54" s="10" t="n">
        <x:v>27</x:v>
      </x:c>
      <x:c r="P54" s="10" t="n">
        <x:f>IF(COUNT(O54,N54)=2,O54-N54,"")</x:f>
        <x:v>1</x:v>
      </x:c>
      <x:c r="Q54" s="10" t="n">
        <x:v>37</x:v>
      </x:c>
      <x:c r="R54" s="10" t="n">
        <x:v>27</x:v>
      </x:c>
      <x:c r="S54" s="10" t="n">
        <x:f>IF(COUNT(R54,Q54)=2,R54-Q54,"")</x:f>
        <x:v>-10</x:v>
      </x:c>
      <x:c r="T54" s="10" t="n">
        <x:v>-2</x:v>
      </x:c>
      <x:c r="U54" s="10" t="n">
        <x:v>-16</x:v>
      </x:c>
      <x:c r="V54" s="10" t="n">
        <x:f>IF(COUNT(U54,T54)=2,U54-T54,"")</x:f>
        <x:v>-14</x:v>
      </x:c>
      <x:c r="W54" s="10" t="n">
        <x:v>23</x:v>
      </x:c>
      <x:c r="X54" s="10" t="n">
        <x:f>IF(COUNT(AV54,AW54)=2,AV54+AW54,"")</x:f>
        <x:v>20</x:v>
      </x:c>
      <x:c r="Y54" s="10" t="n">
        <x:f>IF(COUNT(X54,W54)=2,X54-W54,"")</x:f>
        <x:v>-3</x:v>
      </x:c>
      <x:c r="Z54" s="10" t="n">
        <x:v>2</x:v>
      </x:c>
      <x:c r="AA54" s="10" t="n">
        <x:f>IF(COUNT(AX54,AY54)=2,AX54+AY54,"")</x:f>
        <x:v>0</x:v>
      </x:c>
      <x:c r="AB54" s="10" t="n">
        <x:f>IF(COUNT(AA54,Z54)=2,AA54-Z54,"")</x:f>
        <x:v>-2</x:v>
      </x:c>
      <x:c r="AC54" s="10" t="n">
        <x:v>187</x:v>
      </x:c>
      <x:c r="AD54" s="10" t="n">
        <x:v>137</x:v>
      </x:c>
      <x:c r="AE54" s="10" t="n">
        <x:f>IF(COUNT(AD54,AC54)=2,AD54-AC54,"")</x:f>
        <x:v>-50</x:v>
      </x:c>
      <x:c r="AF54" s="10" t="n">
        <x:v>89</x:v>
      </x:c>
      <x:c r="AG54" s="10" t="n">
        <x:v>36</x:v>
      </x:c>
      <x:c r="AH54" s="10" t="n">
        <x:f>IF(COUNT(AG54,AF54)=2,AG54-AF54,"")</x:f>
        <x:v>-53</x:v>
      </x:c>
      <x:c r="AI54" s="10" t="n">
        <x:v>35</x:v>
      </x:c>
      <x:c r="AJ54" s="10" t="n">
        <x:v>16</x:v>
      </x:c>
      <x:c r="AK54" s="10" t="n">
        <x:f>IF(COUNT(AJ54,AI54)=2,AJ54-AI54,"")</x:f>
        <x:v>-19</x:v>
      </x:c>
      <x:c r="AL54" s="10" t="n">
        <x:v>37</x:v>
      </x:c>
      <x:c r="AM54" s="10" t="n">
        <x:v>37</x:v>
      </x:c>
      <x:c r="AN54" s="4" t="str">
        <x:v>LW</x:v>
      </x:c>
      <x:c r="AO54" s="4" t="str">
        <x:v>LW</x:v>
      </x:c>
      <x:c r="AP54" s="4" t="str">
        <x:v>FLA</x:v>
      </x:c>
      <x:c r="AQ54" s="4" t="str">
        <x:v>FLA</x:v>
      </x:c>
      <x:c r="AR54" s="4" t="n">
        <x:v>17.93</x:v>
      </x:c>
      <x:c r="AS54" s="4" t="n">
        <x:v>17.733333333333334</x:v>
      </x:c>
      <x:c r="AT54" s="4" t="n">
        <x:v>2.95</x:v>
      </x:c>
      <x:c r="AU54" s="4" t="n">
        <x:v>19.7</x:v>
      </x:c>
      <x:c r="AV54" s="10" t="n">
        <x:v>6</x:v>
      </x:c>
      <x:c r="AW54" s="10" t="n">
        <x:v>14</x:v>
      </x:c>
      <x:c r="AX54" s="10" t="n">
        <x:v>0</x:v>
      </x:c>
      <x:c r="AY54" s="10" t="n">
        <x:v>0</x:v>
      </x:c>
      <x:c r="AZ54" s="10" t="n">
        <x:v>733</x:v>
      </x:c>
      <x:c r="BA54" s="10" t="n">
        <x:v>713</x:v>
      </x:c>
      <x:c r="BB54" s="4" t="n">
        <x:v>50.7</x:v>
      </x:c>
      <x:c r="BC54" s="4" t="n">
        <x:v>-1.6</x:v>
      </x:c>
      <x:c r="BD54" s="10" t="n">
        <x:v>532</x:v>
      </x:c>
      <x:c r="BE54" s="10" t="n">
        <x:v>563</x:v>
      </x:c>
      <x:c r="BF54" s="4" t="n">
        <x:v>48.6</x:v>
      </x:c>
      <x:c r="BG54" s="4" t="n">
        <x:v>-3.6</x:v>
      </x:c>
      <x:c r="BH54" s="4" t="n">
        <x:v>12.8</x:v>
      </x:c>
      <x:c r="BI54" s="4" t="n">
        <x:v>85.4</x:v>
      </x:c>
      <x:c r="BJ54" s="4" t="n">
        <x:v>98.2</x:v>
      </x:c>
      <x:c r="BK54" s="4" t="n">
        <x:v>52.6</x:v>
      </x:c>
      <x:c r="BL54" s="4" t="n">
        <x:v>47.4</x:v>
      </x:c>
      <x:c r="BM54" s="4" t="n">
        <x:v>17.733333333333334</x:v>
      </x:c>
      <x:c r="BN54" s="4" t="n">
        <x:v>12.983333333333333</x:v>
      </x:c>
      <x:c r="BO54" s="10" t="n">
        <x:v>15</x:v>
      </x:c>
      <x:c r="BP54" s="10" t="n">
        <x:v>56</x:v>
      </x:c>
      <x:c r="BQ54" s="4" t="n">
        <x:v>-6.9</x:v>
      </x:c>
      <x:c r="BR54" s="10" t="n">
        <x:v>275</x:v>
      </x:c>
      <x:c r="BS54" s="4" t="n">
        <x:v>49.8</x:v>
      </x:c>
      <x:c r="BT54" s="10" t="n">
        <x:v>52</x:v>
      </x:c>
      <x:c r="BU54" s="4" t="str">
        <x:v>FLA</x:v>
      </x:c>
      <x:c r="BV54" s="10" t="n">
        <x:v>79</x:v>
      </x:c>
      <x:c r="BW54" s="10" t="n">
        <x:v>117</x:v>
      </x:c>
      <x:c r="BX54" s="10" t="n">
        <x:v>643</x:v>
      </x:c>
      <x:c r="BY54" s="4" t="str">
        <x:v>Brad Marchand</x:v>
      </x:c>
      <x:c r="BZ54" s="4" t="str">
        <x:v>Brad Marchand</x:v>
      </x:c>
      <x:c r="CA54" s="4" t="str">
        <x:v>Brad Marchand</x:v>
      </x:c>
      <x:c r="CB54" s="4" t="str">
        <x:v>marchbr03</x:v>
      </x:c>
    </x:row>
    <x:row r="55" ht="22" customHeight="1">
      <x:c r="A55" s="4" t="str">
        <x:v>Brady Skjei</x:v>
      </x:c>
      <x:c r="B55" s="4" t="str">
        <x:v>bradyskjei</x:v>
      </x:c>
      <x:c r="C55" s="10" t="n">
        <x:v>1</x:v>
      </x:c>
      <x:c r="D55" s="10" t="n">
        <x:v>1</x:v>
      </x:c>
      <x:c r="E55" s="10" t="n">
        <x:v>1</x:v>
      </x:c>
      <x:c r="F55" s="4" t="n">
        <x:f>IF(COUNT(N55,Q55,T55,W55,Z55,AC55,AF55,AI55)=8,N55*Guide!$E$5+Q55*Guide!$E$6+T55*Guide!$E$7+W55*Guide!$E$8+Z55*Guide!$E$9+AC55*Guide!$E$10+AF55*Guide!$E$11+AI55*Guide!$E$12,"")</x:f>
        <x:v>256.25</x:v>
      </x:c>
      <x:c r="G55" s="4" t="n">
        <x:f>IF(COUNT(O55,R55,U55,X55,AA55,AD55,AG55,AJ55)=8,O55*Guide!$E$5+R55*Guide!$E$6+U55*Guide!$E$7+X55*Guide!$E$8+AA55*Guide!$E$9+AD55*Guide!$E$10+AG55*Guide!$E$11+AJ55*Guide!$E$12,"")</x:f>
        <x:v>191.25</x:v>
      </x:c>
      <x:c r="H55" s="4" t="n">
        <x:f>IF(COUNT(G55,F55)=2,G55-F55,"")</x:f>
        <x:v>-65</x:v>
      </x:c>
      <x:c r="I55" s="4" t="n">
        <x:f>IF(AND(ISNUMBER(F55),K55&gt;0),F55/K55,"")</x:f>
        <x:v>3.1635802469135803</x:v>
      </x:c>
      <x:c r="J55" s="4" t="n">
        <x:f>IF(AND(ISNUMBER(G55),L55&gt;0),G55/L55,"")</x:f>
        <x:v>2.332317073170732</x:v>
      </x:c>
      <x:c r="K55" s="10" t="n">
        <x:v>81</x:v>
      </x:c>
      <x:c r="L55" s="10" t="n">
        <x:v>82</x:v>
      </x:c>
      <x:c r="M55" s="10" t="n">
        <x:f>IF(COUNT(L55,K55)=2,L55-K55,"")</x:f>
        <x:v>1</x:v>
      </x:c>
      <x:c r="N55" s="10" t="n">
        <x:v>11</x:v>
      </x:c>
      <x:c r="O55" s="10" t="n">
        <x:v>3</x:v>
      </x:c>
      <x:c r="P55" s="10" t="n">
        <x:f>IF(COUNT(O55,N55)=2,O55-N55,"")</x:f>
        <x:v>-8</x:v>
      </x:c>
      <x:c r="Q55" s="10" t="n">
        <x:v>29</x:v>
      </x:c>
      <x:c r="R55" s="10" t="n">
        <x:v>23</x:v>
      </x:c>
      <x:c r="S55" s="10" t="n">
        <x:f>IF(COUNT(R55,Q55)=2,R55-Q55,"")</x:f>
        <x:v>-6</x:v>
      </x:c>
      <x:c r="T55" s="10" t="n">
        <x:v>-6</x:v>
      </x:c>
      <x:c r="U55" s="10" t="n">
        <x:v>-7</x:v>
      </x:c>
      <x:c r="V55" s="10" t="n">
        <x:f>IF(COUNT(U55,T55)=2,U55-T55,"")</x:f>
        <x:v>-1</x:v>
      </x:c>
      <x:c r="W55" s="10" t="n">
        <x:v>10</x:v>
      </x:c>
      <x:c r="X55" s="10" t="n">
        <x:f>IF(COUNT(AV55,AW55)=2,AV55+AW55,"")</x:f>
        <x:v>3</x:v>
      </x:c>
      <x:c r="Y55" s="10" t="n">
        <x:f>IF(COUNT(X55,W55)=2,X55-W55,"")</x:f>
        <x:v>-7</x:v>
      </x:c>
      <x:c r="Z55" s="10" t="n">
        <x:v>1</x:v>
      </x:c>
      <x:c r="AA55" s="10" t="n">
        <x:f>IF(COUNT(AX55,AY55)=2,AX55+AY55,"")</x:f>
        <x:v>2</x:v>
      </x:c>
      <x:c r="AB55" s="10" t="n">
        <x:f>IF(COUNT(AA55,Z55)=2,AA55-Z55,"")</x:f>
        <x:v>1</x:v>
      </x:c>
      <x:c r="AC55" s="10" t="n">
        <x:v>156</x:v>
      </x:c>
      <x:c r="AD55" s="10" t="n">
        <x:v>111</x:v>
      </x:c>
      <x:c r="AE55" s="10" t="n">
        <x:f>IF(COUNT(AD55,AC55)=2,AD55-AC55,"")</x:f>
        <x:v>-45</x:v>
      </x:c>
      <x:c r="AF55" s="10" t="n">
        <x:v>53</x:v>
      </x:c>
      <x:c r="AG55" s="10" t="n">
        <x:v>70</x:v>
      </x:c>
      <x:c r="AH55" s="10" t="n">
        <x:f>IF(COUNT(AG55,AF55)=2,AG55-AF55,"")</x:f>
        <x:v>17</x:v>
      </x:c>
      <x:c r="AI55" s="10" t="n">
        <x:v>88</x:v>
      </x:c>
      <x:c r="AJ55" s="10" t="n">
        <x:v>84</x:v>
      </x:c>
      <x:c r="AK55" s="10" t="n">
        <x:f>IF(COUNT(AJ55,AI55)=2,AJ55-AI55,"")</x:f>
        <x:v>-4</x:v>
      </x:c>
      <x:c r="AL55" s="10" t="n">
        <x:v>31</x:v>
      </x:c>
      <x:c r="AM55" s="10" t="n">
        <x:v>31</x:v>
      </x:c>
      <x:c r="AN55" s="4" t="str">
        <x:v>D</x:v>
      </x:c>
      <x:c r="AO55" s="4" t="str">
        <x:v>D</x:v>
      </x:c>
      <x:c r="AP55" s="4" t="str">
        <x:v>NSH</x:v>
      </x:c>
      <x:c r="AQ55" s="4" t="str">
        <x:v>NSH</x:v>
      </x:c>
      <x:c r="AR55" s="4" t="n">
        <x:v>21.740000000000002</x:v>
      </x:c>
      <x:c r="AS55" s="4" t="n">
        <x:v>22.616666666666667</x:v>
      </x:c>
      <x:c r="AT55" s="4" t="n">
        <x:v>1.37</x:v>
      </x:c>
      <x:c r="AU55" s="4" t="n">
        <x:v>2.7</x:v>
      </x:c>
      <x:c r="AV55" s="10" t="n">
        <x:v>0</x:v>
      </x:c>
      <x:c r="AW55" s="10" t="n">
        <x:v>3</x:v>
      </x:c>
      <x:c r="AX55" s="10" t="n">
        <x:v>1</x:v>
      </x:c>
      <x:c r="AY55" s="10" t="n">
        <x:v>1</x:v>
      </x:c>
      <x:c r="AZ55" s="10" t="n">
        <x:v>1400</x:v>
      </x:c>
      <x:c r="BA55" s="10" t="n">
        <x:v>1552</x:v>
      </x:c>
      <x:c r="BB55" s="4" t="n">
        <x:v>47.4</x:v>
      </x:c>
      <x:c r="BC55" s="4" t="n">
        <x:v>-4.1</x:v>
      </x:c>
      <x:c r="BD55" s="10" t="n">
        <x:v>1018</x:v>
      </x:c>
      <x:c r="BE55" s="10" t="n">
        <x:v>1196</x:v>
      </x:c>
      <x:c r="BF55" s="4" t="n">
        <x:v>46</x:v>
      </x:c>
      <x:c r="BG55" s="4" t="n">
        <x:v>-4</x:v>
      </x:c>
      <x:c r="BH55" s="4" t="n">
        <x:v>10.7</x:v>
      </x:c>
      <x:c r="BI55" s="4" t="n">
        <x:v>89.4</x:v>
      </x:c>
      <x:c r="BJ55" s="4" t="n">
        <x:v>100.1</x:v>
      </x:c>
      <x:c r="BK55" s="4" t="n">
        <x:v>40.5</x:v>
      </x:c>
      <x:c r="BL55" s="4" t="n">
        <x:v>59.5</x:v>
      </x:c>
      <x:c r="BM55" s="4" t="n">
        <x:v>22.616666666666667</x:v>
      </x:c>
      <x:c r="BN55" s="4" t="n">
        <x:v>18.633333333333333</x:v>
      </x:c>
      <x:c r="BO55" s="10" t="n">
        <x:v>30</x:v>
      </x:c>
      <x:c r="BP55" s="10" t="n">
        <x:v>113</x:v>
      </x:c>
      <x:c r="BQ55" s="4" t="n">
        <x:v>-11</x:v>
      </x:c>
      <x:c r="BR55" s="10" t="n">
        <x:v>273</x:v>
      </x:c>
      <x:c r="BS55" s="4" t="n">
        <x:v>40.7</x:v>
      </x:c>
      <x:c r="BT55" s="10" t="n">
        <x:v>82</x:v>
      </x:c>
      <x:c r="BU55" s="4" t="str">
        <x:v>NSH</x:v>
      </x:c>
      <x:c r="BV55" s="10" t="n">
        <x:v>243</x:v>
      </x:c>
      <x:c r="BW55" s="10" t="n">
        <x:v>380</x:v>
      </x:c>
      <x:c r="BX55" s="10" t="n">
        <x:v>939</x:v>
      </x:c>
      <x:c r="BY55" s="4" t="str">
        <x:v>Brady Skjei</x:v>
      </x:c>
      <x:c r="BZ55" s="4" t="str">
        <x:v>Brady Skjei</x:v>
      </x:c>
      <x:c r="CA55" s="4" t="str">
        <x:v>Brady Skjei</x:v>
      </x:c>
      <x:c r="CB55" s="4" t="str">
        <x:v>skjeibr01</x:v>
      </x:c>
    </x:row>
    <x:row r="56" ht="22" customHeight="1">
      <x:c r="A56" s="4" t="str">
        <x:v>Brady Tkachuk</x:v>
      </x:c>
      <x:c r="B56" s="4" t="str">
        <x:v>bradytkachuk</x:v>
      </x:c>
      <x:c r="C56" s="10" t="n">
        <x:v>1</x:v>
      </x:c>
      <x:c r="D56" s="10" t="n">
        <x:v>1</x:v>
      </x:c>
      <x:c r="E56" s="10" t="n">
        <x:v>1</x:v>
      </x:c>
      <x:c r="F56" s="4" t="n">
        <x:f>IF(COUNT(N56,Q56,T56,W56,Z56,AC56,AF56,AI56)=8,N56*Guide!$E$5+Q56*Guide!$E$6+T56*Guide!$E$7+W56*Guide!$E$8+Z56*Guide!$E$9+AC56*Guide!$E$10+AF56*Guide!$E$11+AI56*Guide!$E$12,"")</x:f>
        <x:v>421.25</x:v>
      </x:c>
      <x:c r="G56" s="4" t="n">
        <x:f>IF(COUNT(O56,R56,U56,X56,AA56,AD56,AG56,AJ56)=8,O56*Guide!$E$5+R56*Guide!$E$6+U56*Guide!$E$7+X56*Guide!$E$8+AA56*Guide!$E$9+AD56*Guide!$E$10+AG56*Guide!$E$11+AJ56*Guide!$E$12,"")</x:f>
        <x:v>336</x:v>
      </x:c>
      <x:c r="H56" s="4" t="n">
        <x:f>IF(COUNT(G56,F56)=2,G56-F56,"")</x:f>
        <x:v>-85.25</x:v>
      </x:c>
      <x:c r="I56" s="4" t="n">
        <x:f>IF(AND(ISNUMBER(F56),K56&gt;0),F56/K56,"")</x:f>
        <x:v>5.616666666666666</x:v>
      </x:c>
      <x:c r="J56" s="4" t="n">
        <x:f>IF(AND(ISNUMBER(G56),L56&gt;0),G56/L56,"")</x:f>
        <x:v>5.6</x:v>
      </x:c>
      <x:c r="K56" s="10" t="n">
        <x:v>75</x:v>
      </x:c>
      <x:c r="L56" s="10" t="n">
        <x:v>60</x:v>
      </x:c>
      <x:c r="M56" s="10" t="n">
        <x:f>IF(COUNT(L56,K56)=2,L56-K56,"")</x:f>
        <x:v>-15</x:v>
      </x:c>
      <x:c r="N56" s="10" t="n">
        <x:v>34</x:v>
      </x:c>
      <x:c r="O56" s="10" t="n">
        <x:v>22</x:v>
      </x:c>
      <x:c r="P56" s="10" t="n">
        <x:f>IF(COUNT(O56,N56)=2,O56-N56,"")</x:f>
        <x:v>-12</x:v>
      </x:c>
      <x:c r="Q56" s="10" t="n">
        <x:v>33</x:v>
      </x:c>
      <x:c r="R56" s="10" t="n">
        <x:v>37</x:v>
      </x:c>
      <x:c r="S56" s="10" t="n">
        <x:f>IF(COUNT(R56,Q56)=2,R56-Q56,"")</x:f>
        <x:v>4</x:v>
      </x:c>
      <x:c r="T56" s="10" t="n">
        <x:v>7</x:v>
      </x:c>
      <x:c r="U56" s="10" t="n">
        <x:v>4</x:v>
      </x:c>
      <x:c r="V56" s="10" t="n">
        <x:f>IF(COUNT(U56,T56)=2,U56-T56,"")</x:f>
        <x:v>-3</x:v>
      </x:c>
      <x:c r="W56" s="10" t="n">
        <x:v>23</x:v>
      </x:c>
      <x:c r="X56" s="10" t="n">
        <x:f>IF(COUNT(AV56,AW56)=2,AV56+AW56,"")</x:f>
        <x:v>20</x:v>
      </x:c>
      <x:c r="Y56" s="10" t="n">
        <x:f>IF(COUNT(X56,W56)=2,X56-W56,"")</x:f>
        <x:v>-3</x:v>
      </x:c>
      <x:c r="Z56" s="10" t="n">
        <x:v>0</x:v>
      </x:c>
      <x:c r="AA56" s="10" t="n">
        <x:f>IF(COUNT(AX56,AY56)=2,AX56+AY56,"")</x:f>
        <x:v>1</x:v>
      </x:c>
      <x:c r="AB56" s="10" t="n">
        <x:f>IF(COUNT(AA56,Z56)=2,AA56-Z56,"")</x:f>
        <x:v>1</x:v>
      </x:c>
      <x:c r="AC56" s="10" t="n">
        <x:v>292</x:v>
      </x:c>
      <x:c r="AD56" s="10" t="n">
        <x:v>221</x:v>
      </x:c>
      <x:c r="AE56" s="10" t="n">
        <x:f>IF(COUNT(AD56,AC56)=2,AD56-AC56,"")</x:f>
        <x:v>-71</x:v>
      </x:c>
      <x:c r="AF56" s="10" t="n">
        <x:v>240</x:v>
      </x:c>
      <x:c r="AG56" s="10" t="n">
        <x:v>162</x:v>
      </x:c>
      <x:c r="AH56" s="10" t="n">
        <x:f>IF(COUNT(AG56,AF56)=2,AG56-AF56,"")</x:f>
        <x:v>-78</x:v>
      </x:c>
      <x:c r="AI56" s="10" t="n">
        <x:v>31</x:v>
      </x:c>
      <x:c r="AJ56" s="10" t="n">
        <x:v>19</x:v>
      </x:c>
      <x:c r="AK56" s="10" t="n">
        <x:f>IF(COUNT(AJ56,AI56)=2,AJ56-AI56,"")</x:f>
        <x:v>-12</x:v>
      </x:c>
      <x:c r="AL56" s="10" t="n">
        <x:v>26</x:v>
      </x:c>
      <x:c r="AM56" s="10" t="n">
        <x:v>26</x:v>
      </x:c>
      <x:c r="AN56" s="4" t="str">
        <x:v>C,LW</x:v>
      </x:c>
      <x:c r="AO56" s="4" t="str">
        <x:v>LW</x:v>
      </x:c>
      <x:c r="AP56" s="4" t="str">
        <x:v>OTT</x:v>
      </x:c>
      <x:c r="AQ56" s="4" t="str">
        <x:v>OTT</x:v>
      </x:c>
      <x:c r="AR56" s="4" t="n">
        <x:v>18.340000000000003</x:v>
      </x:c>
      <x:c r="AS56" s="4" t="n">
        <x:v>16.966666666666665</x:v>
      </x:c>
      <x:c r="AT56" s="4" t="n">
        <x:v>3.26</x:v>
      </x:c>
      <x:c r="AU56" s="4" t="n">
        <x:v>10</x:v>
      </x:c>
      <x:c r="AV56" s="10" t="n">
        <x:v>5</x:v>
      </x:c>
      <x:c r="AW56" s="10" t="n">
        <x:v>15</x:v>
      </x:c>
      <x:c r="AX56" s="10" t="n">
        <x:v>1</x:v>
      </x:c>
      <x:c r="AY56" s="10" t="n">
        <x:v>0</x:v>
      </x:c>
      <x:c r="AZ56" s="10" t="n">
        <x:v>987</x:v>
      </x:c>
      <x:c r="BA56" s="10" t="n">
        <x:v>715</x:v>
      </x:c>
      <x:c r="BB56" s="4" t="n">
        <x:v>58</x:v>
      </x:c>
      <x:c r="BC56" s="4" t="n">
        <x:v>6.8</x:v>
      </x:c>
      <x:c r="BD56" s="10" t="n">
        <x:v>729</x:v>
      </x:c>
      <x:c r="BE56" s="10" t="n">
        <x:v>507</x:v>
      </x:c>
      <x:c r="BF56" s="4" t="n">
        <x:v>59</x:v>
      </x:c>
      <x:c r="BG56" s="4" t="n">
        <x:v>7</x:v>
      </x:c>
      <x:c r="BH56" s="4" t="n">
        <x:v>9.6</x:v>
      </x:c>
      <x:c r="BI56" s="4" t="n">
        <x:v>86.6</x:v>
      </x:c>
      <x:c r="BJ56" s="4" t="n">
        <x:v>96.2</x:v>
      </x:c>
      <x:c r="BK56" s="4" t="n">
        <x:v>66.3</x:v>
      </x:c>
      <x:c r="BL56" s="4" t="n">
        <x:v>33.7</x:v>
      </x:c>
      <x:c r="BM56" s="4" t="n">
        <x:v>16.966666666666665</x:v>
      </x:c>
      <x:c r="BN56" s="4" t="n">
        <x:v>13.6</x:v>
      </x:c>
      <x:c r="BO56" s="10" t="n">
        <x:v>14</x:v>
      </x:c>
      <x:c r="BP56" s="10" t="n">
        <x:v>40</x:v>
      </x:c>
      <x:c r="BQ56" s="4" t="n">
        <x:v>24</x:v>
      </x:c>
      <x:c r="BR56" s="10" t="n">
        <x:v>370</x:v>
      </x:c>
      <x:c r="BS56" s="4" t="n">
        <x:v>59.7</x:v>
      </x:c>
      <x:c r="BT56" s="10" t="n">
        <x:v>60</x:v>
      </x:c>
      <x:c r="BU56" s="4" t="str">
        <x:v>OTT</x:v>
      </x:c>
      <x:c r="BV56" s="10" t="n">
        <x:v>54</x:v>
      </x:c>
      <x:c r="BW56" s="10" t="n">
        <x:v>98</x:v>
      </x:c>
      <x:c r="BX56" s="10" t="n">
        <x:v>1018</x:v>
      </x:c>
      <x:c r="BY56" s="4" t="str">
        <x:v>Brady Tkachuk</x:v>
      </x:c>
      <x:c r="BZ56" s="4" t="str">
        <x:v>Brady Tkachuk</x:v>
      </x:c>
      <x:c r="CA56" s="4" t="str">
        <x:v>Brady Tkachuk</x:v>
      </x:c>
      <x:c r="CB56" s="4" t="str">
        <x:v>tkachbr01</x:v>
      </x:c>
    </x:row>
    <x:row r="57" ht="22" customHeight="1">
      <x:c r="A57" s="4" t="str">
        <x:v>Brandon Hagel</x:v>
      </x:c>
      <x:c r="B57" s="4" t="str">
        <x:v>brandonhagel</x:v>
      </x:c>
      <x:c r="C57" s="10" t="n">
        <x:v>1</x:v>
      </x:c>
      <x:c r="D57" s="10" t="n">
        <x:v>1</x:v>
      </x:c>
      <x:c r="E57" s="10" t="n">
        <x:v>1</x:v>
      </x:c>
      <x:c r="F57" s="4" t="n">
        <x:f>IF(COUNT(N57,Q57,T57,W57,Z57,AC57,AF57,AI57)=8,N57*Guide!$E$5+Q57*Guide!$E$6+T57*Guide!$E$7+W57*Guide!$E$8+Z57*Guide!$E$9+AC57*Guide!$E$10+AF57*Guide!$E$11+AI57*Guide!$E$12,"")</x:f>
        <x:v>419.25</x:v>
      </x:c>
      <x:c r="G57" s="4" t="n">
        <x:f>IF(COUNT(O57,R57,U57,X57,AA57,AD57,AG57,AJ57)=8,O57*Guide!$E$5+R57*Guide!$E$6+U57*Guide!$E$7+X57*Guide!$E$8+AA57*Guide!$E$9+AD57*Guide!$E$10+AG57*Guide!$E$11+AJ57*Guide!$E$12,"")</x:f>
        <x:v>399.5</x:v>
      </x:c>
      <x:c r="H57" s="4" t="n">
        <x:f>IF(COUNT(G57,F57)=2,G57-F57,"")</x:f>
        <x:v>-19.75</x:v>
      </x:c>
      <x:c r="I57" s="4" t="n">
        <x:f>IF(AND(ISNUMBER(F57),K57&gt;0),F57/K57,"")</x:f>
        <x:v>5.112804878048781</x:v>
      </x:c>
      <x:c r="J57" s="4" t="n">
        <x:f>IF(AND(ISNUMBER(G57),L57&gt;0),G57/L57,"")</x:f>
        <x:v>5.626760563380282</x:v>
      </x:c>
      <x:c r="K57" s="10" t="n">
        <x:v>82</x:v>
      </x:c>
      <x:c r="L57" s="10" t="n">
        <x:v>71</x:v>
      </x:c>
      <x:c r="M57" s="10" t="n">
        <x:f>IF(COUNT(L57,K57)=2,L57-K57,"")</x:f>
        <x:v>-11</x:v>
      </x:c>
      <x:c r="N57" s="10" t="n">
        <x:v>34</x:v>
      </x:c>
      <x:c r="O57" s="10" t="n">
        <x:v>36</x:v>
      </x:c>
      <x:c r="P57" s="10" t="n">
        <x:f>IF(COUNT(O57,N57)=2,O57-N57,"")</x:f>
        <x:v>2</x:v>
      </x:c>
      <x:c r="Q57" s="10" t="n">
        <x:v>44</x:v>
      </x:c>
      <x:c r="R57" s="10" t="n">
        <x:v>38</x:v>
      </x:c>
      <x:c r="S57" s="10" t="n">
        <x:f>IF(COUNT(R57,Q57)=2,R57-Q57,"")</x:f>
        <x:v>-6</x:v>
      </x:c>
      <x:c r="T57" s="10" t="n">
        <x:v>19</x:v>
      </x:c>
      <x:c r="U57" s="10" t="n">
        <x:v>34</x:v>
      </x:c>
      <x:c r="V57" s="10" t="n">
        <x:f>IF(COUNT(U57,T57)=2,U57-T57,"")</x:f>
        <x:v>15</x:v>
      </x:c>
      <x:c r="W57" s="10" t="n">
        <x:v>13</x:v>
      </x:c>
      <x:c r="X57" s="10" t="n">
        <x:f>IF(COUNT(AV57,AW57)=2,AV57+AW57,"")</x:f>
        <x:v>12</x:v>
      </x:c>
      <x:c r="Y57" s="10" t="n">
        <x:f>IF(COUNT(X57,W57)=2,X57-W57,"")</x:f>
        <x:v>-1</x:v>
      </x:c>
      <x:c r="Z57" s="10" t="n">
        <x:v>4</x:v>
      </x:c>
      <x:c r="AA57" s="10" t="n">
        <x:f>IF(COUNT(AX57,AY57)=2,AX57+AY57,"")</x:f>
        <x:v>1</x:v>
      </x:c>
      <x:c r="AB57" s="10" t="n">
        <x:f>IF(COUNT(AA57,Z57)=2,AA57-Z57,"")</x:f>
        <x:v>-3</x:v>
      </x:c>
      <x:c r="AC57" s="10" t="n">
        <x:v>196</x:v>
      </x:c>
      <x:c r="AD57" s="10" t="n">
        <x:v>214</x:v>
      </x:c>
      <x:c r="AE57" s="10" t="n">
        <x:f>IF(COUNT(AD57,AC57)=2,AD57-AC57,"")</x:f>
        <x:v>18</x:v>
      </x:c>
      <x:c r="AF57" s="10" t="n">
        <x:v>62</x:v>
      </x:c>
      <x:c r="AG57" s="10" t="n">
        <x:v>42</x:v>
      </x:c>
      <x:c r="AH57" s="10" t="n">
        <x:f>IF(COUNT(AG57,AF57)=2,AG57-AF57,"")</x:f>
        <x:v>-20</x:v>
      </x:c>
      <x:c r="AI57" s="10" t="n">
        <x:v>57</x:v>
      </x:c>
      <x:c r="AJ57" s="10" t="n">
        <x:v>38</x:v>
      </x:c>
      <x:c r="AK57" s="10" t="n">
        <x:f>IF(COUNT(AJ57,AI57)=2,AJ57-AI57,"")</x:f>
        <x:v>-19</x:v>
      </x:c>
      <x:c r="AL57" s="10" t="n">
        <x:v>27</x:v>
      </x:c>
      <x:c r="AM57" s="10" t="n">
        <x:v>27</x:v>
      </x:c>
      <x:c r="AN57" s="4" t="str">
        <x:v>LW,RW</x:v>
      </x:c>
      <x:c r="AO57" s="4" t="str">
        <x:v>LW</x:v>
      </x:c>
      <x:c r="AP57" s="4" t="str">
        <x:v>TB</x:v>
      </x:c>
      <x:c r="AQ57" s="4" t="str">
        <x:v>TBL</x:v>
      </x:c>
      <x:c r="AR57" s="4" t="n">
        <x:v>20.369999999999997</x:v>
      </x:c>
      <x:c r="AS57" s="4" t="n">
        <x:v>19.766666666666666</x:v>
      </x:c>
      <x:c r="AT57" s="4" t="n">
        <x:v>2.43</x:v>
      </x:c>
      <x:c r="AU57" s="4" t="n">
        <x:v>16.8</x:v>
      </x:c>
      <x:c r="AV57" s="10" t="n">
        <x:v>5</x:v>
      </x:c>
      <x:c r="AW57" s="10" t="n">
        <x:v>7</x:v>
      </x:c>
      <x:c r="AX57" s="10" t="n">
        <x:v>1</x:v>
      </x:c>
      <x:c r="AY57" s="10" t="n">
        <x:v>0</x:v>
      </x:c>
      <x:c r="AZ57" s="10" t="n">
        <x:v>1346</x:v>
      </x:c>
      <x:c r="BA57" s="10" t="n">
        <x:v>981</x:v>
      </x:c>
      <x:c r="BB57" s="4" t="n">
        <x:v>57.8</x:v>
      </x:c>
      <x:c r="BC57" s="4" t="n">
        <x:v>6.8</x:v>
      </x:c>
      <x:c r="BD57" s="10" t="n">
        <x:v>973</x:v>
      </x:c>
      <x:c r="BE57" s="10" t="n">
        <x:v>716</x:v>
      </x:c>
      <x:c r="BF57" s="4" t="n">
        <x:v>57.6</x:v>
      </x:c>
      <x:c r="BG57" s="4" t="n">
        <x:v>7.5</x:v>
      </x:c>
      <x:c r="BH57" s="4" t="n">
        <x:v>13.4</x:v>
      </x:c>
      <x:c r="BI57" s="4" t="n">
        <x:v>89.5</x:v>
      </x:c>
      <x:c r="BJ57" s="4" t="n">
        <x:v>102.8</x:v>
      </x:c>
      <x:c r="BK57" s="4" t="n">
        <x:v>54.6</x:v>
      </x:c>
      <x:c r="BL57" s="4" t="n">
        <x:v>45.4</x:v>
      </x:c>
      <x:c r="BM57" s="4" t="n">
        <x:v>19.766666666666666</x:v>
      </x:c>
      <x:c r="BN57" s="4" t="n">
        <x:v>15.333333333333334</x:v>
      </x:c>
      <x:c r="BO57" s="10" t="n">
        <x:v>35</x:v>
      </x:c>
      <x:c r="BP57" s="10" t="n">
        <x:v>75</x:v>
      </x:c>
      <x:c r="BQ57" s="4" t="n">
        <x:v>17.1</x:v>
      </x:c>
      <x:c r="BR57" s="10" t="n">
        <x:v>459</x:v>
      </x:c>
      <x:c r="BS57" s="4" t="n">
        <x:v>46.6</x:v>
      </x:c>
      <x:c r="BT57" s="10" t="n">
        <x:v>71</x:v>
      </x:c>
      <x:c r="BU57" s="4" t="str">
        <x:v>TBL</x:v>
      </x:c>
      <x:c r="BV57" s="10" t="n">
        <x:v>25</x:v>
      </x:c>
      <x:c r="BW57" s="10" t="n">
        <x:v>45</x:v>
      </x:c>
      <x:c r="BX57" s="10" t="n">
        <x:v>375</x:v>
      </x:c>
      <x:c r="BY57" s="4" t="str">
        <x:v>Brandon Hagel</x:v>
      </x:c>
      <x:c r="BZ57" s="4" t="str">
        <x:v>Brandon Hagel</x:v>
      </x:c>
      <x:c r="CA57" s="4" t="str">
        <x:v>Brandon Hagel</x:v>
      </x:c>
      <x:c r="CB57" s="4" t="str">
        <x:v>hagelbr01</x:v>
      </x:c>
    </x:row>
    <x:row r="58" ht="22" customHeight="1">
      <x:c r="A58" s="4" t="str">
        <x:v>Brandon Montour</x:v>
      </x:c>
      <x:c r="B58" s="4" t="str">
        <x:v>brandonmontour</x:v>
      </x:c>
      <x:c r="C58" s="10" t="n">
        <x:v>1</x:v>
      </x:c>
      <x:c r="D58" s="10" t="n">
        <x:v>1</x:v>
      </x:c>
      <x:c r="E58" s="10" t="n">
        <x:v>1</x:v>
      </x:c>
      <x:c r="F58" s="4" t="n">
        <x:f>IF(COUNT(N58,Q58,T58,W58,Z58,AC58,AF58,AI58)=8,N58*Guide!$E$5+Q58*Guide!$E$6+T58*Guide!$E$7+W58*Guide!$E$8+Z58*Guide!$E$9+AC58*Guide!$E$10+AF58*Guide!$E$11+AI58*Guide!$E$12,"")</x:f>
        <x:v>316.75</x:v>
      </x:c>
      <x:c r="G58" s="4" t="n">
        <x:f>IF(COUNT(O58,R58,U58,X58,AA58,AD58,AG58,AJ58)=8,O58*Guide!$E$5+R58*Guide!$E$6+U58*Guide!$E$7+X58*Guide!$E$8+AA58*Guide!$E$9+AD58*Guide!$E$10+AG58*Guide!$E$11+AJ58*Guide!$E$12,"")</x:f>
        <x:v>215</x:v>
      </x:c>
      <x:c r="H58" s="4" t="n">
        <x:f>IF(COUNT(G58,F58)=2,G58-F58,"")</x:f>
        <x:v>-101.75</x:v>
      </x:c>
      <x:c r="I58" s="4" t="n">
        <x:f>IF(AND(ISNUMBER(F58),K58&gt;0),F58/K58,"")</x:f>
        <x:v>3.959375</x:v>
      </x:c>
      <x:c r="J58" s="4" t="n">
        <x:f>IF(AND(ISNUMBER(G58),L58&gt;0),G58/L58,"")</x:f>
        <x:v>3.359375</x:v>
      </x:c>
      <x:c r="K58" s="10" t="n">
        <x:v>80</x:v>
      </x:c>
      <x:c r="L58" s="10" t="n">
        <x:v>64</x:v>
      </x:c>
      <x:c r="M58" s="10" t="n">
        <x:f>IF(COUNT(L58,K58)=2,L58-K58,"")</x:f>
        <x:v>-16</x:v>
      </x:c>
      <x:c r="N58" s="10" t="n">
        <x:v>15</x:v>
      </x:c>
      <x:c r="O58" s="10" t="n">
        <x:v>11</x:v>
      </x:c>
      <x:c r="P58" s="10" t="n">
        <x:f>IF(COUNT(O58,N58)=2,O58-N58,"")</x:f>
        <x:v>-4</x:v>
      </x:c>
      <x:c r="Q58" s="10" t="n">
        <x:v>35</x:v>
      </x:c>
      <x:c r="R58" s="10" t="n">
        <x:v>21</x:v>
      </x:c>
      <x:c r="S58" s="10" t="n">
        <x:f>IF(COUNT(R58,Q58)=2,R58-Q58,"")</x:f>
        <x:v>-14</x:v>
      </x:c>
      <x:c r="T58" s="10" t="n">
        <x:v>-13</x:v>
      </x:c>
      <x:c r="U58" s="10" t="n">
        <x:v>-21</x:v>
      </x:c>
      <x:c r="V58" s="10" t="n">
        <x:f>IF(COUNT(U58,T58)=2,U58-T58,"")</x:f>
        <x:v>-8</x:v>
      </x:c>
      <x:c r="W58" s="10" t="n">
        <x:v>19</x:v>
      </x:c>
      <x:c r="X58" s="10" t="n">
        <x:f>IF(COUNT(AV58,AW58)=2,AV58+AW58,"")</x:f>
        <x:v>8</x:v>
      </x:c>
      <x:c r="Y58" s="10" t="n">
        <x:f>IF(COUNT(X58,W58)=2,X58-W58,"")</x:f>
        <x:v>-11</x:v>
      </x:c>
      <x:c r="Z58" s="10" t="n">
        <x:v>0</x:v>
      </x:c>
      <x:c r="AA58" s="10" t="n">
        <x:f>IF(COUNT(AX58,AY58)=2,AX58+AY58,"")</x:f>
        <x:v>0</x:v>
      </x:c>
      <x:c r="AB58" s="10" t="n">
        <x:f>IF(COUNT(AA58,Z58)=2,AA58-Z58,"")</x:f>
        <x:v>0</x:v>
      </x:c>
      <x:c r="AC58" s="10" t="n">
        <x:v>214</x:v>
      </x:c>
      <x:c r="AD58" s="10" t="n">
        <x:v>175</x:v>
      </x:c>
      <x:c r="AE58" s="10" t="n">
        <x:f>IF(COUNT(AD58,AC58)=2,AD58-AC58,"")</x:f>
        <x:v>-39</x:v>
      </x:c>
      <x:c r="AF58" s="10" t="n">
        <x:v>84</x:v>
      </x:c>
      <x:c r="AG58" s="10" t="n">
        <x:v>75</x:v>
      </x:c>
      <x:c r="AH58" s="10" t="n">
        <x:f>IF(COUNT(AG58,AF58)=2,AG58-AF58,"")</x:f>
        <x:v>-9</x:v>
      </x:c>
      <x:c r="AI58" s="10" t="n">
        <x:v>95</x:v>
      </x:c>
      <x:c r="AJ58" s="10" t="n">
        <x:v>78</x:v>
      </x:c>
      <x:c r="AK58" s="10" t="n">
        <x:f>IF(COUNT(AJ58,AI58)=2,AJ58-AI58,"")</x:f>
        <x:v>-17</x:v>
      </x:c>
      <x:c r="AL58" s="10" t="n">
        <x:v>31</x:v>
      </x:c>
      <x:c r="AM58" s="10" t="n">
        <x:v>31</x:v>
      </x:c>
      <x:c r="AN58" s="4" t="str">
        <x:v>D</x:v>
      </x:c>
      <x:c r="AO58" s="4" t="str">
        <x:v>D</x:v>
      </x:c>
      <x:c r="AP58" s="4" t="str">
        <x:v>SEA</x:v>
      </x:c>
      <x:c r="AQ58" s="4" t="str">
        <x:v>SEA</x:v>
      </x:c>
      <x:c r="AR58" s="4" t="n">
        <x:v>23.15</x:v>
      </x:c>
      <x:c r="AS58" s="4" t="n">
        <x:v>22.566666666666666</x:v>
      </x:c>
      <x:c r="AT58" s="4" t="n">
        <x:v>2.62</x:v>
      </x:c>
      <x:c r="AU58" s="4" t="n">
        <x:v>6.3</x:v>
      </x:c>
      <x:c r="AV58" s="10" t="n">
        <x:v>2</x:v>
      </x:c>
      <x:c r="AW58" s="10" t="n">
        <x:v>6</x:v>
      </x:c>
      <x:c r="AX58" s="10" t="n">
        <x:v>0</x:v>
      </x:c>
      <x:c r="AY58" s="10" t="n">
        <x:v>0</x:v>
      </x:c>
      <x:c r="AZ58" s="10" t="n">
        <x:v>1228</x:v>
      </x:c>
      <x:c r="BA58" s="10" t="n">
        <x:v>1315</x:v>
      </x:c>
      <x:c r="BB58" s="4" t="n">
        <x:v>48.3</x:v>
      </x:c>
      <x:c r="BC58" s="4" t="n">
        <x:v>2.9</x:v>
      </x:c>
      <x:c r="BD58" s="10" t="n">
        <x:v>911</x:v>
      </x:c>
      <x:c r="BE58" s="10" t="n">
        <x:v>967</x:v>
      </x:c>
      <x:c r="BF58" s="4" t="n">
        <x:v>48.5</x:v>
      </x:c>
      <x:c r="BG58" s="4" t="n">
        <x:v>3</x:v>
      </x:c>
      <x:c r="BH58" s="4" t="n">
        <x:v>7.9</x:v>
      </x:c>
      <x:c r="BI58" s="4" t="n">
        <x:v>89.2</x:v>
      </x:c>
      <x:c r="BJ58" s="4" t="n">
        <x:v>97</x:v>
      </x:c>
      <x:c r="BK58" s="4" t="n">
        <x:v>53.4</x:v>
      </x:c>
      <x:c r="BL58" s="4" t="n">
        <x:v>46.6</x:v>
      </x:c>
      <x:c r="BM58" s="4" t="n">
        <x:v>22.566666666666666</x:v>
      </x:c>
      <x:c r="BN58" s="4" t="n">
        <x:v>20.266666666666666</x:v>
      </x:c>
      <x:c r="BO58" s="10" t="n">
        <x:v>32</x:v>
      </x:c>
      <x:c r="BP58" s="10" t="n">
        <x:v>92</x:v>
      </x:c>
      <x:c r="BQ58" s="4" t="n">
        <x:v>-2.5</x:v>
      </x:c>
      <x:c r="BR58" s="10" t="n">
        <x:v>375</x:v>
      </x:c>
      <x:c r="BS58" s="4" t="n">
        <x:v>46.7</x:v>
      </x:c>
      <x:c r="BT58" s="10" t="n">
        <x:v>64</x:v>
      </x:c>
      <x:c r="BU58" s="4" t="str">
        <x:v>SEA</x:v>
      </x:c>
      <x:c r="BV58" s="10" t="n">
        <x:v>150</x:v>
      </x:c>
      <x:c r="BW58" s="10" t="n">
        <x:v>303</x:v>
      </x:c>
      <x:c r="BX58" s="10" t="n">
        <x:v>710</x:v>
      </x:c>
      <x:c r="BY58" s="4" t="str">
        <x:v>Brandon Montour</x:v>
      </x:c>
      <x:c r="BZ58" s="4" t="str">
        <x:v>Brandon Montour</x:v>
      </x:c>
      <x:c r="CA58" s="4" t="str">
        <x:v>Brandon Montour</x:v>
      </x:c>
      <x:c r="CB58" s="4" t="str">
        <x:v>montobr01</x:v>
      </x:c>
    </x:row>
    <x:row r="59" ht="22" customHeight="1">
      <x:c r="A59" s="4" t="str">
        <x:v>Brandt Clarke</x:v>
      </x:c>
      <x:c r="B59" s="4" t="str">
        <x:v>brandtclarke</x:v>
      </x:c>
      <x:c r="C59" s="10" t="n">
        <x:v>1</x:v>
      </x:c>
      <x:c r="D59" s="10" t="n">
        <x:v>1</x:v>
      </x:c>
      <x:c r="E59" s="10" t="n">
        <x:v>1</x:v>
      </x:c>
      <x:c r="F59" s="4" t="n">
        <x:f>IF(COUNT(N59,Q59,T59,W59,Z59,AC59,AF59,AI59)=8,N59*Guide!$E$5+Q59*Guide!$E$6+T59*Guide!$E$7+W59*Guide!$E$8+Z59*Guide!$E$9+AC59*Guide!$E$10+AF59*Guide!$E$11+AI59*Guide!$E$12,"")</x:f>
        <x:v>257.5</x:v>
      </x:c>
      <x:c r="G59" s="4" t="n">
        <x:f>IF(COUNT(O59,R59,U59,X59,AA59,AD59,AG59,AJ59)=8,O59*Guide!$E$5+R59*Guide!$E$6+U59*Guide!$E$7+X59*Guide!$E$8+AA59*Guide!$E$9+AD59*Guide!$E$10+AG59*Guide!$E$11+AJ59*Guide!$E$12,"")</x:f>
        <x:v>338</x:v>
      </x:c>
      <x:c r="H59" s="4" t="n">
        <x:f>IF(COUNT(G59,F59)=2,G59-F59,"")</x:f>
        <x:v>80.5</x:v>
      </x:c>
      <x:c r="I59" s="4" t="n">
        <x:f>IF(AND(ISNUMBER(F59),K59&gt;0),F59/K59,"")</x:f>
        <x:v>3.576388888888889</x:v>
      </x:c>
      <x:c r="J59" s="4" t="n">
        <x:f>IF(AND(ISNUMBER(G59),L59&gt;0),G59/L59,"")</x:f>
        <x:v>4.121951219512195</x:v>
      </x:c>
      <x:c r="K59" s="10" t="n">
        <x:v>72</x:v>
      </x:c>
      <x:c r="L59" s="10" t="n">
        <x:v>82</x:v>
      </x:c>
      <x:c r="M59" s="10" t="n">
        <x:f>IF(COUNT(L59,K59)=2,L59-K59,"")</x:f>
        <x:v>10</x:v>
      </x:c>
      <x:c r="N59" s="10" t="n">
        <x:v>8</x:v>
      </x:c>
      <x:c r="O59" s="10" t="n">
        <x:v>8</x:v>
      </x:c>
      <x:c r="P59" s="10" t="n">
        <x:f>IF(COUNT(O59,N59)=2,O59-N59,"")</x:f>
        <x:v>0</x:v>
      </x:c>
      <x:c r="Q59" s="10" t="n">
        <x:v>27</x:v>
      </x:c>
      <x:c r="R59" s="10" t="n">
        <x:v>32</x:v>
      </x:c>
      <x:c r="S59" s="10" t="n">
        <x:f>IF(COUNT(R59,Q59)=2,R59-Q59,"")</x:f>
        <x:v>5</x:v>
      </x:c>
      <x:c r="T59" s="10" t="n">
        <x:v>2</x:v>
      </x:c>
      <x:c r="U59" s="10" t="n">
        <x:v>11</x:v>
      </x:c>
      <x:c r="V59" s="10" t="n">
        <x:f>IF(COUNT(U59,T59)=2,U59-T59,"")</x:f>
        <x:v>9</x:v>
      </x:c>
      <x:c r="W59" s="10" t="n">
        <x:v>10</x:v>
      </x:c>
      <x:c r="X59" s="10" t="n">
        <x:f>IF(COUNT(AV59,AW59)=2,AV59+AW59,"")</x:f>
        <x:v>13</x:v>
      </x:c>
      <x:c r="Y59" s="10" t="n">
        <x:f>IF(COUNT(X59,W59)=2,X59-W59,"")</x:f>
        <x:v>3</x:v>
      </x:c>
      <x:c r="Z59" s="10" t="n">
        <x:v>0</x:v>
      </x:c>
      <x:c r="AA59" s="10" t="n">
        <x:f>IF(COUNT(AX59,AY59)=2,AX59+AY59,"")</x:f>
        <x:v>0</x:v>
      </x:c>
      <x:c r="AB59" s="10" t="n">
        <x:f>IF(COUNT(AA59,Z59)=2,AA59-Z59,"")</x:f>
        <x:v>0</x:v>
      </x:c>
      <x:c r="AC59" s="10" t="n">
        <x:v>143</x:v>
      </x:c>
      <x:c r="AD59" s="10" t="n">
        <x:v>159</x:v>
      </x:c>
      <x:c r="AE59" s="10" t="n">
        <x:f>IF(COUNT(AD59,AC59)=2,AD59-AC59,"")</x:f>
        <x:v>16</x:v>
      </x:c>
      <x:c r="AF59" s="10" t="n">
        <x:v>27</x:v>
      </x:c>
      <x:c r="AG59" s="10" t="n">
        <x:v>30</x:v>
      </x:c>
      <x:c r="AH59" s="10" t="n">
        <x:f>IF(COUNT(AG59,AF59)=2,AG59-AF59,"")</x:f>
        <x:v>3</x:v>
      </x:c>
      <x:c r="AI59" s="10" t="n">
        <x:v>120</x:v>
      </x:c>
      <x:c r="AJ59" s="10" t="n">
        <x:v>185</x:v>
      </x:c>
      <x:c r="AK59" s="10" t="n">
        <x:f>IF(COUNT(AJ59,AI59)=2,AJ59-AI59,"")</x:f>
        <x:v>65</x:v>
      </x:c>
      <x:c r="AL59" s="10" t="n">
        <x:v>22</x:v>
      </x:c>
      <x:c r="AM59" s="10" t="n">
        <x:v>22</x:v>
      </x:c>
      <x:c r="AN59" s="4" t="str">
        <x:v>D</x:v>
      </x:c>
      <x:c r="AO59" s="4" t="str">
        <x:v>D</x:v>
      </x:c>
      <x:c r="AP59" s="4" t="str">
        <x:v>LA</x:v>
      </x:c>
      <x:c r="AQ59" s="4" t="str">
        <x:v>LAK</x:v>
      </x:c>
      <x:c r="AR59" s="4" t="n">
        <x:v>19.259999999999998</x:v>
      </x:c>
      <x:c r="AS59" s="4" t="n">
        <x:v>19.8</x:v>
      </x:c>
      <x:c r="AT59" s="4" t="n">
        <x:v>1.72</x:v>
      </x:c>
      <x:c r="AU59" s="4" t="n">
        <x:v>5</x:v>
      </x:c>
      <x:c r="AV59" s="10" t="n">
        <x:v>2</x:v>
      </x:c>
      <x:c r="AW59" s="10" t="n">
        <x:v>11</x:v>
      </x:c>
      <x:c r="AX59" s="10" t="n">
        <x:v>0</x:v>
      </x:c>
      <x:c r="AY59" s="10" t="n">
        <x:v>0</x:v>
      </x:c>
      <x:c r="AZ59" s="10" t="n">
        <x:v>1596</x:v>
      </x:c>
      <x:c r="BA59" s="10" t="n">
        <x:v>1329</x:v>
      </x:c>
      <x:c r="BB59" s="4" t="n">
        <x:v>54.6</x:v>
      </x:c>
      <x:c r="BC59" s="4" t="n">
        <x:v>4.2</x:v>
      </x:c>
      <x:c r="BD59" s="10" t="n">
        <x:v>1129</x:v>
      </x:c>
      <x:c r="BE59" s="10" t="n">
        <x:v>896</x:v>
      </x:c>
      <x:c r="BF59" s="4" t="n">
        <x:v>55.8</x:v>
      </x:c>
      <x:c r="BG59" s="4" t="n">
        <x:v>6.3</x:v>
      </x:c>
      <x:c r="BH59" s="4" t="n">
        <x:v>9.7</x:v>
      </x:c>
      <x:c r="BI59" s="4" t="n">
        <x:v>90.3</x:v>
      </x:c>
      <x:c r="BJ59" s="4" t="n">
        <x:v>100</x:v>
      </x:c>
      <x:c r="BK59" s="4" t="n">
        <x:v>61.6</x:v>
      </x:c>
      <x:c r="BL59" s="4" t="n">
        <x:v>38.4</x:v>
      </x:c>
      <x:c r="BM59" s="4" t="n">
        <x:v>19.8</x:v>
      </x:c>
      <x:c r="BN59" s="4" t="n">
        <x:v>17.483333333333334</x:v>
      </x:c>
      <x:c r="BO59" s="10" t="n">
        <x:v>26</x:v>
      </x:c>
      <x:c r="BP59" s="10" t="n">
        <x:v>93</x:v>
      </x:c>
      <x:c r="BQ59" s="4" t="n">
        <x:v>14.4</x:v>
      </x:c>
      <x:c r="BR59" s="10" t="n">
        <x:v>329</x:v>
      </x:c>
      <x:c r="BS59" s="4" t="n">
        <x:v>48.3</x:v>
      </x:c>
      <x:c r="BT59" s="10" t="n">
        <x:v>82</x:v>
      </x:c>
      <x:c r="BU59" s="4" t="str">
        <x:v>LAK</x:v>
      </x:c>
      <x:c r="BV59" s="10" t="n">
        <x:v>302</x:v>
      </x:c>
      <x:c r="BW59" s="10" t="n">
        <x:v>211</x:v>
      </x:c>
      <x:c r="BX59" s="10" t="n">
        <x:v>160</x:v>
      </x:c>
      <x:c r="BY59" s="4" t="str">
        <x:v>Brandt Clarke</x:v>
      </x:c>
      <x:c r="BZ59" s="4" t="str">
        <x:v>Brandt Clarke</x:v>
      </x:c>
      <x:c r="CA59" s="4" t="str">
        <x:v>Brandt Clarke</x:v>
      </x:c>
      <x:c r="CB59" s="4" t="str">
        <x:v>clarkbr02</x:v>
      </x:c>
    </x:row>
    <x:row r="60" ht="22" customHeight="1">
      <x:c r="A60" s="4" t="str">
        <x:v>Brayden Point</x:v>
      </x:c>
      <x:c r="B60" s="4" t="str">
        <x:v>braydenpoint</x:v>
      </x:c>
      <x:c r="C60" s="10" t="n">
        <x:v>1</x:v>
      </x:c>
      <x:c r="D60" s="10" t="n">
        <x:v>1</x:v>
      </x:c>
      <x:c r="E60" s="10" t="n">
        <x:v>1</x:v>
      </x:c>
      <x:c r="F60" s="4" t="n">
        <x:f>IF(COUNT(N60,Q60,T60,W60,Z60,AC60,AF60,AI60)=8,N60*Guide!$E$5+Q60*Guide!$E$6+T60*Guide!$E$7+W60*Guide!$E$8+Z60*Guide!$E$9+AC60*Guide!$E$10+AF60*Guide!$E$11+AI60*Guide!$E$12,"")</x:f>
        <x:v>386.75</x:v>
      </x:c>
      <x:c r="G60" s="4" t="n">
        <x:f>IF(COUNT(O60,R60,U60,X60,AA60,AD60,AG60,AJ60)=8,O60*Guide!$E$5+R60*Guide!$E$6+U60*Guide!$E$7+X60*Guide!$E$8+AA60*Guide!$E$9+AD60*Guide!$E$10+AG60*Guide!$E$11+AJ60*Guide!$E$12,"")</x:f>
        <x:v>242.5</x:v>
      </x:c>
      <x:c r="H60" s="4" t="n">
        <x:f>IF(COUNT(G60,F60)=2,G60-F60,"")</x:f>
        <x:v>-144.25</x:v>
      </x:c>
      <x:c r="I60" s="4" t="n">
        <x:f>IF(AND(ISNUMBER(F60),K60&gt;0),F60/K60,"")</x:f>
        <x:v>5.0227272727272725</x:v>
      </x:c>
      <x:c r="J60" s="4" t="n">
        <x:f>IF(AND(ISNUMBER(G60),L60&gt;0),G60/L60,"")</x:f>
        <x:v>3.8492063492063493</x:v>
      </x:c>
      <x:c r="K60" s="10" t="n">
        <x:v>77</x:v>
      </x:c>
      <x:c r="L60" s="10" t="n">
        <x:v>63</x:v>
      </x:c>
      <x:c r="M60" s="10" t="n">
        <x:f>IF(COUNT(L60,K60)=2,L60-K60,"")</x:f>
        <x:v>-14</x:v>
      </x:c>
      <x:c r="N60" s="10" t="n">
        <x:v>39</x:v>
      </x:c>
      <x:c r="O60" s="10" t="n">
        <x:v>18</x:v>
      </x:c>
      <x:c r="P60" s="10" t="n">
        <x:f>IF(COUNT(O60,N60)=2,O60-N60,"")</x:f>
        <x:v>-21</x:v>
      </x:c>
      <x:c r="Q60" s="10" t="n">
        <x:v>38</x:v>
      </x:c>
      <x:c r="R60" s="10" t="n">
        <x:v>32</x:v>
      </x:c>
      <x:c r="S60" s="10" t="n">
        <x:f>IF(COUNT(R60,Q60)=2,R60-Q60,"")</x:f>
        <x:v>-6</x:v>
      </x:c>
      <x:c r="T60" s="10" t="n">
        <x:v>6</x:v>
      </x:c>
      <x:c r="U60" s="10" t="n">
        <x:v>12</x:v>
      </x:c>
      <x:c r="V60" s="10" t="n">
        <x:f>IF(COUNT(U60,T60)=2,U60-T60,"")</x:f>
        <x:v>6</x:v>
      </x:c>
      <x:c r="W60" s="10" t="n">
        <x:v>26</x:v>
      </x:c>
      <x:c r="X60" s="10" t="n">
        <x:f>IF(COUNT(AV60,AW60)=2,AV60+AW60,"")</x:f>
        <x:v>11</x:v>
      </x:c>
      <x:c r="Y60" s="10" t="n">
        <x:f>IF(COUNT(X60,W60)=2,X60-W60,"")</x:f>
        <x:v>-15</x:v>
      </x:c>
      <x:c r="Z60" s="10" t="n">
        <x:v>0</x:v>
      </x:c>
      <x:c r="AA60" s="10" t="n">
        <x:f>IF(COUNT(AX60,AY60)=2,AX60+AY60,"")</x:f>
        <x:v>0</x:v>
      </x:c>
      <x:c r="AB60" s="10" t="n">
        <x:f>IF(COUNT(AA60,Z60)=2,AA60-Z60,"")</x:f>
        <x:v>0</x:v>
      </x:c>
      <x:c r="AC60" s="10" t="n">
        <x:v>184</x:v>
      </x:c>
      <x:c r="AD60" s="10" t="n">
        <x:v>129</x:v>
      </x:c>
      <x:c r="AE60" s="10" t="n">
        <x:f>IF(COUNT(AD60,AC60)=2,AD60-AC60,"")</x:f>
        <x:v>-55</x:v>
      </x:c>
      <x:c r="AF60" s="10" t="n">
        <x:v>26</x:v>
      </x:c>
      <x:c r="AG60" s="10" t="n">
        <x:v>8</x:v>
      </x:c>
      <x:c r="AH60" s="10" t="n">
        <x:f>IF(COUNT(AG60,AF60)=2,AG60-AF60,"")</x:f>
        <x:v>-18</x:v>
      </x:c>
      <x:c r="AI60" s="10" t="n">
        <x:v>43</x:v>
      </x:c>
      <x:c r="AJ60" s="10" t="n">
        <x:v>23</x:v>
      </x:c>
      <x:c r="AK60" s="10" t="n">
        <x:f>IF(COUNT(AJ60,AI60)=2,AJ60-AI60,"")</x:f>
        <x:v>-20</x:v>
      </x:c>
      <x:c r="AL60" s="10" t="n">
        <x:v>29</x:v>
      </x:c>
      <x:c r="AM60" s="10" t="n">
        <x:v>29</x:v>
      </x:c>
      <x:c r="AN60" s="4" t="str">
        <x:v>C</x:v>
      </x:c>
      <x:c r="AO60" s="4" t="str">
        <x:v>C</x:v>
      </x:c>
      <x:c r="AP60" s="4" t="str">
        <x:v>TB</x:v>
      </x:c>
      <x:c r="AQ60" s="4" t="str">
        <x:v>TBL</x:v>
      </x:c>
      <x:c r="AR60" s="4" t="n">
        <x:v>19.28</x:v>
      </x:c>
      <x:c r="AS60" s="4" t="n">
        <x:v>18.25</x:v>
      </x:c>
      <x:c r="AT60" s="4" t="n">
        <x:v>3.3</x:v>
      </x:c>
      <x:c r="AU60" s="4" t="n">
        <x:v>14</x:v>
      </x:c>
      <x:c r="AV60" s="10" t="n">
        <x:v>6</x:v>
      </x:c>
      <x:c r="AW60" s="10" t="n">
        <x:v>5</x:v>
      </x:c>
      <x:c r="AX60" s="10" t="n">
        <x:v>0</x:v>
      </x:c>
      <x:c r="AY60" s="10" t="n">
        <x:v>0</x:v>
      </x:c>
      <x:c r="AZ60" s="10" t="n">
        <x:v>945</x:v>
      </x:c>
      <x:c r="BA60" s="10" t="n">
        <x:v>831</x:v>
      </x:c>
      <x:c r="BB60" s="4" t="n">
        <x:v>53.2</x:v>
      </x:c>
      <x:c r="BC60" s="4" t="n">
        <x:v>1</x:v>
      </x:c>
      <x:c r="BD60" s="10" t="n">
        <x:v>679</x:v>
      </x:c>
      <x:c r="BE60" s="10" t="n">
        <x:v>631</x:v>
      </x:c>
      <x:c r="BF60" s="4" t="n">
        <x:v>51.8</x:v>
      </x:c>
      <x:c r="BG60" s="4" t="n">
        <x:v>0.3</x:v>
      </x:c>
      <x:c r="BH60" s="4" t="n">
        <x:v>14.6</x:v>
      </x:c>
      <x:c r="BI60" s="4" t="n">
        <x:v>88.9</x:v>
      </x:c>
      <x:c r="BJ60" s="4" t="n">
        <x:v>103.5</x:v>
      </x:c>
      <x:c r="BK60" s="4" t="n">
        <x:v>61.5</x:v>
      </x:c>
      <x:c r="BL60" s="4" t="n">
        <x:v>38.5</x:v>
      </x:c>
      <x:c r="BM60" s="4" t="n">
        <x:v>18.25</x:v>
      </x:c>
      <x:c r="BN60" s="4" t="n">
        <x:v>14.45</x:v>
      </x:c>
      <x:c r="BO60" s="10" t="n">
        <x:v>13</x:v>
      </x:c>
      <x:c r="BP60" s="10" t="n">
        <x:v>41</x:v>
      </x:c>
      <x:c r="BQ60" s="4" t="n">
        <x:v>7.7</x:v>
      </x:c>
      <x:c r="BR60" s="10" t="n">
        <x:v>247</x:v>
      </x:c>
      <x:c r="BS60" s="4" t="n">
        <x:v>52.6</x:v>
      </x:c>
      <x:c r="BT60" s="10" t="n">
        <x:v>63</x:v>
      </x:c>
      <x:c r="BU60" s="4" t="str">
        <x:v>TBL</x:v>
      </x:c>
      <x:c r="BV60" s="10" t="n">
        <x:v>29</x:v>
      </x:c>
      <x:c r="BW60" s="10" t="n">
        <x:v>143</x:v>
      </x:c>
      <x:c r="BX60" s="10" t="n">
        <x:v>825</x:v>
      </x:c>
      <x:c r="BY60" s="4" t="str">
        <x:v>Brayden Point</x:v>
      </x:c>
      <x:c r="BZ60" s="4" t="str">
        <x:v>Brayden Point</x:v>
      </x:c>
      <x:c r="CA60" s="4" t="str">
        <x:v>Brayden Point</x:v>
      </x:c>
      <x:c r="CB60" s="4" t="str">
        <x:v>pointbr01</x:v>
      </x:c>
    </x:row>
    <x:row r="61" ht="22" customHeight="1">
      <x:c r="A61" s="4" t="str">
        <x:v>Brayden Schenn</x:v>
      </x:c>
      <x:c r="B61" s="4" t="str">
        <x:v>braydenschenn</x:v>
      </x:c>
      <x:c r="C61" s="10" t="n">
        <x:v>1</x:v>
      </x:c>
      <x:c r="D61" s="10" t="n">
        <x:v>1</x:v>
      </x:c>
      <x:c r="E61" s="10" t="n">
        <x:v>1</x:v>
      </x:c>
      <x:c r="F61" s="4" t="n">
        <x:f>IF(COUNT(N61,Q61,T61,W61,Z61,AC61,AF61,AI61)=8,N61*Guide!$E$5+Q61*Guide!$E$6+T61*Guide!$E$7+W61*Guide!$E$8+Z61*Guide!$E$9+AC61*Guide!$E$10+AF61*Guide!$E$11+AI61*Guide!$E$12,"")</x:f>
        <x:v>284</x:v>
      </x:c>
      <x:c r="G61" s="4" t="n">
        <x:f>IF(COUNT(O61,R61,U61,X61,AA61,AD61,AG61,AJ61)=8,O61*Guide!$E$5+R61*Guide!$E$6+U61*Guide!$E$7+X61*Guide!$E$8+AA61*Guide!$E$9+AD61*Guide!$E$10+AG61*Guide!$E$11+AJ61*Guide!$E$12,"")</x:f>
        <x:v>221.5</x:v>
      </x:c>
      <x:c r="H61" s="4" t="n">
        <x:f>IF(COUNT(G61,F61)=2,G61-F61,"")</x:f>
        <x:v>-62.5</x:v>
      </x:c>
      <x:c r="I61" s="4" t="n">
        <x:f>IF(AND(ISNUMBER(F61),K61&gt;0),F61/K61,"")</x:f>
        <x:v>3.4634146341463414</x:v>
      </x:c>
      <x:c r="J61" s="4" t="n">
        <x:f>IF(AND(ISNUMBER(G61),L61&gt;0),G61/L61,"")</x:f>
        <x:v>2.76875</x:v>
      </x:c>
      <x:c r="K61" s="10" t="n">
        <x:v>82</x:v>
      </x:c>
      <x:c r="L61" s="10" t="n">
        <x:v>80</x:v>
      </x:c>
      <x:c r="M61" s="10" t="n">
        <x:f>IF(COUNT(L61,K61)=2,L61-K61,"")</x:f>
        <x:v>-2</x:v>
      </x:c>
      <x:c r="N61" s="10" t="n">
        <x:v>19</x:v>
      </x:c>
      <x:c r="O61" s="10" t="n">
        <x:v>18</x:v>
      </x:c>
      <x:c r="P61" s="10" t="n">
        <x:f>IF(COUNT(O61,N61)=2,O61-N61,"")</x:f>
        <x:v>-1</x:v>
      </x:c>
      <x:c r="Q61" s="10" t="n">
        <x:v>29</x:v>
      </x:c>
      <x:c r="R61" s="10" t="n">
        <x:v>21</x:v>
      </x:c>
      <x:c r="S61" s="10" t="n">
        <x:f>IF(COUNT(R61,Q61)=2,R61-Q61,"")</x:f>
        <x:v>-8</x:v>
      </x:c>
      <x:c r="T61" s="10" t="n">
        <x:v>-4</x:v>
      </x:c>
      <x:c r="U61" s="10" t="n">
        <x:v>-28</x:v>
      </x:c>
      <x:c r="V61" s="10" t="n">
        <x:f>IF(COUNT(U61,T61)=2,U61-T61,"")</x:f>
        <x:v>-24</x:v>
      </x:c>
      <x:c r="W61" s="10" t="n">
        <x:v>9</x:v>
      </x:c>
      <x:c r="X61" s="10" t="n">
        <x:f>IF(COUNT(AV61,AW61)=2,AV61+AW61,"")</x:f>
        <x:v>9</x:v>
      </x:c>
      <x:c r="Y61" s="10" t="n">
        <x:f>IF(COUNT(X61,W61)=2,X61-W61,"")</x:f>
        <x:v>0</x:v>
      </x:c>
      <x:c r="Z61" s="10" t="n">
        <x:v>0</x:v>
      </x:c>
      <x:c r="AA61" s="10" t="n">
        <x:f>IF(COUNT(AX61,AY61)=2,AX61+AY61,"")</x:f>
        <x:v>0</x:v>
      </x:c>
      <x:c r="AB61" s="10" t="n">
        <x:f>IF(COUNT(AA61,Z61)=2,AA61-Z61,"")</x:f>
        <x:v>0</x:v>
      </x:c>
      <x:c r="AC61" s="10" t="n">
        <x:v>134</x:v>
      </x:c>
      <x:c r="AD61" s="10" t="n">
        <x:v>119</x:v>
      </x:c>
      <x:c r="AE61" s="10" t="n">
        <x:f>IF(COUNT(AD61,AC61)=2,AD61-AC61,"")</x:f>
        <x:v>-15</x:v>
      </x:c>
      <x:c r="AF61" s="10" t="n">
        <x:v>177</x:v>
      </x:c>
      <x:c r="AG61" s="10" t="n">
        <x:v>180</x:v>
      </x:c>
      <x:c r="AH61" s="10" t="n">
        <x:f>IF(COUNT(AG61,AF61)=2,AG61-AF61,"")</x:f>
        <x:v>3</x:v>
      </x:c>
      <x:c r="AI61" s="10" t="n">
        <x:v>51</x:v>
      </x:c>
      <x:c r="AJ61" s="10" t="n">
        <x:v>41</x:v>
      </x:c>
      <x:c r="AK61" s="10" t="n">
        <x:f>IF(COUNT(AJ61,AI61)=2,AJ61-AI61,"")</x:f>
        <x:v>-10</x:v>
      </x:c>
      <x:c r="AL61" s="10" t="n">
        <x:v>34</x:v>
      </x:c>
      <x:c r="AM61" s="10" t="n">
        <x:v>34</x:v>
      </x:c>
      <x:c r="AN61" s="4" t="str">
        <x:v>C</x:v>
      </x:c>
      <x:c r="AO61" s="4" t="str">
        <x:v>C</x:v>
      </x:c>
      <x:c r="AP61" s="4" t="str">
        <x:v>STL</x:v>
      </x:c>
      <x:c r="AQ61" s="4" t="str">
        <x:v>2TM</x:v>
      </x:c>
      <x:c r="AR61" s="4" t="n">
        <x:v>17.28</x:v>
      </x:c>
      <x:c r="AS61" s="4" t="n">
        <x:v>16.766666666666666</x:v>
      </x:c>
      <x:c r="AT61" s="4" t="n">
        <x:v>1.77</x:v>
      </x:c>
      <x:c r="AU61" s="4" t="n">
        <x:v>15.1</x:v>
      </x:c>
      <x:c r="AV61" s="10" t="n">
        <x:v>4</x:v>
      </x:c>
      <x:c r="AW61" s="10" t="n">
        <x:v>5</x:v>
      </x:c>
      <x:c r="AX61" s="10" t="n">
        <x:v>0</x:v>
      </x:c>
      <x:c r="AY61" s="10" t="n">
        <x:v>0</x:v>
      </x:c>
      <x:c r="AZ61" s="10" t="n">
        <x:v>1073</x:v>
      </x:c>
      <x:c r="BA61" s="10" t="n">
        <x:v>1171</x:v>
      </x:c>
      <x:c r="BB61" s="4" t="n">
        <x:v>47.8</x:v>
      </x:c>
      <x:c r="BC61" s="4" t="n">
        <x:v>-1.1</x:v>
      </x:c>
      <x:c r="BD61" s="10" t="n">
        <x:v>762</x:v>
      </x:c>
      <x:c r="BE61" s="10" t="n">
        <x:v>860</x:v>
      </x:c>
      <x:c r="BF61" s="4" t="n">
        <x:v>47</x:v>
      </x:c>
      <x:c r="BG61" s="4" t="n">
        <x:v>-2.1</x:v>
      </x:c>
      <x:c r="BH61" s="4" t="n">
        <x:v>9.4</x:v>
      </x:c>
      <x:c r="BI61" s="4" t="n">
        <x:v>87.1</x:v>
      </x:c>
      <x:c r="BJ61" s="4" t="n">
        <x:v>96.5</x:v>
      </x:c>
      <x:c r="BK61" s="4" t="n">
        <x:v>53.9</x:v>
      </x:c>
      <x:c r="BL61" s="4" t="n">
        <x:v>46.1</x:v>
      </x:c>
      <x:c r="BM61" s="4" t="n">
        <x:v>16.766666666666666</x:v>
      </x:c>
      <x:c r="BN61" s="4" t="n">
        <x:v>14.483333333333333</x:v>
      </x:c>
      <x:c r="BO61" s="10" t="n">
        <x:v>18</x:v>
      </x:c>
      <x:c r="BP61" s="10" t="n">
        <x:v>50</x:v>
      </x:c>
      <x:c r="BQ61" s="4" t="n">
        <x:v>-4</x:v>
      </x:c>
      <x:c r="BR61" s="10" t="n">
        <x:v>237</x:v>
      </x:c>
      <x:c r="BS61" s="4" t="n">
        <x:v>50.2</x:v>
      </x:c>
      <x:c r="BT61" s="10" t="n">
        <x:v>80</x:v>
      </x:c>
      <x:c r="BU61" s="4" t="str">
        <x:v>TOT</x:v>
      </x:c>
      <x:c r="BV61" s="10" t="n">
        <x:v>166</x:v>
      </x:c>
      <x:c r="BW61" s="10" t="n">
        <x:v>224</x:v>
      </x:c>
      <x:c r="BX61" s="10" t="n">
        <x:v>904</x:v>
      </x:c>
      <x:c r="BY61" s="4" t="str">
        <x:v>Brayden Schenn</x:v>
      </x:c>
      <x:c r="BZ61" s="4" t="str">
        <x:v>Brayden Schenn</x:v>
      </x:c>
      <x:c r="CA61" s="4" t="str">
        <x:v>Brayden Schenn</x:v>
      </x:c>
      <x:c r="CB61" s="4" t="str">
        <x:v>schenbr01</x:v>
      </x:c>
    </x:row>
    <x:row r="62" ht="22" customHeight="1">
      <x:c r="A62" s="4" t="str">
        <x:v>Brendan Gallagher</x:v>
      </x:c>
      <x:c r="B62" s="4" t="str">
        <x:v>brendangallagher</x:v>
      </x:c>
      <x:c r="C62" s="10" t="n">
        <x:v>1</x:v>
      </x:c>
      <x:c r="D62" s="10" t="n">
        <x:v>1</x:v>
      </x:c>
      <x:c r="E62" s="10" t="n">
        <x:v>1</x:v>
      </x:c>
      <x:c r="F62" s="4" t="n">
        <x:f>IF(COUNT(N62,Q62,T62,W62,Z62,AC62,AF62,AI62)=8,N62*Guide!$E$5+Q62*Guide!$E$6+T62*Guide!$E$7+W62*Guide!$E$8+Z62*Guide!$E$9+AC62*Guide!$E$10+AF62*Guide!$E$11+AI62*Guide!$E$12,"")</x:f>
        <x:v>206.25</x:v>
      </x:c>
      <x:c r="G62" s="4" t="n">
        <x:f>IF(COUNT(O62,R62,U62,X62,AA62,AD62,AG62,AJ62)=8,O62*Guide!$E$5+R62*Guide!$E$6+U62*Guide!$E$7+X62*Guide!$E$8+AA62*Guide!$E$9+AD62*Guide!$E$10+AG62*Guide!$E$11+AJ62*Guide!$E$12,"")</x:f>
        <x:v>150.75</x:v>
      </x:c>
      <x:c r="H62" s="4" t="n">
        <x:f>IF(COUNT(G62,F62)=2,G62-F62,"")</x:f>
        <x:v>-55.5</x:v>
      </x:c>
      <x:c r="I62" s="4" t="n">
        <x:f>IF(AND(ISNUMBER(F62),K62&gt;0),F62/K62,"")</x:f>
        <x:v>2.5462962962962963</x:v>
      </x:c>
      <x:c r="J62" s="4" t="n">
        <x:f>IF(AND(ISNUMBER(G62),L62&gt;0),G62/L62,"")</x:f>
        <x:v>1.9577922077922079</x:v>
      </x:c>
      <x:c r="K62" s="10" t="n">
        <x:v>81</x:v>
      </x:c>
      <x:c r="L62" s="10" t="n">
        <x:v>77</x:v>
      </x:c>
      <x:c r="M62" s="10" t="n">
        <x:f>IF(COUNT(L62,K62)=2,L62-K62,"")</x:f>
        <x:v>-4</x:v>
      </x:c>
      <x:c r="N62" s="10" t="n">
        <x:v>19</x:v>
      </x:c>
      <x:c r="O62" s="10" t="n">
        <x:v>7</x:v>
      </x:c>
      <x:c r="P62" s="10" t="n">
        <x:f>IF(COUNT(O62,N62)=2,O62-N62,"")</x:f>
        <x:v>-12</x:v>
      </x:c>
      <x:c r="Q62" s="10" t="n">
        <x:v>15</x:v>
      </x:c>
      <x:c r="R62" s="10" t="n">
        <x:v>16</x:v>
      </x:c>
      <x:c r="S62" s="10" t="n">
        <x:f>IF(COUNT(R62,Q62)=2,R62-Q62,"")</x:f>
        <x:v>1</x:v>
      </x:c>
      <x:c r="T62" s="10" t="n">
        <x:v>-5</x:v>
      </x:c>
      <x:c r="U62" s="10" t="n">
        <x:v>0</x:v>
      </x:c>
      <x:c r="V62" s="10" t="n">
        <x:f>IF(COUNT(U62,T62)=2,U62-T62,"")</x:f>
        <x:v>5</x:v>
      </x:c>
      <x:c r="W62" s="10" t="n">
        <x:v>7</x:v>
      </x:c>
      <x:c r="X62" s="10" t="n">
        <x:f>IF(COUNT(AV62,AW62)=2,AV62+AW62,"")</x:f>
        <x:v>5</x:v>
      </x:c>
      <x:c r="Y62" s="10" t="n">
        <x:f>IF(COUNT(X62,W62)=2,X62-W62,"")</x:f>
        <x:v>-2</x:v>
      </x:c>
      <x:c r="Z62" s="10" t="n">
        <x:v>0</x:v>
      </x:c>
      <x:c r="AA62" s="10" t="n">
        <x:f>IF(COUNT(AX62,AY62)=2,AX62+AY62,"")</x:f>
        <x:v>0</x:v>
      </x:c>
      <x:c r="AB62" s="10" t="n">
        <x:f>IF(COUNT(AA62,Z62)=2,AA62-Z62,"")</x:f>
        <x:v>0</x:v>
      </x:c>
      <x:c r="AC62" s="10" t="n">
        <x:v>147</x:v>
      </x:c>
      <x:c r="AD62" s="10" t="n">
        <x:v>121</x:v>
      </x:c>
      <x:c r="AE62" s="10" t="n">
        <x:f>IF(COUNT(AD62,AC62)=2,AD62-AC62,"")</x:f>
        <x:v>-26</x:v>
      </x:c>
      <x:c r="AF62" s="10" t="n">
        <x:v>78</x:v>
      </x:c>
      <x:c r="AG62" s="10" t="n">
        <x:v>98</x:v>
      </x:c>
      <x:c r="AH62" s="10" t="n">
        <x:f>IF(COUNT(AG62,AF62)=2,AG62-AF62,"")</x:f>
        <x:v>20</x:v>
      </x:c>
      <x:c r="AI62" s="10" t="n">
        <x:v>36</x:v>
      </x:c>
      <x:c r="AJ62" s="10" t="n">
        <x:v>20</x:v>
      </x:c>
      <x:c r="AK62" s="10" t="n">
        <x:f>IF(COUNT(AJ62,AI62)=2,AJ62-AI62,"")</x:f>
        <x:v>-16</x:v>
      </x:c>
      <x:c r="AL62" s="10" t="n">
        <x:v>33</x:v>
      </x:c>
      <x:c r="AM62" s="10" t="n">
        <x:v>33</x:v>
      </x:c>
      <x:c r="AN62" s="4" t="str">
        <x:v>RW</x:v>
      </x:c>
      <x:c r="AO62" s="4" t="str">
        <x:v>RW</x:v>
      </x:c>
      <x:c r="AP62" s="4" t="str">
        <x:v>MTL</x:v>
      </x:c>
      <x:c r="AQ62" s="4" t="str">
        <x:v>MTL</x:v>
      </x:c>
      <x:c r="AR62" s="4" t="n">
        <x:v>13.559999999999999</x:v>
      </x:c>
      <x:c r="AS62" s="4" t="n">
        <x:v>12.35</x:v>
      </x:c>
      <x:c r="AT62" s="4" t="n">
        <x:v>1.45</x:v>
      </x:c>
      <x:c r="AU62" s="4" t="n">
        <x:v>5.8</x:v>
      </x:c>
      <x:c r="AV62" s="10" t="n">
        <x:v>2</x:v>
      </x:c>
      <x:c r="AW62" s="10" t="n">
        <x:v>3</x:v>
      </x:c>
      <x:c r="AX62" s="10" t="n">
        <x:v>0</x:v>
      </x:c>
      <x:c r="AY62" s="10" t="n">
        <x:v>0</x:v>
      </x:c>
      <x:c r="AZ62" s="10" t="n">
        <x:v>809</x:v>
      </x:c>
      <x:c r="BA62" s="10" t="n">
        <x:v>803</x:v>
      </x:c>
      <x:c r="BB62" s="4" t="n">
        <x:v>50.2</x:v>
      </x:c>
      <x:c r="BC62" s="4" t="n">
        <x:v>1.9</x:v>
      </x:c>
      <x:c r="BD62" s="10" t="n">
        <x:v>567</x:v>
      </x:c>
      <x:c r="BE62" s="10" t="n">
        <x:v>563</x:v>
      </x:c>
      <x:c r="BF62" s="4" t="n">
        <x:v>50.2</x:v>
      </x:c>
      <x:c r="BG62" s="4" t="n">
        <x:v>0.5</x:v>
      </x:c>
      <x:c r="BH62" s="4" t="n">
        <x:v>9.8</x:v>
      </x:c>
      <x:c r="BI62" s="4" t="n">
        <x:v>90.1</x:v>
      </x:c>
      <x:c r="BJ62" s="4" t="n">
        <x:v>100</x:v>
      </x:c>
      <x:c r="BK62" s="4" t="n">
        <x:v>46.3</x:v>
      </x:c>
      <x:c r="BL62" s="4" t="n">
        <x:v>53.7</x:v>
      </x:c>
      <x:c r="BM62" s="4" t="n">
        <x:v>12.35</x:v>
      </x:c>
      <x:c r="BN62" s="4" t="n">
        <x:v>10.983333333333333</x:v>
      </x:c>
      <x:c r="BO62" s="10" t="n">
        <x:v>11</x:v>
      </x:c>
      <x:c r="BP62" s="10" t="n">
        <x:v>37</x:v>
      </x:c>
      <x:c r="BQ62" s="4" t="n">
        <x:v>1.1</x:v>
      </x:c>
      <x:c r="BR62" s="10" t="n">
        <x:v>235</x:v>
      </x:c>
      <x:c r="BS62" s="4" t="n">
        <x:v>51.5</x:v>
      </x:c>
      <x:c r="BT62" s="10" t="n">
        <x:v>77</x:v>
      </x:c>
      <x:c r="BU62" s="4" t="str">
        <x:v>MTL</x:v>
      </x:c>
      <x:c r="BV62" s="10" t="n">
        <x:v>317</x:v>
      </x:c>
      <x:c r="BW62" s="10" t="n">
        <x:v>426</x:v>
      </x:c>
      <x:c r="BX62" s="10" t="n">
        <x:v>319</x:v>
      </x:c>
      <x:c r="BY62" s="4" t="str">
        <x:v>Brendan Gallagher</x:v>
      </x:c>
      <x:c r="BZ62" s="4" t="str">
        <x:v>Brendan Gallagher</x:v>
      </x:c>
      <x:c r="CA62" s="4" t="str">
        <x:v>Brendan Gallagher</x:v>
      </x:c>
      <x:c r="CB62" s="4" t="str">
        <x:v>gallabr01</x:v>
      </x:c>
    </x:row>
    <x:row r="63" ht="22" customHeight="1">
      <x:c r="A63" s="4" t="str">
        <x:v>Brent Burns</x:v>
      </x:c>
      <x:c r="B63" s="4" t="str">
        <x:v>brentburns</x:v>
      </x:c>
      <x:c r="C63" s="10" t="n">
        <x:v>1</x:v>
      </x:c>
      <x:c r="D63" s="10" t="n">
        <x:v>1</x:v>
      </x:c>
      <x:c r="E63" s="10" t="n">
        <x:v>1</x:v>
      </x:c>
      <x:c r="F63" s="4" t="n">
        <x:f>IF(COUNT(N63,Q63,T63,W63,Z63,AC63,AF63,AI63)=8,N63*Guide!$E$5+Q63*Guide!$E$6+T63*Guide!$E$7+W63*Guide!$E$8+Z63*Guide!$E$9+AC63*Guide!$E$10+AF63*Guide!$E$11+AI63*Guide!$E$12,"")</x:f>
        <x:v>250.75</x:v>
      </x:c>
      <x:c r="G63" s="4" t="n">
        <x:f>IF(COUNT(O63,R63,U63,X63,AA63,AD63,AG63,AJ63)=8,O63*Guide!$E$5+R63*Guide!$E$6+U63*Guide!$E$7+X63*Guide!$E$8+AA63*Guide!$E$9+AD63*Guide!$E$10+AG63*Guide!$E$11+AJ63*Guide!$E$12,"")</x:f>
        <x:v>267.25</x:v>
      </x:c>
      <x:c r="H63" s="4" t="n">
        <x:f>IF(COUNT(G63,F63)=2,G63-F63,"")</x:f>
        <x:v>16.5</x:v>
      </x:c>
      <x:c r="I63" s="4" t="n">
        <x:f>IF(AND(ISNUMBER(F63),K63&gt;0),F63/K63,"")</x:f>
        <x:v>3.057926829268293</x:v>
      </x:c>
      <x:c r="J63" s="4" t="n">
        <x:f>IF(AND(ISNUMBER(G63),L63&gt;0),G63/L63,"")</x:f>
        <x:v>3.2591463414634148</x:v>
      </x:c>
      <x:c r="K63" s="10" t="n">
        <x:v>82</x:v>
      </x:c>
      <x:c r="L63" s="10" t="n">
        <x:v>82</x:v>
      </x:c>
      <x:c r="M63" s="10" t="n">
        <x:f>IF(COUNT(L63,K63)=2,L63-K63,"")</x:f>
        <x:v>0</x:v>
      </x:c>
      <x:c r="N63" s="10" t="n">
        <x:v>8</x:v>
      </x:c>
      <x:c r="O63" s="10" t="n">
        <x:v>12</x:v>
      </x:c>
      <x:c r="P63" s="10" t="n">
        <x:f>IF(COUNT(O63,N63)=2,O63-N63,"")</x:f>
        <x:v>4</x:v>
      </x:c>
      <x:c r="Q63" s="10" t="n">
        <x:v>29</x:v>
      </x:c>
      <x:c r="R63" s="10" t="n">
        <x:v>23</x:v>
      </x:c>
      <x:c r="S63" s="10" t="n">
        <x:f>IF(COUNT(R63,Q63)=2,R63-Q63,"")</x:f>
        <x:v>-6</x:v>
      </x:c>
      <x:c r="T63" s="10" t="n">
        <x:v>8</x:v>
      </x:c>
      <x:c r="U63" s="10" t="n">
        <x:v>33</x:v>
      </x:c>
      <x:c r="V63" s="10" t="n">
        <x:f>IF(COUNT(U63,T63)=2,U63-T63,"")</x:f>
        <x:v>25</x:v>
      </x:c>
      <x:c r="W63" s="10" t="n">
        <x:v>7</x:v>
      </x:c>
      <x:c r="X63" s="10" t="n">
        <x:f>IF(COUNT(AV63,AW63)=2,AV63+AW63,"")</x:f>
        <x:v>1</x:v>
      </x:c>
      <x:c r="Y63" s="10" t="n">
        <x:f>IF(COUNT(X63,W63)=2,X63-W63,"")</x:f>
        <x:v>-6</x:v>
      </x:c>
      <x:c r="Z63" s="10" t="n">
        <x:v>1</x:v>
      </x:c>
      <x:c r="AA63" s="10" t="n">
        <x:f>IF(COUNT(AX63,AY63)=2,AX63+AY63,"")</x:f>
        <x:v>0</x:v>
      </x:c>
      <x:c r="AB63" s="10" t="n">
        <x:f>IF(COUNT(AA63,Z63)=2,AA63-Z63,"")</x:f>
        <x:v>-1</x:v>
      </x:c>
      <x:c r="AC63" s="10" t="n">
        <x:v>165</x:v>
      </x:c>
      <x:c r="AD63" s="10" t="n">
        <x:v>172</x:v>
      </x:c>
      <x:c r="AE63" s="10" t="n">
        <x:f>IF(COUNT(AD63,AC63)=2,AD63-AC63,"")</x:f>
        <x:v>7</x:v>
      </x:c>
      <x:c r="AF63" s="10" t="n">
        <x:v>17</x:v>
      </x:c>
      <x:c r="AG63" s="10" t="n">
        <x:v>20</x:v>
      </x:c>
      <x:c r="AH63" s="10" t="n">
        <x:f>IF(COUNT(AG63,AF63)=2,AG63-AF63,"")</x:f>
        <x:v>3</x:v>
      </x:c>
      <x:c r="AI63" s="10" t="n">
        <x:v>91</x:v>
      </x:c>
      <x:c r="AJ63" s="10" t="n">
        <x:v>91</x:v>
      </x:c>
      <x:c r="AK63" s="10" t="n">
        <x:f>IF(COUNT(AJ63,AI63)=2,AJ63-AI63,"")</x:f>
        <x:v>0</x:v>
      </x:c>
      <x:c r="AL63" s="10" t="n">
        <x:v>40</x:v>
      </x:c>
      <x:c r="AM63" s="10" t="n">
        <x:v>40</x:v>
      </x:c>
      <x:c r="AN63" s="4" t="str">
        <x:v>D</x:v>
      </x:c>
      <x:c r="AO63" s="4" t="str">
        <x:v>D</x:v>
      </x:c>
      <x:c r="AP63" s="4" t="str">
        <x:v>COL</x:v>
      </x:c>
      <x:c r="AQ63" s="4" t="str">
        <x:v>COL</x:v>
      </x:c>
      <x:c r="AR63" s="4" t="n">
        <x:v>20.18</x:v>
      </x:c>
      <x:c r="AS63" s="4" t="n">
        <x:v>18.866666666666667</x:v>
      </x:c>
      <x:c r="AT63" s="4" t="n">
        <x:v>1</x:v>
      </x:c>
      <x:c r="AU63" s="4" t="n">
        <x:v>7</x:v>
      </x:c>
      <x:c r="AV63" s="10" t="n">
        <x:v>0</x:v>
      </x:c>
      <x:c r="AW63" s="10" t="n">
        <x:v>1</x:v>
      </x:c>
      <x:c r="AX63" s="10" t="n">
        <x:v>0</x:v>
      </x:c>
      <x:c r="AY63" s="10" t="n">
        <x:v>0</x:v>
      </x:c>
      <x:c r="AZ63" s="10" t="n">
        <x:v>1561</x:v>
      </x:c>
      <x:c r="BA63" s="10" t="n">
        <x:v>1263</x:v>
      </x:c>
      <x:c r="BB63" s="4" t="n">
        <x:v>55.3</x:v>
      </x:c>
      <x:c r="BC63" s="4" t="n">
        <x:v>-1.5</x:v>
      </x:c>
      <x:c r="BD63" s="10" t="n">
        <x:v>1109</x:v>
      </x:c>
      <x:c r="BE63" s="10" t="n">
        <x:v>921</x:v>
      </x:c>
      <x:c r="BF63" s="4" t="n">
        <x:v>54.6</x:v>
      </x:c>
      <x:c r="BG63" s="4" t="n">
        <x:v>-1.6</x:v>
      </x:c>
      <x:c r="BH63" s="4" t="n">
        <x:v>11.1</x:v>
      </x:c>
      <x:c r="BI63" s="4" t="n">
        <x:v>91.8</x:v>
      </x:c>
      <x:c r="BJ63" s="4" t="n">
        <x:v>102.9</x:v>
      </x:c>
      <x:c r="BK63" s="4" t="n">
        <x:v>46.8</x:v>
      </x:c>
      <x:c r="BL63" s="4" t="n">
        <x:v>53.2</x:v>
      </x:c>
      <x:c r="BM63" s="4" t="n">
        <x:v>18.866666666666667</x:v>
      </x:c>
      <x:c r="BN63" s="4" t="n">
        <x:v>15.983333333333333</x:v>
      </x:c>
      <x:c r="BO63" s="10" t="n">
        <x:v>18</x:v>
      </x:c>
      <x:c r="BP63" s="10" t="n">
        <x:v>102</x:v>
      </x:c>
      <x:c r="BQ63" s="4" t="n">
        <x:v>12.9</x:v>
      </x:c>
      <x:c r="BR63" s="10" t="n">
        <x:v>410</x:v>
      </x:c>
      <x:c r="BS63" s="4" t="n">
        <x:v>42</x:v>
      </x:c>
      <x:c r="BT63" s="10" t="n">
        <x:v>82</x:v>
      </x:c>
      <x:c r="BU63" s="4" t="str">
        <x:v>COL</x:v>
      </x:c>
      <x:c r="BV63" s="10" t="n">
        <x:v>283</x:v>
      </x:c>
      <x:c r="BW63" s="10" t="n">
        <x:v>259</x:v>
      </x:c>
      <x:c r="BX63" s="10" t="n">
        <x:v>116</x:v>
      </x:c>
      <x:c r="BY63" s="4" t="str">
        <x:v>Brent Burns</x:v>
      </x:c>
      <x:c r="BZ63" s="4" t="str">
        <x:v>Brent Burns</x:v>
      </x:c>
      <x:c r="CA63" s="4" t="str">
        <x:v>Brent Burns</x:v>
      </x:c>
      <x:c r="CB63" s="4" t="str">
        <x:v>burnsbr01</x:v>
      </x:c>
    </x:row>
    <x:row r="64" ht="22" customHeight="1">
      <x:c r="A64" s="4" t="str">
        <x:v>Brett Howden</x:v>
      </x:c>
      <x:c r="B64" s="4" t="str">
        <x:v>bretthowden</x:v>
      </x:c>
      <x:c r="C64" s="10" t="n">
        <x:v>1</x:v>
      </x:c>
      <x:c r="D64" s="10" t="n">
        <x:v>1</x:v>
      </x:c>
      <x:c r="E64" s="10" t="n">
        <x:v>1</x:v>
      </x:c>
      <x:c r="F64" s="4" t="n">
        <x:f>IF(COUNT(N64,Q64,T64,W64,Z64,AC64,AF64,AI64)=8,N64*Guide!$E$5+Q64*Guide!$E$6+T64*Guide!$E$7+W64*Guide!$E$8+Z64*Guide!$E$9+AC64*Guide!$E$10+AF64*Guide!$E$11+AI64*Guide!$E$12,"")</x:f>
        <x:v>217.75</x:v>
      </x:c>
      <x:c r="G64" s="4" t="n">
        <x:f>IF(COUNT(O64,R64,U64,X64,AA64,AD64,AG64,AJ64)=8,O64*Guide!$E$5+R64*Guide!$E$6+U64*Guide!$E$7+X64*Guide!$E$8+AA64*Guide!$E$9+AD64*Guide!$E$10+AG64*Guide!$E$11+AJ64*Guide!$E$12,"")</x:f>
        <x:v>127.75</x:v>
      </x:c>
      <x:c r="H64" s="4" t="n">
        <x:f>IF(COUNT(G64,F64)=2,G64-F64,"")</x:f>
        <x:v>-90</x:v>
      </x:c>
      <x:c r="I64" s="4" t="n">
        <x:f>IF(AND(ISNUMBER(F64),K64&gt;0),F64/K64,"")</x:f>
        <x:v>2.7563291139240507</x:v>
      </x:c>
      <x:c r="J64" s="4" t="n">
        <x:f>IF(AND(ISNUMBER(G64),L64&gt;0),G64/L64,"")</x:f>
        <x:v>2.2025862068965516</x:v>
      </x:c>
      <x:c r="K64" s="10" t="n">
        <x:v>79</x:v>
      </x:c>
      <x:c r="L64" s="10" t="n">
        <x:v>58</x:v>
      </x:c>
      <x:c r="M64" s="10" t="n">
        <x:f>IF(COUNT(L64,K64)=2,L64-K64,"")</x:f>
        <x:v>-21</x:v>
      </x:c>
      <x:c r="N64" s="10" t="n">
        <x:v>16</x:v>
      </x:c>
      <x:c r="O64" s="10" t="n">
        <x:v>12</x:v>
      </x:c>
      <x:c r="P64" s="10" t="n">
        <x:f>IF(COUNT(O64,N64)=2,O64-N64,"")</x:f>
        <x:v>-4</x:v>
      </x:c>
      <x:c r="Q64" s="10" t="n">
        <x:v>16</x:v>
      </x:c>
      <x:c r="R64" s="10" t="n">
        <x:v>10</x:v>
      </x:c>
      <x:c r="S64" s="10" t="n">
        <x:f>IF(COUNT(R64,Q64)=2,R64-Q64,"")</x:f>
        <x:v>-6</x:v>
      </x:c>
      <x:c r="T64" s="10" t="n">
        <x:v>2</x:v>
      </x:c>
      <x:c r="U64" s="10" t="n">
        <x:v>-9</x:v>
      </x:c>
      <x:c r="V64" s="10" t="n">
        <x:f>IF(COUNT(U64,T64)=2,U64-T64,"")</x:f>
        <x:v>-11</x:v>
      </x:c>
      <x:c r="W64" s="10" t="n">
        <x:v>2</x:v>
      </x:c>
      <x:c r="X64" s="10" t="n">
        <x:f>IF(COUNT(AV64,AW64)=2,AV64+AW64,"")</x:f>
        <x:v>3</x:v>
      </x:c>
      <x:c r="Y64" s="10" t="n">
        <x:f>IF(COUNT(X64,W64)=2,X64-W64,"")</x:f>
        <x:v>1</x:v>
      </x:c>
      <x:c r="Z64" s="10" t="n">
        <x:v>1</x:v>
      </x:c>
      <x:c r="AA64" s="10" t="n">
        <x:f>IF(COUNT(AX64,AY64)=2,AX64+AY64,"")</x:f>
        <x:v>0</x:v>
      </x:c>
      <x:c r="AB64" s="10" t="n">
        <x:f>IF(COUNT(AA64,Z64)=2,AA64-Z64,"")</x:f>
        <x:v>-1</x:v>
      </x:c>
      <x:c r="AC64" s="10" t="n">
        <x:v>104</x:v>
      </x:c>
      <x:c r="AD64" s="10" t="n">
        <x:v>66</x:v>
      </x:c>
      <x:c r="AE64" s="10" t="n">
        <x:f>IF(COUNT(AD64,AC64)=2,AD64-AC64,"")</x:f>
        <x:v>-38</x:v>
      </x:c>
      <x:c r="AF64" s="10" t="n">
        <x:v>120</x:v>
      </x:c>
      <x:c r="AG64" s="10" t="n">
        <x:v>100</x:v>
      </x:c>
      <x:c r="AH64" s="10" t="n">
        <x:f>IF(COUNT(AG64,AF64)=2,AG64-AF64,"")</x:f>
        <x:v>-20</x:v>
      </x:c>
      <x:c r="AI64" s="10" t="n">
        <x:v>57</x:v>
      </x:c>
      <x:c r="AJ64" s="10" t="n">
        <x:v>19</x:v>
      </x:c>
      <x:c r="AK64" s="10" t="n">
        <x:f>IF(COUNT(AJ64,AI64)=2,AJ64-AI64,"")</x:f>
        <x:v>-38</x:v>
      </x:c>
      <x:c r="AL64" s="10" t="n">
        <x:v>27</x:v>
      </x:c>
      <x:c r="AM64" s="10" t="n">
        <x:v>27</x:v>
      </x:c>
      <x:c r="AN64" s="4" t="str">
        <x:v>C,LW</x:v>
      </x:c>
      <x:c r="AO64" s="4" t="str">
        <x:v>C</x:v>
      </x:c>
      <x:c r="AP64" s="4" t="str">
        <x:v>VGK</x:v>
      </x:c>
      <x:c r="AQ64" s="4" t="str">
        <x:v>VEG</x:v>
      </x:c>
      <x:c r="AR64" s="4" t="n">
        <x:v>14.77</x:v>
      </x:c>
      <x:c r="AS64" s="4" t="n">
        <x:v>14.9</x:v>
      </x:c>
      <x:c r="AT64" s="4" t="n">
        <x:v>0.27</x:v>
      </x:c>
      <x:c r="AU64" s="4" t="n">
        <x:v>18.2</x:v>
      </x:c>
      <x:c r="AV64" s="10" t="n">
        <x:v>0</x:v>
      </x:c>
      <x:c r="AW64" s="10" t="n">
        <x:v>3</x:v>
      </x:c>
      <x:c r="AX64" s="10" t="n">
        <x:v>0</x:v>
      </x:c>
      <x:c r="AY64" s="10" t="n">
        <x:v>0</x:v>
      </x:c>
      <x:c r="AZ64" s="10" t="n">
        <x:v>697</x:v>
      </x:c>
      <x:c r="BA64" s="10" t="n">
        <x:v>697</x:v>
      </x:c>
      <x:c r="BB64" s="4" t="n">
        <x:v>50</x:v>
      </x:c>
      <x:c r="BC64" s="4" t="n">
        <x:v>-3.4</x:v>
      </x:c>
      <x:c r="BD64" s="10" t="n">
        <x:v>500</x:v>
      </x:c>
      <x:c r="BE64" s="10" t="n">
        <x:v>482</x:v>
      </x:c>
      <x:c r="BF64" s="4" t="n">
        <x:v>50.9</x:v>
      </x:c>
      <x:c r="BG64" s="4" t="n">
        <x:v>-2.6</x:v>
      </x:c>
      <x:c r="BH64" s="4" t="n">
        <x:v>9.3</x:v>
      </x:c>
      <x:c r="BI64" s="4" t="n">
        <x:v>86.8</x:v>
      </x:c>
      <x:c r="BJ64" s="4" t="n">
        <x:v>96.1</x:v>
      </x:c>
      <x:c r="BK64" s="4" t="n">
        <x:v>49.5</x:v>
      </x:c>
      <x:c r="BL64" s="4" t="n">
        <x:v>50.5</x:v>
      </x:c>
      <x:c r="BM64" s="4" t="n">
        <x:v>14.9</x:v>
      </x:c>
      <x:c r="BN64" s="4" t="n">
        <x:v>13.216666666666667</x:v>
      </x:c>
      <x:c r="BO64" s="10" t="n">
        <x:v>13</x:v>
      </x:c>
      <x:c r="BP64" s="10" t="n">
        <x:v>47</x:v>
      </x:c>
      <x:c r="BQ64" s="4" t="n">
        <x:v>4.7</x:v>
      </x:c>
      <x:c r="BR64" s="10" t="n">
        <x:v>120</x:v>
      </x:c>
      <x:c r="BS64" s="4" t="n">
        <x:v>55</x:v>
      </x:c>
      <x:c r="BT64" s="10" t="n">
        <x:v>58</x:v>
      </x:c>
      <x:c r="BU64" s="4" t="str">
        <x:v>VEG</x:v>
      </x:c>
      <x:c r="BV64" s="10" t="n">
        <x:v>344</x:v>
      </x:c>
      <x:c r="BW64" s="10" t="n">
        <x:v>431</x:v>
      </x:c>
      <x:c r="BX64" s="10" t="n">
        <x:v>429</x:v>
      </x:c>
      <x:c r="BY64" s="4" t="str">
        <x:v>Brett Howden</x:v>
      </x:c>
      <x:c r="BZ64" s="4" t="str">
        <x:v>Brett Howden</x:v>
      </x:c>
      <x:c r="CA64" s="4" t="str">
        <x:v>Brett Howden</x:v>
      </x:c>
      <x:c r="CB64" s="4" t="str">
        <x:v>howdebr01</x:v>
      </x:c>
    </x:row>
    <x:row r="65" ht="22" customHeight="1">
      <x:c r="A65" s="4" t="str">
        <x:v>Brock Boeser</x:v>
      </x:c>
      <x:c r="B65" s="4" t="str">
        <x:v>brockboeser</x:v>
      </x:c>
      <x:c r="C65" s="10" t="n">
        <x:v>1</x:v>
      </x:c>
      <x:c r="D65" s="10" t="n">
        <x:v>1</x:v>
      </x:c>
      <x:c r="E65" s="10" t="n">
        <x:v>1</x:v>
      </x:c>
      <x:c r="F65" s="4" t="n">
        <x:f>IF(COUNT(N65,Q65,T65,W65,Z65,AC65,AF65,AI65)=8,N65*Guide!$E$5+Q65*Guide!$E$6+T65*Guide!$E$7+W65*Guide!$E$8+Z65*Guide!$E$9+AC65*Guide!$E$10+AF65*Guide!$E$11+AI65*Guide!$E$12,"")</x:f>
        <x:v>293.25</x:v>
      </x:c>
      <x:c r="G65" s="4" t="n">
        <x:f>IF(COUNT(O65,R65,U65,X65,AA65,AD65,AG65,AJ65)=8,O65*Guide!$E$5+R65*Guide!$E$6+U65*Guide!$E$7+X65*Guide!$E$8+AA65*Guide!$E$9+AD65*Guide!$E$10+AG65*Guide!$E$11+AJ65*Guide!$E$12,"")</x:f>
        <x:v>214.5</x:v>
      </x:c>
      <x:c r="H65" s="4" t="n">
        <x:f>IF(COUNT(G65,F65)=2,G65-F65,"")</x:f>
        <x:v>-78.75</x:v>
      </x:c>
      <x:c r="I65" s="4" t="n">
        <x:f>IF(AND(ISNUMBER(F65),K65&gt;0),F65/K65,"")</x:f>
        <x:v>3.7596153846153846</x:v>
      </x:c>
      <x:c r="J65" s="4" t="n">
        <x:f>IF(AND(ISNUMBER(G65),L65&gt;0),G65/L65,"")</x:f>
        <x:v>2.86</x:v>
      </x:c>
      <x:c r="K65" s="10" t="n">
        <x:v>78</x:v>
      </x:c>
      <x:c r="L65" s="10" t="n">
        <x:v>75</x:v>
      </x:c>
      <x:c r="M65" s="10" t="n">
        <x:f>IF(COUNT(L65,K65)=2,L65-K65,"")</x:f>
        <x:v>-3</x:v>
      </x:c>
      <x:c r="N65" s="10" t="n">
        <x:v>26</x:v>
      </x:c>
      <x:c r="O65" s="10" t="n">
        <x:v>22</x:v>
      </x:c>
      <x:c r="P65" s="10" t="n">
        <x:f>IF(COUNT(O65,N65)=2,O65-N65,"")</x:f>
        <x:v>-4</x:v>
      </x:c>
      <x:c r="Q65" s="10" t="n">
        <x:v>30</x:v>
      </x:c>
      <x:c r="R65" s="10" t="n">
        <x:v>26</x:v>
      </x:c>
      <x:c r="S65" s="10" t="n">
        <x:f>IF(COUNT(R65,Q65)=2,R65-Q65,"")</x:f>
        <x:v>-4</x:v>
      </x:c>
      <x:c r="T65" s="10" t="n">
        <x:v>-2</x:v>
      </x:c>
      <x:c r="U65" s="10" t="n">
        <x:v>-48</x:v>
      </x:c>
      <x:c r="V65" s="10" t="n">
        <x:f>IF(COUNT(U65,T65)=2,U65-T65,"")</x:f>
        <x:v>-46</x:v>
      </x:c>
      <x:c r="W65" s="10" t="n">
        <x:v>19</x:v>
      </x:c>
      <x:c r="X65" s="10" t="n">
        <x:f>IF(COUNT(AV65,AW65)=2,AV65+AW65,"")</x:f>
        <x:v>19</x:v>
      </x:c>
      <x:c r="Y65" s="10" t="n">
        <x:f>IF(COUNT(X65,W65)=2,X65-W65,"")</x:f>
        <x:v>0</x:v>
      </x:c>
      <x:c r="Z65" s="10" t="n">
        <x:v>0</x:v>
      </x:c>
      <x:c r="AA65" s="10" t="n">
        <x:f>IF(COUNT(AX65,AY65)=2,AX65+AY65,"")</x:f>
        <x:v>1</x:v>
      </x:c>
      <x:c r="AB65" s="10" t="n">
        <x:f>IF(COUNT(AA65,Z65)=2,AA65-Z65,"")</x:f>
        <x:v>1</x:v>
      </x:c>
      <x:c r="AC65" s="10" t="n">
        <x:v>157</x:v>
      </x:c>
      <x:c r="AD65" s="10" t="n">
        <x:v>166</x:v>
      </x:c>
      <x:c r="AE65" s="10" t="n">
        <x:f>IF(COUNT(AD65,AC65)=2,AD65-AC65,"")</x:f>
        <x:v>9</x:v>
      </x:c>
      <x:c r="AF65" s="10" t="n">
        <x:v>70</x:v>
      </x:c>
      <x:c r="AG65" s="10" t="n">
        <x:v>54</x:v>
      </x:c>
      <x:c r="AH65" s="10" t="n">
        <x:f>IF(COUNT(AG65,AF65)=2,AG65-AF65,"")</x:f>
        <x:v>-16</x:v>
      </x:c>
      <x:c r="AI65" s="10" t="n">
        <x:v>34</x:v>
      </x:c>
      <x:c r="AJ65" s="10" t="n">
        <x:v>26</x:v>
      </x:c>
      <x:c r="AK65" s="10" t="n">
        <x:f>IF(COUNT(AJ65,AI65)=2,AJ65-AI65,"")</x:f>
        <x:v>-8</x:v>
      </x:c>
      <x:c r="AL65" s="10" t="n">
        <x:v>28</x:v>
      </x:c>
      <x:c r="AM65" s="10" t="n">
        <x:v>28</x:v>
      </x:c>
      <x:c r="AN65" s="4" t="str">
        <x:v>RW</x:v>
      </x:c>
      <x:c r="AO65" s="4" t="str">
        <x:v>RW</x:v>
      </x:c>
      <x:c r="AP65" s="4" t="str">
        <x:v>VAN</x:v>
      </x:c>
      <x:c r="AQ65" s="4" t="str">
        <x:v>VAN</x:v>
      </x:c>
      <x:c r="AR65" s="4" t="n">
        <x:v>18.01</x:v>
      </x:c>
      <x:c r="AS65" s="4" t="n">
        <x:v>19.05</x:v>
      </x:c>
      <x:c r="AT65" s="4" t="n">
        <x:v>3.16</x:v>
      </x:c>
      <x:c r="AU65" s="4" t="n">
        <x:v>13.3</x:v>
      </x:c>
      <x:c r="AV65" s="10" t="n">
        <x:v>6</x:v>
      </x:c>
      <x:c r="AW65" s="10" t="n">
        <x:v>13</x:v>
      </x:c>
      <x:c r="AX65" s="10" t="n">
        <x:v>1</x:v>
      </x:c>
      <x:c r="AY65" s="10" t="n">
        <x:v>0</x:v>
      </x:c>
      <x:c r="AZ65" s="10" t="n">
        <x:v>982</x:v>
      </x:c>
      <x:c r="BA65" s="10" t="n">
        <x:v>1173</x:v>
      </x:c>
      <x:c r="BB65" s="4" t="n">
        <x:v>45.6</x:v>
      </x:c>
      <x:c r="BC65" s="4" t="n">
        <x:v>-2.4</x:v>
      </x:c>
      <x:c r="BD65" s="10" t="n">
        <x:v>704</x:v>
      </x:c>
      <x:c r="BE65" s="10" t="n">
        <x:v>891</x:v>
      </x:c>
      <x:c r="BF65" s="4" t="n">
        <x:v>44.1</x:v>
      </x:c>
      <x:c r="BG65" s="4" t="n">
        <x:v>-3.6</x:v>
      </x:c>
      <x:c r="BH65" s="4" t="n">
        <x:v>8.7</x:v>
      </x:c>
      <x:c r="BI65" s="4" t="n">
        <x:v>85.5</x:v>
      </x:c>
      <x:c r="BJ65" s="4" t="n">
        <x:v>94.2</x:v>
      </x:c>
      <x:c r="BK65" s="4" t="n">
        <x:v>52.1</x:v>
      </x:c>
      <x:c r="BL65" s="4" t="n">
        <x:v>47.9</x:v>
      </x:c>
      <x:c r="BM65" s="4" t="n">
        <x:v>19.05</x:v>
      </x:c>
      <x:c r="BN65" s="4" t="n">
        <x:v>14.85</x:v>
      </x:c>
      <x:c r="BO65" s="10" t="n">
        <x:v>16</x:v>
      </x:c>
      <x:c r="BP65" s="10" t="n">
        <x:v>57</x:v>
      </x:c>
      <x:c r="BQ65" s="4" t="n">
        <x:v>-13.3</x:v>
      </x:c>
      <x:c r="BR65" s="10" t="n">
        <x:v>332</x:v>
      </x:c>
      <x:c r="BS65" s="4" t="n">
        <x:v>50</x:v>
      </x:c>
      <x:c r="BT65" s="10" t="n">
        <x:v>75</x:v>
      </x:c>
      <x:c r="BU65" s="4" t="str">
        <x:v>VAN</x:v>
      </x:c>
      <x:c r="BV65" s="10" t="n">
        <x:v>113</x:v>
      </x:c>
      <x:c r="BW65" s="10" t="n">
        <x:v>154</x:v>
      </x:c>
      <x:c r="BX65" s="10" t="n">
        <x:v>74</x:v>
      </x:c>
      <x:c r="BY65" s="4" t="str">
        <x:v>Brock Boeser</x:v>
      </x:c>
      <x:c r="BZ65" s="4" t="str">
        <x:v>Brock Boeser</x:v>
      </x:c>
      <x:c r="CA65" s="4" t="str">
        <x:v>Brock Boeser</x:v>
      </x:c>
      <x:c r="CB65" s="4" t="str">
        <x:v>boesebr01</x:v>
      </x:c>
    </x:row>
    <x:row r="66" ht="22" customHeight="1">
      <x:c r="A66" s="4" t="str">
        <x:v>Brock Faber</x:v>
      </x:c>
      <x:c r="B66" s="4" t="str">
        <x:v>brockfaber</x:v>
      </x:c>
      <x:c r="C66" s="10" t="n">
        <x:v>1</x:v>
      </x:c>
      <x:c r="D66" s="10" t="n">
        <x:v>1</x:v>
      </x:c>
      <x:c r="E66" s="10" t="n">
        <x:v>1</x:v>
      </x:c>
      <x:c r="F66" s="4" t="n">
        <x:f>IF(COUNT(N66,Q66,T66,W66,Z66,AC66,AF66,AI66)=8,N66*Guide!$E$5+Q66*Guide!$E$6+T66*Guide!$E$7+W66*Guide!$E$8+Z66*Guide!$E$9+AC66*Guide!$E$10+AF66*Guide!$E$11+AI66*Guide!$E$12,"")</x:f>
        <x:v>274.75</x:v>
      </x:c>
      <x:c r="G66" s="4" t="n">
        <x:f>IF(COUNT(O66,R66,U66,X66,AA66,AD66,AG66,AJ66)=8,O66*Guide!$E$5+R66*Guide!$E$6+U66*Guide!$E$7+X66*Guide!$E$8+AA66*Guide!$E$9+AD66*Guide!$E$10+AG66*Guide!$E$11+AJ66*Guide!$E$12,"")</x:f>
        <x:v>365.5</x:v>
      </x:c>
      <x:c r="H66" s="4" t="n">
        <x:f>IF(COUNT(G66,F66)=2,G66-F66,"")</x:f>
        <x:v>90.75</x:v>
      </x:c>
      <x:c r="I66" s="4" t="n">
        <x:f>IF(AND(ISNUMBER(F66),K66&gt;0),F66/K66,"")</x:f>
        <x:v>3.4778481012658227</x:v>
      </x:c>
      <x:c r="J66" s="4" t="n">
        <x:f>IF(AND(ISNUMBER(G66),L66&gt;0),G66/L66,"")</x:f>
        <x:v>4.56875</x:v>
      </x:c>
      <x:c r="K66" s="10" t="n">
        <x:v>79</x:v>
      </x:c>
      <x:c r="L66" s="10" t="n">
        <x:v>80</x:v>
      </x:c>
      <x:c r="M66" s="10" t="n">
        <x:f>IF(COUNT(L66,K66)=2,L66-K66,"")</x:f>
        <x:v>1</x:v>
      </x:c>
      <x:c r="N66" s="10" t="n">
        <x:v>9</x:v>
      </x:c>
      <x:c r="O66" s="10" t="n">
        <x:v>15</x:v>
      </x:c>
      <x:c r="P66" s="10" t="n">
        <x:f>IF(COUNT(O66,N66)=2,O66-N66,"")</x:f>
        <x:v>6</x:v>
      </x:c>
      <x:c r="Q66" s="10" t="n">
        <x:v>31</x:v>
      </x:c>
      <x:c r="R66" s="10" t="n">
        <x:v>36</x:v>
      </x:c>
      <x:c r="S66" s="10" t="n">
        <x:f>IF(COUNT(R66,Q66)=2,R66-Q66,"")</x:f>
        <x:v>5</x:v>
      </x:c>
      <x:c r="T66" s="10" t="n">
        <x:v>-8</x:v>
      </x:c>
      <x:c r="U66" s="10" t="n">
        <x:v>18</x:v>
      </x:c>
      <x:c r="V66" s="10" t="n">
        <x:f>IF(COUNT(U66,T66)=2,U66-T66,"")</x:f>
        <x:v>26</x:v>
      </x:c>
      <x:c r="W66" s="10" t="n">
        <x:v>14</x:v>
      </x:c>
      <x:c r="X66" s="10" t="n">
        <x:f>IF(COUNT(AV66,AW66)=2,AV66+AW66,"")</x:f>
        <x:v>11</x:v>
      </x:c>
      <x:c r="Y66" s="10" t="n">
        <x:f>IF(COUNT(X66,W66)=2,X66-W66,"")</x:f>
        <x:v>-3</x:v>
      </x:c>
      <x:c r="Z66" s="10" t="n">
        <x:v>1</x:v>
      </x:c>
      <x:c r="AA66" s="10" t="n">
        <x:f>IF(COUNT(AX66,AY66)=2,AX66+AY66,"")</x:f>
        <x:v>2</x:v>
      </x:c>
      <x:c r="AB66" s="10" t="n">
        <x:f>IF(COUNT(AA66,Z66)=2,AA66-Z66,"")</x:f>
        <x:v>1</x:v>
      </x:c>
      <x:c r="AC66" s="10" t="n">
        <x:v>132</x:v>
      </x:c>
      <x:c r="AD66" s="10" t="n">
        <x:v>173</x:v>
      </x:c>
      <x:c r="AE66" s="10" t="n">
        <x:f>IF(COUNT(AD66,AC66)=2,AD66-AC66,"")</x:f>
        <x:v>41</x:v>
      </x:c>
      <x:c r="AF66" s="10" t="n">
        <x:v>40</x:v>
      </x:c>
      <x:c r="AG66" s="10" t="n">
        <x:v>33</x:v>
      </x:c>
      <x:c r="AH66" s="10" t="n">
        <x:f>IF(COUNT(AG66,AF66)=2,AG66-AF66,"")</x:f>
        <x:v>-7</x:v>
      </x:c>
      <x:c r="AI66" s="10" t="n">
        <x:v>125</x:v>
      </x:c>
      <x:c r="AJ66" s="10" t="n">
        <x:v>148</x:v>
      </x:c>
      <x:c r="AK66" s="10" t="n">
        <x:f>IF(COUNT(AJ66,AI66)=2,AJ66-AI66,"")</x:f>
        <x:v>23</x:v>
      </x:c>
      <x:c r="AL66" s="10" t="n">
        <x:v>23</x:v>
      </x:c>
      <x:c r="AM66" s="10" t="n">
        <x:v>23</x:v>
      </x:c>
      <x:c r="AN66" s="4" t="str">
        <x:v>D</x:v>
      </x:c>
      <x:c r="AO66" s="4" t="str">
        <x:v>D</x:v>
      </x:c>
      <x:c r="AP66" s="4" t="str">
        <x:v>MIN</x:v>
      </x:c>
      <x:c r="AQ66" s="4" t="str">
        <x:v>MIN</x:v>
      </x:c>
      <x:c r="AR66" s="4" t="n">
        <x:v>25.54</x:v>
      </x:c>
      <x:c r="AS66" s="4" t="n">
        <x:v>24.683333333333334</x:v>
      </x:c>
      <x:c r="AT66" s="4" t="n">
        <x:v>2.27</x:v>
      </x:c>
      <x:c r="AU66" s="4" t="n">
        <x:v>8.7</x:v>
      </x:c>
      <x:c r="AV66" s="10" t="n">
        <x:v>1</x:v>
      </x:c>
      <x:c r="AW66" s="10" t="n">
        <x:v>10</x:v>
      </x:c>
      <x:c r="AX66" s="10" t="n">
        <x:v>1</x:v>
      </x:c>
      <x:c r="AY66" s="10" t="n">
        <x:v>1</x:v>
      </x:c>
      <x:c r="AZ66" s="10" t="n">
        <x:v>1739</x:v>
      </x:c>
      <x:c r="BA66" s="10" t="n">
        <x:v>1738</x:v>
      </x:c>
      <x:c r="BB66" s="4" t="n">
        <x:v>50</x:v>
      </x:c>
      <x:c r="BC66" s="4" t="n">
        <x:v>2.8</x:v>
      </x:c>
      <x:c r="BD66" s="10" t="n">
        <x:v>1280</x:v>
      </x:c>
      <x:c r="BE66" s="10" t="n">
        <x:v>1226</x:v>
      </x:c>
      <x:c r="BF66" s="4" t="n">
        <x:v>51.1</x:v>
      </x:c>
      <x:c r="BG66" s="4" t="n">
        <x:v>3.3</x:v>
      </x:c>
      <x:c r="BH66" s="4" t="n">
        <x:v>11.2</x:v>
      </x:c>
      <x:c r="BI66" s="4" t="n">
        <x:v>89.9</x:v>
      </x:c>
      <x:c r="BJ66" s="4" t="n">
        <x:v>101.1</x:v>
      </x:c>
      <x:c r="BK66" s="4" t="n">
        <x:v>47</x:v>
      </x:c>
      <x:c r="BL66" s="4" t="n">
        <x:v>53</x:v>
      </x:c>
      <x:c r="BM66" s="4" t="n">
        <x:v>24.683333333333334</x:v>
      </x:c>
      <x:c r="BN66" s="4" t="n">
        <x:v>21.2</x:v>
      </x:c>
      <x:c r="BO66" s="10" t="n">
        <x:v>36</x:v>
      </x:c>
      <x:c r="BP66" s="10" t="n">
        <x:v>92</x:v>
      </x:c>
      <x:c r="BQ66" s="4" t="n">
        <x:v>3.7</x:v>
      </x:c>
      <x:c r="BR66" s="10" t="n">
        <x:v>361</x:v>
      </x:c>
      <x:c r="BS66" s="4" t="n">
        <x:v>47.9</x:v>
      </x:c>
      <x:c r="BT66" s="10" t="n">
        <x:v>80</x:v>
      </x:c>
      <x:c r="BU66" s="4" t="str">
        <x:v>MIN</x:v>
      </x:c>
      <x:c r="BV66" s="10" t="n">
        <x:v>244</x:v>
      </x:c>
      <x:c r="BW66" s="10" t="n">
        <x:v>133</x:v>
      </x:c>
      <x:c r="BX66" s="10" t="n">
        <x:v>280</x:v>
      </x:c>
      <x:c r="BY66" s="4" t="str">
        <x:v>Brock Faber</x:v>
      </x:c>
      <x:c r="BZ66" s="4" t="str">
        <x:v>Brock Faber</x:v>
      </x:c>
      <x:c r="CA66" s="4" t="str">
        <x:v>Brock Faber</x:v>
      </x:c>
      <x:c r="CB66" s="4" t="str">
        <x:v>faberbr01</x:v>
      </x:c>
    </x:row>
    <x:row r="67" ht="22" customHeight="1">
      <x:c r="A67" s="4" t="str">
        <x:v>Brock Nelson</x:v>
      </x:c>
      <x:c r="B67" s="4" t="str">
        <x:v>brocknelson</x:v>
      </x:c>
      <x:c r="C67" s="10" t="n">
        <x:v>1</x:v>
      </x:c>
      <x:c r="D67" s="10" t="n">
        <x:v>1</x:v>
      </x:c>
      <x:c r="E67" s="10" t="n">
        <x:v>1</x:v>
      </x:c>
      <x:c r="F67" s="4" t="n">
        <x:f>IF(COUNT(N67,Q67,T67,W67,Z67,AC67,AF67,AI67)=8,N67*Guide!$E$5+Q67*Guide!$E$6+T67*Guide!$E$7+W67*Guide!$E$8+Z67*Guide!$E$9+AC67*Guide!$E$10+AF67*Guide!$E$11+AI67*Guide!$E$12,"")</x:f>
        <x:v>304.75</x:v>
      </x:c>
      <x:c r="G67" s="4" t="n">
        <x:f>IF(COUNT(O67,R67,U67,X67,AA67,AD67,AG67,AJ67)=8,O67*Guide!$E$5+R67*Guide!$E$6+U67*Guide!$E$7+X67*Guide!$E$8+AA67*Guide!$E$9+AD67*Guide!$E$10+AG67*Guide!$E$11+AJ67*Guide!$E$12,"")</x:f>
        <x:v>368.75</x:v>
      </x:c>
      <x:c r="H67" s="4" t="n">
        <x:f>IF(COUNT(G67,F67)=2,G67-F67,"")</x:f>
        <x:v>64</x:v>
      </x:c>
      <x:c r="I67" s="4" t="n">
        <x:f>IF(AND(ISNUMBER(F67),K67&gt;0),F67/K67,"")</x:f>
        <x:v>3.809375</x:v>
      </x:c>
      <x:c r="J67" s="4" t="n">
        <x:f>IF(AND(ISNUMBER(G67),L67&gt;0),G67/L67,"")</x:f>
        <x:v>4.552469135802469</x:v>
      </x:c>
      <x:c r="K67" s="10" t="n">
        <x:v>80</x:v>
      </x:c>
      <x:c r="L67" s="10" t="n">
        <x:v>81</x:v>
      </x:c>
      <x:c r="M67" s="10" t="n">
        <x:f>IF(COUNT(L67,K67)=2,L67-K67,"")</x:f>
        <x:v>1</x:v>
      </x:c>
      <x:c r="N67" s="10" t="n">
        <x:v>27</x:v>
      </x:c>
      <x:c r="O67" s="10" t="n">
        <x:v>33</x:v>
      </x:c>
      <x:c r="P67" s="10" t="n">
        <x:f>IF(COUNT(O67,N67)=2,O67-N67,"")</x:f>
        <x:v>6</x:v>
      </x:c>
      <x:c r="Q67" s="10" t="n">
        <x:v>32</x:v>
      </x:c>
      <x:c r="R67" s="10" t="n">
        <x:v>32</x:v>
      </x:c>
      <x:c r="S67" s="10" t="n">
        <x:f>IF(COUNT(R67,Q67)=2,R67-Q67,"")</x:f>
        <x:v>0</x:v>
      </x:c>
      <x:c r="T67" s="10" t="n">
        <x:v>-3</x:v>
      </x:c>
      <x:c r="U67" s="10" t="n">
        <x:v>15</x:v>
      </x:c>
      <x:c r="V67" s="10" t="n">
        <x:f>IF(COUNT(U67,T67)=2,U67-T67,"")</x:f>
        <x:v>18</x:v>
      </x:c>
      <x:c r="W67" s="10" t="n">
        <x:v>11</x:v>
      </x:c>
      <x:c r="X67" s="10" t="n">
        <x:f>IF(COUNT(AV67,AW67)=2,AV67+AW67,"")</x:f>
        <x:v>18</x:v>
      </x:c>
      <x:c r="Y67" s="10" t="n">
        <x:f>IF(COUNT(X67,W67)=2,X67-W67,"")</x:f>
        <x:v>7</x:v>
      </x:c>
      <x:c r="Z67" s="10" t="n">
        <x:v>1</x:v>
      </x:c>
      <x:c r="AA67" s="10" t="n">
        <x:f>IF(COUNT(AX67,AY67)=2,AX67+AY67,"")</x:f>
        <x:v>1</x:v>
      </x:c>
      <x:c r="AB67" s="10" t="n">
        <x:f>IF(COUNT(AA67,Z67)=2,AA67-Z67,"")</x:f>
        <x:v>0</x:v>
      </x:c>
      <x:c r="AC67" s="10" t="n">
        <x:v>183</x:v>
      </x:c>
      <x:c r="AD67" s="10" t="n">
        <x:v>186</x:v>
      </x:c>
      <x:c r="AE67" s="10" t="n">
        <x:f>IF(COUNT(AD67,AC67)=2,AD67-AC67,"")</x:f>
        <x:v>3</x:v>
      </x:c>
      <x:c r="AF67" s="10" t="n">
        <x:v>38</x:v>
      </x:c>
      <x:c r="AG67" s="10" t="n">
        <x:v>38</x:v>
      </x:c>
      <x:c r="AH67" s="10" t="n">
        <x:f>IF(COUNT(AG67,AF67)=2,AG67-AF67,"")</x:f>
        <x:v>0</x:v>
      </x:c>
      <x:c r="AI67" s="10" t="n">
        <x:v>46</x:v>
      </x:c>
      <x:c r="AJ67" s="10" t="n">
        <x:v>65</x:v>
      </x:c>
      <x:c r="AK67" s="10" t="n">
        <x:f>IF(COUNT(AJ67,AI67)=2,AJ67-AI67,"")</x:f>
        <x:v>19</x:v>
      </x:c>
      <x:c r="AL67" s="10" t="n">
        <x:v>34</x:v>
      </x:c>
      <x:c r="AM67" s="10" t="n">
        <x:v>34</x:v>
      </x:c>
      <x:c r="AN67" s="4" t="str">
        <x:v>C</x:v>
      </x:c>
      <x:c r="AO67" s="4" t="str">
        <x:v>C</x:v>
      </x:c>
      <x:c r="AP67" s="4" t="str">
        <x:v>COL</x:v>
      </x:c>
      <x:c r="AQ67" s="4" t="str">
        <x:v>COL</x:v>
      </x:c>
      <x:c r="AR67" s="4" t="n">
        <x:v>18.28</x:v>
      </x:c>
      <x:c r="AS67" s="4" t="n">
        <x:v>19.65</x:v>
      </x:c>
      <x:c r="AT67" s="4" t="n">
        <x:v>2.27</x:v>
      </x:c>
      <x:c r="AU67" s="4" t="n">
        <x:v>17.7</x:v>
      </x:c>
      <x:c r="AV67" s="10" t="n">
        <x:v>10</x:v>
      </x:c>
      <x:c r="AW67" s="10" t="n">
        <x:v>8</x:v>
      </x:c>
      <x:c r="AX67" s="10" t="n">
        <x:v>0</x:v>
      </x:c>
      <x:c r="AY67" s="10" t="n">
        <x:v>1</x:v>
      </x:c>
      <x:c r="AZ67" s="10" t="n">
        <x:v>1426</x:v>
      </x:c>
      <x:c r="BA67" s="10" t="n">
        <x:v>1079</x:v>
      </x:c>
      <x:c r="BB67" s="4" t="n">
        <x:v>56.9</x:v>
      </x:c>
      <x:c r="BC67" s="4" t="n">
        <x:v>0.8</x:v>
      </x:c>
      <x:c r="BD67" s="10" t="n">
        <x:v>1049</x:v>
      </x:c>
      <x:c r="BE67" s="10" t="n">
        <x:v>795</x:v>
      </x:c>
      <x:c r="BF67" s="4" t="n">
        <x:v>56.9</x:v>
      </x:c>
      <x:c r="BG67" s="4" t="n">
        <x:v>1.7</x:v>
      </x:c>
      <x:c r="BH67" s="4" t="n">
        <x:v>10.8</x:v>
      </x:c>
      <x:c r="BI67" s="4" t="n">
        <x:v>89.7</x:v>
      </x:c>
      <x:c r="BJ67" s="4" t="n">
        <x:v>100.5</x:v>
      </x:c>
      <x:c r="BK67" s="4" t="n">
        <x:v>51.3</x:v>
      </x:c>
      <x:c r="BL67" s="4" t="n">
        <x:v>48.7</x:v>
      </x:c>
      <x:c r="BM67" s="4" t="n">
        <x:v>19.65</x:v>
      </x:c>
      <x:c r="BN67" s="4" t="n">
        <x:v>14.516666666666667</x:v>
      </x:c>
      <x:c r="BO67" s="10" t="n">
        <x:v>21</x:v>
      </x:c>
      <x:c r="BP67" s="10" t="n">
        <x:v>67</x:v>
      </x:c>
      <x:c r="BQ67" s="4" t="n">
        <x:v>16.5</x:v>
      </x:c>
      <x:c r="BR67" s="10" t="n">
        <x:v>332</x:v>
      </x:c>
      <x:c r="BS67" s="4" t="n">
        <x:v>56</x:v>
      </x:c>
      <x:c r="BT67" s="10" t="n">
        <x:v>81</x:v>
      </x:c>
      <x:c r="BU67" s="4" t="str">
        <x:v>COL</x:v>
      </x:c>
      <x:c r="BV67" s="10" t="n">
        <x:v>99</x:v>
      </x:c>
      <x:c r="BW67" s="10" t="n">
        <x:v>73</x:v>
      </x:c>
      <x:c r="BX67" s="10" t="n">
        <x:v>734</x:v>
      </x:c>
      <x:c r="BY67" s="4" t="str">
        <x:v>Brock Nelson</x:v>
      </x:c>
      <x:c r="BZ67" s="4" t="str">
        <x:v>Brock Nelson</x:v>
      </x:c>
      <x:c r="CA67" s="4" t="str">
        <x:v>Brock Nelson</x:v>
      </x:c>
      <x:c r="CB67" s="4" t="str">
        <x:v>nelsobr01</x:v>
      </x:c>
    </x:row>
    <x:row r="68" ht="22" customHeight="1">
      <x:c r="A68" s="4" t="str">
        <x:v>Bryan Rust</x:v>
      </x:c>
      <x:c r="B68" s="4" t="str">
        <x:v>bryanrust</x:v>
      </x:c>
      <x:c r="C68" s="10" t="n">
        <x:v>1</x:v>
      </x:c>
      <x:c r="D68" s="10" t="n">
        <x:v>1</x:v>
      </x:c>
      <x:c r="E68" s="10" t="n">
        <x:v>1</x:v>
      </x:c>
      <x:c r="F68" s="4" t="n">
        <x:f>IF(COUNT(N68,Q68,T68,W68,Z68,AC68,AF68,AI68)=8,N68*Guide!$E$5+Q68*Guide!$E$6+T68*Guide!$E$7+W68*Guide!$E$8+Z68*Guide!$E$9+AC68*Guide!$E$10+AF68*Guide!$E$11+AI68*Guide!$E$12,"")</x:f>
        <x:v>312.75</x:v>
      </x:c>
      <x:c r="G68" s="4" t="n">
        <x:f>IF(COUNT(O68,R68,U68,X68,AA68,AD68,AG68,AJ68)=8,O68*Guide!$E$5+R68*Guide!$E$6+U68*Guide!$E$7+X68*Guide!$E$8+AA68*Guide!$E$9+AD68*Guide!$E$10+AG68*Guide!$E$11+AJ68*Guide!$E$12,"")</x:f>
        <x:v>361.75</x:v>
      </x:c>
      <x:c r="H68" s="4" t="n">
        <x:f>IF(COUNT(G68,F68)=2,G68-F68,"")</x:f>
        <x:v>49</x:v>
      </x:c>
      <x:c r="I68" s="4" t="n">
        <x:f>IF(AND(ISNUMBER(F68),K68&gt;0),F68/K68,"")</x:f>
        <x:v>4.404929577464789</x:v>
      </x:c>
      <x:c r="J68" s="4" t="n">
        <x:f>IF(AND(ISNUMBER(G68),L68&gt;0),G68/L68,"")</x:f>
        <x:v>5.024305555555555</x:v>
      </x:c>
      <x:c r="K68" s="10" t="n">
        <x:v>71</x:v>
      </x:c>
      <x:c r="L68" s="10" t="n">
        <x:v>72</x:v>
      </x:c>
      <x:c r="M68" s="10" t="n">
        <x:f>IF(COUNT(L68,K68)=2,L68-K68,"")</x:f>
        <x:v>1</x:v>
      </x:c>
      <x:c r="N68" s="10" t="n">
        <x:v>27</x:v>
      </x:c>
      <x:c r="O68" s="10" t="n">
        <x:v>29</x:v>
      </x:c>
      <x:c r="P68" s="10" t="n">
        <x:f>IF(COUNT(O68,N68)=2,O68-N68,"")</x:f>
        <x:v>2</x:v>
      </x:c>
      <x:c r="Q68" s="10" t="n">
        <x:v>30</x:v>
      </x:c>
      <x:c r="R68" s="10" t="n">
        <x:v>36</x:v>
      </x:c>
      <x:c r="S68" s="10" t="n">
        <x:f>IF(COUNT(R68,Q68)=2,R68-Q68,"")</x:f>
        <x:v>6</x:v>
      </x:c>
      <x:c r="T68" s="10" t="n">
        <x:v>-4</x:v>
      </x:c>
      <x:c r="U68" s="10" t="n">
        <x:v>0</x:v>
      </x:c>
      <x:c r="V68" s="10" t="n">
        <x:f>IF(COUNT(U68,T68)=2,U68-T68,"")</x:f>
        <x:v>4</x:v>
      </x:c>
      <x:c r="W68" s="10" t="n">
        <x:v>14</x:v>
      </x:c>
      <x:c r="X68" s="10" t="n">
        <x:f>IF(COUNT(AV68,AW68)=2,AV68+AW68,"")</x:f>
        <x:v>24</x:v>
      </x:c>
      <x:c r="Y68" s="10" t="n">
        <x:f>IF(COUNT(X68,W68)=2,X68-W68,"")</x:f>
        <x:v>10</x:v>
      </x:c>
      <x:c r="Z68" s="10" t="n">
        <x:v>1</x:v>
      </x:c>
      <x:c r="AA68" s="10" t="n">
        <x:f>IF(COUNT(AX68,AY68)=2,AX68+AY68,"")</x:f>
        <x:v>2</x:v>
      </x:c>
      <x:c r="AB68" s="10" t="n">
        <x:f>IF(COUNT(AA68,Z68)=2,AA68-Z68,"")</x:f>
        <x:v>1</x:v>
      </x:c>
      <x:c r="AC68" s="10" t="n">
        <x:v>183</x:v>
      </x:c>
      <x:c r="AD68" s="10" t="n">
        <x:v>183</x:v>
      </x:c>
      <x:c r="AE68" s="10" t="n">
        <x:f>IF(COUNT(AD68,AC68)=2,AD68-AC68,"")</x:f>
        <x:v>0</x:v>
      </x:c>
      <x:c r="AF68" s="10" t="n">
        <x:v>65</x:v>
      </x:c>
      <x:c r="AG68" s="10" t="n">
        <x:v>35</x:v>
      </x:c>
      <x:c r="AH68" s="10" t="n">
        <x:f>IF(COUNT(AG68,AF68)=2,AG68-AF68,"")</x:f>
        <x:v>-30</x:v>
      </x:c>
      <x:c r="AI68" s="10" t="n">
        <x:v>53</x:v>
      </x:c>
      <x:c r="AJ68" s="10" t="n">
        <x:v>71</x:v>
      </x:c>
      <x:c r="AK68" s="10" t="n">
        <x:f>IF(COUNT(AJ68,AI68)=2,AJ68-AI68,"")</x:f>
        <x:v>18</x:v>
      </x:c>
      <x:c r="AL68" s="10" t="n">
        <x:v>33</x:v>
      </x:c>
      <x:c r="AM68" s="10" t="n">
        <x:v>33</x:v>
      </x:c>
      <x:c r="AN68" s="4" t="str">
        <x:v>RW</x:v>
      </x:c>
      <x:c r="AO68" s="4" t="str">
        <x:v>RW</x:v>
      </x:c>
      <x:c r="AP68" s="4" t="str">
        <x:v>PIT</x:v>
      </x:c>
      <x:c r="AQ68" s="4" t="str">
        <x:v>PIT</x:v>
      </x:c>
      <x:c r="AR68" s="4" t="n">
        <x:v>19.17</x:v>
      </x:c>
      <x:c r="AS68" s="4" t="n">
        <x:v>19.95</x:v>
      </x:c>
      <x:c r="AT68" s="4" t="n">
        <x:v>2.51</x:v>
      </x:c>
      <x:c r="AU68" s="4" t="n">
        <x:v>15.8</x:v>
      </x:c>
      <x:c r="AV68" s="10" t="n">
        <x:v>8</x:v>
      </x:c>
      <x:c r="AW68" s="10" t="n">
        <x:v>16</x:v>
      </x:c>
      <x:c r="AX68" s="10" t="n">
        <x:v>1</x:v>
      </x:c>
      <x:c r="AY68" s="10" t="n">
        <x:v>1</x:v>
      </x:c>
      <x:c r="AZ68" s="10" t="n">
        <x:v>1071</x:v>
      </x:c>
      <x:c r="BA68" s="10" t="n">
        <x:v>1121</x:v>
      </x:c>
      <x:c r="BB68" s="4" t="n">
        <x:v>48.9</x:v>
      </x:c>
      <x:c r="BC68" s="4" t="n">
        <x:v>-1.7</x:v>
      </x:c>
      <x:c r="BD68" s="10" t="n">
        <x:v>796</x:v>
      </x:c>
      <x:c r="BE68" s="10" t="n">
        <x:v>823</x:v>
      </x:c>
      <x:c r="BF68" s="4" t="n">
        <x:v>49.2</x:v>
      </x:c>
      <x:c r="BG68" s="4" t="n">
        <x:v>-1.5</x:v>
      </x:c>
      <x:c r="BH68" s="4" t="n">
        <x:v>14.1</x:v>
      </x:c>
      <x:c r="BI68" s="4" t="n">
        <x:v>86.7</x:v>
      </x:c>
      <x:c r="BJ68" s="4" t="n">
        <x:v>100.9</x:v>
      </x:c>
      <x:c r="BK68" s="4" t="n">
        <x:v>59.6</x:v>
      </x:c>
      <x:c r="BL68" s="4" t="n">
        <x:v>40.4</x:v>
      </x:c>
      <x:c r="BM68" s="4" t="n">
        <x:v>19.95</x:v>
      </x:c>
      <x:c r="BN68" s="4" t="n">
        <x:v>0.625</x:v>
      </x:c>
      <x:c r="BO68" s="10" t="n">
        <x:v>13</x:v>
      </x:c>
      <x:c r="BP68" s="10" t="n">
        <x:v>78</x:v>
      </x:c>
      <x:c r="BQ68" s="4" t="n">
        <x:v>-3.7</x:v>
      </x:c>
      <x:c r="BR68" s="10" t="n">
        <x:v>352</x:v>
      </x:c>
      <x:c r="BS68" s="4" t="n">
        <x:v>52</x:v>
      </x:c>
      <x:c r="BT68" s="10" t="n">
        <x:v>72</x:v>
      </x:c>
      <x:c r="BU68" s="4" t="str">
        <x:v>PIT</x:v>
      </x:c>
      <x:c r="BV68" s="10" t="n">
        <x:v>106</x:v>
      </x:c>
      <x:c r="BW68" s="10" t="n">
        <x:v>74</x:v>
      </x:c>
      <x:c r="BX68" s="10" t="n">
        <x:v>885</x:v>
      </x:c>
      <x:c r="BY68" s="4" t="str">
        <x:v>Bryan Rust</x:v>
      </x:c>
      <x:c r="BZ68" s="4" t="str">
        <x:v>Bryan Rust</x:v>
      </x:c>
      <x:c r="CA68" s="4" t="str">
        <x:v>Bryan Rust</x:v>
      </x:c>
      <x:c r="CB68" s="4" t="str">
        <x:v>rustbr01</x:v>
      </x:c>
    </x:row>
    <x:row r="69" ht="22" customHeight="1">
      <x:c r="A69" s="4" t="str">
        <x:v>Cale Makar</x:v>
      </x:c>
      <x:c r="B69" s="4" t="str">
        <x:v>calemakar</x:v>
      </x:c>
      <x:c r="C69" s="10" t="n">
        <x:v>1</x:v>
      </x:c>
      <x:c r="D69" s="10" t="n">
        <x:v>1</x:v>
      </x:c>
      <x:c r="E69" s="10" t="n">
        <x:v>1</x:v>
      </x:c>
      <x:c r="F69" s="4" t="n">
        <x:f>IF(COUNT(N69,Q69,T69,W69,Z69,AC69,AF69,AI69)=8,N69*Guide!$E$5+Q69*Guide!$E$6+T69*Guide!$E$7+W69*Guide!$E$8+Z69*Guide!$E$9+AC69*Guide!$E$10+AF69*Guide!$E$11+AI69*Guide!$E$12,"")</x:f>
        <x:v>500.25</x:v>
      </x:c>
      <x:c r="G69" s="4" t="n">
        <x:f>IF(COUNT(O69,R69,U69,X69,AA69,AD69,AG69,AJ69)=8,O69*Guide!$E$5+R69*Guide!$E$6+U69*Guide!$E$7+X69*Guide!$E$8+AA69*Guide!$E$9+AD69*Guide!$E$10+AG69*Guide!$E$11+AJ69*Guide!$E$12,"")</x:f>
        <x:v>464.25</x:v>
      </x:c>
      <x:c r="H69" s="4" t="n">
        <x:f>IF(COUNT(G69,F69)=2,G69-F69,"")</x:f>
        <x:v>-36</x:v>
      </x:c>
      <x:c r="I69" s="4" t="n">
        <x:f>IF(AND(ISNUMBER(F69),K69&gt;0),F69/K69,"")</x:f>
        <x:v>6.332278481012659</x:v>
      </x:c>
      <x:c r="J69" s="4" t="n">
        <x:f>IF(AND(ISNUMBER(G69),L69&gt;0),G69/L69,"")</x:f>
        <x:v>6.19</x:v>
      </x:c>
      <x:c r="K69" s="10" t="n">
        <x:v>79</x:v>
      </x:c>
      <x:c r="L69" s="10" t="n">
        <x:v>75</x:v>
      </x:c>
      <x:c r="M69" s="10" t="n">
        <x:f>IF(COUNT(L69,K69)=2,L69-K69,"")</x:f>
        <x:v>-4</x:v>
      </x:c>
      <x:c r="N69" s="10" t="n">
        <x:v>24</x:v>
      </x:c>
      <x:c r="O69" s="10" t="n">
        <x:v>20</x:v>
      </x:c>
      <x:c r="P69" s="10" t="n">
        <x:f>IF(COUNT(O69,N69)=2,O69-N69,"")</x:f>
        <x:v>-4</x:v>
      </x:c>
      <x:c r="Q69" s="10" t="n">
        <x:v>61</x:v>
      </x:c>
      <x:c r="R69" s="10" t="n">
        <x:v>59</x:v>
      </x:c>
      <x:c r="S69" s="10" t="n">
        <x:f>IF(COUNT(R69,Q69)=2,R69-Q69,"")</x:f>
        <x:v>-2</x:v>
      </x:c>
      <x:c r="T69" s="10" t="n">
        <x:v>18</x:v>
      </x:c>
      <x:c r="U69" s="10" t="n">
        <x:v>32</x:v>
      </x:c>
      <x:c r="V69" s="10" t="n">
        <x:f>IF(COUNT(U69,T69)=2,U69-T69,"")</x:f>
        <x:v>14</x:v>
      </x:c>
      <x:c r="W69" s="10" t="n">
        <x:v>33</x:v>
      </x:c>
      <x:c r="X69" s="10" t="n">
        <x:f>IF(COUNT(AV69,AW69)=2,AV69+AW69,"")</x:f>
        <x:v>29</x:v>
      </x:c>
      <x:c r="Y69" s="10" t="n">
        <x:f>IF(COUNT(X69,W69)=2,X69-W69,"")</x:f>
        <x:v>-4</x:v>
      </x:c>
      <x:c r="Z69" s="10" t="n">
        <x:v>2</x:v>
      </x:c>
      <x:c r="AA69" s="10" t="n">
        <x:f>IF(COUNT(AX69,AY69)=2,AX69+AY69,"")</x:f>
        <x:v>0</x:v>
      </x:c>
      <x:c r="AB69" s="10" t="n">
        <x:f>IF(COUNT(AA69,Z69)=2,AA69-Z69,"")</x:f>
        <x:v>-2</x:v>
      </x:c>
      <x:c r="AC69" s="10" t="n">
        <x:v>237</x:v>
      </x:c>
      <x:c r="AD69" s="10" t="n">
        <x:v>199</x:v>
      </x:c>
      <x:c r="AE69" s="10" t="n">
        <x:f>IF(COUNT(AD69,AC69)=2,AD69-AC69,"")</x:f>
        <x:v>-38</x:v>
      </x:c>
      <x:c r="AF69" s="10" t="n">
        <x:v>48</x:v>
      </x:c>
      <x:c r="AG69" s="10" t="n">
        <x:v>35</x:v>
      </x:c>
      <x:c r="AH69" s="10" t="n">
        <x:f>IF(COUNT(AG69,AF69)=2,AG69-AF69,"")</x:f>
        <x:v>-13</x:v>
      </x:c>
      <x:c r="AI69" s="10" t="n">
        <x:v>124</x:v>
      </x:c>
      <x:c r="AJ69" s="10" t="n">
        <x:v>117</x:v>
      </x:c>
      <x:c r="AK69" s="10" t="n">
        <x:f>IF(COUNT(AJ69,AI69)=2,AJ69-AI69,"")</x:f>
        <x:v>-7</x:v>
      </x:c>
      <x:c r="AL69" s="10" t="n">
        <x:v>27</x:v>
      </x:c>
      <x:c r="AM69" s="10" t="n">
        <x:v>27</x:v>
      </x:c>
      <x:c r="AN69" s="4" t="str">
        <x:v>D</x:v>
      </x:c>
      <x:c r="AO69" s="4" t="str">
        <x:v>D</x:v>
      </x:c>
      <x:c r="AP69" s="4" t="str">
        <x:v>COL</x:v>
      </x:c>
      <x:c r="AQ69" s="4" t="str">
        <x:v>COL</x:v>
      </x:c>
      <x:c r="AR69" s="4" t="n">
        <x:v>25.619999999999997</x:v>
      </x:c>
      <x:c r="AS69" s="4" t="n">
        <x:v>24.85</x:v>
      </x:c>
      <x:c r="AT69" s="4" t="n">
        <x:v>3.67</x:v>
      </x:c>
      <x:c r="AU69" s="4" t="n">
        <x:v>10.1</x:v>
      </x:c>
      <x:c r="AV69" s="10" t="n">
        <x:v>4</x:v>
      </x:c>
      <x:c r="AW69" s="10" t="n">
        <x:v>25</x:v>
      </x:c>
      <x:c r="AX69" s="10" t="n">
        <x:v>0</x:v>
      </x:c>
      <x:c r="AY69" s="10" t="n">
        <x:v>0</x:v>
      </x:c>
      <x:c r="AZ69" s="10" t="n">
        <x:v>1653</x:v>
      </x:c>
      <x:c r="BA69" s="10" t="n">
        <x:v>1368</x:v>
      </x:c>
      <x:c r="BB69" s="4" t="n">
        <x:v>54.7</x:v>
      </x:c>
      <x:c r="BC69" s="4" t="n">
        <x:v>-2.7</x:v>
      </x:c>
      <x:c r="BD69" s="10" t="n">
        <x:v>1184</x:v>
      </x:c>
      <x:c r="BE69" s="10" t="n">
        <x:v>1019</x:v>
      </x:c>
      <x:c r="BF69" s="4" t="n">
        <x:v>53.7</x:v>
      </x:c>
      <x:c r="BG69" s="4" t="n">
        <x:v>-3.3</x:v>
      </x:c>
      <x:c r="BH69" s="4" t="n">
        <x:v>12.3</x:v>
      </x:c>
      <x:c r="BI69" s="4" t="n">
        <x:v>91.3</x:v>
      </x:c>
      <x:c r="BJ69" s="4" t="n">
        <x:v>103.7</x:v>
      </x:c>
      <x:c r="BK69" s="4" t="n">
        <x:v>61.3</x:v>
      </x:c>
      <x:c r="BL69" s="4" t="n">
        <x:v>38.7</x:v>
      </x:c>
      <x:c r="BM69" s="4" t="n">
        <x:v>24.85</x:v>
      </x:c>
      <x:c r="BN69" s="4" t="n">
        <x:v>18.716666666666665</x:v>
      </x:c>
      <x:c r="BO69" s="10" t="n">
        <x:v>40</x:v>
      </x:c>
      <x:c r="BP69" s="10" t="n">
        <x:v>86</x:v>
      </x:c>
      <x:c r="BQ69" s="4" t="n">
        <x:v>14.5</x:v>
      </x:c>
      <x:c r="BR69" s="10" t="n">
        <x:v>546</x:v>
      </x:c>
      <x:c r="BS69" s="4" t="n">
        <x:v>36.4</x:v>
      </x:c>
      <x:c r="BT69" s="10" t="n">
        <x:v>75</x:v>
      </x:c>
      <x:c r="BU69" s="4" t="str">
        <x:v>COL</x:v>
      </x:c>
      <x:c r="BV69" s="10" t="n">
        <x:v>13</x:v>
      </x:c>
      <x:c r="BW69" s="10" t="n">
        <x:v>31</x:v>
      </x:c>
      <x:c r="BX69" s="10" t="n">
        <x:v>631</x:v>
      </x:c>
      <x:c r="BY69" s="4" t="str">
        <x:v>Cale Makar</x:v>
      </x:c>
      <x:c r="BZ69" s="4" t="str">
        <x:v>Cale Makar</x:v>
      </x:c>
      <x:c r="CA69" s="4" t="str">
        <x:v>Cale Makar</x:v>
      </x:c>
      <x:c r="CB69" s="4" t="str">
        <x:v>makarca01</x:v>
      </x:c>
    </x:row>
    <x:row r="70" ht="22" customHeight="1">
      <x:c r="A70" s="4" t="str">
        <x:v>Cam Fowler</x:v>
      </x:c>
      <x:c r="B70" s="4" t="str">
        <x:v>camfowler</x:v>
      </x:c>
      <x:c r="C70" s="10" t="n">
        <x:v>1</x:v>
      </x:c>
      <x:c r="D70" s="10" t="n">
        <x:v>1</x:v>
      </x:c>
      <x:c r="E70" s="10" t="n">
        <x:v>1</x:v>
      </x:c>
      <x:c r="F70" s="4" t="n">
        <x:f>IF(COUNT(N70,Q70,T70,W70,Z70,AC70,AF70,AI70)=8,N70*Guide!$E$5+Q70*Guide!$E$6+T70*Guide!$E$7+W70*Guide!$E$8+Z70*Guide!$E$9+AC70*Guide!$E$10+AF70*Guide!$E$11+AI70*Guide!$E$12,"")</x:f>
        <x:v>269</x:v>
      </x:c>
      <x:c r="G70" s="4" t="n">
        <x:f>IF(COUNT(O70,R70,U70,X70,AA70,AD70,AG70,AJ70)=8,O70*Guide!$E$5+R70*Guide!$E$6+U70*Guide!$E$7+X70*Guide!$E$8+AA70*Guide!$E$9+AD70*Guide!$E$10+AG70*Guide!$E$11+AJ70*Guide!$E$12,"")</x:f>
        <x:v>174</x:v>
      </x:c>
      <x:c r="H70" s="4" t="n">
        <x:f>IF(COUNT(G70,F70)=2,G70-F70,"")</x:f>
        <x:v>-95</x:v>
      </x:c>
      <x:c r="I70" s="4" t="n">
        <x:f>IF(AND(ISNUMBER(F70),K70&gt;0),F70/K70,"")</x:f>
        <x:v>3.448717948717949</x:v>
      </x:c>
      <x:c r="J70" s="4" t="n">
        <x:f>IF(AND(ISNUMBER(G70),L70&gt;0),G70/L70,"")</x:f>
        <x:v>2.1219512195121952</x:v>
      </x:c>
      <x:c r="K70" s="10" t="n">
        <x:v>78</x:v>
      </x:c>
      <x:c r="L70" s="10" t="n">
        <x:v>82</x:v>
      </x:c>
      <x:c r="M70" s="10" t="n">
        <x:f>IF(COUNT(L70,K70)=2,L70-K70,"")</x:f>
        <x:v>4</x:v>
      </x:c>
      <x:c r="N70" s="10" t="n">
        <x:v>8</x:v>
      </x:c>
      <x:c r="O70" s="10" t="n">
        <x:v>4</x:v>
      </x:c>
      <x:c r="P70" s="10" t="n">
        <x:f>IF(COUNT(O70,N70)=2,O70-N70,"")</x:f>
        <x:v>-4</x:v>
      </x:c>
      <x:c r="Q70" s="10" t="n">
        <x:v>39</x:v>
      </x:c>
      <x:c r="R70" s="10" t="n">
        <x:v>26</x:v>
      </x:c>
      <x:c r="S70" s="10" t="n">
        <x:f>IF(COUNT(R70,Q70)=2,R70-Q70,"")</x:f>
        <x:v>-13</x:v>
      </x:c>
      <x:c r="T70" s="10" t="n">
        <x:v>-3</x:v>
      </x:c>
      <x:c r="U70" s="10" t="n">
        <x:v>-11</x:v>
      </x:c>
      <x:c r="V70" s="10" t="n">
        <x:f>IF(COUNT(U70,T70)=2,U70-T70,"")</x:f>
        <x:v>-8</x:v>
      </x:c>
      <x:c r="W70" s="10" t="n">
        <x:v>18</x:v>
      </x:c>
      <x:c r="X70" s="10" t="n">
        <x:f>IF(COUNT(AV70,AW70)=2,AV70+AW70,"")</x:f>
        <x:v>9</x:v>
      </x:c>
      <x:c r="Y70" s="10" t="n">
        <x:f>IF(COUNT(X70,W70)=2,X70-W70,"")</x:f>
        <x:v>-9</x:v>
      </x:c>
      <x:c r="Z70" s="10" t="n">
        <x:v>0</x:v>
      </x:c>
      <x:c r="AA70" s="10" t="n">
        <x:f>IF(COUNT(AX70,AY70)=2,AX70+AY70,"")</x:f>
        <x:v>1</x:v>
      </x:c>
      <x:c r="AB70" s="10" t="n">
        <x:f>IF(COUNT(AA70,Z70)=2,AA70-Z70,"")</x:f>
        <x:v>1</x:v>
      </x:c>
      <x:c r="AC70" s="10" t="n">
        <x:v>99</x:v>
      </x:c>
      <x:c r="AD70" s="10" t="n">
        <x:v>91</x:v>
      </x:c>
      <x:c r="AE70" s="10" t="n">
        <x:f>IF(COUNT(AD70,AC70)=2,AD70-AC70,"")</x:f>
        <x:v>-8</x:v>
      </x:c>
      <x:c r="AF70" s="10" t="n">
        <x:v>15</x:v>
      </x:c>
      <x:c r="AG70" s="10" t="n">
        <x:v>9</x:v>
      </x:c>
      <x:c r="AH70" s="10" t="n">
        <x:f>IF(COUNT(AG70,AF70)=2,AG70-AF70,"")</x:f>
        <x:v>-6</x:v>
      </x:c>
      <x:c r="AI70" s="10" t="n">
        <x:v>102</x:v>
      </x:c>
      <x:c r="AJ70" s="10" t="n">
        <x:v>72</x:v>
      </x:c>
      <x:c r="AK70" s="10" t="n">
        <x:f>IF(COUNT(AJ70,AI70)=2,AJ70-AI70,"")</x:f>
        <x:v>-30</x:v>
      </x:c>
      <x:c r="AL70" s="10" t="n">
        <x:v>34</x:v>
      </x:c>
      <x:c r="AM70" s="10" t="n">
        <x:v>34</x:v>
      </x:c>
      <x:c r="AN70" s="4" t="str">
        <x:v>D</x:v>
      </x:c>
      <x:c r="AO70" s="4" t="str">
        <x:v>D</x:v>
      </x:c>
      <x:c r="AP70" s="4" t="str">
        <x:v>STL</x:v>
      </x:c>
      <x:c r="AQ70" s="4" t="str">
        <x:v>STL</x:v>
      </x:c>
      <x:c r="AR70" s="4" t="n">
        <x:v>22.88</x:v>
      </x:c>
      <x:c r="AS70" s="4" t="n">
        <x:v>21.083333333333332</x:v>
      </x:c>
      <x:c r="AT70" s="4" t="n">
        <x:v>2.46</x:v>
      </x:c>
      <x:c r="AU70" s="4" t="n">
        <x:v>4.4</x:v>
      </x:c>
      <x:c r="AV70" s="10" t="n">
        <x:v>1</x:v>
      </x:c>
      <x:c r="AW70" s="10" t="n">
        <x:v>8</x:v>
      </x:c>
      <x:c r="AX70" s="10" t="n">
        <x:v>0</x:v>
      </x:c>
      <x:c r="AY70" s="10" t="n">
        <x:v>1</x:v>
      </x:c>
      <x:c r="AZ70" s="10" t="n">
        <x:v>1388</x:v>
      </x:c>
      <x:c r="BA70" s="10" t="n">
        <x:v>1456</x:v>
      </x:c>
      <x:c r="BB70" s="4" t="n">
        <x:v>48.8</x:v>
      </x:c>
      <x:c r="BC70" s="4" t="n">
        <x:v>1.2</x:v>
      </x:c>
      <x:c r="BD70" s="10" t="n">
        <x:v>982</x:v>
      </x:c>
      <x:c r="BE70" s="10" t="n">
        <x:v>1076</x:v>
      </x:c>
      <x:c r="BF70" s="4" t="n">
        <x:v>47.7</x:v>
      </x:c>
      <x:c r="BG70" s="4" t="n">
        <x:v>-0.2</x:v>
      </x:c>
      <x:c r="BH70" s="4" t="n">
        <x:v>9.9</x:v>
      </x:c>
      <x:c r="BI70" s="4" t="n">
        <x:v>89.3</x:v>
      </x:c>
      <x:c r="BJ70" s="4" t="n">
        <x:v>99.2</x:v>
      </x:c>
      <x:c r="BK70" s="4" t="n">
        <x:v>53.6</x:v>
      </x:c>
      <x:c r="BL70" s="4" t="n">
        <x:v>46.4</x:v>
      </x:c>
      <x:c r="BM70" s="4" t="n">
        <x:v>21.083333333333332</x:v>
      </x:c>
      <x:c r="BN70" s="4" t="n">
        <x:v>18.3</x:v>
      </x:c>
      <x:c r="BO70" s="10" t="n">
        <x:v>19</x:v>
      </x:c>
      <x:c r="BP70" s="10" t="n">
        <x:v>63</x:v>
      </x:c>
      <x:c r="BQ70" s="4" t="n">
        <x:v>0.6</x:v>
      </x:c>
      <x:c r="BR70" s="10" t="n">
        <x:v>226</x:v>
      </x:c>
      <x:c r="BS70" s="4" t="n">
        <x:v>40.3</x:v>
      </x:c>
      <x:c r="BT70" s="10" t="n">
        <x:v>82</x:v>
      </x:c>
      <x:c r="BU70" s="4" t="str">
        <x:v>STL</x:v>
      </x:c>
      <x:c r="BV70" s="10" t="n">
        <x:v>175</x:v>
      </x:c>
      <x:c r="BW70" s="10" t="n">
        <x:v>330</x:v>
      </x:c>
      <x:c r="BX70" s="10" t="n">
        <x:v>312</x:v>
      </x:c>
      <x:c r="BY70" s="4" t="str">
        <x:v>Cam Fowler</x:v>
      </x:c>
      <x:c r="BZ70" s="4" t="str">
        <x:v>Cam Fowler</x:v>
      </x:c>
      <x:c r="CA70" s="4" t="str">
        <x:v>Cam Fowler</x:v>
      </x:c>
      <x:c r="CB70" s="4" t="str">
        <x:v>fowleca01</x:v>
      </x:c>
    </x:row>
    <x:row r="71" ht="22" customHeight="1">
      <x:c r="A71" s="4" t="str">
        <x:v>Cameron York</x:v>
      </x:c>
      <x:c r="B71" s="4" t="str">
        <x:v>camyork</x:v>
      </x:c>
      <x:c r="C71" s="10" t="n">
        <x:v>1</x:v>
      </x:c>
      <x:c r="D71" s="10" t="n">
        <x:v>1</x:v>
      </x:c>
      <x:c r="E71" s="10" t="n">
        <x:v>1</x:v>
      </x:c>
      <x:c r="F71" s="4" t="n">
        <x:f>IF(COUNT(N71,Q71,T71,W71,Z71,AC71,AF71,AI71)=8,N71*Guide!$E$5+Q71*Guide!$E$6+T71*Guide!$E$7+W71*Guide!$E$8+Z71*Guide!$E$9+AC71*Guide!$E$10+AF71*Guide!$E$11+AI71*Guide!$E$12,"")</x:f>
        <x:v>238</x:v>
      </x:c>
      <x:c r="G71" s="4" t="n">
        <x:f>IF(COUNT(O71,R71,U71,X71,AA71,AD71,AG71,AJ71)=8,O71*Guide!$E$5+R71*Guide!$E$6+U71*Guide!$E$7+X71*Guide!$E$8+AA71*Guide!$E$9+AD71*Guide!$E$10+AG71*Guide!$E$11+AJ71*Guide!$E$12,"")</x:f>
        <x:v>231</x:v>
      </x:c>
      <x:c r="H71" s="4" t="n">
        <x:f>IF(COUNT(G71,F71)=2,G71-F71,"")</x:f>
        <x:v>-7</x:v>
      </x:c>
      <x:c r="I71" s="4" t="n">
        <x:f>IF(AND(ISNUMBER(F71),K71&gt;0),F71/K71,"")</x:f>
        <x:v>3.051282051282051</x:v>
      </x:c>
      <x:c r="J71" s="4" t="n">
        <x:f>IF(AND(ISNUMBER(G71),L71&gt;0),G71/L71,"")</x:f>
        <x:v>3.1216216216216215</x:v>
      </x:c>
      <x:c r="K71" s="10" t="n">
        <x:v>78</x:v>
      </x:c>
      <x:c r="L71" s="10" t="n">
        <x:v>74</x:v>
      </x:c>
      <x:c r="M71" s="10" t="n">
        <x:f>IF(COUNT(L71,K71)=2,L71-K71,"")</x:f>
        <x:v>-4</x:v>
      </x:c>
      <x:c r="N71" s="10" t="n">
        <x:v>7</x:v>
      </x:c>
      <x:c r="O71" s="10" t="n">
        <x:v>4</x:v>
      </x:c>
      <x:c r="P71" s="10" t="n">
        <x:f>IF(COUNT(O71,N71)=2,O71-N71,"")</x:f>
        <x:v>-3</x:v>
      </x:c>
      <x:c r="Q71" s="10" t="n">
        <x:v>19</x:v>
      </x:c>
      <x:c r="R71" s="10" t="n">
        <x:v>22</x:v>
      </x:c>
      <x:c r="S71" s="10" t="n">
        <x:f>IF(COUNT(R71,Q71)=2,R71-Q71,"")</x:f>
        <x:v>3</x:v>
      </x:c>
      <x:c r="T71" s="10" t="n">
        <x:v>6</x:v>
      </x:c>
      <x:c r="U71" s="10" t="n">
        <x:v>5</x:v>
      </x:c>
      <x:c r="V71" s="10" t="n">
        <x:f>IF(COUNT(U71,T71)=2,U71-T71,"")</x:f>
        <x:v>-1</x:v>
      </x:c>
      <x:c r="W71" s="10" t="n">
        <x:v>2</x:v>
      </x:c>
      <x:c r="X71" s="10" t="n">
        <x:f>IF(COUNT(AV71,AW71)=2,AV71+AW71,"")</x:f>
        <x:v>7</x:v>
      </x:c>
      <x:c r="Y71" s="10" t="n">
        <x:f>IF(COUNT(X71,W71)=2,X71-W71,"")</x:f>
        <x:v>5</x:v>
      </x:c>
      <x:c r="Z71" s="10" t="n">
        <x:v>1</x:v>
      </x:c>
      <x:c r="AA71" s="10" t="n">
        <x:f>IF(COUNT(AX71,AY71)=2,AX71+AY71,"")</x:f>
        <x:v>0</x:v>
      </x:c>
      <x:c r="AB71" s="10" t="n">
        <x:f>IF(COUNT(AA71,Z71)=2,AA71-Z71,"")</x:f>
        <x:v>-1</x:v>
      </x:c>
      <x:c r="AC71" s="10" t="n">
        <x:v>90</x:v>
      </x:c>
      <x:c r="AD71" s="10" t="n">
        <x:v>89</x:v>
      </x:c>
      <x:c r="AE71" s="10" t="n">
        <x:f>IF(COUNT(AD71,AC71)=2,AD71-AC71,"")</x:f>
        <x:v>-1</x:v>
      </x:c>
      <x:c r="AF71" s="10" t="n">
        <x:v>67</x:v>
      </x:c>
      <x:c r="AG71" s="10" t="n">
        <x:v>24</x:v>
      </x:c>
      <x:c r="AH71" s="10" t="n">
        <x:f>IF(COUNT(AG71,AF71)=2,AG71-AF71,"")</x:f>
        <x:v>-43</x:v>
      </x:c>
      <x:c r="AI71" s="10" t="n">
        <x:v>137</x:v>
      </x:c>
      <x:c r="AJ71" s="10" t="n">
        <x:v>145</x:v>
      </x:c>
      <x:c r="AK71" s="10" t="n">
        <x:f>IF(COUNT(AJ71,AI71)=2,AJ71-AI71,"")</x:f>
        <x:v>8</x:v>
      </x:c>
      <x:c r="AL71" s="10" t="n">
        <x:v>25</x:v>
      </x:c>
      <x:c r="AM71" s="10" t="n">
        <x:v>25</x:v>
      </x:c>
      <x:c r="AN71" s="4" t="str">
        <x:v>D</x:v>
      </x:c>
      <x:c r="AO71" s="4" t="str">
        <x:v>D</x:v>
      </x:c>
      <x:c r="AP71" s="4" t="str">
        <x:v>PHI</x:v>
      </x:c>
      <x:c r="AQ71" s="4" t="str">
        <x:v>PHI</x:v>
      </x:c>
      <x:c r="AR71" s="4" t="n">
        <x:v>20.98</x:v>
      </x:c>
      <x:c r="AS71" s="4" t="n">
        <x:v>22.533333333333335</x:v>
      </x:c>
      <x:c r="AT71" s="4" t="n">
        <x:v>0.45</x:v>
      </x:c>
      <x:c r="AU71" s="4" t="n">
        <x:v>4.5</x:v>
      </x:c>
      <x:c r="AV71" s="10" t="n">
        <x:v>1</x:v>
      </x:c>
      <x:c r="AW71" s="10" t="n">
        <x:v>6</x:v>
      </x:c>
      <x:c r="AX71" s="10" t="n">
        <x:v>0</x:v>
      </x:c>
      <x:c r="AY71" s="10" t="n">
        <x:v>0</x:v>
      </x:c>
      <x:c r="AZ71" s="10" t="n">
        <x:v>1089</x:v>
      </x:c>
      <x:c r="BA71" s="10" t="n">
        <x:v>1262</x:v>
      </x:c>
      <x:c r="BB71" s="4" t="n">
        <x:v>46.3</x:v>
      </x:c>
      <x:c r="BC71" s="4" t="n">
        <x:v>-2.6</x:v>
      </x:c>
      <x:c r="BD71" s="10" t="n">
        <x:v>800</x:v>
      </x:c>
      <x:c r="BE71" s="10" t="n">
        <x:v>857</x:v>
      </x:c>
      <x:c r="BF71" s="4" t="n">
        <x:v>48.3</x:v>
      </x:c>
      <x:c r="BG71" s="4" t="n">
        <x:v>-1</x:v>
      </x:c>
      <x:c r="BH71" s="4" t="n">
        <x:v>12.6</x:v>
      </x:c>
      <x:c r="BI71" s="4" t="n">
        <x:v>88</x:v>
      </x:c>
      <x:c r="BJ71" s="4" t="n">
        <x:v>100.6</x:v>
      </x:c>
      <x:c r="BK71" s="4" t="n">
        <x:v>45.9</x:v>
      </x:c>
      <x:c r="BL71" s="4" t="n">
        <x:v>54.1</x:v>
      </x:c>
      <x:c r="BM71" s="4" t="n">
        <x:v>22.533333333333335</x:v>
      </x:c>
      <x:c r="BN71" s="4" t="n">
        <x:v>18.133333333333333</x:v>
      </x:c>
      <x:c r="BO71" s="10" t="n">
        <x:v>20</x:v>
      </x:c>
      <x:c r="BP71" s="10" t="n">
        <x:v>67</x:v>
      </x:c>
      <x:c r="BQ71" s="4" t="n">
        <x:v>6.7</x:v>
      </x:c>
      <x:c r="BR71" s="10" t="n">
        <x:v>198</x:v>
      </x:c>
      <x:c r="BS71" s="4" t="n">
        <x:v>44.9</x:v>
      </x:c>
      <x:c r="BT71" s="10" t="n">
        <x:v>74</x:v>
      </x:c>
      <x:c r="BU71" s="4" t="str">
        <x:v>PHI</x:v>
      </x:c>
      <x:c r="BV71" s="10" t="n">
        <x:v>416</x:v>
      </x:c>
      <x:c r="BW71" s="10" t="n">
        <x:v>382</x:v>
      </x:c>
      <x:c r="BX71" s="10" t="n">
        <x:v>1091</x:v>
      </x:c>
      <x:c r="BY71" s="4" t="str">
        <x:v>Cam York</x:v>
      </x:c>
      <x:c r="BZ71" s="4" t="str">
        <x:v>Cameron York</x:v>
      </x:c>
      <x:c r="CA71" s="4" t="str">
        <x:v>Cameron York</x:v>
      </x:c>
      <x:c r="CB71" s="4" t="str">
        <x:v>yorkca01</x:v>
      </x:c>
    </x:row>
    <x:row r="72" ht="22" customHeight="1">
      <x:c r="A72" s="4" t="str">
        <x:v>Carter Verhaeghe</x:v>
      </x:c>
      <x:c r="B72" s="4" t="str">
        <x:v>carterverhaeghe</x:v>
      </x:c>
      <x:c r="C72" s="10" t="n">
        <x:v>1</x:v>
      </x:c>
      <x:c r="D72" s="10" t="n">
        <x:v>1</x:v>
      </x:c>
      <x:c r="E72" s="10" t="n">
        <x:v>1</x:v>
      </x:c>
      <x:c r="F72" s="4" t="n">
        <x:f>IF(COUNT(N72,Q72,T72,W72,Z72,AC72,AF72,AI72)=8,N72*Guide!$E$5+Q72*Guide!$E$6+T72*Guide!$E$7+W72*Guide!$E$8+Z72*Guide!$E$9+AC72*Guide!$E$10+AF72*Guide!$E$11+AI72*Guide!$E$12,"")</x:f>
        <x:v>356.75</x:v>
      </x:c>
      <x:c r="G72" s="4" t="n">
        <x:f>IF(COUNT(O72,R72,U72,X72,AA72,AD72,AG72,AJ72)=8,O72*Guide!$E$5+R72*Guide!$E$6+U72*Guide!$E$7+X72*Guide!$E$8+AA72*Guide!$E$9+AD72*Guide!$E$10+AG72*Guide!$E$11+AJ72*Guide!$E$12,"")</x:f>
        <x:v>267.25</x:v>
      </x:c>
      <x:c r="H72" s="4" t="n">
        <x:f>IF(COUNT(G72,F72)=2,G72-F72,"")</x:f>
        <x:v>-89.5</x:v>
      </x:c>
      <x:c r="I72" s="4" t="n">
        <x:f>IF(AND(ISNUMBER(F72),K72&gt;0),F72/K72,"")</x:f>
        <x:v>4.459375</x:v>
      </x:c>
      <x:c r="J72" s="4" t="n">
        <x:f>IF(AND(ISNUMBER(G72),L72&gt;0),G72/L72,"")</x:f>
        <x:v>3.470779220779221</x:v>
      </x:c>
      <x:c r="K72" s="10" t="n">
        <x:v>80</x:v>
      </x:c>
      <x:c r="L72" s="10" t="n">
        <x:v>77</x:v>
      </x:c>
      <x:c r="M72" s="10" t="n">
        <x:f>IF(COUNT(L72,K72)=2,L72-K72,"")</x:f>
        <x:v>-3</x:v>
      </x:c>
      <x:c r="N72" s="10" t="n">
        <x:v>30</x:v>
      </x:c>
      <x:c r="O72" s="10" t="n">
        <x:v>25</x:v>
      </x:c>
      <x:c r="P72" s="10" t="n">
        <x:f>IF(COUNT(O72,N72)=2,O72-N72,"")</x:f>
        <x:v>-5</x:v>
      </x:c>
      <x:c r="Q72" s="10" t="n">
        <x:v>37</x:v>
      </x:c>
      <x:c r="R72" s="10" t="n">
        <x:v>30</x:v>
      </x:c>
      <x:c r="S72" s="10" t="n">
        <x:f>IF(COUNT(R72,Q72)=2,R72-Q72,"")</x:f>
        <x:v>-7</x:v>
      </x:c>
      <x:c r="T72" s="10" t="n">
        <x:v>11</x:v>
      </x:c>
      <x:c r="U72" s="10" t="n">
        <x:v>-14</x:v>
      </x:c>
      <x:c r="V72" s="10" t="n">
        <x:f>IF(COUNT(U72,T72)=2,U72-T72,"")</x:f>
        <x:v>-25</x:v>
      </x:c>
      <x:c r="W72" s="10" t="n">
        <x:v>17</x:v>
      </x:c>
      <x:c r="X72" s="10" t="n">
        <x:f>IF(COUNT(AV72,AW72)=2,AV72+AW72,"")</x:f>
        <x:v>11</x:v>
      </x:c>
      <x:c r="Y72" s="10" t="n">
        <x:f>IF(COUNT(X72,W72)=2,X72-W72,"")</x:f>
        <x:v>-6</x:v>
      </x:c>
      <x:c r="Z72" s="10" t="n">
        <x:v>0</x:v>
      </x:c>
      <x:c r="AA72" s="10" t="n">
        <x:f>IF(COUNT(AX72,AY72)=2,AX72+AY72,"")</x:f>
        <x:v>0</x:v>
      </x:c>
      <x:c r="AB72" s="10" t="n">
        <x:f>IF(COUNT(AA72,Z72)=2,AA72-Z72,"")</x:f>
        <x:v>0</x:v>
      </x:c>
      <x:c r="AC72" s="10" t="n">
        <x:v>228</x:v>
      </x:c>
      <x:c r="AD72" s="10" t="n">
        <x:v>187</x:v>
      </x:c>
      <x:c r="AE72" s="10" t="n">
        <x:f>IF(COUNT(AD72,AC72)=2,AD72-AC72,"")</x:f>
        <x:v>-41</x:v>
      </x:c>
      <x:c r="AF72" s="10" t="n">
        <x:v>79</x:v>
      </x:c>
      <x:c r="AG72" s="10" t="n">
        <x:v>68</x:v>
      </x:c>
      <x:c r="AH72" s="10" t="n">
        <x:f>IF(COUNT(AG72,AF72)=2,AG72-AF72,"")</x:f>
        <x:v>-11</x:v>
      </x:c>
      <x:c r="AI72" s="10" t="n">
        <x:v>28</x:v>
      </x:c>
      <x:c r="AJ72" s="10" t="n">
        <x:v>22</x:v>
      </x:c>
      <x:c r="AK72" s="10" t="n">
        <x:f>IF(COUNT(AJ72,AI72)=2,AJ72-AI72,"")</x:f>
        <x:v>-6</x:v>
      </x:c>
      <x:c r="AL72" s="10" t="n">
        <x:v>30</x:v>
      </x:c>
      <x:c r="AM72" s="10" t="n">
        <x:v>30</x:v>
      </x:c>
      <x:c r="AN72" s="4" t="str">
        <x:v>LW</x:v>
      </x:c>
      <x:c r="AO72" s="4" t="str">
        <x:v>C</x:v>
      </x:c>
      <x:c r="AP72" s="4" t="str">
        <x:v>FLA</x:v>
      </x:c>
      <x:c r="AQ72" s="4" t="str">
        <x:v>FLA</x:v>
      </x:c>
      <x:c r="AR72" s="4" t="n">
        <x:v>17.669999999999998</x:v>
      </x:c>
      <x:c r="AS72" s="4" t="n">
        <x:v>17.616666666666667</x:v>
      </x:c>
      <x:c r="AT72" s="4" t="n">
        <x:v>2.53</x:v>
      </x:c>
      <x:c r="AU72" s="4" t="n">
        <x:v>13.4</x:v>
      </x:c>
      <x:c r="AV72" s="10" t="n">
        <x:v>6</x:v>
      </x:c>
      <x:c r="AW72" s="10" t="n">
        <x:v>5</x:v>
      </x:c>
      <x:c r="AX72" s="10" t="n">
        <x:v>0</x:v>
      </x:c>
      <x:c r="AY72" s="10" t="n">
        <x:v>0</x:v>
      </x:c>
      <x:c r="AZ72" s="10" t="n">
        <x:v>1313</x:v>
      </x:c>
      <x:c r="BA72" s="10" t="n">
        <x:v>1060</x:v>
      </x:c>
      <x:c r="BB72" s="4" t="n">
        <x:v>55.3</x:v>
      </x:c>
      <x:c r="BC72" s="4" t="n">
        <x:v>4.8</x:v>
      </x:c>
      <x:c r="BD72" s="10" t="n">
        <x:v>941</x:v>
      </x:c>
      <x:c r="BE72" s="10" t="n">
        <x:v>834</x:v>
      </x:c>
      <x:c r="BF72" s="4" t="n">
        <x:v>53</x:v>
      </x:c>
      <x:c r="BG72" s="4" t="n">
        <x:v>2.7</x:v>
      </x:c>
      <x:c r="BH72" s="4" t="n">
        <x:v>10.6</x:v>
      </x:c>
      <x:c r="BI72" s="4" t="n">
        <x:v>86.2</x:v>
      </x:c>
      <x:c r="BJ72" s="4" t="n">
        <x:v>96.9</x:v>
      </x:c>
      <x:c r="BK72" s="4" t="n">
        <x:v>57</x:v>
      </x:c>
      <x:c r="BL72" s="4" t="n">
        <x:v>43</x:v>
      </x:c>
      <x:c r="BM72" s="4" t="n">
        <x:v>17.616666666666667</x:v>
      </x:c>
      <x:c r="BN72" s="4" t="n">
        <x:v>14.883333333333333</x:v>
      </x:c>
      <x:c r="BO72" s="10" t="n">
        <x:v>29</x:v>
      </x:c>
      <x:c r="BP72" s="10" t="n">
        <x:v>66</x:v>
      </x:c>
      <x:c r="BQ72" s="4" t="n">
        <x:v>5.5</x:v>
      </x:c>
      <x:c r="BR72" s="10" t="n">
        <x:v>384</x:v>
      </x:c>
      <x:c r="BS72" s="4" t="n">
        <x:v>48.7</x:v>
      </x:c>
      <x:c r="BT72" s="10" t="n">
        <x:v>77</x:v>
      </x:c>
      <x:c r="BU72" s="4" t="str">
        <x:v>FLA</x:v>
      </x:c>
      <x:c r="BV72" s="10" t="n">
        <x:v>55</x:v>
      </x:c>
      <x:c r="BW72" s="10" t="n">
        <x:v>114</x:v>
      </x:c>
      <x:c r="BX72" s="10" t="n">
        <x:v>1049</x:v>
      </x:c>
      <x:c r="BY72" s="4" t="str">
        <x:v>Carter Verhaeghe</x:v>
      </x:c>
      <x:c r="BZ72" s="4" t="str">
        <x:v>Carter Verhaeghe</x:v>
      </x:c>
      <x:c r="CA72" s="4" t="str">
        <x:v>Carter Verhaeghe</x:v>
      </x:c>
      <x:c r="CB72" s="4" t="str">
        <x:v>verhaca01</x:v>
      </x:c>
    </x:row>
    <x:row r="73" ht="22" customHeight="1">
      <x:c r="A73" s="4" t="str">
        <x:v>Casey Cizikas</x:v>
      </x:c>
      <x:c r="B73" s="4" t="str">
        <x:v>caseycizikas</x:v>
      </x:c>
      <x:c r="C73" s="10" t="n">
        <x:v>1</x:v>
      </x:c>
      <x:c r="D73" s="10" t="n">
        <x:v>1</x:v>
      </x:c>
      <x:c r="E73" s="10" t="n">
        <x:v>1</x:v>
      </x:c>
      <x:c r="F73" s="4" t="n">
        <x:f>IF(COUNT(N73,Q73,T73,W73,Z73,AC73,AF73,AI73)=8,N73*Guide!$E$5+Q73*Guide!$E$6+T73*Guide!$E$7+W73*Guide!$E$8+Z73*Guide!$E$9+AC73*Guide!$E$10+AF73*Guide!$E$11+AI73*Guide!$E$12,"")</x:f>
        <x:v>186</x:v>
      </x:c>
      <x:c r="G73" s="4" t="n">
        <x:f>IF(COUNT(O73,R73,U73,X73,AA73,AD73,AG73,AJ73)=8,O73*Guide!$E$5+R73*Guide!$E$6+U73*Guide!$E$7+X73*Guide!$E$8+AA73*Guide!$E$9+AD73*Guide!$E$10+AG73*Guide!$E$11+AJ73*Guide!$E$12,"")</x:f>
        <x:v>168</x:v>
      </x:c>
      <x:c r="H73" s="4" t="n">
        <x:f>IF(COUNT(G73,F73)=2,G73-F73,"")</x:f>
        <x:v>-18</x:v>
      </x:c>
      <x:c r="I73" s="4" t="n">
        <x:f>IF(AND(ISNUMBER(F73),K73&gt;0),F73/K73,"")</x:f>
        <x:v>2.325</x:v>
      </x:c>
      <x:c r="J73" s="4" t="n">
        <x:f>IF(AND(ISNUMBER(G73),L73&gt;0),G73/L73,"")</x:f>
        <x:v>2.074074074074074</x:v>
      </x:c>
      <x:c r="K73" s="10" t="n">
        <x:v>80</x:v>
      </x:c>
      <x:c r="L73" s="10" t="n">
        <x:v>81</x:v>
      </x:c>
      <x:c r="M73" s="10" t="n">
        <x:f>IF(COUNT(L73,K73)=2,L73-K73,"")</x:f>
        <x:v>1</x:v>
      </x:c>
      <x:c r="N73" s="10" t="n">
        <x:v>9</x:v>
      </x:c>
      <x:c r="O73" s="10" t="n">
        <x:v>10</x:v>
      </x:c>
      <x:c r="P73" s="10" t="n">
        <x:f>IF(COUNT(O73,N73)=2,O73-N73,"")</x:f>
        <x:v>1</x:v>
      </x:c>
      <x:c r="Q73" s="10" t="n">
        <x:v>12</x:v>
      </x:c>
      <x:c r="R73" s="10" t="n">
        <x:v>8</x:v>
      </x:c>
      <x:c r="S73" s="10" t="n">
        <x:f>IF(COUNT(R73,Q73)=2,R73-Q73,"")</x:f>
        <x:v>-4</x:v>
      </x:c>
      <x:c r="T73" s="10" t="n">
        <x:v>-6</x:v>
      </x:c>
      <x:c r="U73" s="10" t="n">
        <x:v>-3</x:v>
      </x:c>
      <x:c r="V73" s="10" t="n">
        <x:f>IF(COUNT(U73,T73)=2,U73-T73,"")</x:f>
        <x:v>3</x:v>
      </x:c>
      <x:c r="W73" s="10" t="n">
        <x:v>1</x:v>
      </x:c>
      <x:c r="X73" s="10" t="n">
        <x:f>IF(COUNT(AV73,AW73)=2,AV73+AW73,"")</x:f>
        <x:v>0</x:v>
      </x:c>
      <x:c r="Y73" s="10" t="n">
        <x:f>IF(COUNT(X73,W73)=2,X73-W73,"")</x:f>
        <x:v>-1</x:v>
      </x:c>
      <x:c r="Z73" s="10" t="n">
        <x:v>1</x:v>
      </x:c>
      <x:c r="AA73" s="10" t="n">
        <x:f>IF(COUNT(AX73,AY73)=2,AX73+AY73,"")</x:f>
        <x:v>2</x:v>
      </x:c>
      <x:c r="AB73" s="10" t="n">
        <x:f>IF(COUNT(AA73,Z73)=2,AA73-Z73,"")</x:f>
        <x:v>1</x:v>
      </x:c>
      <x:c r="AC73" s="10" t="n">
        <x:v>91</x:v>
      </x:c>
      <x:c r="AD73" s="10" t="n">
        <x:v>80</x:v>
      </x:c>
      <x:c r="AE73" s="10" t="n">
        <x:f>IF(COUNT(AD73,AC73)=2,AD73-AC73,"")</x:f>
        <x:v>-11</x:v>
      </x:c>
      <x:c r="AF73" s="10" t="n">
        <x:v>181</x:v>
      </x:c>
      <x:c r="AG73" s="10" t="n">
        <x:v>153</x:v>
      </x:c>
      <x:c r="AH73" s="10" t="n">
        <x:f>IF(COUNT(AG73,AF73)=2,AG73-AF73,"")</x:f>
        <x:v>-28</x:v>
      </x:c>
      <x:c r="AI73" s="10" t="n">
        <x:v>64</x:v>
      </x:c>
      <x:c r="AJ73" s="10" t="n">
        <x:v>57</x:v>
      </x:c>
      <x:c r="AK73" s="10" t="n">
        <x:f>IF(COUNT(AJ73,AI73)=2,AJ73-AI73,"")</x:f>
        <x:v>-7</x:v>
      </x:c>
      <x:c r="AL73" s="10" t="n">
        <x:v>34</x:v>
      </x:c>
      <x:c r="AM73" s="10" t="n">
        <x:v>34</x:v>
      </x:c>
      <x:c r="AN73" s="4" t="str">
        <x:v>C,LW</x:v>
      </x:c>
      <x:c r="AO73" s="4" t="str">
        <x:v>C</x:v>
      </x:c>
      <x:c r="AP73" s="4" t="str">
        <x:v>NYI</x:v>
      </x:c>
      <x:c r="AQ73" s="4" t="str">
        <x:v>NYI</x:v>
      </x:c>
      <x:c r="AR73" s="4" t="n">
        <x:v>13.110000000000001</x:v>
      </x:c>
      <x:c r="AS73" s="4" t="n">
        <x:v>11.766666666666667</x:v>
      </x:c>
      <x:c r="AT73" s="4" t="n">
        <x:v>0.15</x:v>
      </x:c>
      <x:c r="AU73" s="4" t="n">
        <x:v>12.5</x:v>
      </x:c>
      <x:c r="AV73" s="10" t="n">
        <x:v>0</x:v>
      </x:c>
      <x:c r="AW73" s="10" t="n">
        <x:v>0</x:v>
      </x:c>
      <x:c r="AX73" s="10" t="n">
        <x:v>1</x:v>
      </x:c>
      <x:c r="AY73" s="10" t="n">
        <x:v>1</x:v>
      </x:c>
      <x:c r="AZ73" s="10" t="n">
        <x:v>708</x:v>
      </x:c>
      <x:c r="BA73" s="10" t="n">
        <x:v>753</x:v>
      </x:c>
      <x:c r="BB73" s="4" t="n">
        <x:v>48.5</x:v>
      </x:c>
      <x:c r="BC73" s="4" t="n">
        <x:v>-1.2</x:v>
      </x:c>
      <x:c r="BD73" s="10" t="n">
        <x:v>496</x:v>
      </x:c>
      <x:c r="BE73" s="10" t="n">
        <x:v>512</x:v>
      </x:c>
      <x:c r="BF73" s="4" t="n">
        <x:v>49.2</x:v>
      </x:c>
      <x:c r="BG73" s="4" t="n">
        <x:v>-0.7</x:v>
      </x:c>
      <x:c r="BH73" s="4" t="n">
        <x:v>7.4</x:v>
      </x:c>
      <x:c r="BI73" s="4" t="n">
        <x:v>90.4</x:v>
      </x:c>
      <x:c r="BJ73" s="4" t="n">
        <x:v>97.9</x:v>
      </x:c>
      <x:c r="BK73" s="4" t="n">
        <x:v>46</x:v>
      </x:c>
      <x:c r="BL73" s="4" t="n">
        <x:v>54</x:v>
      </x:c>
      <x:c r="BM73" s="4" t="n">
        <x:v>11.766666666666667</x:v>
      </x:c>
      <x:c r="BN73" s="4" t="n">
        <x:v>10.283333333333333</x:v>
      </x:c>
      <x:c r="BO73" s="10" t="n">
        <x:v>10</x:v>
      </x:c>
      <x:c r="BP73" s="10" t="n">
        <x:v>49</x:v>
      </x:c>
      <x:c r="BQ73" s="4" t="n">
        <x:v>-0.7</x:v>
      </x:c>
      <x:c r="BR73" s="10" t="n">
        <x:v>156</x:v>
      </x:c>
      <x:c r="BS73" s="4" t="n">
        <x:v>51.3</x:v>
      </x:c>
      <x:c r="BT73" s="10" t="n">
        <x:v>81</x:v>
      </x:c>
      <x:c r="BU73" s="4" t="str">
        <x:v>NYI</x:v>
      </x:c>
      <x:c r="BV73" s="10" t="n">
        <x:v>504</x:v>
      </x:c>
      <x:c r="BW73" s="10" t="n">
        <x:v>488</x:v>
      </x:c>
      <x:c r="BX73" s="10" t="n">
        <x:v>159</x:v>
      </x:c>
      <x:c r="BY73" s="4" t="str">
        <x:v>Casey Cizikas</x:v>
      </x:c>
      <x:c r="BZ73" s="4" t="str">
        <x:v>Casey Cizikas</x:v>
      </x:c>
      <x:c r="CA73" s="4" t="str">
        <x:v>Casey Cizikas</x:v>
      </x:c>
      <x:c r="CB73" s="4" t="str">
        <x:v>cizikca01</x:v>
      </x:c>
    </x:row>
    <x:row r="74" ht="22" customHeight="1">
      <x:c r="A74" s="4" t="str">
        <x:v>Casey Mittelstadt</x:v>
      </x:c>
      <x:c r="B74" s="4" t="str">
        <x:v>caseymittelstadt</x:v>
      </x:c>
      <x:c r="C74" s="10" t="n">
        <x:v>1</x:v>
      </x:c>
      <x:c r="D74" s="10" t="n">
        <x:v>1</x:v>
      </x:c>
      <x:c r="E74" s="10" t="n">
        <x:v>1</x:v>
      </x:c>
      <x:c r="F74" s="4" t="n">
        <x:f>IF(COUNT(N74,Q74,T74,W74,Z74,AC74,AF74,AI74)=8,N74*Guide!$E$5+Q74*Guide!$E$6+T74*Guide!$E$7+W74*Guide!$E$8+Z74*Guide!$E$9+AC74*Guide!$E$10+AF74*Guide!$E$11+AI74*Guide!$E$12,"")</x:f>
        <x:v>232.75</x:v>
      </x:c>
      <x:c r="G74" s="4" t="n">
        <x:f>IF(COUNT(O74,R74,U74,X74,AA74,AD74,AG74,AJ74)=8,O74*Guide!$E$5+R74*Guide!$E$6+U74*Guide!$E$7+X74*Guide!$E$8+AA74*Guide!$E$9+AD74*Guide!$E$10+AG74*Guide!$E$11+AJ74*Guide!$E$12,"")</x:f>
        <x:v>201.25</x:v>
      </x:c>
      <x:c r="H74" s="4" t="n">
        <x:f>IF(COUNT(G74,F74)=2,G74-F74,"")</x:f>
        <x:v>-31.5</x:v>
      </x:c>
      <x:c r="I74" s="4" t="n">
        <x:f>IF(AND(ISNUMBER(F74),K74&gt;0),F74/K74,"")</x:f>
        <x:v>2.873456790123457</x:v>
      </x:c>
      <x:c r="J74" s="4" t="n">
        <x:f>IF(AND(ISNUMBER(G74),L74&gt;0),G74/L74,"")</x:f>
        <x:v>2.834507042253521</x:v>
      </x:c>
      <x:c r="K74" s="10" t="n">
        <x:v>81</x:v>
      </x:c>
      <x:c r="L74" s="10" t="n">
        <x:v>71</x:v>
      </x:c>
      <x:c r="M74" s="10" t="n">
        <x:f>IF(COUNT(L74,K74)=2,L74-K74,"")</x:f>
        <x:v>-10</x:v>
      </x:c>
      <x:c r="N74" s="10" t="n">
        <x:v>16</x:v>
      </x:c>
      <x:c r="O74" s="10" t="n">
        <x:v>15</x:v>
      </x:c>
      <x:c r="P74" s="10" t="n">
        <x:f>IF(COUNT(O74,N74)=2,O74-N74,"")</x:f>
        <x:v>-1</x:v>
      </x:c>
      <x:c r="Q74" s="10" t="n">
        <x:v>35</x:v>
      </x:c>
      <x:c r="R74" s="10" t="n">
        <x:v>27</x:v>
      </x:c>
      <x:c r="S74" s="10" t="n">
        <x:f>IF(COUNT(R74,Q74)=2,R74-Q74,"")</x:f>
        <x:v>-8</x:v>
      </x:c>
      <x:c r="T74" s="10" t="n">
        <x:v>-9</x:v>
      </x:c>
      <x:c r="U74" s="10" t="n">
        <x:v>12</x:v>
      </x:c>
      <x:c r="V74" s="10" t="n">
        <x:f>IF(COUNT(U74,T74)=2,U74-T74,"")</x:f>
        <x:v>21</x:v>
      </x:c>
      <x:c r="W74" s="10" t="n">
        <x:v>14</x:v>
      </x:c>
      <x:c r="X74" s="10" t="n">
        <x:f>IF(COUNT(AV74,AW74)=2,AV74+AW74,"")</x:f>
        <x:v>7</x:v>
      </x:c>
      <x:c r="Y74" s="10" t="n">
        <x:f>IF(COUNT(X74,W74)=2,X74-W74,"")</x:f>
        <x:v>-7</x:v>
      </x:c>
      <x:c r="Z74" s="10" t="n">
        <x:v>0</x:v>
      </x:c>
      <x:c r="AA74" s="10" t="n">
        <x:f>IF(COUNT(AX74,AY74)=2,AX74+AY74,"")</x:f>
        <x:v>0</x:v>
      </x:c>
      <x:c r="AB74" s="10" t="n">
        <x:f>IF(COUNT(AA74,Z74)=2,AA74-Z74,"")</x:f>
        <x:v>0</x:v>
      </x:c>
      <x:c r="AC74" s="10" t="n">
        <x:v>112</x:v>
      </x:c>
      <x:c r="AD74" s="10" t="n">
        <x:v>79</x:v>
      </x:c>
      <x:c r="AE74" s="10" t="n">
        <x:f>IF(COUNT(AD74,AC74)=2,AD74-AC74,"")</x:f>
        <x:v>-33</x:v>
      </x:c>
      <x:c r="AF74" s="10" t="n">
        <x:v>30</x:v>
      </x:c>
      <x:c r="AG74" s="10" t="n">
        <x:v>23</x:v>
      </x:c>
      <x:c r="AH74" s="10" t="n">
        <x:f>IF(COUNT(AG74,AF74)=2,AG74-AF74,"")</x:f>
        <x:v>-7</x:v>
      </x:c>
      <x:c r="AI74" s="10" t="n">
        <x:v>31</x:v>
      </x:c>
      <x:c r="AJ74" s="10" t="n">
        <x:v>21</x:v>
      </x:c>
      <x:c r="AK74" s="10" t="n">
        <x:f>IF(COUNT(AJ74,AI74)=2,AJ74-AI74,"")</x:f>
        <x:v>-10</x:v>
      </x:c>
      <x:c r="AL74" s="10" t="n">
        <x:v>27</x:v>
      </x:c>
      <x:c r="AM74" s="10" t="n">
        <x:v>27</x:v>
      </x:c>
      <x:c r="AN74" s="4" t="str">
        <x:v>C</x:v>
      </x:c>
      <x:c r="AO74" s="4" t="str">
        <x:v>C</x:v>
      </x:c>
      <x:c r="AP74" s="4" t="str">
        <x:v>BOS</x:v>
      </x:c>
      <x:c r="AQ74" s="4" t="str">
        <x:v>BOS</x:v>
      </x:c>
      <x:c r="AR74" s="4" t="n">
        <x:v>17.060000000000002</x:v>
      </x:c>
      <x:c r="AS74" s="4" t="n">
        <x:v>15.166666666666666</x:v>
      </x:c>
      <x:c r="AT74" s="4" t="n">
        <x:v>2.27</x:v>
      </x:c>
      <x:c r="AU74" s="4" t="n">
        <x:v>19</x:v>
      </x:c>
      <x:c r="AV74" s="10" t="n">
        <x:v>2</x:v>
      </x:c>
      <x:c r="AW74" s="10" t="n">
        <x:v>5</x:v>
      </x:c>
      <x:c r="AX74" s="10" t="n">
        <x:v>0</x:v>
      </x:c>
      <x:c r="AY74" s="10" t="n">
        <x:v>0</x:v>
      </x:c>
      <x:c r="AZ74" s="10" t="n">
        <x:v>910</x:v>
      </x:c>
      <x:c r="BA74" s="10" t="n">
        <x:v>916</x:v>
      </x:c>
      <x:c r="BB74" s="4" t="n">
        <x:v>49.8</x:v>
      </x:c>
      <x:c r="BC74" s="4" t="n">
        <x:v>1.2</x:v>
      </x:c>
      <x:c r="BD74" s="10" t="n">
        <x:v>678</x:v>
      </x:c>
      <x:c r="BE74" s="10" t="n">
        <x:v>663</x:v>
      </x:c>
      <x:c r="BF74" s="4" t="n">
        <x:v>50.6</x:v>
      </x:c>
      <x:c r="BG74" s="4" t="n">
        <x:v>1.9</x:v>
      </x:c>
      <x:c r="BH74" s="4" t="n">
        <x:v>14.3</x:v>
      </x:c>
      <x:c r="BI74" s="4" t="n">
        <x:v>89.3</x:v>
      </x:c>
      <x:c r="BJ74" s="4" t="n">
        <x:v>103.6</x:v>
      </x:c>
      <x:c r="BK74" s="4" t="n">
        <x:v>44.9</x:v>
      </x:c>
      <x:c r="BL74" s="4" t="n">
        <x:v>55.1</x:v>
      </x:c>
      <x:c r="BM74" s="4" t="n">
        <x:v>15.166666666666666</x:v>
      </x:c>
      <x:c r="BN74" s="4" t="n">
        <x:v>13.433333333333334</x:v>
      </x:c>
      <x:c r="BO74" s="10" t="n">
        <x:v>12</x:v>
      </x:c>
      <x:c r="BP74" s="10" t="n">
        <x:v>74</x:v>
      </x:c>
      <x:c r="BQ74" s="4" t="n">
        <x:v>-3.9</x:v>
      </x:c>
      <x:c r="BR74" s="10" t="n">
        <x:v>160</x:v>
      </x:c>
      <x:c r="BS74" s="4" t="n">
        <x:v>49.4</x:v>
      </x:c>
      <x:c r="BT74" s="10" t="n">
        <x:v>71</x:v>
      </x:c>
      <x:c r="BU74" s="4" t="str">
        <x:v>BOS</x:v>
      </x:c>
      <x:c r="BV74" s="10" t="n">
        <x:v>148</x:v>
      </x:c>
      <x:c r="BW74" s="10" t="n">
        <x:v>199</x:v>
      </x:c>
      <x:c r="BX74" s="10" t="n">
        <x:v>707</x:v>
      </x:c>
      <x:c r="BY74" s="4" t="str">
        <x:v>Casey Mittelstadt</x:v>
      </x:c>
      <x:c r="BZ74" s="4" t="str">
        <x:v>Casey Mittelstadt</x:v>
      </x:c>
      <x:c r="CA74" s="4" t="str">
        <x:v>Casey Mittelstadt</x:v>
      </x:c>
      <x:c r="CB74" s="4" t="str">
        <x:v>mitteca01</x:v>
      </x:c>
    </x:row>
    <x:row r="75" ht="22" customHeight="1">
      <x:c r="A75" s="4" t="str">
        <x:v>Chandler Stephenson</x:v>
      </x:c>
      <x:c r="B75" s="4" t="str">
        <x:v>chandlerstephenson</x:v>
      </x:c>
      <x:c r="C75" s="10" t="n">
        <x:v>1</x:v>
      </x:c>
      <x:c r="D75" s="10" t="n">
        <x:v>1</x:v>
      </x:c>
      <x:c r="E75" s="10" t="n">
        <x:v>1</x:v>
      </x:c>
      <x:c r="F75" s="4" t="n">
        <x:f>IF(COUNT(N75,Q75,T75,W75,Z75,AC75,AF75,AI75)=8,N75*Guide!$E$5+Q75*Guide!$E$6+T75*Guide!$E$7+W75*Guide!$E$8+Z75*Guide!$E$9+AC75*Guide!$E$10+AF75*Guide!$E$11+AI75*Guide!$E$12,"")</x:f>
        <x:v>217.75</x:v>
      </x:c>
      <x:c r="G75" s="4" t="n">
        <x:f>IF(COUNT(O75,R75,U75,X75,AA75,AD75,AG75,AJ75)=8,O75*Guide!$E$5+R75*Guide!$E$6+U75*Guide!$E$7+X75*Guide!$E$8+AA75*Guide!$E$9+AD75*Guide!$E$10+AG75*Guide!$E$11+AJ75*Guide!$E$12,"")</x:f>
        <x:v>231.25</x:v>
      </x:c>
      <x:c r="H75" s="4" t="n">
        <x:f>IF(COUNT(G75,F75)=2,G75-F75,"")</x:f>
        <x:v>13.5</x:v>
      </x:c>
      <x:c r="I75" s="4" t="n">
        <x:f>IF(AND(ISNUMBER(F75),K75&gt;0),F75/K75,"")</x:f>
        <x:v>2.9033333333333333</x:v>
      </x:c>
      <x:c r="J75" s="4" t="n">
        <x:f>IF(AND(ISNUMBER(G75),L75&gt;0),G75/L75,"")</x:f>
        <x:v>2.890625</x:v>
      </x:c>
      <x:c r="K75" s="10" t="n">
        <x:v>75</x:v>
      </x:c>
      <x:c r="L75" s="10" t="n">
        <x:v>80</x:v>
      </x:c>
      <x:c r="M75" s="10" t="n">
        <x:f>IF(COUNT(L75,K75)=2,L75-K75,"")</x:f>
        <x:v>5</x:v>
      </x:c>
      <x:c r="N75" s="10" t="n">
        <x:v>12</x:v>
      </x:c>
      <x:c r="O75" s="10" t="n">
        <x:v>16</x:v>
      </x:c>
      <x:c r="P75" s="10" t="n">
        <x:f>IF(COUNT(O75,N75)=2,O75-N75,"")</x:f>
        <x:v>4</x:v>
      </x:c>
      <x:c r="Q75" s="10" t="n">
        <x:v>34</x:v>
      </x:c>
      <x:c r="R75" s="10" t="n">
        <x:v>33</x:v>
      </x:c>
      <x:c r="S75" s="10" t="n">
        <x:f>IF(COUNT(R75,Q75)=2,R75-Q75,"")</x:f>
        <x:v>-1</x:v>
      </x:c>
      <x:c r="T75" s="10" t="n">
        <x:v>-13</x:v>
      </x:c>
      <x:c r="U75" s="10" t="n">
        <x:v>-24</x:v>
      </x:c>
      <x:c r="V75" s="10" t="n">
        <x:f>IF(COUNT(U75,T75)=2,U75-T75,"")</x:f>
        <x:v>-11</x:v>
      </x:c>
      <x:c r="W75" s="10" t="n">
        <x:v>11</x:v>
      </x:c>
      <x:c r="X75" s="10" t="n">
        <x:f>IF(COUNT(AV75,AW75)=2,AV75+AW75,"")</x:f>
        <x:v>16</x:v>
      </x:c>
      <x:c r="Y75" s="10" t="n">
        <x:f>IF(COUNT(X75,W75)=2,X75-W75,"")</x:f>
        <x:v>5</x:v>
      </x:c>
      <x:c r="Z75" s="10" t="n">
        <x:v>2</x:v>
      </x:c>
      <x:c r="AA75" s="10" t="n">
        <x:f>IF(COUNT(AX75,AY75)=2,AX75+AY75,"")</x:f>
        <x:v>2</x:v>
      </x:c>
      <x:c r="AB75" s="10" t="n">
        <x:f>IF(COUNT(AA75,Z75)=2,AA75-Z75,"")</x:f>
        <x:v>0</x:v>
      </x:c>
      <x:c r="AC75" s="10" t="n">
        <x:v>75</x:v>
      </x:c>
      <x:c r="AD75" s="10" t="n">
        <x:v>93</x:v>
      </x:c>
      <x:c r="AE75" s="10" t="n">
        <x:f>IF(COUNT(AD75,AC75)=2,AD75-AC75,"")</x:f>
        <x:v>18</x:v>
      </x:c>
      <x:c r="AF75" s="10" t="n">
        <x:v>39</x:v>
      </x:c>
      <x:c r="AG75" s="10" t="n">
        <x:v>20</x:v>
      </x:c>
      <x:c r="AH75" s="10" t="n">
        <x:f>IF(COUNT(AG75,AF75)=2,AG75-AF75,"")</x:f>
        <x:v>-19</x:v>
      </x:c>
      <x:c r="AI75" s="10" t="n">
        <x:v>47</x:v>
      </x:c>
      <x:c r="AJ75" s="10" t="n">
        <x:v>56</x:v>
      </x:c>
      <x:c r="AK75" s="10" t="n">
        <x:f>IF(COUNT(AJ75,AI75)=2,AJ75-AI75,"")</x:f>
        <x:v>9</x:v>
      </x:c>
      <x:c r="AL75" s="10" t="n">
        <x:v>31</x:v>
      </x:c>
      <x:c r="AM75" s="10" t="n">
        <x:v>31</x:v>
      </x:c>
      <x:c r="AN75" s="4" t="str">
        <x:v>C</x:v>
      </x:c>
      <x:c r="AO75" s="4" t="str">
        <x:v>C</x:v>
      </x:c>
      <x:c r="AP75" s="4" t="str">
        <x:v>SEA</x:v>
      </x:c>
      <x:c r="AQ75" s="4" t="str">
        <x:v>SEA</x:v>
      </x:c>
      <x:c r="AR75" s="4" t="n">
        <x:v>18.53</x:v>
      </x:c>
      <x:c r="AS75" s="4" t="n">
        <x:v>19.383333333333333</x:v>
      </x:c>
      <x:c r="AT75" s="4" t="n">
        <x:v>2</x:v>
      </x:c>
      <x:c r="AU75" s="4" t="n">
        <x:v>17.2</x:v>
      </x:c>
      <x:c r="AV75" s="10" t="n">
        <x:v>6</x:v>
      </x:c>
      <x:c r="AW75" s="10" t="n">
        <x:v>10</x:v>
      </x:c>
      <x:c r="AX75" s="10" t="n">
        <x:v>0</x:v>
      </x:c>
      <x:c r="AY75" s="10" t="n">
        <x:v>2</x:v>
      </x:c>
      <x:c r="AZ75" s="10" t="n">
        <x:v>993</x:v>
      </x:c>
      <x:c r="BA75" s="10" t="n">
        <x:v>1442</x:v>
      </x:c>
      <x:c r="BB75" s="4" t="n">
        <x:v>40.8</x:v>
      </x:c>
      <x:c r="BC75" s="4" t="n">
        <x:v>-7</x:v>
      </x:c>
      <x:c r="BD75" s="10" t="n">
        <x:v>712</x:v>
      </x:c>
      <x:c r="BE75" s="10" t="n">
        <x:v>1057</x:v>
      </x:c>
      <x:c r="BF75" s="4" t="n">
        <x:v>40.2</x:v>
      </x:c>
      <x:c r="BG75" s="4" t="n">
        <x:v>-8.1</x:v>
      </x:c>
      <x:c r="BH75" s="4" t="n">
        <x:v>9.7</x:v>
      </x:c>
      <x:c r="BI75" s="4" t="n">
        <x:v>90.2</x:v>
      </x:c>
      <x:c r="BJ75" s="4" t="n">
        <x:v>99.9</x:v>
      </x:c>
      <x:c r="BK75" s="4" t="n">
        <x:v>34.4</x:v>
      </x:c>
      <x:c r="BL75" s="4" t="n">
        <x:v>65.6</x:v>
      </x:c>
      <x:c r="BM75" s="4" t="n">
        <x:v>19.383333333333333</x:v>
      </x:c>
      <x:c r="BN75" s="4" t="n">
        <x:v>14.866666666666667</x:v>
      </x:c>
      <x:c r="BO75" s="10" t="n">
        <x:v>32</x:v>
      </x:c>
      <x:c r="BP75" s="10" t="n">
        <x:v>67</x:v>
      </x:c>
      <x:c r="BQ75" s="4" t="n">
        <x:v>-16.7</x:v>
      </x:c>
      <x:c r="BR75" s="10" t="n">
        <x:v>159</x:v>
      </x:c>
      <x:c r="BS75" s="4" t="n">
        <x:v>58.5</x:v>
      </x:c>
      <x:c r="BT75" s="10" t="n">
        <x:v>80</x:v>
      </x:c>
      <x:c r="BU75" s="4" t="str">
        <x:v>SEA</x:v>
      </x:c>
      <x:c r="BV75" s="10" t="n">
        <x:v>196</x:v>
      </x:c>
      <x:c r="BW75" s="10" t="n">
        <x:v>152</x:v>
      </x:c>
      <x:c r="BX75" s="10" t="n">
        <x:v>983</x:v>
      </x:c>
      <x:c r="BY75" s="4" t="str">
        <x:v>Chandler Stephenson</x:v>
      </x:c>
      <x:c r="BZ75" s="4" t="str">
        <x:v>Chandler Stephenson</x:v>
      </x:c>
      <x:c r="CA75" s="4" t="str">
        <x:v>Chandler Stephenson</x:v>
      </x:c>
      <x:c r="CB75" s="4" t="str">
        <x:v>stephch02</x:v>
      </x:c>
    </x:row>
    <x:row r="76" ht="22" customHeight="1">
      <x:c r="A76" s="4" t="str">
        <x:v>Charlie Coyle</x:v>
      </x:c>
      <x:c r="B76" s="4" t="str">
        <x:v>charliecoyle</x:v>
      </x:c>
      <x:c r="C76" s="10" t="n">
        <x:v>1</x:v>
      </x:c>
      <x:c r="D76" s="10" t="n">
        <x:v>1</x:v>
      </x:c>
      <x:c r="E76" s="10" t="n">
        <x:v>1</x:v>
      </x:c>
      <x:c r="F76" s="4" t="n">
        <x:f>IF(COUNT(N76,Q76,T76,W76,Z76,AC76,AF76,AI76)=8,N76*Guide!$E$5+Q76*Guide!$E$6+T76*Guide!$E$7+W76*Guide!$E$8+Z76*Guide!$E$9+AC76*Guide!$E$10+AF76*Guide!$E$11+AI76*Guide!$E$12,"")</x:f>
        <x:v>240.75</x:v>
      </x:c>
      <x:c r="G76" s="4" t="n">
        <x:f>IF(COUNT(O76,R76,U76,X76,AA76,AD76,AG76,AJ76)=8,O76*Guide!$E$5+R76*Guide!$E$6+U76*Guide!$E$7+X76*Guide!$E$8+AA76*Guide!$E$9+AD76*Guide!$E$10+AG76*Guide!$E$11+AJ76*Guide!$E$12,"")</x:f>
        <x:v>313.5</x:v>
      </x:c>
      <x:c r="H76" s="4" t="n">
        <x:f>IF(COUNT(G76,F76)=2,G76-F76,"")</x:f>
        <x:v>72.75</x:v>
      </x:c>
      <x:c r="I76" s="4" t="n">
        <x:f>IF(AND(ISNUMBER(F76),K76&gt;0),F76/K76,"")</x:f>
        <x:v>2.9359756097560976</x:v>
      </x:c>
      <x:c r="J76" s="4" t="n">
        <x:f>IF(AND(ISNUMBER(G76),L76&gt;0),G76/L76,"")</x:f>
        <x:v>3.823170731707317</x:v>
      </x:c>
      <x:c r="K76" s="10" t="n">
        <x:v>82</x:v>
      </x:c>
      <x:c r="L76" s="10" t="n">
        <x:v>82</x:v>
      </x:c>
      <x:c r="M76" s="10" t="n">
        <x:f>IF(COUNT(L76,K76)=2,L76-K76,"")</x:f>
        <x:v>0</x:v>
      </x:c>
      <x:c r="N76" s="10" t="n">
        <x:v>16</x:v>
      </x:c>
      <x:c r="O76" s="10" t="n">
        <x:v>20</x:v>
      </x:c>
      <x:c r="P76" s="10" t="n">
        <x:f>IF(COUNT(O76,N76)=2,O76-N76,"")</x:f>
        <x:v>4</x:v>
      </x:c>
      <x:c r="Q76" s="10" t="n">
        <x:v>24</x:v>
      </x:c>
      <x:c r="R76" s="10" t="n">
        <x:v>38</x:v>
      </x:c>
      <x:c r="S76" s="10" t="n">
        <x:f>IF(COUNT(R76,Q76)=2,R76-Q76,"")</x:f>
        <x:v>14</x:v>
      </x:c>
      <x:c r="T76" s="10" t="n">
        <x:v>-1</x:v>
      </x:c>
      <x:c r="U76" s="10" t="n">
        <x:v>3</x:v>
      </x:c>
      <x:c r="V76" s="10" t="n">
        <x:f>IF(COUNT(U76,T76)=2,U76-T76,"")</x:f>
        <x:v>4</x:v>
      </x:c>
      <x:c r="W76" s="10" t="n">
        <x:v>3</x:v>
      </x:c>
      <x:c r="X76" s="10" t="n">
        <x:f>IF(COUNT(AV76,AW76)=2,AV76+AW76,"")</x:f>
        <x:v>13</x:v>
      </x:c>
      <x:c r="Y76" s="10" t="n">
        <x:f>IF(COUNT(X76,W76)=2,X76-W76,"")</x:f>
        <x:v>10</x:v>
      </x:c>
      <x:c r="Z76" s="10" t="n">
        <x:v>2</x:v>
      </x:c>
      <x:c r="AA76" s="10" t="n">
        <x:f>IF(COUNT(AX76,AY76)=2,AX76+AY76,"")</x:f>
        <x:v>0</x:v>
      </x:c>
      <x:c r="AB76" s="10" t="n">
        <x:f>IF(COUNT(AA76,Z76)=2,AA76-Z76,"")</x:f>
        <x:v>-2</x:v>
      </x:c>
      <x:c r="AC76" s="10" t="n">
        <x:v>107</x:v>
      </x:c>
      <x:c r="AD76" s="10" t="n">
        <x:v>144</x:v>
      </x:c>
      <x:c r="AE76" s="10" t="n">
        <x:f>IF(COUNT(AD76,AC76)=2,AD76-AC76,"")</x:f>
        <x:v>37</x:v>
      </x:c>
      <x:c r="AF76" s="10" t="n">
        <x:v>100</x:v>
      </x:c>
      <x:c r="AG76" s="10" t="n">
        <x:v>111</x:v>
      </x:c>
      <x:c r="AH76" s="10" t="n">
        <x:f>IF(COUNT(AG76,AF76)=2,AG76-AF76,"")</x:f>
        <x:v>11</x:v>
      </x:c>
      <x:c r="AI76" s="10" t="n">
        <x:v>60</x:v>
      </x:c>
      <x:c r="AJ76" s="10" t="n">
        <x:v>53</x:v>
      </x:c>
      <x:c r="AK76" s="10" t="n">
        <x:f>IF(COUNT(AJ76,AI76)=2,AJ76-AI76,"")</x:f>
        <x:v>-7</x:v>
      </x:c>
      <x:c r="AL76" s="10" t="n">
        <x:v>33</x:v>
      </x:c>
      <x:c r="AM76" s="10" t="n">
        <x:v>33</x:v>
      </x:c>
      <x:c r="AN76" s="4" t="str">
        <x:v>C,RW</x:v>
      </x:c>
      <x:c r="AO76" s="4" t="str">
        <x:v>C</x:v>
      </x:c>
      <x:c r="AP76" s="4" t="str">
        <x:v>CBJ</x:v>
      </x:c>
      <x:c r="AQ76" s="4" t="str">
        <x:v>CBJ</x:v>
      </x:c>
      <x:c r="AR76" s="4" t="n">
        <x:v>15.86</x:v>
      </x:c>
      <x:c r="AS76" s="4" t="n">
        <x:v>18.1</x:v>
      </x:c>
      <x:c r="AT76" s="4" t="n">
        <x:v>0.75</x:v>
      </x:c>
      <x:c r="AU76" s="4" t="n">
        <x:v>13.9</x:v>
      </x:c>
      <x:c r="AV76" s="10" t="n">
        <x:v>7</x:v>
      </x:c>
      <x:c r="AW76" s="10" t="n">
        <x:v>6</x:v>
      </x:c>
      <x:c r="AX76" s="10" t="n">
        <x:v>0</x:v>
      </x:c>
      <x:c r="AY76" s="10" t="n">
        <x:v>0</x:v>
      </x:c>
      <x:c r="AZ76" s="10" t="n">
        <x:v>1156</x:v>
      </x:c>
      <x:c r="BA76" s="10" t="n">
        <x:v>1153</x:v>
      </x:c>
      <x:c r="BB76" s="4" t="n">
        <x:v>50.1</x:v>
      </x:c>
      <x:c r="BC76" s="4" t="n">
        <x:v>-0.6</x:v>
      </x:c>
      <x:c r="BD76" s="10" t="n">
        <x:v>846</x:v>
      </x:c>
      <x:c r="BE76" s="10" t="n">
        <x:v>832</x:v>
      </x:c>
      <x:c r="BF76" s="4" t="n">
        <x:v>50.4</x:v>
      </x:c>
      <x:c r="BG76" s="4" t="n">
        <x:v>0.1</x:v>
      </x:c>
      <x:c r="BH76" s="4" t="n">
        <x:v>11</x:v>
      </x:c>
      <x:c r="BI76" s="4" t="n">
        <x:v>89.3</x:v>
      </x:c>
      <x:c r="BJ76" s="4" t="n">
        <x:v>100.4</x:v>
      </x:c>
      <x:c r="BK76" s="4" t="n">
        <x:v>39.6</x:v>
      </x:c>
      <x:c r="BL76" s="4" t="n">
        <x:v>60.4</x:v>
      </x:c>
      <x:c r="BM76" s="4" t="n">
        <x:v>18.1</x:v>
      </x:c>
      <x:c r="BN76" s="4" t="n">
        <x:v>0.5833333333333334</x:v>
      </x:c>
      <x:c r="BO76" s="10" t="n">
        <x:v>34</x:v>
      </x:c>
      <x:c r="BP76" s="10" t="n">
        <x:v>53</x:v>
      </x:c>
      <x:c r="BQ76" s="4" t="n">
        <x:v>1.4</x:v>
      </x:c>
      <x:c r="BR76" s="10" t="n">
        <x:v>247</x:v>
      </x:c>
      <x:c r="BS76" s="4" t="n">
        <x:v>58.3</x:v>
      </x:c>
      <x:c r="BT76" s="10" t="n">
        <x:v>82</x:v>
      </x:c>
      <x:c r="BU76" s="4" t="str">
        <x:v>CBJ</x:v>
      </x:c>
      <x:c r="BV76" s="10" t="n">
        <x:v>252</x:v>
      </x:c>
      <x:c r="BW76" s="10" t="n">
        <x:v>101</x:v>
      </x:c>
      <x:c r="BX76" s="10" t="n">
        <x:v>179</x:v>
      </x:c>
      <x:c r="BY76" s="4" t="str">
        <x:v>Charlie Coyle</x:v>
      </x:c>
      <x:c r="BZ76" s="4" t="str">
        <x:v>Charlie Coyle</x:v>
      </x:c>
      <x:c r="CA76" s="4" t="str">
        <x:v>Charlie Coyle</x:v>
      </x:c>
      <x:c r="CB76" s="4" t="str">
        <x:v>coylech01</x:v>
      </x:c>
    </x:row>
    <x:row r="77" ht="22" customHeight="1">
      <x:c r="A77" s="4" t="str">
        <x:v>Charlie McAvoy</x:v>
      </x:c>
      <x:c r="B77" s="4" t="str">
        <x:v>charliemcavoy</x:v>
      </x:c>
      <x:c r="C77" s="10" t="n">
        <x:v>1</x:v>
      </x:c>
      <x:c r="D77" s="10" t="n">
        <x:v>1</x:v>
      </x:c>
      <x:c r="E77" s="10" t="n">
        <x:v>1</x:v>
      </x:c>
      <x:c r="F77" s="4" t="n">
        <x:f>IF(COUNT(N77,Q77,T77,W77,Z77,AC77,AF77,AI77)=8,N77*Guide!$E$5+Q77*Guide!$E$6+T77*Guide!$E$7+W77*Guide!$E$8+Z77*Guide!$E$9+AC77*Guide!$E$10+AF77*Guide!$E$11+AI77*Guide!$E$12,"")</x:f>
        <x:v>364</x:v>
      </x:c>
      <x:c r="G77" s="4" t="n">
        <x:f>IF(COUNT(O77,R77,U77,X77,AA77,AD77,AG77,AJ77)=8,O77*Guide!$E$5+R77*Guide!$E$6+U77*Guide!$E$7+X77*Guide!$E$8+AA77*Guide!$E$9+AD77*Guide!$E$10+AG77*Guide!$E$11+AJ77*Guide!$E$12,"")</x:f>
        <x:v>374.25</x:v>
      </x:c>
      <x:c r="H77" s="4" t="n">
        <x:f>IF(COUNT(G77,F77)=2,G77-F77,"")</x:f>
        <x:v>10.25</x:v>
      </x:c>
      <x:c r="I77" s="4" t="n">
        <x:f>IF(AND(ISNUMBER(F77),K77&gt;0),F77/K77,"")</x:f>
        <x:v>4.666666666666667</x:v>
      </x:c>
      <x:c r="J77" s="4" t="n">
        <x:f>IF(AND(ISNUMBER(G77),L77&gt;0),G77/L77,"")</x:f>
        <x:v>5.423913043478261</x:v>
      </x:c>
      <x:c r="K77" s="10" t="n">
        <x:v>78</x:v>
      </x:c>
      <x:c r="L77" s="10" t="n">
        <x:v>69</x:v>
      </x:c>
      <x:c r="M77" s="10" t="n">
        <x:f>IF(COUNT(L77,K77)=2,L77-K77,"")</x:f>
        <x:v>-9</x:v>
      </x:c>
      <x:c r="N77" s="10" t="n">
        <x:v>11</x:v>
      </x:c>
      <x:c r="O77" s="10" t="n">
        <x:v>11</x:v>
      </x:c>
      <x:c r="P77" s="10" t="n">
        <x:f>IF(COUNT(O77,N77)=2,O77-N77,"")</x:f>
        <x:v>0</x:v>
      </x:c>
      <x:c r="Q77" s="10" t="n">
        <x:v>42</x:v>
      </x:c>
      <x:c r="R77" s="10" t="n">
        <x:v>50</x:v>
      </x:c>
      <x:c r="S77" s="10" t="n">
        <x:f>IF(COUNT(R77,Q77)=2,R77-Q77,"")</x:f>
        <x:v>8</x:v>
      </x:c>
      <x:c r="T77" s="10" t="n">
        <x:v>2</x:v>
      </x:c>
      <x:c r="U77" s="10" t="n">
        <x:v>13</x:v>
      </x:c>
      <x:c r="V77" s="10" t="n">
        <x:f>IF(COUNT(U77,T77)=2,U77-T77,"")</x:f>
        <x:v>11</x:v>
      </x:c>
      <x:c r="W77" s="10" t="n">
        <x:v>20</x:v>
      </x:c>
      <x:c r="X77" s="10" t="n">
        <x:f>IF(COUNT(AV77,AW77)=2,AV77+AW77,"")</x:f>
        <x:v>23</x:v>
      </x:c>
      <x:c r="Y77" s="10" t="n">
        <x:f>IF(COUNT(X77,W77)=2,X77-W77,"")</x:f>
        <x:v>3</x:v>
      </x:c>
      <x:c r="Z77" s="10" t="n">
        <x:v>1</x:v>
      </x:c>
      <x:c r="AA77" s="10" t="n">
        <x:f>IF(COUNT(AX77,AY77)=2,AX77+AY77,"")</x:f>
        <x:v>0</x:v>
      </x:c>
      <x:c r="AB77" s="10" t="n">
        <x:f>IF(COUNT(AA77,Z77)=2,AA77-Z77,"")</x:f>
        <x:v>-1</x:v>
      </x:c>
      <x:c r="AC77" s="10" t="n">
        <x:v>135</x:v>
      </x:c>
      <x:c r="AD77" s="10" t="n">
        <x:v>111</x:v>
      </x:c>
      <x:c r="AE77" s="10" t="n">
        <x:f>IF(COUNT(AD77,AC77)=2,AD77-AC77,"")</x:f>
        <x:v>-24</x:v>
      </x:c>
      <x:c r="AF77" s="10" t="n">
        <x:v>127</x:v>
      </x:c>
      <x:c r="AG77" s="10" t="n">
        <x:v>79</x:v>
      </x:c>
      <x:c r="AH77" s="10" t="n">
        <x:f>IF(COUNT(AG77,AF77)=2,AG77-AF77,"")</x:f>
        <x:v>-48</x:v>
      </x:c>
      <x:c r="AI77" s="10" t="n">
        <x:v>138</x:v>
      </x:c>
      <x:c r="AJ77" s="10" t="n">
        <x:v>129</x:v>
      </x:c>
      <x:c r="AK77" s="10" t="n">
        <x:f>IF(COUNT(AJ77,AI77)=2,AJ77-AI77,"")</x:f>
        <x:v>-9</x:v>
      </x:c>
      <x:c r="AL77" s="10" t="n">
        <x:v>28</x:v>
      </x:c>
      <x:c r="AM77" s="10" t="n">
        <x:v>28</x:v>
      </x:c>
      <x:c r="AN77" s="4" t="str">
        <x:v>D</x:v>
      </x:c>
      <x:c r="AO77" s="4" t="str">
        <x:v>D</x:v>
      </x:c>
      <x:c r="AP77" s="4" t="str">
        <x:v>BOS</x:v>
      </x:c>
      <x:c r="AQ77" s="4" t="str">
        <x:v>BOS</x:v>
      </x:c>
      <x:c r="AR77" s="4" t="n">
        <x:v>23.849999999999998</x:v>
      </x:c>
      <x:c r="AS77" s="4" t="n">
        <x:v>24.383333333333333</x:v>
      </x:c>
      <x:c r="AT77" s="4" t="n">
        <x:v>3.26</x:v>
      </x:c>
      <x:c r="AU77" s="4" t="n">
        <x:v>9.9</x:v>
      </x:c>
      <x:c r="AV77" s="10" t="n">
        <x:v>2</x:v>
      </x:c>
      <x:c r="AW77" s="10" t="n">
        <x:v>21</x:v>
      </x:c>
      <x:c r="AX77" s="10" t="n">
        <x:v>0</x:v>
      </x:c>
      <x:c r="AY77" s="10" t="n">
        <x:v>0</x:v>
      </x:c>
      <x:c r="AZ77" s="10" t="n">
        <x:v>1257</x:v>
      </x:c>
      <x:c r="BA77" s="10" t="n">
        <x:v>1312</x:v>
      </x:c>
      <x:c r="BB77" s="4" t="n">
        <x:v>48.9</x:v>
      </x:c>
      <x:c r="BC77" s="4" t="n">
        <x:v>-0.1</x:v>
      </x:c>
      <x:c r="BD77" s="10" t="n">
        <x:v>916</x:v>
      </x:c>
      <x:c r="BE77" s="10" t="n">
        <x:v>937</x:v>
      </x:c>
      <x:c r="BF77" s="4" t="n">
        <x:v>49.4</x:v>
      </x:c>
      <x:c r="BG77" s="4" t="n">
        <x:v>0.3</x:v>
      </x:c>
      <x:c r="BH77" s="4" t="n">
        <x:v>14.4</x:v>
      </x:c>
      <x:c r="BI77" s="4" t="n">
        <x:v>88.9</x:v>
      </x:c>
      <x:c r="BJ77" s="4" t="n">
        <x:v>103.2</x:v>
      </x:c>
      <x:c r="BK77" s="4" t="n">
        <x:v>50.1</x:v>
      </x:c>
      <x:c r="BL77" s="4" t="n">
        <x:v>49.9</x:v>
      </x:c>
      <x:c r="BM77" s="4" t="n">
        <x:v>24.383333333333333</x:v>
      </x:c>
      <x:c r="BN77" s="4" t="n">
        <x:v>18.516666666666666</x:v>
      </x:c>
      <x:c r="BO77" s="10" t="n">
        <x:v>29</x:v>
      </x:c>
      <x:c r="BP77" s="10" t="n">
        <x:v>88</x:v>
      </x:c>
      <x:c r="BQ77" s="4" t="n">
        <x:v>-4.2</x:v>
      </x:c>
      <x:c r="BR77" s="10" t="n">
        <x:v>271</x:v>
      </x:c>
      <x:c r="BS77" s="4" t="n">
        <x:v>41</x:v>
      </x:c>
      <x:c r="BT77" s="10" t="n">
        <x:v>69</x:v>
      </x:c>
      <x:c r="BU77" s="4" t="str">
        <x:v>BOS</x:v>
      </x:c>
      <x:c r="BV77" s="10" t="n">
        <x:v>130</x:v>
      </x:c>
      <x:c r="BW77" s="10" t="n">
        <x:v>85</x:v>
      </x:c>
      <x:c r="BX77" s="10" t="n">
        <x:v>662</x:v>
      </x:c>
      <x:c r="BY77" s="4" t="str">
        <x:v>Charlie McAvoy</x:v>
      </x:c>
      <x:c r="BZ77" s="4" t="str">
        <x:v>Charlie McAvoy</x:v>
      </x:c>
      <x:c r="CA77" s="4" t="str">
        <x:v>Charlie McAvoy</x:v>
      </x:c>
      <x:c r="CB77" s="4" t="str">
        <x:v>mcavoch01</x:v>
      </x:c>
    </x:row>
    <x:row r="78" ht="22" customHeight="1">
      <x:c r="A78" s="4" t="str">
        <x:v>Chris Kreider</x:v>
      </x:c>
      <x:c r="B78" s="4" t="str">
        <x:v>chriskreider</x:v>
      </x:c>
      <x:c r="C78" s="10" t="n">
        <x:v>1</x:v>
      </x:c>
      <x:c r="D78" s="10" t="n">
        <x:v>1</x:v>
      </x:c>
      <x:c r="E78" s="10" t="n">
        <x:v>1</x:v>
      </x:c>
      <x:c r="F78" s="4" t="n">
        <x:f>IF(COUNT(N78,Q78,T78,W78,Z78,AC78,AF78,AI78)=8,N78*Guide!$E$5+Q78*Guide!$E$6+T78*Guide!$E$7+W78*Guide!$E$8+Z78*Guide!$E$9+AC78*Guide!$E$10+AF78*Guide!$E$11+AI78*Guide!$E$12,"")</x:f>
        <x:v>285.5</x:v>
      </x:c>
      <x:c r="G78" s="4" t="n">
        <x:f>IF(COUNT(O78,R78,U78,X78,AA78,AD78,AG78,AJ78)=8,O78*Guide!$E$5+R78*Guide!$E$6+U78*Guide!$E$7+X78*Guide!$E$8+AA78*Guide!$E$9+AD78*Guide!$E$10+AG78*Guide!$E$11+AJ78*Guide!$E$12,"")</x:f>
        <x:v>252</x:v>
      </x:c>
      <x:c r="H78" s="4" t="n">
        <x:f>IF(COUNT(G78,F78)=2,G78-F78,"")</x:f>
        <x:v>-33.5</x:v>
      </x:c>
      <x:c r="I78" s="4" t="n">
        <x:f>IF(AND(ISNUMBER(F78),K78&gt;0),F78/K78,"")</x:f>
        <x:v>3.7565789473684212</x:v>
      </x:c>
      <x:c r="J78" s="4" t="n">
        <x:f>IF(AND(ISNUMBER(G78),L78&gt;0),G78/L78,"")</x:f>
        <x:v>3.36</x:v>
      </x:c>
      <x:c r="K78" s="10" t="n">
        <x:v>76</x:v>
      </x:c>
      <x:c r="L78" s="10" t="n">
        <x:v>75</x:v>
      </x:c>
      <x:c r="M78" s="10" t="n">
        <x:f>IF(COUNT(L78,K78)=2,L78-K78,"")</x:f>
        <x:v>-1</x:v>
      </x:c>
      <x:c r="N78" s="10" t="n">
        <x:v>28</x:v>
      </x:c>
      <x:c r="O78" s="10" t="n">
        <x:v>22</x:v>
      </x:c>
      <x:c r="P78" s="10" t="n">
        <x:f>IF(COUNT(O78,N78)=2,O78-N78,"")</x:f>
        <x:v>-6</x:v>
      </x:c>
      <x:c r="Q78" s="10" t="n">
        <x:v>21</x:v>
      </x:c>
      <x:c r="R78" s="10" t="n">
        <x:v>28</x:v>
      </x:c>
      <x:c r="S78" s="10" t="n">
        <x:f>IF(COUNT(R78,Q78)=2,R78-Q78,"")</x:f>
        <x:v>7</x:v>
      </x:c>
      <x:c r="T78" s="10" t="n">
        <x:v>-5</x:v>
      </x:c>
      <x:c r="U78" s="10" t="n">
        <x:v>-4</x:v>
      </x:c>
      <x:c r="V78" s="10" t="n">
        <x:f>IF(COUNT(U78,T78)=2,U78-T78,"")</x:f>
        <x:v>1</x:v>
      </x:c>
      <x:c r="W78" s="10" t="n">
        <x:v>15</x:v>
      </x:c>
      <x:c r="X78" s="10" t="n">
        <x:f>IF(COUNT(AV78,AW78)=2,AV78+AW78,"")</x:f>
        <x:v>17</x:v>
      </x:c>
      <x:c r="Y78" s="10" t="n">
        <x:f>IF(COUNT(X78,W78)=2,X78-W78,"")</x:f>
        <x:v>2</x:v>
      </x:c>
      <x:c r="Z78" s="10" t="n">
        <x:v>3</x:v>
      </x:c>
      <x:c r="AA78" s="10" t="n">
        <x:f>IF(COUNT(AX78,AY78)=2,AX78+AY78,"")</x:f>
        <x:v>0</x:v>
      </x:c>
      <x:c r="AB78" s="10" t="n">
        <x:f>IF(COUNT(AA78,Z78)=2,AA78-Z78,"")</x:f>
        <x:v>-3</x:v>
      </x:c>
      <x:c r="AC78" s="10" t="n">
        <x:v>178</x:v>
      </x:c>
      <x:c r="AD78" s="10" t="n">
        <x:v>139</x:v>
      </x:c>
      <x:c r="AE78" s="10" t="n">
        <x:f>IF(COUNT(AD78,AC78)=2,AD78-AC78,"")</x:f>
        <x:v>-39</x:v>
      </x:c>
      <x:c r="AF78" s="10" t="n">
        <x:v>101</x:v>
      </x:c>
      <x:c r="AG78" s="10" t="n">
        <x:v>69</x:v>
      </x:c>
      <x:c r="AH78" s="10" t="n">
        <x:f>IF(COUNT(AG78,AF78)=2,AG78-AF78,"")</x:f>
        <x:v>-32</x:v>
      </x:c>
      <x:c r="AI78" s="10" t="n">
        <x:v>29</x:v>
      </x:c>
      <x:c r="AJ78" s="10" t="n">
        <x:v>20</x:v>
      </x:c>
      <x:c r="AK78" s="10" t="n">
        <x:f>IF(COUNT(AJ78,AI78)=2,AJ78-AI78,"")</x:f>
        <x:v>-9</x:v>
      </x:c>
      <x:c r="AL78" s="10" t="n">
        <x:v>34</x:v>
      </x:c>
      <x:c r="AM78" s="10" t="n">
        <x:v>34</x:v>
      </x:c>
      <x:c r="AN78" s="4" t="str">
        <x:v>LW</x:v>
      </x:c>
      <x:c r="AO78" s="4" t="str">
        <x:v>LW</x:v>
      </x:c>
      <x:c r="AP78" s="4" t="str">
        <x:v>ANA</x:v>
      </x:c>
      <x:c r="AQ78" s="4" t="str">
        <x:v>ANA</x:v>
      </x:c>
      <x:c r="AR78" s="4" t="n">
        <x:v>17.900000000000002</x:v>
      </x:c>
      <x:c r="AS78" s="4" t="n">
        <x:v>17.05</x:v>
      </x:c>
      <x:c r="AT78" s="4" t="n">
        <x:v>2.78</x:v>
      </x:c>
      <x:c r="AU78" s="4" t="n">
        <x:v>15.8</x:v>
      </x:c>
      <x:c r="AV78" s="10" t="n">
        <x:v>8</x:v>
      </x:c>
      <x:c r="AW78" s="10" t="n">
        <x:v>9</x:v>
      </x:c>
      <x:c r="AX78" s="10" t="n">
        <x:v>0</x:v>
      </x:c>
      <x:c r="AY78" s="10" t="n">
        <x:v>0</x:v>
      </x:c>
      <x:c r="AZ78" s="10" t="n">
        <x:v>1201</x:v>
      </x:c>
      <x:c r="BA78" s="10" t="n">
        <x:v>930</x:v>
      </x:c>
      <x:c r="BB78" s="4" t="n">
        <x:v>56.4</x:v>
      </x:c>
      <x:c r="BC78" s="4" t="n">
        <x:v>4.8</x:v>
      </x:c>
      <x:c r="BD78" s="10" t="n">
        <x:v>879</x:v>
      </x:c>
      <x:c r="BE78" s="10" t="n">
        <x:v>695</x:v>
      </x:c>
      <x:c r="BF78" s="4" t="n">
        <x:v>55.8</x:v>
      </x:c>
      <x:c r="BG78" s="4" t="n">
        <x:v>4</x:v>
      </x:c>
      <x:c r="BH78" s="4" t="n">
        <x:v>11.5</x:v>
      </x:c>
      <x:c r="BI78" s="4" t="n">
        <x:v>85.5</x:v>
      </x:c>
      <x:c r="BJ78" s="4" t="n">
        <x:v>97</x:v>
      </x:c>
      <x:c r="BK78" s="4" t="n">
        <x:v>62.7</x:v>
      </x:c>
      <x:c r="BL78" s="4" t="n">
        <x:v>37.3</x:v>
      </x:c>
      <x:c r="BM78" s="4" t="n">
        <x:v>17.05</x:v>
      </x:c>
      <x:c r="BN78" s="4" t="n">
        <x:v>13.233333333333333</x:v>
      </x:c>
      <x:c r="BO78" s="10" t="n">
        <x:v>17</x:v>
      </x:c>
      <x:c r="BP78" s="10" t="n">
        <x:v>68</x:v>
      </x:c>
      <x:c r="BQ78" s="4" t="n">
        <x:v>9.3</x:v>
      </x:c>
      <x:c r="BR78" s="10" t="n">
        <x:v>286</x:v>
      </x:c>
      <x:c r="BS78" s="4" t="n">
        <x:v>48.6</x:v>
      </x:c>
      <x:c r="BT78" s="10" t="n">
        <x:v>75</x:v>
      </x:c>
      <x:c r="BU78" s="4" t="str">
        <x:v>ANA</x:v>
      </x:c>
      <x:c r="BV78" s="10" t="n">
        <x:v>162</x:v>
      </x:c>
      <x:c r="BW78" s="10" t="n">
        <x:v>142</x:v>
      </x:c>
      <x:c r="BX78" s="10" t="n">
        <x:v>542</x:v>
      </x:c>
      <x:c r="BY78" s="4" t="str">
        <x:v>Chris Kreider</x:v>
      </x:c>
      <x:c r="BZ78" s="4" t="str">
        <x:v>Chris Kreider</x:v>
      </x:c>
      <x:c r="CA78" s="4" t="str">
        <x:v>Chris Kreider</x:v>
      </x:c>
      <x:c r="CB78" s="4" t="str">
        <x:v>kreidch01</x:v>
      </x:c>
    </x:row>
    <x:row r="79" ht="22" customHeight="1">
      <x:c r="A79" s="4" t="str">
        <x:v>Christian Dvorak</x:v>
      </x:c>
      <x:c r="B79" s="4" t="str">
        <x:v>christiandvorak</x:v>
      </x:c>
      <x:c r="C79" s="10" t="n">
        <x:v>1</x:v>
      </x:c>
      <x:c r="D79" s="10" t="n">
        <x:v>1</x:v>
      </x:c>
      <x:c r="E79" s="10" t="n">
        <x:v>1</x:v>
      </x:c>
      <x:c r="F79" s="4" t="n">
        <x:f>IF(COUNT(N79,Q79,T79,W79,Z79,AC79,AF79,AI79)=8,N79*Guide!$E$5+Q79*Guide!$E$6+T79*Guide!$E$7+W79*Guide!$E$8+Z79*Guide!$E$9+AC79*Guide!$E$10+AF79*Guide!$E$11+AI79*Guide!$E$12,"")</x:f>
        <x:v>197.5</x:v>
      </x:c>
      <x:c r="G79" s="4" t="n">
        <x:f>IF(COUNT(O79,R79,U79,X79,AA79,AD79,AG79,AJ79)=8,O79*Guide!$E$5+R79*Guide!$E$6+U79*Guide!$E$7+X79*Guide!$E$8+AA79*Guide!$E$9+AD79*Guide!$E$10+AG79*Guide!$E$11+AJ79*Guide!$E$12,"")</x:f>
        <x:v>276.25</x:v>
      </x:c>
      <x:c r="H79" s="4" t="n">
        <x:f>IF(COUNT(G79,F79)=2,G79-F79,"")</x:f>
        <x:v>78.75</x:v>
      </x:c>
      <x:c r="I79" s="4" t="n">
        <x:f>IF(AND(ISNUMBER(F79),K79&gt;0),F79/K79,"")</x:f>
        <x:v>2.4382716049382718</x:v>
      </x:c>
      <x:c r="J79" s="4" t="n">
        <x:f>IF(AND(ISNUMBER(G79),L79&gt;0),G79/L79,"")</x:f>
        <x:v>3.453125</x:v>
      </x:c>
      <x:c r="K79" s="10" t="n">
        <x:v>81</x:v>
      </x:c>
      <x:c r="L79" s="10" t="n">
        <x:v>80</x:v>
      </x:c>
      <x:c r="M79" s="10" t="n">
        <x:f>IF(COUNT(L79,K79)=2,L79-K79,"")</x:f>
        <x:v>-1</x:v>
      </x:c>
      <x:c r="N79" s="10" t="n">
        <x:v>13</x:v>
      </x:c>
      <x:c r="O79" s="10" t="n">
        <x:v>18</x:v>
      </x:c>
      <x:c r="P79" s="10" t="n">
        <x:f>IF(COUNT(O79,N79)=2,O79-N79,"")</x:f>
        <x:v>5</x:v>
      </x:c>
      <x:c r="Q79" s="10" t="n">
        <x:v>20</x:v>
      </x:c>
      <x:c r="R79" s="10" t="n">
        <x:v>33</x:v>
      </x:c>
      <x:c r="S79" s="10" t="n">
        <x:f>IF(COUNT(R79,Q79)=2,R79-Q79,"")</x:f>
        <x:v>13</x:v>
      </x:c>
      <x:c r="T79" s="10" t="n">
        <x:v>-5</x:v>
      </x:c>
      <x:c r="U79" s="10" t="n">
        <x:v>11</x:v>
      </x:c>
      <x:c r="V79" s="10" t="n">
        <x:f>IF(COUNT(U79,T79)=2,U79-T79,"")</x:f>
        <x:v>16</x:v>
      </x:c>
      <x:c r="W79" s="10" t="n">
        <x:v>3</x:v>
      </x:c>
      <x:c r="X79" s="10" t="n">
        <x:f>IF(COUNT(AV79,AW79)=2,AV79+AW79,"")</x:f>
        <x:v>5</x:v>
      </x:c>
      <x:c r="Y79" s="10" t="n">
        <x:f>IF(COUNT(X79,W79)=2,X79-W79,"")</x:f>
        <x:v>2</x:v>
      </x:c>
      <x:c r="Z79" s="10" t="n">
        <x:v>1</x:v>
      </x:c>
      <x:c r="AA79" s="10" t="n">
        <x:f>IF(COUNT(AX79,AY79)=2,AX79+AY79,"")</x:f>
        <x:v>1</x:v>
      </x:c>
      <x:c r="AB79" s="10" t="n">
        <x:f>IF(COUNT(AA79,Z79)=2,AA79-Z79,"")</x:f>
        <x:v>0</x:v>
      </x:c>
      <x:c r="AC79" s="10" t="n">
        <x:v>98</x:v>
      </x:c>
      <x:c r="AD79" s="10" t="n">
        <x:v>151</x:v>
      </x:c>
      <x:c r="AE79" s="10" t="n">
        <x:f>IF(COUNT(AD79,AC79)=2,AD79-AC79,"")</x:f>
        <x:v>53</x:v>
      </x:c>
      <x:c r="AF79" s="10" t="n">
        <x:v>39</x:v>
      </x:c>
      <x:c r="AG79" s="10" t="n">
        <x:v>38</x:v>
      </x:c>
      <x:c r="AH79" s="10" t="n">
        <x:f>IF(COUNT(AG79,AF79)=2,AG79-AF79,"")</x:f>
        <x:v>-1</x:v>
      </x:c>
      <x:c r="AI79" s="10" t="n">
        <x:v>67</x:v>
      </x:c>
      <x:c r="AJ79" s="10" t="n">
        <x:v>52</x:v>
      </x:c>
      <x:c r="AK79" s="10" t="n">
        <x:f>IF(COUNT(AJ79,AI79)=2,AJ79-AI79,"")</x:f>
        <x:v>-15</x:v>
      </x:c>
      <x:c r="AL79" s="10" t="n">
        <x:v>29</x:v>
      </x:c>
      <x:c r="AM79" s="10" t="n">
        <x:v>29</x:v>
      </x:c>
      <x:c r="AN79" s="4" t="str">
        <x:v>C</x:v>
      </x:c>
      <x:c r="AO79" s="4" t="str">
        <x:v>C</x:v>
      </x:c>
      <x:c r="AP79" s="4" t="str">
        <x:v>PHI</x:v>
      </x:c>
      <x:c r="AQ79" s="4" t="str">
        <x:v>PHI</x:v>
      </x:c>
      <x:c r="AR79" s="4" t="n">
        <x:v>15.18</x:v>
      </x:c>
      <x:c r="AS79" s="4" t="n">
        <x:v>18.466666666666665</x:v>
      </x:c>
      <x:c r="AT79" s="4" t="n">
        <x:v>0.52</x:v>
      </x:c>
      <x:c r="AU79" s="4" t="n">
        <x:v>11.9</x:v>
      </x:c>
      <x:c r="AV79" s="10" t="n">
        <x:v>3</x:v>
      </x:c>
      <x:c r="AW79" s="10" t="n">
        <x:v>2</x:v>
      </x:c>
      <x:c r="AX79" s="10" t="n">
        <x:v>0</x:v>
      </x:c>
      <x:c r="AY79" s="10" t="n">
        <x:v>1</x:v>
      </x:c>
      <x:c r="AZ79" s="10" t="n">
        <x:v>1039</x:v>
      </x:c>
      <x:c r="BA79" s="10" t="n">
        <x:v>1191</x:v>
      </x:c>
      <x:c r="BB79" s="4" t="n">
        <x:v>46.6</x:v>
      </x:c>
      <x:c r="BC79" s="4" t="n">
        <x:v>-1.9</x:v>
      </x:c>
      <x:c r="BD79" s="10" t="n">
        <x:v>766</x:v>
      </x:c>
      <x:c r="BE79" s="10" t="n">
        <x:v>868</x:v>
      </x:c>
      <x:c r="BF79" s="4" t="n">
        <x:v>46.9</x:v>
      </x:c>
      <x:c r="BG79" s="4" t="n">
        <x:v>-2.6</x:v>
      </x:c>
      <x:c r="BH79" s="4" t="n">
        <x:v>14.4</x:v>
      </x:c>
      <x:c r="BI79" s="4" t="n">
        <x:v>89.4</x:v>
      </x:c>
      <x:c r="BJ79" s="4" t="n">
        <x:v>103.8</x:v>
      </x:c>
      <x:c r="BK79" s="4" t="n">
        <x:v>48.8</x:v>
      </x:c>
      <x:c r="BL79" s="4" t="n">
        <x:v>51.2</x:v>
      </x:c>
      <x:c r="BM79" s="4" t="n">
        <x:v>18.466666666666665</x:v>
      </x:c>
      <x:c r="BN79" s="4" t="n">
        <x:v>14.816666666666666</x:v>
      </x:c>
      <x:c r="BO79" s="10" t="n">
        <x:v>20</x:v>
      </x:c>
      <x:c r="BP79" s="10" t="n">
        <x:v>62</x:v>
      </x:c>
      <x:c r="BQ79" s="4" t="n">
        <x:v>2.3</x:v>
      </x:c>
      <x:c r="BR79" s="10" t="n">
        <x:v>264</x:v>
      </x:c>
      <x:c r="BS79" s="4" t="n">
        <x:v>57.2</x:v>
      </x:c>
      <x:c r="BT79" s="10" t="n">
        <x:v>80</x:v>
      </x:c>
      <x:c r="BU79" s="4" t="str">
        <x:v>PHI</x:v>
      </x:c>
      <x:c r="BV79" s="10" t="n">
        <x:v>336</x:v>
      </x:c>
      <x:c r="BW79" s="10" t="n">
        <x:v>131</x:v>
      </x:c>
      <x:c r="BX79" s="10" t="n">
        <x:v>253</x:v>
      </x:c>
      <x:c r="BY79" s="4" t="str">
        <x:v>Christian Dvorak</x:v>
      </x:c>
      <x:c r="BZ79" s="4" t="str">
        <x:v>Christian Dvorak</x:v>
      </x:c>
      <x:c r="CA79" s="4" t="str">
        <x:v>Christian Dvorak</x:v>
      </x:c>
      <x:c r="CB79" s="4" t="str">
        <x:v>dvorach01</x:v>
      </x:c>
    </x:row>
    <x:row r="80" ht="22" customHeight="1">
      <x:c r="A80" s="4" t="str">
        <x:v>Claude Giroux</x:v>
      </x:c>
      <x:c r="B80" s="4" t="str">
        <x:v>claudegiroux</x:v>
      </x:c>
      <x:c r="C80" s="10" t="n">
        <x:v>1</x:v>
      </x:c>
      <x:c r="D80" s="10" t="n">
        <x:v>1</x:v>
      </x:c>
      <x:c r="E80" s="10" t="n">
        <x:v>1</x:v>
      </x:c>
      <x:c r="F80" s="4" t="n">
        <x:f>IF(COUNT(N80,Q80,T80,W80,Z80,AC80,AF80,AI80)=8,N80*Guide!$E$5+Q80*Guide!$E$6+T80*Guide!$E$7+W80*Guide!$E$8+Z80*Guide!$E$9+AC80*Guide!$E$10+AF80*Guide!$E$11+AI80*Guide!$E$12,"")</x:f>
        <x:v>290.5</x:v>
      </x:c>
      <x:c r="G80" s="4" t="n">
        <x:f>IF(COUNT(O80,R80,U80,X80,AA80,AD80,AG80,AJ80)=8,O80*Guide!$E$5+R80*Guide!$E$6+U80*Guide!$E$7+X80*Guide!$E$8+AA80*Guide!$E$9+AD80*Guide!$E$10+AG80*Guide!$E$11+AJ80*Guide!$E$12,"")</x:f>
        <x:v>265</x:v>
      </x:c>
      <x:c r="H80" s="4" t="n">
        <x:f>IF(COUNT(G80,F80)=2,G80-F80,"")</x:f>
        <x:v>-25.5</x:v>
      </x:c>
      <x:c r="I80" s="4" t="n">
        <x:f>IF(AND(ISNUMBER(F80),K80&gt;0),F80/K80,"")</x:f>
        <x:v>3.5864197530864197</x:v>
      </x:c>
      <x:c r="J80" s="4" t="n">
        <x:f>IF(AND(ISNUMBER(G80),L80&gt;0),G80/L80,"")</x:f>
        <x:v>3.231707317073171</x:v>
      </x:c>
      <x:c r="K80" s="10" t="n">
        <x:v>81</x:v>
      </x:c>
      <x:c r="L80" s="10" t="n">
        <x:v>82</x:v>
      </x:c>
      <x:c r="M80" s="10" t="n">
        <x:f>IF(COUNT(L80,K80)=2,L80-K80,"")</x:f>
        <x:v>1</x:v>
      </x:c>
      <x:c r="N80" s="10" t="n">
        <x:v>19</x:v>
      </x:c>
      <x:c r="O80" s="10" t="n">
        <x:v>14</x:v>
      </x:c>
      <x:c r="P80" s="10" t="n">
        <x:f>IF(COUNT(O80,N80)=2,O80-N80,"")</x:f>
        <x:v>-5</x:v>
      </x:c>
      <x:c r="Q80" s="10" t="n">
        <x:v>39</x:v>
      </x:c>
      <x:c r="R80" s="10" t="n">
        <x:v>35</x:v>
      </x:c>
      <x:c r="S80" s="10" t="n">
        <x:f>IF(COUNT(R80,Q80)=2,R80-Q80,"")</x:f>
        <x:v>-4</x:v>
      </x:c>
      <x:c r="T80" s="10" t="n">
        <x:v>-5</x:v>
      </x:c>
      <x:c r="U80" s="10" t="n">
        <x:v>20</x:v>
      </x:c>
      <x:c r="V80" s="10" t="n">
        <x:f>IF(COUNT(U80,T80)=2,U80-T80,"")</x:f>
        <x:v>25</x:v>
      </x:c>
      <x:c r="W80" s="10" t="n">
        <x:v>18</x:v>
      </x:c>
      <x:c r="X80" s="10" t="n">
        <x:f>IF(COUNT(AV80,AW80)=2,AV80+AW80,"")</x:f>
        <x:v>13</x:v>
      </x:c>
      <x:c r="Y80" s="10" t="n">
        <x:f>IF(COUNT(X80,W80)=2,X80-W80,"")</x:f>
        <x:v>-5</x:v>
      </x:c>
      <x:c r="Z80" s="10" t="n">
        <x:v>2</x:v>
      </x:c>
      <x:c r="AA80" s="10" t="n">
        <x:f>IF(COUNT(AX80,AY80)=2,AX80+AY80,"")</x:f>
        <x:v>0</x:v>
      </x:c>
      <x:c r="AB80" s="10" t="n">
        <x:f>IF(COUNT(AA80,Z80)=2,AA80-Z80,"")</x:f>
        <x:v>-2</x:v>
      </x:c>
      <x:c r="AC80" s="10" t="n">
        <x:v>143</x:v>
      </x:c>
      <x:c r="AD80" s="10" t="n">
        <x:v>138</x:v>
      </x:c>
      <x:c r="AE80" s="10" t="n">
        <x:f>IF(COUNT(AD80,AC80)=2,AD80-AC80,"")</x:f>
        <x:v>-5</x:v>
      </x:c>
      <x:c r="AF80" s="10" t="n">
        <x:v>60</x:v>
      </x:c>
      <x:c r="AG80" s="10" t="n">
        <x:v>65</x:v>
      </x:c>
      <x:c r="AH80" s="10" t="n">
        <x:f>IF(COUNT(AG80,AF80)=2,AG80-AF80,"")</x:f>
        <x:v>5</x:v>
      </x:c>
      <x:c r="AI80" s="10" t="n">
        <x:v>37</x:v>
      </x:c>
      <x:c r="AJ80" s="10" t="n">
        <x:v>27</x:v>
      </x:c>
      <x:c r="AK80" s="10" t="n">
        <x:f>IF(COUNT(AJ80,AI80)=2,AJ80-AI80,"")</x:f>
        <x:v>-10</x:v>
      </x:c>
      <x:c r="AL80" s="10" t="n">
        <x:v>38</x:v>
      </x:c>
      <x:c r="AM80" s="10" t="n">
        <x:v>38</x:v>
      </x:c>
      <x:c r="AN80" s="4" t="str">
        <x:v>LW,RW</x:v>
      </x:c>
      <x:c r="AO80" s="4" t="str">
        <x:v>C</x:v>
      </x:c>
      <x:c r="AP80" s="4" t="str">
        <x:v>OTT</x:v>
      </x:c>
      <x:c r="AQ80" s="4" t="str">
        <x:v>OTT</x:v>
      </x:c>
      <x:c r="AR80" s="4" t="n">
        <x:v>17.92</x:v>
      </x:c>
      <x:c r="AS80" s="4" t="n">
        <x:v>16.3</x:v>
      </x:c>
      <x:c r="AT80" s="4" t="n">
        <x:v>2.33</x:v>
      </x:c>
      <x:c r="AU80" s="4" t="n">
        <x:v>10.1</x:v>
      </x:c>
      <x:c r="AV80" s="10" t="n">
        <x:v>1</x:v>
      </x:c>
      <x:c r="AW80" s="10" t="n">
        <x:v>12</x:v>
      </x:c>
      <x:c r="AX80" s="10" t="n">
        <x:v>0</x:v>
      </x:c>
      <x:c r="AY80" s="10" t="n">
        <x:v>0</x:v>
      </x:c>
      <x:c r="AZ80" s="10" t="n">
        <x:v>1043</x:v>
      </x:c>
      <x:c r="BA80" s="10" t="n">
        <x:v>871</x:v>
      </x:c>
      <x:c r="BB80" s="4" t="n">
        <x:v>54.5</x:v>
      </x:c>
      <x:c r="BC80" s="4" t="n">
        <x:v>2.4</x:v>
      </x:c>
      <x:c r="BD80" s="10" t="n">
        <x:v>772</x:v>
      </x:c>
      <x:c r="BE80" s="10" t="n">
        <x:v>615</x:v>
      </x:c>
      <x:c r="BF80" s="4" t="n">
        <x:v>55.7</x:v>
      </x:c>
      <x:c r="BG80" s="4" t="n">
        <x:v>2.9</x:v>
      </x:c>
      <x:c r="BH80" s="4" t="n">
        <x:v>12.6</x:v>
      </x:c>
      <x:c r="BI80" s="4" t="n">
        <x:v>89.2</x:v>
      </x:c>
      <x:c r="BJ80" s="4" t="n">
        <x:v>101.9</x:v>
      </x:c>
      <x:c r="BK80" s="4" t="n">
        <x:v>48.7</x:v>
      </x:c>
      <x:c r="BL80" s="4" t="n">
        <x:v>51.3</x:v>
      </x:c>
      <x:c r="BM80" s="4" t="n">
        <x:v>16.3</x:v>
      </x:c>
      <x:c r="BN80" s="4" t="n">
        <x:v>12.716666666666667</x:v>
      </x:c>
      <x:c r="BO80" s="10" t="n">
        <x:v>24</x:v>
      </x:c>
      <x:c r="BP80" s="10" t="n">
        <x:v>52</x:v>
      </x:c>
      <x:c r="BQ80" s="4" t="n">
        <x:v>7.4</x:v>
      </x:c>
      <x:c r="BR80" s="10" t="n">
        <x:v>248</x:v>
      </x:c>
      <x:c r="BS80" s="4" t="n">
        <x:v>55.6</x:v>
      </x:c>
      <x:c r="BT80" s="10" t="n">
        <x:v>82</x:v>
      </x:c>
      <x:c r="BU80" s="4" t="str">
        <x:v>OTT</x:v>
      </x:c>
      <x:c r="BV80" s="10" t="n">
        <x:v>103</x:v>
      </x:c>
      <x:c r="BW80" s="10" t="n">
        <x:v>148</x:v>
      </x:c>
      <x:c r="BX80" s="10" t="n">
        <x:v>342</x:v>
      </x:c>
      <x:c r="BY80" s="4" t="str">
        <x:v>Claude Giroux</x:v>
      </x:c>
      <x:c r="BZ80" s="4" t="str">
        <x:v>Claude Giroux</x:v>
      </x:c>
      <x:c r="CA80" s="4" t="str">
        <x:v>Claude Giroux</x:v>
      </x:c>
      <x:c r="CB80" s="4" t="str">
        <x:v>giroucl01</x:v>
      </x:c>
    </x:row>
    <x:row r="81" ht="22" customHeight="1">
      <x:c r="A81" s="4" t="str">
        <x:v>Clayton Keller</x:v>
      </x:c>
      <x:c r="B81" s="4" t="str">
        <x:v>claytonkeller</x:v>
      </x:c>
      <x:c r="C81" s="10" t="n">
        <x:v>1</x:v>
      </x:c>
      <x:c r="D81" s="10" t="n">
        <x:v>1</x:v>
      </x:c>
      <x:c r="E81" s="10" t="n">
        <x:v>1</x:v>
      </x:c>
      <x:c r="F81" s="4" t="n">
        <x:f>IF(COUNT(N81,Q81,T81,W81,Z81,AC81,AF81,AI81)=8,N81*Guide!$E$5+Q81*Guide!$E$6+T81*Guide!$E$7+W81*Guide!$E$8+Z81*Guide!$E$9+AC81*Guide!$E$10+AF81*Guide!$E$11+AI81*Guide!$E$12,"")</x:f>
        <x:v>383.5</x:v>
      </x:c>
      <x:c r="G81" s="4" t="n">
        <x:f>IF(COUNT(O81,R81,U81,X81,AA81,AD81,AG81,AJ81)=8,O81*Guide!$E$5+R81*Guide!$E$6+U81*Guide!$E$7+X81*Guide!$E$8+AA81*Guide!$E$9+AD81*Guide!$E$10+AG81*Guide!$E$11+AJ81*Guide!$E$12,"")</x:f>
        <x:v>419.25</x:v>
      </x:c>
      <x:c r="H81" s="4" t="n">
        <x:f>IF(COUNT(G81,F81)=2,G81-F81,"")</x:f>
        <x:v>35.75</x:v>
      </x:c>
      <x:c r="I81" s="4" t="n">
        <x:f>IF(AND(ISNUMBER(F81),K81&gt;0),F81/K81,"")</x:f>
        <x:v>4.79375</x:v>
      </x:c>
      <x:c r="J81" s="4" t="n">
        <x:f>IF(AND(ISNUMBER(G81),L81&gt;0),G81/L81,"")</x:f>
        <x:v>5.112804878048781</x:v>
      </x:c>
      <x:c r="K81" s="10" t="n">
        <x:v>80</x:v>
      </x:c>
      <x:c r="L81" s="10" t="n">
        <x:v>82</x:v>
      </x:c>
      <x:c r="M81" s="10" t="n">
        <x:f>IF(COUNT(L81,K81)=2,L81-K81,"")</x:f>
        <x:v>2</x:v>
      </x:c>
      <x:c r="N81" s="10" t="n">
        <x:v>32</x:v>
      </x:c>
      <x:c r="O81" s="10" t="n">
        <x:v>26</x:v>
      </x:c>
      <x:c r="P81" s="10" t="n">
        <x:f>IF(COUNT(O81,N81)=2,O81-N81,"")</x:f>
        <x:v>-6</x:v>
      </x:c>
      <x:c r="Q81" s="10" t="n">
        <x:v>50</x:v>
      </x:c>
      <x:c r="R81" s="10" t="n">
        <x:v>62</x:v>
      </x:c>
      <x:c r="S81" s="10" t="n">
        <x:f>IF(COUNT(R81,Q81)=2,R81-Q81,"")</x:f>
        <x:v>12</x:v>
      </x:c>
      <x:c r="T81" s="10" t="n">
        <x:v>-3</x:v>
      </x:c>
      <x:c r="U81" s="10" t="n">
        <x:v>20</x:v>
      </x:c>
      <x:c r="V81" s="10" t="n">
        <x:f>IF(COUNT(U81,T81)=2,U81-T81,"")</x:f>
        <x:v>23</x:v>
      </x:c>
      <x:c r="W81" s="10" t="n">
        <x:v>29</x:v>
      </x:c>
      <x:c r="X81" s="10" t="n">
        <x:f>IF(COUNT(AV81,AW81)=2,AV81+AW81,"")</x:f>
        <x:v>27</x:v>
      </x:c>
      <x:c r="Y81" s="10" t="n">
        <x:f>IF(COUNT(X81,W81)=2,X81-W81,"")</x:f>
        <x:v>-2</x:v>
      </x:c>
      <x:c r="Z81" s="10" t="n">
        <x:v>0</x:v>
      </x:c>
      <x:c r="AA81" s="10" t="n">
        <x:f>IF(COUNT(AX81,AY81)=2,AX81+AY81,"")</x:f>
        <x:v>0</x:v>
      </x:c>
      <x:c r="AB81" s="10" t="n">
        <x:f>IF(COUNT(AA81,Z81)=2,AA81-Z81,"")</x:f>
        <x:v>0</x:v>
      </x:c>
      <x:c r="AC81" s="10" t="n">
        <x:v>207</x:v>
      </x:c>
      <x:c r="AD81" s="10" t="n">
        <x:v>225</x:v>
      </x:c>
      <x:c r="AE81" s="10" t="n">
        <x:f>IF(COUNT(AD81,AC81)=2,AD81-AC81,"")</x:f>
        <x:v>18</x:v>
      </x:c>
      <x:c r="AF81" s="10" t="n">
        <x:v>15</x:v>
      </x:c>
      <x:c r="AG81" s="10" t="n">
        <x:v>8</x:v>
      </x:c>
      <x:c r="AH81" s="10" t="n">
        <x:f>IF(COUNT(AG81,AF81)=2,AG81-AF81,"")</x:f>
        <x:v>-7</x:v>
      </x:c>
      <x:c r="AI81" s="10" t="n">
        <x:v>32</x:v>
      </x:c>
      <x:c r="AJ81" s="10" t="n">
        <x:v>32</x:v>
      </x:c>
      <x:c r="AK81" s="10" t="n">
        <x:f>IF(COUNT(AJ81,AI81)=2,AJ81-AI81,"")</x:f>
        <x:v>0</x:v>
      </x:c>
      <x:c r="AL81" s="10" t="n">
        <x:v>27</x:v>
      </x:c>
      <x:c r="AM81" s="10" t="n">
        <x:v>27</x:v>
      </x:c>
      <x:c r="AN81" s="4" t="str">
        <x:v>LW,RW</x:v>
      </x:c>
      <x:c r="AO81" s="4" t="str">
        <x:v>C</x:v>
      </x:c>
      <x:c r="AP81" s="4" t="str">
        <x:v>UTA</x:v>
      </x:c>
      <x:c r="AQ81" s="4" t="str">
        <x:v>UTA</x:v>
      </x:c>
      <x:c r="AR81" s="4" t="n">
        <x:v>19.24</x:v>
      </x:c>
      <x:c r="AS81" s="4" t="n">
        <x:v>19.083333333333332</x:v>
      </x:c>
      <x:c r="AT81" s="4" t="n">
        <x:v>3.29</x:v>
      </x:c>
      <x:c r="AU81" s="4" t="n">
        <x:v>11.6</x:v>
      </x:c>
      <x:c r="AV81" s="10" t="n">
        <x:v>3</x:v>
      </x:c>
      <x:c r="AW81" s="10" t="n">
        <x:v>24</x:v>
      </x:c>
      <x:c r="AX81" s="10" t="n">
        <x:v>0</x:v>
      </x:c>
      <x:c r="AY81" s="10" t="n">
        <x:v>0</x:v>
      </x:c>
      <x:c r="AZ81" s="10" t="n">
        <x:v>1396</x:v>
      </x:c>
      <x:c r="BA81" s="10" t="n">
        <x:v>1031</x:v>
      </x:c>
      <x:c r="BB81" s="4" t="n">
        <x:v>57.5</x:v>
      </x:c>
      <x:c r="BC81" s="4" t="n">
        <x:v>6.2</x:v>
      </x:c>
      <x:c r="BD81" s="10" t="n">
        <x:v>1020</x:v>
      </x:c>
      <x:c r="BE81" s="10" t="n">
        <x:v>747</x:v>
      </x:c>
      <x:c r="BF81" s="4" t="n">
        <x:v>57.7</x:v>
      </x:c>
      <x:c r="BG81" s="4" t="n">
        <x:v>6.8</x:v>
      </x:c>
      <x:c r="BH81" s="4" t="n">
        <x:v>12.4</x:v>
      </x:c>
      <x:c r="BI81" s="4" t="n">
        <x:v>86.9</x:v>
      </x:c>
      <x:c r="BJ81" s="4" t="n">
        <x:v>99.4</x:v>
      </x:c>
      <x:c r="BK81" s="4" t="n">
        <x:v>66.3</x:v>
      </x:c>
      <x:c r="BL81" s="4" t="n">
        <x:v>33.7</x:v>
      </x:c>
      <x:c r="BM81" s="4" t="n">
        <x:v>19.083333333333332</x:v>
      </x:c>
      <x:c r="BN81" s="4" t="n">
        <x:v>15.783333333333333</x:v>
      </x:c>
      <x:c r="BO81" s="10" t="n">
        <x:v>26</x:v>
      </x:c>
      <x:c r="BP81" s="10" t="n">
        <x:v>105</x:v>
      </x:c>
      <x:c r="BQ81" s="4" t="n">
        <x:v>25.1</x:v>
      </x:c>
      <x:c r="BR81" s="10" t="n">
        <x:v>426</x:v>
      </x:c>
      <x:c r="BS81" s="4" t="n">
        <x:v>52.8</x:v>
      </x:c>
      <x:c r="BT81" s="10" t="n">
        <x:v>82</x:v>
      </x:c>
      <x:c r="BU81" s="4" t="str">
        <x:v>UTA</x:v>
      </x:c>
      <x:c r="BV81" s="10" t="n">
        <x:v>17</x:v>
      </x:c>
      <x:c r="BW81" s="10" t="n">
        <x:v>19</x:v>
      </x:c>
      <x:c r="BX81" s="10" t="n">
        <x:v>509</x:v>
      </x:c>
      <x:c r="BY81" s="4" t="str">
        <x:v>Clayton Keller</x:v>
      </x:c>
      <x:c r="BZ81" s="4" t="str">
        <x:v>Clayton Keller</x:v>
      </x:c>
      <x:c r="CA81" s="4" t="str">
        <x:v>Clayton Keller</x:v>
      </x:c>
      <x:c r="CB81" s="4" t="str">
        <x:v>kellecl01</x:v>
      </x:c>
    </x:row>
    <x:row r="82" ht="22" customHeight="1">
      <x:c r="A82" s="4" t="str">
        <x:v>Cody Glass</x:v>
      </x:c>
      <x:c r="B82" s="4" t="str">
        <x:v>codyglass</x:v>
      </x:c>
      <x:c r="C82" s="10" t="n">
        <x:v>1</x:v>
      </x:c>
      <x:c r="D82" s="10" t="n">
        <x:v>1</x:v>
      </x:c>
      <x:c r="E82" s="10" t="n">
        <x:v>1</x:v>
      </x:c>
      <x:c r="F82" s="4" t="n">
        <x:f>IF(COUNT(N82,Q82,T82,W82,Z82,AC82,AF82,AI82)=8,N82*Guide!$E$5+Q82*Guide!$E$6+T82*Guide!$E$7+W82*Guide!$E$8+Z82*Guide!$E$9+AC82*Guide!$E$10+AF82*Guide!$E$11+AI82*Guide!$E$12,"")</x:f>
        <x:v>192.25</x:v>
      </x:c>
      <x:c r="G82" s="4" t="n">
        <x:f>IF(COUNT(O82,R82,U82,X82,AA82,AD82,AG82,AJ82)=8,O82*Guide!$E$5+R82*Guide!$E$6+U82*Guide!$E$7+X82*Guide!$E$8+AA82*Guide!$E$9+AD82*Guide!$E$10+AG82*Guide!$E$11+AJ82*Guide!$E$12,"")</x:f>
        <x:v>168.75</x:v>
      </x:c>
      <x:c r="H82" s="4" t="n">
        <x:f>IF(COUNT(G82,F82)=2,G82-F82,"")</x:f>
        <x:v>-23.5</x:v>
      </x:c>
      <x:c r="I82" s="4" t="n">
        <x:f>IF(AND(ISNUMBER(F82),K82&gt;0),F82/K82,"")</x:f>
        <x:v>2.5633333333333335</x:v>
      </x:c>
      <x:c r="J82" s="4" t="n">
        <x:f>IF(AND(ISNUMBER(G82),L82&gt;0),G82/L82,"")</x:f>
        <x:v>2.4107142857142856</x:v>
      </x:c>
      <x:c r="K82" s="10" t="n">
        <x:v>75</x:v>
      </x:c>
      <x:c r="L82" s="10" t="n">
        <x:v>70</x:v>
      </x:c>
      <x:c r="M82" s="10" t="n">
        <x:f>IF(COUNT(L82,K82)=2,L82-K82,"")</x:f>
        <x:v>-5</x:v>
      </x:c>
      <x:c r="N82" s="10" t="n">
        <x:v>13</x:v>
      </x:c>
      <x:c r="O82" s="10" t="n">
        <x:v>19</x:v>
      </x:c>
      <x:c r="P82" s="10" t="n">
        <x:f>IF(COUNT(O82,N82)=2,O82-N82,"")</x:f>
        <x:v>6</x:v>
      </x:c>
      <x:c r="Q82" s="10" t="n">
        <x:v>19</x:v>
      </x:c>
      <x:c r="R82" s="10" t="n">
        <x:v>7</x:v>
      </x:c>
      <x:c r="S82" s="10" t="n">
        <x:f>IF(COUNT(R82,Q82)=2,R82-Q82,"")</x:f>
        <x:v>-12</x:v>
      </x:c>
      <x:c r="T82" s="10" t="n">
        <x:v>-1</x:v>
      </x:c>
      <x:c r="U82" s="10" t="n">
        <x:v>3</x:v>
      </x:c>
      <x:c r="V82" s="10" t="n">
        <x:f>IF(COUNT(U82,T82)=2,U82-T82,"")</x:f>
        <x:v>4</x:v>
      </x:c>
      <x:c r="W82" s="10" t="n">
        <x:v>4</x:v>
      </x:c>
      <x:c r="X82" s="10" t="n">
        <x:f>IF(COUNT(AV82,AW82)=2,AV82+AW82,"")</x:f>
        <x:v>2</x:v>
      </x:c>
      <x:c r="Y82" s="10" t="n">
        <x:f>IF(COUNT(X82,W82)=2,X82-W82,"")</x:f>
        <x:v>-2</x:v>
      </x:c>
      <x:c r="Z82" s="10" t="n">
        <x:v>0</x:v>
      </x:c>
      <x:c r="AA82" s="10" t="n">
        <x:f>IF(COUNT(AX82,AY82)=2,AX82+AY82,"")</x:f>
        <x:v>0</x:v>
      </x:c>
      <x:c r="AB82" s="10" t="n">
        <x:f>IF(COUNT(AA82,Z82)=2,AA82-Z82,"")</x:f>
        <x:v>0</x:v>
      </x:c>
      <x:c r="AC82" s="10" t="n">
        <x:v>122</x:v>
      </x:c>
      <x:c r="AD82" s="10" t="n">
        <x:v>105</x:v>
      </x:c>
      <x:c r="AE82" s="10" t="n">
        <x:f>IF(COUNT(AD82,AC82)=2,AD82-AC82,"")</x:f>
        <x:v>-17</x:v>
      </x:c>
      <x:c r="AF82" s="10" t="n">
        <x:v>67</x:v>
      </x:c>
      <x:c r="AG82" s="10" t="n">
        <x:v>42</x:v>
      </x:c>
      <x:c r="AH82" s="10" t="n">
        <x:f>IF(COUNT(AG82,AF82)=2,AG82-AF82,"")</x:f>
        <x:v>-25</x:v>
      </x:c>
      <x:c r="AI82" s="10" t="n">
        <x:v>44</x:v>
      </x:c>
      <x:c r="AJ82" s="10" t="n">
        <x:v>40</x:v>
      </x:c>
      <x:c r="AK82" s="10" t="n">
        <x:f>IF(COUNT(AJ82,AI82)=2,AJ82-AI82,"")</x:f>
        <x:v>-4</x:v>
      </x:c>
      <x:c r="AL82" s="10" t="n">
        <x:v>26</x:v>
      </x:c>
      <x:c r="AM82" s="10" t="n">
        <x:v>26</x:v>
      </x:c>
      <x:c r="AN82" s="4" t="str">
        <x:v>C,RW</x:v>
      </x:c>
      <x:c r="AO82" s="4" t="str">
        <x:v>C</x:v>
      </x:c>
      <x:c r="AP82" s="4" t="str">
        <x:v>NJ</x:v>
      </x:c>
      <x:c r="AQ82" s="4" t="str">
        <x:v>NJD</x:v>
      </x:c>
      <x:c r="AR82" s="4" t="n">
        <x:v>14.69</x:v>
      </x:c>
      <x:c r="AS82" s="4" t="n">
        <x:v>13.616666666666667</x:v>
      </x:c>
      <x:c r="AT82" s="4" t="n">
        <x:v>0.95</x:v>
      </x:c>
      <x:c r="AU82" s="4" t="n">
        <x:v>18.1</x:v>
      </x:c>
      <x:c r="AV82" s="10" t="n">
        <x:v>1</x:v>
      </x:c>
      <x:c r="AW82" s="10" t="n">
        <x:v>1</x:v>
      </x:c>
      <x:c r="AX82" s="10" t="n">
        <x:v>0</x:v>
      </x:c>
      <x:c r="AY82" s="10" t="n">
        <x:v>0</x:v>
      </x:c>
      <x:c r="AZ82" s="10" t="n">
        <x:v>817</x:v>
      </x:c>
      <x:c r="BA82" s="10" t="n">
        <x:v>771</x:v>
      </x:c>
      <x:c r="BB82" s="4" t="n">
        <x:v>51.4</x:v>
      </x:c>
      <x:c r="BC82" s="4" t="n">
        <x:v>-0.7</x:v>
      </x:c>
      <x:c r="BD82" s="10" t="n">
        <x:v>585</x:v>
      </x:c>
      <x:c r="BE82" s="10" t="n">
        <x:v>554</x:v>
      </x:c>
      <x:c r="BF82" s="4" t="n">
        <x:v>51.4</x:v>
      </x:c>
      <x:c r="BG82" s="4" t="n">
        <x:v>-0.4</x:v>
      </x:c>
      <x:c r="BH82" s="4" t="n">
        <x:v>10.4</x:v>
      </x:c>
      <x:c r="BI82" s="4" t="n">
        <x:v>90.3</x:v>
      </x:c>
      <x:c r="BJ82" s="4" t="n">
        <x:v>100.7</x:v>
      </x:c>
      <x:c r="BK82" s="4" t="n">
        <x:v>46.2</x:v>
      </x:c>
      <x:c r="BL82" s="4" t="n">
        <x:v>53.8</x:v>
      </x:c>
      <x:c r="BM82" s="4" t="n">
        <x:v>13.616666666666667</x:v>
      </x:c>
      <x:c r="BN82" s="4" t="n">
        <x:v>12.516666666666667</x:v>
      </x:c>
      <x:c r="BO82" s="10" t="n">
        <x:v>8</x:v>
      </x:c>
      <x:c r="BP82" s="10" t="n">
        <x:v>35</x:v>
      </x:c>
      <x:c r="BQ82" s="4" t="n">
        <x:v>-2</x:v>
      </x:c>
      <x:c r="BR82" s="10" t="n">
        <x:v>178</x:v>
      </x:c>
      <x:c r="BS82" s="4" t="n">
        <x:v>59</x:v>
      </x:c>
      <x:c r="BT82" s="10" t="n">
        <x:v>70</x:v>
      </x:c>
      <x:c r="BU82" s="4" t="str">
        <x:v>NJD</x:v>
      </x:c>
      <x:c r="BV82" s="10" t="n">
        <x:v>348</x:v>
      </x:c>
      <x:c r="BW82" s="10" t="n">
        <x:v>374</x:v>
      </x:c>
      <x:c r="BX82" s="10" t="n">
        <x:v>343</x:v>
      </x:c>
      <x:c r="BY82" s="4" t="str">
        <x:v>Cody Glass</x:v>
      </x:c>
      <x:c r="BZ82" s="4" t="str">
        <x:v>Cody Glass</x:v>
      </x:c>
      <x:c r="CA82" s="4" t="str">
        <x:v>Cody Glass</x:v>
      </x:c>
      <x:c r="CB82" s="4" t="str">
        <x:v>glassco01</x:v>
      </x:c>
    </x:row>
    <x:row r="83" ht="22" customHeight="1">
      <x:c r="A83" s="4" t="str">
        <x:v>Cole Caufield</x:v>
      </x:c>
      <x:c r="B83" s="4" t="str">
        <x:v>colecaufield</x:v>
      </x:c>
      <x:c r="C83" s="10" t="n">
        <x:v>1</x:v>
      </x:c>
      <x:c r="D83" s="10" t="n">
        <x:v>1</x:v>
      </x:c>
      <x:c r="E83" s="10" t="n">
        <x:v>1</x:v>
      </x:c>
      <x:c r="F83" s="4" t="n">
        <x:f>IF(COUNT(N83,Q83,T83,W83,Z83,AC83,AF83,AI83)=8,N83*Guide!$E$5+Q83*Guide!$E$6+T83*Guide!$E$7+W83*Guide!$E$8+Z83*Guide!$E$9+AC83*Guide!$E$10+AF83*Guide!$E$11+AI83*Guide!$E$12,"")</x:f>
        <x:v>343.25</x:v>
      </x:c>
      <x:c r="G83" s="4" t="n">
        <x:f>IF(COUNT(O83,R83,U83,X83,AA83,AD83,AG83,AJ83)=8,O83*Guide!$E$5+R83*Guide!$E$6+U83*Guide!$E$7+X83*Guide!$E$8+AA83*Guide!$E$9+AD83*Guide!$E$10+AG83*Guide!$E$11+AJ83*Guide!$E$12,"")</x:f>
        <x:v>465.75</x:v>
      </x:c>
      <x:c r="H83" s="4" t="n">
        <x:f>IF(COUNT(G83,F83)=2,G83-F83,"")</x:f>
        <x:v>122.5</x:v>
      </x:c>
      <x:c r="I83" s="4" t="n">
        <x:f>IF(AND(ISNUMBER(F83),K83&gt;0),F83/K83,"")</x:f>
        <x:v>4.185975609756097</x:v>
      </x:c>
      <x:c r="J83" s="4" t="n">
        <x:f>IF(AND(ISNUMBER(G83),L83&gt;0),G83/L83,"")</x:f>
        <x:v>5.75</x:v>
      </x:c>
      <x:c r="K83" s="10" t="n">
        <x:v>82</x:v>
      </x:c>
      <x:c r="L83" s="10" t="n">
        <x:v>81</x:v>
      </x:c>
      <x:c r="M83" s="10" t="n">
        <x:f>IF(COUNT(L83,K83)=2,L83-K83,"")</x:f>
        <x:v>-1</x:v>
      </x:c>
      <x:c r="N83" s="10" t="n">
        <x:v>35</x:v>
      </x:c>
      <x:c r="O83" s="10" t="n">
        <x:v>51</x:v>
      </x:c>
      <x:c r="P83" s="10" t="n">
        <x:f>IF(COUNT(O83,N83)=2,O83-N83,"")</x:f>
        <x:v>16</x:v>
      </x:c>
      <x:c r="Q83" s="10" t="n">
        <x:v>29</x:v>
      </x:c>
      <x:c r="R83" s="10" t="n">
        <x:v>37</x:v>
      </x:c>
      <x:c r="S83" s="10" t="n">
        <x:f>IF(COUNT(R83,Q83)=2,R83-Q83,"")</x:f>
        <x:v>8</x:v>
      </x:c>
      <x:c r="T83" s="10" t="n">
        <x:v>-1</x:v>
      </x:c>
      <x:c r="U83" s="10" t="n">
        <x:v>29</x:v>
      </x:c>
      <x:c r="V83" s="10" t="n">
        <x:f>IF(COUNT(U83,T83)=2,U83-T83,"")</x:f>
        <x:v>30</x:v>
      </x:c>
      <x:c r="W83" s="10" t="n">
        <x:v>19</x:v>
      </x:c>
      <x:c r="X83" s="10" t="n">
        <x:f>IF(COUNT(AV83,AW83)=2,AV83+AW83,"")</x:f>
        <x:v>29</x:v>
      </x:c>
      <x:c r="Y83" s="10" t="n">
        <x:f>IF(COUNT(X83,W83)=2,X83-W83,"")</x:f>
        <x:v>10</x:v>
      </x:c>
      <x:c r="Z83" s="10" t="n">
        <x:v>0</x:v>
      </x:c>
      <x:c r="AA83" s="10" t="n">
        <x:f>IF(COUNT(AX83,AY83)=2,AX83+AY83,"")</x:f>
        <x:v>0</x:v>
      </x:c>
      <x:c r="AB83" s="10" t="n">
        <x:f>IF(COUNT(AA83,Z83)=2,AA83-Z83,"")</x:f>
        <x:v>0</x:v>
      </x:c>
      <x:c r="AC83" s="10" t="n">
        <x:v>245</x:v>
      </x:c>
      <x:c r="AD83" s="10" t="n">
        <x:v>258</x:v>
      </x:c>
      <x:c r="AE83" s="10" t="n">
        <x:f>IF(COUNT(AD83,AC83)=2,AD83-AC83,"")</x:f>
        <x:v>13</x:v>
      </x:c>
      <x:c r="AF83" s="10" t="n">
        <x:v>61</x:v>
      </x:c>
      <x:c r="AG83" s="10" t="n">
        <x:v>50</x:v>
      </x:c>
      <x:c r="AH83" s="10" t="n">
        <x:f>IF(COUNT(AG83,AF83)=2,AG83-AF83,"")</x:f>
        <x:v>-11</x:v>
      </x:c>
      <x:c r="AI83" s="10" t="n">
        <x:v>29</x:v>
      </x:c>
      <x:c r="AJ83" s="10" t="n">
        <x:v>21</x:v>
      </x:c>
      <x:c r="AK83" s="10" t="n">
        <x:f>IF(COUNT(AJ83,AI83)=2,AJ83-AI83,"")</x:f>
        <x:v>-8</x:v>
      </x:c>
      <x:c r="AL83" s="10" t="n">
        <x:v>25</x:v>
      </x:c>
      <x:c r="AM83" s="10" t="n">
        <x:v>25</x:v>
      </x:c>
      <x:c r="AN83" s="4" t="str">
        <x:v>LW,RW</x:v>
      </x:c>
      <x:c r="AO83" s="4" t="str">
        <x:v>RW</x:v>
      </x:c>
      <x:c r="AP83" s="4" t="str">
        <x:v>MTL</x:v>
      </x:c>
      <x:c r="AQ83" s="4" t="str">
        <x:v>MTL</x:v>
      </x:c>
      <x:c r="AR83" s="4" t="n">
        <x:v>18.360000000000003</x:v>
      </x:c>
      <x:c r="AS83" s="4" t="n">
        <x:v>18.183333333333334</x:v>
      </x:c>
      <x:c r="AT83" s="4" t="n">
        <x:v>3.1</x:v>
      </x:c>
      <x:c r="AU83" s="4" t="n">
        <x:v>19.8</x:v>
      </x:c>
      <x:c r="AV83" s="10" t="n">
        <x:v>11</x:v>
      </x:c>
      <x:c r="AW83" s="10" t="n">
        <x:v>18</x:v>
      </x:c>
      <x:c r="AX83" s="10" t="n">
        <x:v>0</x:v>
      </x:c>
      <x:c r="AY83" s="10" t="n">
        <x:v>0</x:v>
      </x:c>
      <x:c r="AZ83" s="10" t="n">
        <x:v>1304</x:v>
      </x:c>
      <x:c r="BA83" s="10" t="n">
        <x:v>1079</x:v>
      </x:c>
      <x:c r="BB83" s="4" t="n">
        <x:v>54.7</x:v>
      </x:c>
      <x:c r="BC83" s="4" t="n">
        <x:v>8.6</x:v>
      </x:c>
      <x:c r="BD83" s="10" t="n">
        <x:v>985</x:v>
      </x:c>
      <x:c r="BE83" s="10" t="n">
        <x:v>751</x:v>
      </x:c>
      <x:c r="BF83" s="4" t="n">
        <x:v>56.7</x:v>
      </x:c>
      <x:c r="BG83" s="4" t="n">
        <x:v>10.4</x:v>
      </x:c>
      <x:c r="BH83" s="4" t="n">
        <x:v>13.3</x:v>
      </x:c>
      <x:c r="BI83" s="4" t="n">
        <x:v>89.3</x:v>
      </x:c>
      <x:c r="BJ83" s="4" t="n">
        <x:v>102.6</x:v>
      </x:c>
      <x:c r="BK83" s="4" t="n">
        <x:v>60</x:v>
      </x:c>
      <x:c r="BL83" s="4" t="n">
        <x:v>40</x:v>
      </x:c>
      <x:c r="BM83" s="4" t="n">
        <x:v>18.183333333333334</x:v>
      </x:c>
      <x:c r="BN83" s="4" t="n">
        <x:v>14.8</x:v>
      </x:c>
      <x:c r="BO83" s="10" t="n">
        <x:v>22</x:v>
      </x:c>
      <x:c r="BP83" s="10" t="n">
        <x:v>56</x:v>
      </x:c>
      <x:c r="BQ83" s="4" t="n">
        <x:v>14</x:v>
      </x:c>
      <x:c r="BR83" s="10" t="n">
        <x:v>462</x:v>
      </x:c>
      <x:c r="BS83" s="4" t="n">
        <x:v>55.8</x:v>
      </x:c>
      <x:c r="BT83" s="10" t="n">
        <x:v>81</x:v>
      </x:c>
      <x:c r="BU83" s="4" t="str">
        <x:v>MTL</x:v>
      </x:c>
      <x:c r="BV83" s="10" t="n">
        <x:v>73</x:v>
      </x:c>
      <x:c r="BW83" s="10" t="n">
        <x:v>17</x:v>
      </x:c>
      <x:c r="BX83" s="10" t="n">
        <x:v>139</x:v>
      </x:c>
      <x:c r="BY83" s="4" t="str">
        <x:v>Cole Caufield</x:v>
      </x:c>
      <x:c r="BZ83" s="4" t="str">
        <x:v>Cole Caufield</x:v>
      </x:c>
      <x:c r="CA83" s="4" t="str">
        <x:v>Cole Caufield</x:v>
      </x:c>
      <x:c r="CB83" s="4" t="str">
        <x:v>caufico01</x:v>
      </x:c>
    </x:row>
    <x:row r="84" ht="22" customHeight="1">
      <x:c r="A84" s="4" t="str">
        <x:v>Cole Perfetti</x:v>
      </x:c>
      <x:c r="B84" s="4" t="str">
        <x:v>coleperfetti</x:v>
      </x:c>
      <x:c r="C84" s="10" t="n">
        <x:v>1</x:v>
      </x:c>
      <x:c r="D84" s="10" t="n">
        <x:v>1</x:v>
      </x:c>
      <x:c r="E84" s="10" t="n">
        <x:v>1</x:v>
      </x:c>
      <x:c r="F84" s="4" t="n">
        <x:f>IF(COUNT(N84,Q84,T84,W84,Z84,AC84,AF84,AI84)=8,N84*Guide!$E$5+Q84*Guide!$E$6+T84*Guide!$E$7+W84*Guide!$E$8+Z84*Guide!$E$9+AC84*Guide!$E$10+AF84*Guide!$E$11+AI84*Guide!$E$12,"")</x:f>
        <x:v>294</x:v>
      </x:c>
      <x:c r="G84" s="4" t="n">
        <x:f>IF(COUNT(O84,R84,U84,X84,AA84,AD84,AG84,AJ84)=8,O84*Guide!$E$5+R84*Guide!$E$6+U84*Guide!$E$7+X84*Guide!$E$8+AA84*Guide!$E$9+AD84*Guide!$E$10+AG84*Guide!$E$11+AJ84*Guide!$E$12,"")</x:f>
        <x:v>177.25</x:v>
      </x:c>
      <x:c r="H84" s="4" t="n">
        <x:f>IF(COUNT(G84,F84)=2,G84-F84,"")</x:f>
        <x:v>-116.75</x:v>
      </x:c>
      <x:c r="I84" s="4" t="n">
        <x:f>IF(AND(ISNUMBER(F84),K84&gt;0),F84/K84,"")</x:f>
        <x:v>3.675</x:v>
      </x:c>
      <x:c r="J84" s="4" t="n">
        <x:f>IF(AND(ISNUMBER(G84),L84&gt;0),G84/L84,"")</x:f>
        <x:v>2.6066176470588234</x:v>
      </x:c>
      <x:c r="K84" s="10" t="n">
        <x:v>80</x:v>
      </x:c>
      <x:c r="L84" s="10" t="n">
        <x:v>68</x:v>
      </x:c>
      <x:c r="M84" s="10" t="n">
        <x:f>IF(COUNT(L84,K84)=2,L84-K84,"")</x:f>
        <x:v>-12</x:v>
      </x:c>
      <x:c r="N84" s="10" t="n">
        <x:v>22</x:v>
      </x:c>
      <x:c r="O84" s="10" t="n">
        <x:v>12</x:v>
      </x:c>
      <x:c r="P84" s="10" t="n">
        <x:f>IF(COUNT(O84,N84)=2,O84-N84,"")</x:f>
        <x:v>-10</x:v>
      </x:c>
      <x:c r="Q84" s="10" t="n">
        <x:v>32</x:v>
      </x:c>
      <x:c r="R84" s="10" t="n">
        <x:v>20</x:v>
      </x:c>
      <x:c r="S84" s="10" t="n">
        <x:f>IF(COUNT(R84,Q84)=2,R84-Q84,"")</x:f>
        <x:v>-12</x:v>
      </x:c>
      <x:c r="T84" s="10" t="n">
        <x:v>7</x:v>
      </x:c>
      <x:c r="U84" s="10" t="n">
        <x:v>-9</x:v>
      </x:c>
      <x:c r="V84" s="10" t="n">
        <x:f>IF(COUNT(U84,T84)=2,U84-T84,"")</x:f>
        <x:v>-16</x:v>
      </x:c>
      <x:c r="W84" s="10" t="n">
        <x:v>17</x:v>
      </x:c>
      <x:c r="X84" s="10" t="n">
        <x:f>IF(COUNT(AV84,AW84)=2,AV84+AW84,"")</x:f>
        <x:v>6</x:v>
      </x:c>
      <x:c r="Y84" s="10" t="n">
        <x:f>IF(COUNT(X84,W84)=2,X84-W84,"")</x:f>
        <x:v>-11</x:v>
      </x:c>
      <x:c r="Z84" s="10" t="n">
        <x:v>0</x:v>
      </x:c>
      <x:c r="AA84" s="10" t="n">
        <x:f>IF(COUNT(AX84,AY84)=2,AX84+AY84,"")</x:f>
        <x:v>0</x:v>
      </x:c>
      <x:c r="AB84" s="10" t="n">
        <x:f>IF(COUNT(AA84,Z84)=2,AA84-Z84,"")</x:f>
        <x:v>0</x:v>
      </x:c>
      <x:c r="AC84" s="10" t="n">
        <x:v>160</x:v>
      </x:c>
      <x:c r="AD84" s="10" t="n">
        <x:v>136</x:v>
      </x:c>
      <x:c r="AE84" s="10" t="n">
        <x:f>IF(COUNT(AD84,AC84)=2,AD84-AC84,"")</x:f>
        <x:v>-24</x:v>
      </x:c>
      <x:c r="AF84" s="10" t="n">
        <x:v>64</x:v>
      </x:c>
      <x:c r="AG84" s="10" t="n">
        <x:v>54</x:v>
      </x:c>
      <x:c r="AH84" s="10" t="n">
        <x:f>IF(COUNT(AG84,AF84)=2,AG84-AF84,"")</x:f>
        <x:v>-10</x:v>
      </x:c>
      <x:c r="AI84" s="10" t="n">
        <x:v>40</x:v>
      </x:c>
      <x:c r="AJ84" s="10" t="n">
        <x:v>33</x:v>
      </x:c>
      <x:c r="AK84" s="10" t="n">
        <x:f>IF(COUNT(AJ84,AI84)=2,AJ84-AI84,"")</x:f>
        <x:v>-7</x:v>
      </x:c>
      <x:c r="AL84" s="10" t="n">
        <x:v>24</x:v>
      </x:c>
      <x:c r="AM84" s="10" t="n">
        <x:v>24</x:v>
      </x:c>
      <x:c r="AN84" s="4" t="str">
        <x:v>C,LW,RW</x:v>
      </x:c>
      <x:c r="AO84" s="4" t="str">
        <x:v>C</x:v>
      </x:c>
      <x:c r="AP84" s="4" t="str">
        <x:v>WPG</x:v>
      </x:c>
      <x:c r="AQ84" s="4" t="str">
        <x:v>WPG</x:v>
      </x:c>
      <x:c r="AR84" s="4" t="n">
        <x:v>16.16</x:v>
      </x:c>
      <x:c r="AS84" s="4" t="n">
        <x:v>15.616666666666667</x:v>
      </x:c>
      <x:c r="AT84" s="4" t="n">
        <x:v>2.6</x:v>
      </x:c>
      <x:c r="AU84" s="4" t="n">
        <x:v>8.8</x:v>
      </x:c>
      <x:c r="AV84" s="10" t="n">
        <x:v>3</x:v>
      </x:c>
      <x:c r="AW84" s="10" t="n">
        <x:v>3</x:v>
      </x:c>
      <x:c r="AX84" s="10" t="n">
        <x:v>0</x:v>
      </x:c>
      <x:c r="AY84" s="10" t="n">
        <x:v>0</x:v>
      </x:c>
      <x:c r="AZ84" s="10" t="n">
        <x:v>899</x:v>
      </x:c>
      <x:c r="BA84" s="10" t="n">
        <x:v>811</x:v>
      </x:c>
      <x:c r="BB84" s="4" t="n">
        <x:v>52.6</x:v>
      </x:c>
      <x:c r="BC84" s="4" t="n">
        <x:v>3.7</x:v>
      </x:c>
      <x:c r="BD84" s="10" t="n">
        <x:v>636</x:v>
      </x:c>
      <x:c r="BE84" s="10" t="n">
        <x:v>605</x:v>
      </x:c>
      <x:c r="BF84" s="4" t="n">
        <x:v>51.2</x:v>
      </x:c>
      <x:c r="BG84" s="4" t="n">
        <x:v>2.4</x:v>
      </x:c>
      <x:c r="BH84" s="4" t="n">
        <x:v>8.9</x:v>
      </x:c>
      <x:c r="BI84" s="4" t="n">
        <x:v>89.1</x:v>
      </x:c>
      <x:c r="BJ84" s="4" t="n">
        <x:v>98</x:v>
      </x:c>
      <x:c r="BK84" s="4" t="n">
        <x:v>55.8</x:v>
      </x:c>
      <x:c r="BL84" s="4" t="n">
        <x:v>44.2</x:v>
      </x:c>
      <x:c r="BM84" s="4" t="n">
        <x:v>15.616666666666667</x:v>
      </x:c>
      <x:c r="BN84" s="4" t="n">
        <x:v>13.366666666666667</x:v>
      </x:c>
      <x:c r="BO84" s="10" t="n">
        <x:v>21</x:v>
      </x:c>
      <x:c r="BP84" s="10" t="n">
        <x:v>55</x:v>
      </x:c>
      <x:c r="BQ84" s="4" t="n">
        <x:v>1.8</x:v>
      </x:c>
      <x:c r="BR84" s="10" t="n">
        <x:v>281</x:v>
      </x:c>
      <x:c r="BS84" s="4" t="n">
        <x:v>48.4</x:v>
      </x:c>
      <x:c r="BT84" s="10" t="n">
        <x:v>68</x:v>
      </x:c>
      <x:c r="BU84" s="4" t="str">
        <x:v>WPG</x:v>
      </x:c>
      <x:c r="BV84" s="10" t="n">
        <x:v>126</x:v>
      </x:c>
      <x:c r="BW84" s="10" t="n">
        <x:v>305</x:v>
      </x:c>
      <x:c r="BX84" s="10" t="n">
        <x:v>796</x:v>
      </x:c>
      <x:c r="BY84" s="4" t="str">
        <x:v>Cole Perfetti</x:v>
      </x:c>
      <x:c r="BZ84" s="4" t="str">
        <x:v>Cole Perfetti</x:v>
      </x:c>
      <x:c r="CA84" s="4" t="str">
        <x:v>Cole Perfetti</x:v>
      </x:c>
      <x:c r="CB84" s="4" t="str">
        <x:v>perfeco01</x:v>
      </x:c>
    </x:row>
    <x:row r="85" ht="22" customHeight="1">
      <x:c r="A85" s="4" t="str">
        <x:v>Cole Sillinger</x:v>
      </x:c>
      <x:c r="B85" s="4" t="str">
        <x:v>colesillinger</x:v>
      </x:c>
      <x:c r="C85" s="10" t="n">
        <x:v>1</x:v>
      </x:c>
      <x:c r="D85" s="10" t="n">
        <x:v>1</x:v>
      </x:c>
      <x:c r="E85" s="10" t="n">
        <x:v>1</x:v>
      </x:c>
      <x:c r="F85" s="4" t="n">
        <x:f>IF(COUNT(N85,Q85,T85,W85,Z85,AC85,AF85,AI85)=8,N85*Guide!$E$5+Q85*Guide!$E$6+T85*Guide!$E$7+W85*Guide!$E$8+Z85*Guide!$E$9+AC85*Guide!$E$10+AF85*Guide!$E$11+AI85*Guide!$E$12,"")</x:f>
        <x:v>224.75</x:v>
      </x:c>
      <x:c r="G85" s="4" t="n">
        <x:f>IF(COUNT(O85,R85,U85,X85,AA85,AD85,AG85,AJ85)=8,O85*Guide!$E$5+R85*Guide!$E$6+U85*Guide!$E$7+X85*Guide!$E$8+AA85*Guide!$E$9+AD85*Guide!$E$10+AG85*Guide!$E$11+AJ85*Guide!$E$12,"")</x:f>
        <x:v>205</x:v>
      </x:c>
      <x:c r="H85" s="4" t="n">
        <x:f>IF(COUNT(G85,F85)=2,G85-F85,"")</x:f>
        <x:v>-19.75</x:v>
      </x:c>
      <x:c r="I85" s="4" t="n">
        <x:f>IF(AND(ISNUMBER(F85),K85&gt;0),F85/K85,"")</x:f>
        <x:v>2.9572368421052633</x:v>
      </x:c>
      <x:c r="J85" s="4" t="n">
        <x:f>IF(AND(ISNUMBER(G85),L85&gt;0),G85/L85,"")</x:f>
        <x:v>2.5308641975308643</x:v>
      </x:c>
      <x:c r="K85" s="10" t="n">
        <x:v>76</x:v>
      </x:c>
      <x:c r="L85" s="10" t="n">
        <x:v>81</x:v>
      </x:c>
      <x:c r="M85" s="10" t="n">
        <x:f>IF(COUNT(L85,K85)=2,L85-K85,"")</x:f>
        <x:v>5</x:v>
      </x:c>
      <x:c r="N85" s="10" t="n">
        <x:v>15</x:v>
      </x:c>
      <x:c r="O85" s="10" t="n">
        <x:v>8</x:v>
      </x:c>
      <x:c r="P85" s="10" t="n">
        <x:f>IF(COUNT(O85,N85)=2,O85-N85,"")</x:f>
        <x:v>-7</x:v>
      </x:c>
      <x:c r="Q85" s="10" t="n">
        <x:v>21</x:v>
      </x:c>
      <x:c r="R85" s="10" t="n">
        <x:v>25</x:v>
      </x:c>
      <x:c r="S85" s="10" t="n">
        <x:f>IF(COUNT(R85,Q85)=2,R85-Q85,"")</x:f>
        <x:v>4</x:v>
      </x:c>
      <x:c r="T85" s="10" t="n">
        <x:v>-11</x:v>
      </x:c>
      <x:c r="U85" s="10" t="n">
        <x:v>2</x:v>
      </x:c>
      <x:c r="V85" s="10" t="n">
        <x:f>IF(COUNT(U85,T85)=2,U85-T85,"")</x:f>
        <x:v>13</x:v>
      </x:c>
      <x:c r="W85" s="10" t="n">
        <x:v>7</x:v>
      </x:c>
      <x:c r="X85" s="10" t="n">
        <x:f>IF(COUNT(AV85,AW85)=2,AV85+AW85,"")</x:f>
        <x:v>1</x:v>
      </x:c>
      <x:c r="Y85" s="10" t="n">
        <x:f>IF(COUNT(X85,W85)=2,X85-W85,"")</x:f>
        <x:v>-6</x:v>
      </x:c>
      <x:c r="Z85" s="10" t="n">
        <x:v>1</x:v>
      </x:c>
      <x:c r="AA85" s="10" t="n">
        <x:f>IF(COUNT(AX85,AY85)=2,AX85+AY85,"")</x:f>
        <x:v>0</x:v>
      </x:c>
      <x:c r="AB85" s="10" t="n">
        <x:f>IF(COUNT(AA85,Z85)=2,AA85-Z85,"")</x:f>
        <x:v>-1</x:v>
      </x:c>
      <x:c r="AC85" s="10" t="n">
        <x:v>148</x:v>
      </x:c>
      <x:c r="AD85" s="10" t="n">
        <x:v>136</x:v>
      </x:c>
      <x:c r="AE85" s="10" t="n">
        <x:f>IF(COUNT(AD85,AC85)=2,AD85-AC85,"")</x:f>
        <x:v>-12</x:v>
      </x:c>
      <x:c r="AF85" s="10" t="n">
        <x:v>101</x:v>
      </x:c>
      <x:c r="AG85" s="10" t="n">
        <x:v>112</x:v>
      </x:c>
      <x:c r="AH85" s="10" t="n">
        <x:f>IF(COUNT(AG85,AF85)=2,AG85-AF85,"")</x:f>
        <x:v>11</x:v>
      </x:c>
      <x:c r="AI85" s="10" t="n">
        <x:v>54</x:v>
      </x:c>
      <x:c r="AJ85" s="10" t="n">
        <x:v>44</x:v>
      </x:c>
      <x:c r="AK85" s="10" t="n">
        <x:f>IF(COUNT(AJ85,AI85)=2,AJ85-AI85,"")</x:f>
        <x:v>-10</x:v>
      </x:c>
      <x:c r="AL85" s="10" t="n">
        <x:v>22</x:v>
      </x:c>
      <x:c r="AM85" s="10" t="n">
        <x:v>22</x:v>
      </x:c>
      <x:c r="AN85" s="4" t="str">
        <x:v>C,RW</x:v>
      </x:c>
      <x:c r="AO85" s="4" t="str">
        <x:v>C</x:v>
      </x:c>
      <x:c r="AP85" s="4" t="str">
        <x:v>CBJ</x:v>
      </x:c>
      <x:c r="AQ85" s="4" t="str">
        <x:v>CBJ</x:v>
      </x:c>
      <x:c r="AR85" s="4" t="n">
        <x:v>17.19</x:v>
      </x:c>
      <x:c r="AS85" s="4" t="n">
        <x:v>15.216666666666667</x:v>
      </x:c>
      <x:c r="AT85" s="4" t="n">
        <x:v>1.48</x:v>
      </x:c>
      <x:c r="AU85" s="4" t="n">
        <x:v>5.9</x:v>
      </x:c>
      <x:c r="AV85" s="10" t="n">
        <x:v>0</x:v>
      </x:c>
      <x:c r="AW85" s="10" t="n">
        <x:v>1</x:v>
      </x:c>
      <x:c r="AX85" s="10" t="n">
        <x:v>0</x:v>
      </x:c>
      <x:c r="AY85" s="10" t="n">
        <x:v>0</x:v>
      </x:c>
      <x:c r="AZ85" s="10" t="n">
        <x:v>1114</x:v>
      </x:c>
      <x:c r="BA85" s="10" t="n">
        <x:v>1148</x:v>
      </x:c>
      <x:c r="BB85" s="4" t="n">
        <x:v>49.2</x:v>
      </x:c>
      <x:c r="BC85" s="4" t="n">
        <x:v>-1.6</x:v>
      </x:c>
      <x:c r="BD85" s="10" t="n">
        <x:v>812</x:v>
      </x:c>
      <x:c r="BE85" s="10" t="n">
        <x:v>826</x:v>
      </x:c>
      <x:c r="BF85" s="4" t="n">
        <x:v>49.6</x:v>
      </x:c>
      <x:c r="BG85" s="4" t="n">
        <x:v>-0.9</x:v>
      </x:c>
      <x:c r="BH85" s="4" t="n">
        <x:v>10.4</x:v>
      </x:c>
      <x:c r="BI85" s="4" t="n">
        <x:v>89.9</x:v>
      </x:c>
      <x:c r="BJ85" s="4" t="n">
        <x:v>100.3</x:v>
      </x:c>
      <x:c r="BK85" s="4" t="n">
        <x:v>45</x:v>
      </x:c>
      <x:c r="BL85" s="4" t="n">
        <x:v>55</x:v>
      </x:c>
      <x:c r="BM85" s="4" t="n">
        <x:v>15.216666666666667</x:v>
      </x:c>
      <x:c r="BN85" s="4" t="n">
        <x:v>14.15</x:v>
      </x:c>
      <x:c r="BO85" s="10" t="n">
        <x:v>31</x:v>
      </x:c>
      <x:c r="BP85" s="10" t="n">
        <x:v>58</x:v>
      </x:c>
      <x:c r="BQ85" s="4" t="n">
        <x:v>-1.9</x:v>
      </x:c>
      <x:c r="BR85" s="10" t="n">
        <x:v>247</x:v>
      </x:c>
      <x:c r="BS85" s="4" t="n">
        <x:v>55.1</x:v>
      </x:c>
      <x:c r="BT85" s="10" t="n">
        <x:v>81</x:v>
      </x:c>
      <x:c r="BU85" s="4" t="str">
        <x:v>CBJ</x:v>
      </x:c>
      <x:c r="BV85" s="10" t="n">
        <x:v>291</x:v>
      </x:c>
      <x:c r="BW85" s="10" t="n">
        <x:v>289</x:v>
      </x:c>
      <x:c r="BX85" s="10" t="n">
        <x:v>934</x:v>
      </x:c>
      <x:c r="BY85" s="4" t="str">
        <x:v>Cole Sillinger</x:v>
      </x:c>
      <x:c r="BZ85" s="4" t="str">
        <x:v>Cole Sillinger</x:v>
      </x:c>
      <x:c r="CA85" s="4" t="str">
        <x:v>Cole Sillinger</x:v>
      </x:c>
      <x:c r="CB85" s="4" t="str">
        <x:v>sillico01</x:v>
      </x:c>
    </x:row>
    <x:row r="86" ht="22" customHeight="1">
      <x:c r="A86" s="4" t="str">
        <x:v>Collin Graf</x:v>
      </x:c>
      <x:c r="B86" s="4" t="str">
        <x:v>collingraf</x:v>
      </x:c>
      <x:c r="C86" s="10" t="n">
        <x:v>1</x:v>
      </x:c>
      <x:c r="D86" s="10" t="n">
        <x:v>1</x:v>
      </x:c>
      <x:c r="E86" s="10" t="n">
        <x:v>1</x:v>
      </x:c>
      <x:c r="F86" s="4" t="n">
        <x:f>IF(COUNT(N86,Q86,T86,W86,Z86,AC86,AF86,AI86)=8,N86*Guide!$E$5+Q86*Guide!$E$6+T86*Guide!$E$7+W86*Guide!$E$8+Z86*Guide!$E$9+AC86*Guide!$E$10+AF86*Guide!$E$11+AI86*Guide!$E$12,"")</x:f>
        <x:v>189.25</x:v>
      </x:c>
      <x:c r="G86" s="4" t="n">
        <x:f>IF(COUNT(O86,R86,U86,X86,AA86,AD86,AG86,AJ86)=8,O86*Guide!$E$5+R86*Guide!$E$6+U86*Guide!$E$7+X86*Guide!$E$8+AA86*Guide!$E$9+AD86*Guide!$E$10+AG86*Guide!$E$11+AJ86*Guide!$E$12,"")</x:f>
        <x:v>262.5</x:v>
      </x:c>
      <x:c r="H86" s="4" t="n">
        <x:f>IF(COUNT(G86,F86)=2,G86-F86,"")</x:f>
        <x:v>73.25</x:v>
      </x:c>
      <x:c r="I86" s="4" t="n">
        <x:f>IF(AND(ISNUMBER(F86),K86&gt;0),F86/K86,"")</x:f>
        <x:v>2.5574324324324325</x:v>
      </x:c>
      <x:c r="J86" s="4" t="n">
        <x:f>IF(AND(ISNUMBER(G86),L86&gt;0),G86/L86,"")</x:f>
        <x:v>3.240740740740741</x:v>
      </x:c>
      <x:c r="K86" s="10" t="n">
        <x:v>74</x:v>
      </x:c>
      <x:c r="L86" s="10" t="n">
        <x:v>81</x:v>
      </x:c>
      <x:c r="M86" s="10" t="n">
        <x:f>IF(COUNT(L86,K86)=2,L86-K86,"")</x:f>
        <x:v>7</x:v>
      </x:c>
      <x:c r="N86" s="10" t="n">
        <x:v>15</x:v>
      </x:c>
      <x:c r="O86" s="10" t="n">
        <x:v>21</x:v>
      </x:c>
      <x:c r="P86" s="10" t="n">
        <x:f>IF(COUNT(O86,N86)=2,O86-N86,"")</x:f>
        <x:v>6</x:v>
      </x:c>
      <x:c r="Q86" s="10" t="n">
        <x:v>19</x:v>
      </x:c>
      <x:c r="R86" s="10" t="n">
        <x:v>25</x:v>
      </x:c>
      <x:c r="S86" s="10" t="n">
        <x:f>IF(COUNT(R86,Q86)=2,R86-Q86,"")</x:f>
        <x:v>6</x:v>
      </x:c>
      <x:c r="T86" s="10" t="n">
        <x:v>-5</x:v>
      </x:c>
      <x:c r="U86" s="10" t="n">
        <x:v>6</x:v>
      </x:c>
      <x:c r="V86" s="10" t="n">
        <x:f>IF(COUNT(U86,T86)=2,U86-T86,"")</x:f>
        <x:v>11</x:v>
      </x:c>
      <x:c r="W86" s="10" t="n">
        <x:v>9</x:v>
      </x:c>
      <x:c r="X86" s="10" t="n">
        <x:f>IF(COUNT(AV86,AW86)=2,AV86+AW86,"")</x:f>
        <x:v>1</x:v>
      </x:c>
      <x:c r="Y86" s="10" t="n">
        <x:f>IF(COUNT(X86,W86)=2,X86-W86,"")</x:f>
        <x:v>-8</x:v>
      </x:c>
      <x:c r="Z86" s="10" t="n">
        <x:v>1</x:v>
      </x:c>
      <x:c r="AA86" s="10" t="n">
        <x:f>IF(COUNT(AX86,AY86)=2,AX86+AY86,"")</x:f>
        <x:v>3</x:v>
      </x:c>
      <x:c r="AB86" s="10" t="n">
        <x:f>IF(COUNT(AA86,Z86)=2,AA86-Z86,"")</x:f>
        <x:v>2</x:v>
      </x:c>
      <x:c r="AC86" s="10" t="n">
        <x:v>99</x:v>
      </x:c>
      <x:c r="AD86" s="10" t="n">
        <x:v>118</x:v>
      </x:c>
      <x:c r="AE86" s="10" t="n">
        <x:f>IF(COUNT(AD86,AC86)=2,AD86-AC86,"")</x:f>
        <x:v>19</x:v>
      </x:c>
      <x:c r="AF86" s="10" t="n">
        <x:v>45</x:v>
      </x:c>
      <x:c r="AG86" s="10" t="n">
        <x:v>88</x:v>
      </x:c>
      <x:c r="AH86" s="10" t="n">
        <x:f>IF(COUNT(AG86,AF86)=2,AG86-AF86,"")</x:f>
        <x:v>43</x:v>
      </x:c>
      <x:c r="AI86" s="10" t="n">
        <x:v>39</x:v>
      </x:c>
      <x:c r="AJ86" s="10" t="n">
        <x:v>48</x:v>
      </x:c>
      <x:c r="AK86" s="10" t="n">
        <x:f>IF(COUNT(AJ86,AI86)=2,AJ86-AI86,"")</x:f>
        <x:v>9</x:v>
      </x:c>
      <x:c r="AL86" s="10" t="n">
        <x:v>23</x:v>
      </x:c>
      <x:c r="AM86" s="10" t="n">
        <x:v>23</x:v>
      </x:c>
      <x:c r="AN86" s="4" t="str">
        <x:v>RW</x:v>
      </x:c>
      <x:c r="AO86" s="4" t="str">
        <x:v>F</x:v>
      </x:c>
      <x:c r="AP86" s="4" t="str">
        <x:v>SJ</x:v>
      </x:c>
      <x:c r="AQ86" s="4" t="str">
        <x:v>SJS</x:v>
      </x:c>
      <x:c r="AR86" s="4" t="n">
        <x:v>16.29</x:v>
      </x:c>
      <x:c r="AS86" s="4" t="n">
        <x:v>16.45</x:v>
      </x:c>
      <x:c r="AT86" s="4" t="n">
        <x:v>1.35</x:v>
      </x:c>
      <x:c r="AU86" s="4" t="n">
        <x:v>17.8</x:v>
      </x:c>
      <x:c r="AV86" s="10" t="n">
        <x:v>0</x:v>
      </x:c>
      <x:c r="AW86" s="10" t="n">
        <x:v>1</x:v>
      </x:c>
      <x:c r="AX86" s="10" t="n">
        <x:v>2</x:v>
      </x:c>
      <x:c r="AY86" s="10" t="n">
        <x:v>1</x:v>
      </x:c>
      <x:c r="AZ86" s="10" t="n">
        <x:v>875</x:v>
      </x:c>
      <x:c r="BA86" s="10" t="n">
        <x:v>1100</x:v>
      </x:c>
      <x:c r="BB86" s="4" t="n">
        <x:v>44.3</x:v>
      </x:c>
      <x:c r="BC86" s="4" t="n">
        <x:v>-3.8</x:v>
      </x:c>
      <x:c r="BD86" s="10" t="n">
        <x:v>622</x:v>
      </x:c>
      <x:c r="BE86" s="10" t="n">
        <x:v>801</x:v>
      </x:c>
      <x:c r="BF86" s="4" t="n">
        <x:v>43.7</x:v>
      </x:c>
      <x:c r="BG86" s="4" t="n">
        <x:v>-3.9</x:v>
      </x:c>
      <x:c r="BH86" s="4" t="n">
        <x:v>12.9</x:v>
      </x:c>
      <x:c r="BI86" s="4" t="n">
        <x:v>90.5</x:v>
      </x:c>
      <x:c r="BJ86" s="4" t="n">
        <x:v>103.3</x:v>
      </x:c>
      <x:c r="BK86" s="4" t="n">
        <x:v>45.9</x:v>
      </x:c>
      <x:c r="BL86" s="4" t="n">
        <x:v>54.1</x:v>
      </x:c>
      <x:c r="BM86" s="4" t="n">
        <x:v>16.45</x:v>
      </x:c>
      <x:c r="BN86" s="4" t="n">
        <x:v>13.483333333333333</x:v>
      </x:c>
      <x:c r="BO86" s="10" t="n">
        <x:v>34</x:v>
      </x:c>
      <x:c r="BP86" s="10" t="n">
        <x:v>55</x:v>
      </x:c>
      <x:c r="BQ86" s="4" t="n">
        <x:v>-3.2</x:v>
      </x:c>
      <x:c r="BR86" s="10" t="n">
        <x:v>215</x:v>
      </x:c>
      <x:c r="BS86" s="4" t="n">
        <x:v>55.3</x:v>
      </x:c>
      <x:c r="BT86" s="10" t="n">
        <x:v>81</x:v>
      </x:c>
      <x:c r="BU86" s="4" t="str">
        <x:v>SJS</x:v>
      </x:c>
      <x:c r="BV86" s="10" t="n">
        <x:v>319</x:v>
      </x:c>
      <x:c r="BW86" s="10" t="n">
        <x:v>167</x:v>
      </x:c>
      <x:c r="BX86" s="10" t="n">
        <x:v>351</x:v>
      </x:c>
      <x:c r="BY86" s="4" t="str">
        <x:v>Collin Graf</x:v>
      </x:c>
      <x:c r="BZ86" s="4" t="str">
        <x:v>Collin Graf</x:v>
      </x:c>
      <x:c r="CA86" s="4" t="str">
        <x:v>Collin Graf</x:v>
      </x:c>
      <x:c r="CB86" s="4" t="str">
        <x:v>grafco01</x:v>
      </x:c>
    </x:row>
    <x:row r="87" ht="22" customHeight="1">
      <x:c r="A87" s="4" t="str">
        <x:v>Colton Parayko</x:v>
      </x:c>
      <x:c r="B87" s="4" t="str">
        <x:v>coltonparayko</x:v>
      </x:c>
      <x:c r="C87" s="10" t="n">
        <x:v>1</x:v>
      </x:c>
      <x:c r="D87" s="10" t="n">
        <x:v>1</x:v>
      </x:c>
      <x:c r="E87" s="10" t="n">
        <x:v>1</x:v>
      </x:c>
      <x:c r="F87" s="4" t="n">
        <x:f>IF(COUNT(N87,Q87,T87,W87,Z87,AC87,AF87,AI87)=8,N87*Guide!$E$5+Q87*Guide!$E$6+T87*Guide!$E$7+W87*Guide!$E$8+Z87*Guide!$E$9+AC87*Guide!$E$10+AF87*Guide!$E$11+AI87*Guide!$E$12,"")</x:f>
        <x:v>313</x:v>
      </x:c>
      <x:c r="G87" s="4" t="n">
        <x:f>IF(COUNT(O87,R87,U87,X87,AA87,AD87,AG87,AJ87)=8,O87*Guide!$E$5+R87*Guide!$E$6+U87*Guide!$E$7+X87*Guide!$E$8+AA87*Guide!$E$9+AD87*Guide!$E$10+AG87*Guide!$E$11+AJ87*Guide!$E$12,"")</x:f>
        <x:v>231</x:v>
      </x:c>
      <x:c r="H87" s="4" t="n">
        <x:f>IF(COUNT(G87,F87)=2,G87-F87,"")</x:f>
        <x:v>-82</x:v>
      </x:c>
      <x:c r="I87" s="4" t="n">
        <x:f>IF(AND(ISNUMBER(F87),K87&gt;0),F87/K87,"")</x:f>
        <x:v>3.962025316455696</x:v>
      </x:c>
      <x:c r="J87" s="4" t="n">
        <x:f>IF(AND(ISNUMBER(G87),L87&gt;0),G87/L87,"")</x:f>
        <x:v>3</x:v>
      </x:c>
      <x:c r="K87" s="10" t="n">
        <x:v>79</x:v>
      </x:c>
      <x:c r="L87" s="10" t="n">
        <x:v>77</x:v>
      </x:c>
      <x:c r="M87" s="10" t="n">
        <x:f>IF(COUNT(L87,K87)=2,L87-K87,"")</x:f>
        <x:v>-2</x:v>
      </x:c>
      <x:c r="N87" s="10" t="n">
        <x:v>11</x:v>
      </x:c>
      <x:c r="O87" s="10" t="n">
        <x:v>4</x:v>
      </x:c>
      <x:c r="P87" s="10" t="n">
        <x:f>IF(COUNT(O87,N87)=2,O87-N87,"")</x:f>
        <x:v>-7</x:v>
      </x:c>
      <x:c r="Q87" s="10" t="n">
        <x:v>23</x:v>
      </x:c>
      <x:c r="R87" s="10" t="n">
        <x:v>14</x:v>
      </x:c>
      <x:c r="S87" s="10" t="n">
        <x:f>IF(COUNT(R87,Q87)=2,R87-Q87,"")</x:f>
        <x:v>-9</x:v>
      </x:c>
      <x:c r="T87" s="10" t="n">
        <x:v>2</x:v>
      </x:c>
      <x:c r="U87" s="10" t="n">
        <x:v>-6</x:v>
      </x:c>
      <x:c r="V87" s="10" t="n">
        <x:f>IF(COUNT(U87,T87)=2,U87-T87,"")</x:f>
        <x:v>-8</x:v>
      </x:c>
      <x:c r="W87" s="10" t="n">
        <x:v>3</x:v>
      </x:c>
      <x:c r="X87" s="10" t="n">
        <x:f>IF(COUNT(AV87,AW87)=2,AV87+AW87,"")</x:f>
        <x:v>0</x:v>
      </x:c>
      <x:c r="Y87" s="10" t="n">
        <x:f>IF(COUNT(X87,W87)=2,X87-W87,"")</x:f>
        <x:v>-3</x:v>
      </x:c>
      <x:c r="Z87" s="10" t="n">
        <x:v>1</x:v>
      </x:c>
      <x:c r="AA87" s="10" t="n">
        <x:f>IF(COUNT(AX87,AY87)=2,AX87+AY87,"")</x:f>
        <x:v>0</x:v>
      </x:c>
      <x:c r="AB87" s="10" t="n">
        <x:f>IF(COUNT(AA87,Z87)=2,AA87-Z87,"")</x:f>
        <x:v>-1</x:v>
      </x:c>
      <x:c r="AC87" s="10" t="n">
        <x:v>138</x:v>
      </x:c>
      <x:c r="AD87" s="10" t="n">
        <x:v>105</x:v>
      </x:c>
      <x:c r="AE87" s="10" t="n">
        <x:f>IF(COUNT(AD87,AC87)=2,AD87-AC87,"")</x:f>
        <x:v>-33</x:v>
      </x:c>
      <x:c r="AF87" s="10" t="n">
        <x:v>105</x:v>
      </x:c>
      <x:c r="AG87" s="10" t="n">
        <x:v>95</x:v>
      </x:c>
      <x:c r="AH87" s="10" t="n">
        <x:f>IF(COUNT(AG87,AF87)=2,AG87-AF87,"")</x:f>
        <x:v>-10</x:v>
      </x:c>
      <x:c r="AI87" s="10" t="n">
        <x:v>175</x:v>
      </x:c>
      <x:c r="AJ87" s="10" t="n">
        <x:v>172</x:v>
      </x:c>
      <x:c r="AK87" s="10" t="n">
        <x:f>IF(COUNT(AJ87,AI87)=2,AJ87-AI87,"")</x:f>
        <x:v>-3</x:v>
      </x:c>
      <x:c r="AL87" s="10" t="n">
        <x:v>32</x:v>
      </x:c>
      <x:c r="AM87" s="10" t="n">
        <x:v>32</x:v>
      </x:c>
      <x:c r="AN87" s="4" t="str">
        <x:v>D</x:v>
      </x:c>
      <x:c r="AO87" s="4" t="str">
        <x:v>D</x:v>
      </x:c>
      <x:c r="AP87" s="4" t="str">
        <x:v>STL</x:v>
      </x:c>
      <x:c r="AQ87" s="4" t="str">
        <x:v>STL</x:v>
      </x:c>
      <x:c r="AR87" s="4" t="n">
        <x:v>23.8</x:v>
      </x:c>
      <x:c r="AS87" s="4" t="n">
        <x:v>22.2</x:v>
      </x:c>
      <x:c r="AT87" s="4" t="n">
        <x:v>0.51</x:v>
      </x:c>
      <x:c r="AU87" s="4" t="n">
        <x:v>3.8</x:v>
      </x:c>
      <x:c r="AV87" s="10" t="n">
        <x:v>0</x:v>
      </x:c>
      <x:c r="AW87" s="10" t="n">
        <x:v>0</x:v>
      </x:c>
      <x:c r="AX87" s="10" t="n">
        <x:v>0</x:v>
      </x:c>
      <x:c r="AY87" s="10" t="n">
        <x:v>0</x:v>
      </x:c>
      <x:c r="AZ87" s="10" t="n">
        <x:v>1283</x:v>
      </x:c>
      <x:c r="BA87" s="10" t="n">
        <x:v>1465</x:v>
      </x:c>
      <x:c r="BB87" s="4" t="n">
        <x:v>46.7</x:v>
      </x:c>
      <x:c r="BC87" s="4" t="n">
        <x:v>-2.2</x:v>
      </x:c>
      <x:c r="BD87" s="10" t="n">
        <x:v>926</x:v>
      </x:c>
      <x:c r="BE87" s="10" t="n">
        <x:v>1028</x:v>
      </x:c>
      <x:c r="BF87" s="4" t="n">
        <x:v>47.4</x:v>
      </x:c>
      <x:c r="BG87" s="4" t="n">
        <x:v>-0.9</x:v>
      </x:c>
      <x:c r="BH87" s="4" t="n">
        <x:v>9.6</x:v>
      </x:c>
      <x:c r="BI87" s="4" t="n">
        <x:v>90.3</x:v>
      </x:c>
      <x:c r="BJ87" s="4" t="n">
        <x:v>100</x:v>
      </x:c>
      <x:c r="BK87" s="4" t="n">
        <x:v>41.6</x:v>
      </x:c>
      <x:c r="BL87" s="4" t="n">
        <x:v>58.4</x:v>
      </x:c>
      <x:c r="BM87" s="4" t="n">
        <x:v>22.2</x:v>
      </x:c>
      <x:c r="BN87" s="4" t="n">
        <x:v>19.516666666666666</x:v>
      </x:c>
      <x:c r="BO87" s="10" t="n">
        <x:v>35</x:v>
      </x:c>
      <x:c r="BP87" s="10" t="n">
        <x:v>92</x:v>
      </x:c>
      <x:c r="BQ87" s="4" t="n">
        <x:v>-1</x:v>
      </x:c>
      <x:c r="BR87" s="10" t="n">
        <x:v>246</x:v>
      </x:c>
      <x:c r="BS87" s="4" t="n">
        <x:v>42.7</x:v>
      </x:c>
      <x:c r="BT87" s="10" t="n">
        <x:v>77</x:v>
      </x:c>
      <x:c r="BU87" s="4" t="str">
        <x:v>STL</x:v>
      </x:c>
      <x:c r="BV87" s="10" t="n">
        <x:v>313</x:v>
      </x:c>
      <x:c r="BW87" s="10" t="n">
        <x:v>498</x:v>
      </x:c>
      <x:c r="BX87" s="10" t="n">
        <x:v>782</x:v>
      </x:c>
      <x:c r="BY87" s="4" t="str">
        <x:v>Colton Parayko</x:v>
      </x:c>
      <x:c r="BZ87" s="4" t="str">
        <x:v>Colton Parayko</x:v>
      </x:c>
      <x:c r="CA87" s="4" t="str">
        <x:v>Colton Parayko</x:v>
      </x:c>
      <x:c r="CB87" s="4" t="str">
        <x:v>parayco01</x:v>
      </x:c>
    </x:row>
    <x:row r="88" ht="22" customHeight="1">
      <x:c r="A88" s="4" t="str">
        <x:v>Connor Bedard</x:v>
      </x:c>
      <x:c r="B88" s="4" t="str">
        <x:v>connorbedard</x:v>
      </x:c>
      <x:c r="C88" s="10" t="n">
        <x:v>1</x:v>
      </x:c>
      <x:c r="D88" s="10" t="n">
        <x:v>1</x:v>
      </x:c>
      <x:c r="E88" s="10" t="n">
        <x:v>1</x:v>
      </x:c>
      <x:c r="F88" s="4" t="n">
        <x:f>IF(COUNT(N88,Q88,T88,W88,Z88,AC88,AF88,AI88)=8,N88*Guide!$E$5+Q88*Guide!$E$6+T88*Guide!$E$7+W88*Guide!$E$8+Z88*Guide!$E$9+AC88*Guide!$E$10+AF88*Guide!$E$11+AI88*Guide!$E$12,"")</x:f>
        <x:v>358.5</x:v>
      </x:c>
      <x:c r="G88" s="4" t="n">
        <x:f>IF(COUNT(O88,R88,U88,X88,AA88,AD88,AG88,AJ88)=8,O88*Guide!$E$5+R88*Guide!$E$6+U88*Guide!$E$7+X88*Guide!$E$8+AA88*Guide!$E$9+AD88*Guide!$E$10+AG88*Guide!$E$11+AJ88*Guide!$E$12,"")</x:f>
        <x:v>342.5</x:v>
      </x:c>
      <x:c r="H88" s="4" t="n">
        <x:f>IF(COUNT(G88,F88)=2,G88-F88,"")</x:f>
        <x:v>-16</x:v>
      </x:c>
      <x:c r="I88" s="4" t="n">
        <x:f>IF(AND(ISNUMBER(F88),K88&gt;0),F88/K88,"")</x:f>
        <x:v>4.371951219512195</x:v>
      </x:c>
      <x:c r="J88" s="4" t="n">
        <x:f>IF(AND(ISNUMBER(G88),L88&gt;0),G88/L88,"")</x:f>
        <x:v>4.963768115942029</x:v>
      </x:c>
      <x:c r="K88" s="10" t="n">
        <x:v>82</x:v>
      </x:c>
      <x:c r="L88" s="10" t="n">
        <x:v>69</x:v>
      </x:c>
      <x:c r="M88" s="10" t="n">
        <x:f>IF(COUNT(L88,K88)=2,L88-K88,"")</x:f>
        <x:v>-13</x:v>
      </x:c>
      <x:c r="N88" s="10" t="n">
        <x:v>31</x:v>
      </x:c>
      <x:c r="O88" s="10" t="n">
        <x:v>30</x:v>
      </x:c>
      <x:c r="P88" s="10" t="n">
        <x:f>IF(COUNT(O88,N88)=2,O88-N88,"")</x:f>
        <x:v>-1</x:v>
      </x:c>
      <x:c r="Q88" s="10" t="n">
        <x:v>46</x:v>
      </x:c>
      <x:c r="R88" s="10" t="n">
        <x:v>45</x:v>
      </x:c>
      <x:c r="S88" s="10" t="n">
        <x:f>IF(COUNT(R88,Q88)=2,R88-Q88,"")</x:f>
        <x:v>-1</x:v>
      </x:c>
      <x:c r="T88" s="10" t="n">
        <x:v>-31</x:v>
      </x:c>
      <x:c r="U88" s="10" t="n">
        <x:v>-18</x:v>
      </x:c>
      <x:c r="V88" s="10" t="n">
        <x:f>IF(COUNT(U88,T88)=2,U88-T88,"")</x:f>
        <x:v>13</x:v>
      </x:c>
      <x:c r="W88" s="10" t="n">
        <x:v>28</x:v>
      </x:c>
      <x:c r="X88" s="10" t="n">
        <x:f>IF(COUNT(AV88,AW88)=2,AV88+AW88,"")</x:f>
        <x:v>21</x:v>
      </x:c>
      <x:c r="Y88" s="10" t="n">
        <x:f>IF(COUNT(X88,W88)=2,X88-W88,"")</x:f>
        <x:v>-7</x:v>
      </x:c>
      <x:c r="Z88" s="10" t="n">
        <x:v>0</x:v>
      </x:c>
      <x:c r="AA88" s="10" t="n">
        <x:f>IF(COUNT(AX88,AY88)=2,AX88+AY88,"")</x:f>
        <x:v>0</x:v>
      </x:c>
      <x:c r="AB88" s="10" t="n">
        <x:f>IF(COUNT(AA88,Z88)=2,AA88-Z88,"")</x:f>
        <x:v>0</x:v>
      </x:c>
      <x:c r="AC88" s="10" t="n">
        <x:v>227</x:v>
      </x:c>
      <x:c r="AD88" s="10" t="n">
        <x:v>226</x:v>
      </x:c>
      <x:c r="AE88" s="10" t="n">
        <x:f>IF(COUNT(AD88,AC88)=2,AD88-AC88,"")</x:f>
        <x:v>-1</x:v>
      </x:c>
      <x:c r="AF88" s="10" t="n">
        <x:v>54</x:v>
      </x:c>
      <x:c r="AG88" s="10" t="n">
        <x:v>31</x:v>
      </x:c>
      <x:c r="AH88" s="10" t="n">
        <x:f>IF(COUNT(AG88,AF88)=2,AG88-AF88,"")</x:f>
        <x:v>-23</x:v>
      </x:c>
      <x:c r="AI88" s="10" t="n">
        <x:v>39</x:v>
      </x:c>
      <x:c r="AJ88" s="10" t="n">
        <x:v>27</x:v>
      </x:c>
      <x:c r="AK88" s="10" t="n">
        <x:f>IF(COUNT(AJ88,AI88)=2,AJ88-AI88,"")</x:f>
        <x:v>-12</x:v>
      </x:c>
      <x:c r="AL88" s="10" t="n">
        <x:v>20</x:v>
      </x:c>
      <x:c r="AM88" s="10" t="n">
        <x:v>20</x:v>
      </x:c>
      <x:c r="AN88" s="4" t="str">
        <x:v>C,RW</x:v>
      </x:c>
      <x:c r="AO88" s="4" t="str">
        <x:v>C</x:v>
      </x:c>
      <x:c r="AP88" s="4" t="str">
        <x:v>CHI</x:v>
      </x:c>
      <x:c r="AQ88" s="4" t="str">
        <x:v>CHI</x:v>
      </x:c>
      <x:c r="AR88" s="4" t="n">
        <x:v>21.22</x:v>
      </x:c>
      <x:c r="AS88" s="4" t="n">
        <x:v>20.866666666666667</x:v>
      </x:c>
      <x:c r="AT88" s="4" t="n">
        <x:v>3.15</x:v>
      </x:c>
      <x:c r="AU88" s="4" t="n">
        <x:v>13.3</x:v>
      </x:c>
      <x:c r="AV88" s="10" t="n">
        <x:v>7</x:v>
      </x:c>
      <x:c r="AW88" s="10" t="n">
        <x:v>14</x:v>
      </x:c>
      <x:c r="AX88" s="10" t="n">
        <x:v>0</x:v>
      </x:c>
      <x:c r="AY88" s="10" t="n">
        <x:v>0</x:v>
      </x:c>
      <x:c r="AZ88" s="10" t="n">
        <x:v>1074</x:v>
      </x:c>
      <x:c r="BA88" s="10" t="n">
        <x:v>1328</x:v>
      </x:c>
      <x:c r="BB88" s="4" t="n">
        <x:v>44.7</x:v>
      </x:c>
      <x:c r="BC88" s="4" t="n">
        <x:v>-0.3</x:v>
      </x:c>
      <x:c r="BD88" s="10" t="n">
        <x:v>815</x:v>
      </x:c>
      <x:c r="BE88" s="10" t="n">
        <x:v>1023</x:v>
      </x:c>
      <x:c r="BF88" s="4" t="n">
        <x:v>44.3</x:v>
      </x:c>
      <x:c r="BG88" s="4" t="n">
        <x:v>-0.7</x:v>
      </x:c>
      <x:c r="BH88" s="4" t="n">
        <x:v>12</x:v>
      </x:c>
      <x:c r="BI88" s="4" t="n">
        <x:v>88.3</x:v>
      </x:c>
      <x:c r="BJ88" s="4" t="n">
        <x:v>100.3</x:v>
      </x:c>
      <x:c r="BK88" s="4" t="n">
        <x:v>57</x:v>
      </x:c>
      <x:c r="BL88" s="4" t="n">
        <x:v>43</x:v>
      </x:c>
      <x:c r="BM88" s="4" t="n">
        <x:v>20.866666666666667</x:v>
      </x:c>
      <x:c r="BN88" s="4" t="n">
        <x:v>17.35</x:v>
      </x:c>
      <x:c r="BO88" s="10" t="n">
        <x:v>27</x:v>
      </x:c>
      <x:c r="BP88" s="10" t="n">
        <x:v>86</x:v>
      </x:c>
      <x:c r="BQ88" s="4" t="n">
        <x:v>-20</x:v>
      </x:c>
      <x:c r="BR88" s="10" t="n">
        <x:v>421</x:v>
      </x:c>
      <x:c r="BS88" s="4" t="n">
        <x:v>53.7</x:v>
      </x:c>
      <x:c r="BT88" s="10" t="n">
        <x:v>69</x:v>
      </x:c>
      <x:c r="BU88" s="4" t="str">
        <x:v>CHI</x:v>
      </x:c>
      <x:c r="BV88" s="10" t="n">
        <x:v>27</x:v>
      </x:c>
      <x:c r="BW88" s="10" t="n">
        <x:v>41</x:v>
      </x:c>
      <x:c r="BX88" s="10" t="n">
        <x:v>40</x:v>
      </x:c>
      <x:c r="BY88" s="4" t="str">
        <x:v>Connor Bedard</x:v>
      </x:c>
      <x:c r="BZ88" s="4" t="str">
        <x:v>Connor Bedard</x:v>
      </x:c>
      <x:c r="CA88" s="4" t="str">
        <x:v>Connor Bedard</x:v>
      </x:c>
      <x:c r="CB88" s="4" t="str">
        <x:v>bedarco01</x:v>
      </x:c>
    </x:row>
    <x:row r="89" ht="22" customHeight="1">
      <x:c r="A89" s="4" t="str">
        <x:v>Connor Brown</x:v>
      </x:c>
      <x:c r="B89" s="4" t="str">
        <x:v>connorbrown</x:v>
      </x:c>
      <x:c r="C89" s="10" t="n">
        <x:v>1</x:v>
      </x:c>
      <x:c r="D89" s="10" t="n">
        <x:v>1</x:v>
      </x:c>
      <x:c r="E89" s="10" t="n">
        <x:v>1</x:v>
      </x:c>
      <x:c r="F89" s="4" t="n">
        <x:f>IF(COUNT(N89,Q89,T89,W89,Z89,AC89,AF89,AI89)=8,N89*Guide!$E$5+Q89*Guide!$E$6+T89*Guide!$E$7+W89*Guide!$E$8+Z89*Guide!$E$9+AC89*Guide!$E$10+AF89*Guide!$E$11+AI89*Guide!$E$12,"")</x:f>
        <x:v>151.5</x:v>
      </x:c>
      <x:c r="G89" s="4" t="n">
        <x:f>IF(COUNT(O89,R89,U89,X89,AA89,AD89,AG89,AJ89)=8,O89*Guide!$E$5+R89*Guide!$E$6+U89*Guide!$E$7+X89*Guide!$E$8+AA89*Guide!$E$9+AD89*Guide!$E$10+AG89*Guide!$E$11+AJ89*Guide!$E$12,"")</x:f>
        <x:v>223</x:v>
      </x:c>
      <x:c r="H89" s="4" t="n">
        <x:f>IF(COUNT(G89,F89)=2,G89-F89,"")</x:f>
        <x:v>71.5</x:v>
      </x:c>
      <x:c r="I89" s="4" t="n">
        <x:f>IF(AND(ISNUMBER(F89),K89&gt;0),F89/K89,"")</x:f>
        <x:v>1.89375</x:v>
      </x:c>
      <x:c r="J89" s="4" t="n">
        <x:f>IF(AND(ISNUMBER(G89),L89&gt;0),G89/L89,"")</x:f>
        <x:v>2.973333333333333</x:v>
      </x:c>
      <x:c r="K89" s="10" t="n">
        <x:v>80</x:v>
      </x:c>
      <x:c r="L89" s="10" t="n">
        <x:v>75</x:v>
      </x:c>
      <x:c r="M89" s="10" t="n">
        <x:f>IF(COUNT(L89,K89)=2,L89-K89,"")</x:f>
        <x:v>-5</x:v>
      </x:c>
      <x:c r="N89" s="10" t="n">
        <x:v>11</x:v>
      </x:c>
      <x:c r="O89" s="10" t="n">
        <x:v>18</x:v>
      </x:c>
      <x:c r="P89" s="10" t="n">
        <x:f>IF(COUNT(O89,N89)=2,O89-N89,"")</x:f>
        <x:v>7</x:v>
      </x:c>
      <x:c r="Q89" s="10" t="n">
        <x:v>14</x:v>
      </x:c>
      <x:c r="R89" s="10" t="n">
        <x:v>25</x:v>
      </x:c>
      <x:c r="S89" s="10" t="n">
        <x:f>IF(COUNT(R89,Q89)=2,R89-Q89,"")</x:f>
        <x:v>11</x:v>
      </x:c>
      <x:c r="T89" s="10" t="n">
        <x:v>0</x:v>
      </x:c>
      <x:c r="U89" s="10" t="n">
        <x:v>-1</x:v>
      </x:c>
      <x:c r="V89" s="10" t="n">
        <x:f>IF(COUNT(U89,T89)=2,U89-T89,"")</x:f>
        <x:v>-1</x:v>
      </x:c>
      <x:c r="W89" s="10" t="n">
        <x:v>0</x:v>
      </x:c>
      <x:c r="X89" s="10" t="n">
        <x:f>IF(COUNT(AV89,AW89)=2,AV89+AW89,"")</x:f>
        <x:v>8</x:v>
      </x:c>
      <x:c r="Y89" s="10" t="n">
        <x:f>IF(COUNT(X89,W89)=2,X89-W89,"")</x:f>
        <x:v>8</x:v>
      </x:c>
      <x:c r="Z89" s="10" t="n">
        <x:v>2</x:v>
      </x:c>
      <x:c r="AA89" s="10" t="n">
        <x:f>IF(COUNT(AX89,AY89)=2,AX89+AY89,"")</x:f>
        <x:v>2</x:v>
      </x:c>
      <x:c r="AB89" s="10" t="n">
        <x:f>IF(COUNT(AA89,Z89)=2,AA89-Z89,"")</x:f>
        <x:v>0</x:v>
      </x:c>
      <x:c r="AC89" s="10" t="n">
        <x:v>112</x:v>
      </x:c>
      <x:c r="AD89" s="10" t="n">
        <x:v>116</x:v>
      </x:c>
      <x:c r="AE89" s="10" t="n">
        <x:f>IF(COUNT(AD89,AC89)=2,AD89-AC89,"")</x:f>
        <x:v>4</x:v>
      </x:c>
      <x:c r="AF89" s="10" t="n">
        <x:v>24</x:v>
      </x:c>
      <x:c r="AG89" s="10" t="n">
        <x:v>25</x:v>
      </x:c>
      <x:c r="AH89" s="10" t="n">
        <x:f>IF(COUNT(AG89,AF89)=2,AG89-AF89,"")</x:f>
        <x:v>1</x:v>
      </x:c>
      <x:c r="AI89" s="10" t="n">
        <x:v>34</x:v>
      </x:c>
      <x:c r="AJ89" s="10" t="n">
        <x:v>37</x:v>
      </x:c>
      <x:c r="AK89" s="10" t="n">
        <x:f>IF(COUNT(AJ89,AI89)=2,AJ89-AI89,"")</x:f>
        <x:v>3</x:v>
      </x:c>
      <x:c r="AL89" s="10" t="n">
        <x:v>32</x:v>
      </x:c>
      <x:c r="AM89" s="10" t="n">
        <x:v>32</x:v>
      </x:c>
      <x:c r="AN89" s="4" t="str">
        <x:v>RW</x:v>
      </x:c>
      <x:c r="AO89" s="4" t="str">
        <x:v>RW</x:v>
      </x:c>
      <x:c r="AP89" s="4" t="str">
        <x:v>NJ</x:v>
      </x:c>
      <x:c r="AQ89" s="4" t="str">
        <x:v>NJD</x:v>
      </x:c>
      <x:c r="AR89" s="4" t="n">
        <x:v>13.48</x:v>
      </x:c>
      <x:c r="AS89" s="4" t="n">
        <x:v>17.55</x:v>
      </x:c>
      <x:c r="AT89" s="4" t="n">
        <x:v>0.13</x:v>
      </x:c>
      <x:c r="AU89" s="4" t="n">
        <x:v>15.5</x:v>
      </x:c>
      <x:c r="AV89" s="10" t="n">
        <x:v>4</x:v>
      </x:c>
      <x:c r="AW89" s="10" t="n">
        <x:v>4</x:v>
      </x:c>
      <x:c r="AX89" s="10" t="n">
        <x:v>2</x:v>
      </x:c>
      <x:c r="AY89" s="10" t="n">
        <x:v>0</x:v>
      </x:c>
      <x:c r="AZ89" s="10" t="n">
        <x:v>1008</x:v>
      </x:c>
      <x:c r="BA89" s="10" t="n">
        <x:v>974</x:v>
      </x:c>
      <x:c r="BB89" s="4" t="n">
        <x:v>50.9</x:v>
      </x:c>
      <x:c r="BC89" s="4" t="n">
        <x:v>-1.4</x:v>
      </x:c>
      <x:c r="BD89" s="10" t="n">
        <x:v>742</x:v>
      </x:c>
      <x:c r="BE89" s="10" t="n">
        <x:v>719</x:v>
      </x:c>
      <x:c r="BF89" s="4" t="n">
        <x:v>50.8</x:v>
      </x:c>
      <x:c r="BG89" s="4" t="n">
        <x:v>-1</x:v>
      </x:c>
      <x:c r="BH89" s="4" t="n">
        <x:v>10.7</x:v>
      </x:c>
      <x:c r="BI89" s="4" t="n">
        <x:v>88.7</x:v>
      </x:c>
      <x:c r="BJ89" s="4" t="n">
        <x:v>99.4</x:v>
      </x:c>
      <x:c r="BK89" s="4" t="n">
        <x:v>51.9</x:v>
      </x:c>
      <x:c r="BL89" s="4" t="n">
        <x:v>48.1</x:v>
      </x:c>
      <x:c r="BM89" s="4" t="n">
        <x:v>17.55</x:v>
      </x:c>
      <x:c r="BN89" s="4" t="n">
        <x:v>14.216666666666667</x:v>
      </x:c>
      <x:c r="BO89" s="10" t="n">
        <x:v>21</x:v>
      </x:c>
      <x:c r="BP89" s="10" t="n">
        <x:v>59</x:v>
      </x:c>
      <x:c r="BQ89" s="4" t="n">
        <x:v>0.3</x:v>
      </x:c>
      <x:c r="BR89" s="10" t="n">
        <x:v>218</x:v>
      </x:c>
      <x:c r="BS89" s="4" t="n">
        <x:v>53.2</x:v>
      </x:c>
      <x:c r="BT89" s="10" t="n">
        <x:v>75</x:v>
      </x:c>
      <x:c r="BU89" s="4" t="str">
        <x:v>NJD</x:v>
      </x:c>
      <x:c r="BV89" s="10" t="n">
        <x:v>442</x:v>
      </x:c>
      <x:c r="BW89" s="10" t="n">
        <x:v>190</x:v>
      </x:c>
      <x:c r="BX89" s="10" t="n">
        <x:v>100</x:v>
      </x:c>
      <x:c r="BY89" s="4" t="str">
        <x:v>Connor Brown</x:v>
      </x:c>
      <x:c r="BZ89" s="4" t="str">
        <x:v>Connor Brown</x:v>
      </x:c>
      <x:c r="CA89" s="4" t="str">
        <x:v>Connor Brown</x:v>
      </x:c>
      <x:c r="CB89" s="4" t="str">
        <x:v>brownco02</x:v>
      </x:c>
    </x:row>
    <x:row r="90" ht="22" customHeight="1">
      <x:c r="A90" s="4" t="str">
        <x:v>Connor Dewar</x:v>
      </x:c>
      <x:c r="B90" s="4" t="str">
        <x:v>connordewar</x:v>
      </x:c>
      <x:c r="C90" s="10" t="n">
        <x:v>1</x:v>
      </x:c>
      <x:c r="D90" s="10" t="n">
        <x:v>1</x:v>
      </x:c>
      <x:c r="E90" s="10" t="n">
        <x:v>1</x:v>
      </x:c>
      <x:c r="F90" s="4" t="n">
        <x:f>IF(COUNT(N90,Q90,T90,W90,Z90,AC90,AF90,AI90)=8,N90*Guide!$E$5+Q90*Guide!$E$6+T90*Guide!$E$7+W90*Guide!$E$8+Z90*Guide!$E$9+AC90*Guide!$E$10+AF90*Guide!$E$11+AI90*Guide!$E$12,"")</x:f>
        <x:v>163.5</x:v>
      </x:c>
      <x:c r="G90" s="4" t="n">
        <x:f>IF(COUNT(O90,R90,U90,X90,AA90,AD90,AG90,AJ90)=8,O90*Guide!$E$5+R90*Guide!$E$6+U90*Guide!$E$7+X90*Guide!$E$8+AA90*Guide!$E$9+AD90*Guide!$E$10+AG90*Guide!$E$11+AJ90*Guide!$E$12,"")</x:f>
        <x:v>224</x:v>
      </x:c>
      <x:c r="H90" s="4" t="n">
        <x:f>IF(COUNT(G90,F90)=2,G90-F90,"")</x:f>
        <x:v>60.5</x:v>
      </x:c>
      <x:c r="I90" s="4" t="n">
        <x:f>IF(AND(ISNUMBER(F90),K90&gt;0),F90/K90,"")</x:f>
        <x:v>2.2708333333333335</x:v>
      </x:c>
      <x:c r="J90" s="4" t="n">
        <x:f>IF(AND(ISNUMBER(G90),L90&gt;0),G90/L90,"")</x:f>
        <x:v>2.871794871794872</x:v>
      </x:c>
      <x:c r="K90" s="10" t="n">
        <x:v>72</x:v>
      </x:c>
      <x:c r="L90" s="10" t="n">
        <x:v>78</x:v>
      </x:c>
      <x:c r="M90" s="10" t="n">
        <x:f>IF(COUNT(L90,K90)=2,L90-K90,"")</x:f>
        <x:v>6</x:v>
      </x:c>
      <x:c r="N90" s="10" t="n">
        <x:v>9</x:v>
      </x:c>
      <x:c r="O90" s="10" t="n">
        <x:v>14</x:v>
      </x:c>
      <x:c r="P90" s="10" t="n">
        <x:f>IF(COUNT(O90,N90)=2,O90-N90,"")</x:f>
        <x:v>5</x:v>
      </x:c>
      <x:c r="Q90" s="10" t="n">
        <x:v>10</x:v>
      </x:c>
      <x:c r="R90" s="10" t="n">
        <x:v>16</x:v>
      </x:c>
      <x:c r="S90" s="10" t="n">
        <x:f>IF(COUNT(R90,Q90)=2,R90-Q90,"")</x:f>
        <x:v>6</x:v>
      </x:c>
      <x:c r="T90" s="10" t="n">
        <x:v>-5</x:v>
      </x:c>
      <x:c r="U90" s="10" t="n">
        <x:v>16</x:v>
      </x:c>
      <x:c r="V90" s="10" t="n">
        <x:f>IF(COUNT(U90,T90)=2,U90-T90,"")</x:f>
        <x:v>21</x:v>
      </x:c>
      <x:c r="W90" s="10" t="n">
        <x:v>2</x:v>
      </x:c>
      <x:c r="X90" s="10" t="n">
        <x:f>IF(COUNT(AV90,AW90)=2,AV90+AW90,"")</x:f>
        <x:v>0</x:v>
      </x:c>
      <x:c r="Y90" s="10" t="n">
        <x:f>IF(COUNT(X90,W90)=2,X90-W90,"")</x:f>
        <x:v>-2</x:v>
      </x:c>
      <x:c r="Z90" s="10" t="n">
        <x:v>1</x:v>
      </x:c>
      <x:c r="AA90" s="10" t="n">
        <x:f>IF(COUNT(AX90,AY90)=2,AX90+AY90,"")</x:f>
        <x:v>2</x:v>
      </x:c>
      <x:c r="AB90" s="10" t="n">
        <x:f>IF(COUNT(AA90,Z90)=2,AA90-Z90,"")</x:f>
        <x:v>1</x:v>
      </x:c>
      <x:c r="AC90" s="10" t="n">
        <x:v>78</x:v>
      </x:c>
      <x:c r="AD90" s="10" t="n">
        <x:v>110</x:v>
      </x:c>
      <x:c r="AE90" s="10" t="n">
        <x:f>IF(COUNT(AD90,AC90)=2,AD90-AC90,"")</x:f>
        <x:v>32</x:v>
      </x:c>
      <x:c r="AF90" s="10" t="n">
        <x:v>168</x:v>
      </x:c>
      <x:c r="AG90" s="10" t="n">
        <x:v>144</x:v>
      </x:c>
      <x:c r="AH90" s="10" t="n">
        <x:f>IF(COUNT(AG90,AF90)=2,AG90-AF90,"")</x:f>
        <x:v>-24</x:v>
      </x:c>
      <x:c r="AI90" s="10" t="n">
        <x:v>48</x:v>
      </x:c>
      <x:c r="AJ90" s="10" t="n">
        <x:v>46</x:v>
      </x:c>
      <x:c r="AK90" s="10" t="n">
        <x:f>IF(COUNT(AJ90,AI90)=2,AJ90-AI90,"")</x:f>
        <x:v>-2</x:v>
      </x:c>
      <x:c r="AL90" s="10" t="n">
        <x:v>26</x:v>
      </x:c>
      <x:c r="AM90" s="10" t="n">
        <x:v>26</x:v>
      </x:c>
      <x:c r="AN90" s="4" t="str">
        <x:v>C</x:v>
      </x:c>
      <x:c r="AO90" s="4" t="str">
        <x:v>C</x:v>
      </x:c>
      <x:c r="AP90" s="4" t="str">
        <x:v>PIT</x:v>
      </x:c>
      <x:c r="AQ90" s="4" t="str">
        <x:v>PIT</x:v>
      </x:c>
      <x:c r="AR90" s="4" t="n">
        <x:v>11.82</x:v>
      </x:c>
      <x:c r="AS90" s="4" t="n">
        <x:v>13.916666666666666</x:v>
      </x:c>
      <x:c r="AT90" s="4" t="n">
        <x:v>0.22</x:v>
      </x:c>
      <x:c r="AU90" s="4" t="n">
        <x:v>12.7</x:v>
      </x:c>
      <x:c r="AV90" s="10" t="n">
        <x:v>0</x:v>
      </x:c>
      <x:c r="AW90" s="10" t="n">
        <x:v>0</x:v>
      </x:c>
      <x:c r="AX90" s="10" t="n">
        <x:v>1</x:v>
      </x:c>
      <x:c r="AY90" s="10" t="n">
        <x:v>1</x:v>
      </x:c>
      <x:c r="AZ90" s="10" t="n">
        <x:v>832</x:v>
      </x:c>
      <x:c r="BA90" s="10" t="n">
        <x:v>847</x:v>
      </x:c>
      <x:c r="BB90" s="4" t="n">
        <x:v>49.6</x:v>
      </x:c>
      <x:c r="BC90" s="4" t="n">
        <x:v>-0.8</x:v>
      </x:c>
      <x:c r="BD90" s="10" t="n">
        <x:v>606</x:v>
      </x:c>
      <x:c r="BE90" s="10" t="n">
        <x:v>609</x:v>
      </x:c>
      <x:c r="BF90" s="4" t="n">
        <x:v>49.9</x:v>
      </x:c>
      <x:c r="BG90" s="4" t="n">
        <x:v>-0.8</x:v>
      </x:c>
      <x:c r="BH90" s="4" t="n">
        <x:v>12.7</x:v>
      </x:c>
      <x:c r="BI90" s="4" t="n">
        <x:v>91.5</x:v>
      </x:c>
      <x:c r="BJ90" s="4" t="n">
        <x:v>104.1</x:v>
      </x:c>
      <x:c r="BK90" s="4" t="n">
        <x:v>18.5</x:v>
      </x:c>
      <x:c r="BL90" s="4" t="n">
        <x:v>81.5</x:v>
      </x:c>
      <x:c r="BM90" s="4" t="n">
        <x:v>13.916666666666666</x:v>
      </x:c>
      <x:c r="BN90" s="4" t="n">
        <x:v>11.216666666666667</x:v>
      </x:c>
      <x:c r="BO90" s="10" t="n">
        <x:v>9</x:v>
      </x:c>
      <x:c r="BP90" s="10" t="n">
        <x:v>33</x:v>
      </x:c>
      <x:c r="BQ90" s="4" t="n">
        <x:v>0.8</x:v>
      </x:c>
      <x:c r="BR90" s="10" t="n">
        <x:v>243</x:v>
      </x:c>
      <x:c r="BS90" s="4" t="n">
        <x:v>45.3</x:v>
      </x:c>
      <x:c r="BT90" s="10" t="n">
        <x:v>78</x:v>
      </x:c>
      <x:c r="BU90" s="4" t="str">
        <x:v>PIT</x:v>
      </x:c>
      <x:c r="BV90" s="10" t="n">
        <x:v>547</x:v>
      </x:c>
      <x:c r="BW90" s="10" t="n">
        <x:v>327</x:v>
      </x:c>
      <x:c r="BX90" s="10" t="n">
        <x:v>215</x:v>
      </x:c>
      <x:c r="BY90" s="4" t="str">
        <x:v>Connor Dewar</x:v>
      </x:c>
      <x:c r="BZ90" s="4" t="str">
        <x:v>Connor Dewar</x:v>
      </x:c>
      <x:c r="CA90" s="4" t="str">
        <x:v>Connor Dewar</x:v>
      </x:c>
      <x:c r="CB90" s="4" t="str">
        <x:v>dewarco01</x:v>
      </x:c>
    </x:row>
    <x:row r="91" ht="22" customHeight="1">
      <x:c r="A91" s="4" t="str">
        <x:v>Connor McDavid</x:v>
      </x:c>
      <x:c r="B91" s="4" t="str">
        <x:v>connormcdavid</x:v>
      </x:c>
      <x:c r="C91" s="10" t="n">
        <x:v>1</x:v>
      </x:c>
      <x:c r="D91" s="10" t="n">
        <x:v>1</x:v>
      </x:c>
      <x:c r="E91" s="10" t="n">
        <x:v>1</x:v>
      </x:c>
      <x:c r="F91" s="4" t="n">
        <x:f>IF(COUNT(N91,Q91,T91,W91,Z91,AC91,AF91,AI91)=8,N91*Guide!$E$5+Q91*Guide!$E$6+T91*Guide!$E$7+W91*Guide!$E$8+Z91*Guide!$E$9+AC91*Guide!$E$10+AF91*Guide!$E$11+AI91*Guide!$E$12,"")</x:f>
        <x:v>596</x:v>
      </x:c>
      <x:c r="G91" s="4" t="n">
        <x:f>IF(COUNT(O91,R91,U91,X91,AA91,AD91,AG91,AJ91)=8,O91*Guide!$E$5+R91*Guide!$E$6+U91*Guide!$E$7+X91*Guide!$E$8+AA91*Guide!$E$9+AD91*Guide!$E$10+AG91*Guide!$E$11+AJ91*Guide!$E$12,"")</x:f>
        <x:v>648</x:v>
      </x:c>
      <x:c r="H91" s="4" t="n">
        <x:f>IF(COUNT(G91,F91)=2,G91-F91,"")</x:f>
        <x:v>52</x:v>
      </x:c>
      <x:c r="I91" s="4" t="n">
        <x:f>IF(AND(ISNUMBER(F91),K91&gt;0),F91/K91,"")</x:f>
        <x:v>7.740259740259741</x:v>
      </x:c>
      <x:c r="J91" s="4" t="n">
        <x:f>IF(AND(ISNUMBER(G91),L91&gt;0),G91/L91,"")</x:f>
        <x:v>7.902439024390244</x:v>
      </x:c>
      <x:c r="K91" s="10" t="n">
        <x:v>77</x:v>
      </x:c>
      <x:c r="L91" s="10" t="n">
        <x:v>82</x:v>
      </x:c>
      <x:c r="M91" s="10" t="n">
        <x:f>IF(COUNT(L91,K91)=2,L91-K91,"")</x:f>
        <x:v>5</x:v>
      </x:c>
      <x:c r="N91" s="10" t="n">
        <x:v>36</x:v>
      </x:c>
      <x:c r="O91" s="10" t="n">
        <x:v>48</x:v>
      </x:c>
      <x:c r="P91" s="10" t="n">
        <x:f>IF(COUNT(O91,N91)=2,O91-N91,"")</x:f>
        <x:v>12</x:v>
      </x:c>
      <x:c r="Q91" s="10" t="n">
        <x:v>91</x:v>
      </x:c>
      <x:c r="R91" s="10" t="n">
        <x:v>90</x:v>
      </x:c>
      <x:c r="S91" s="10" t="n">
        <x:f>IF(COUNT(R91,Q91)=2,R91-Q91,"")</x:f>
        <x:v>-1</x:v>
      </x:c>
      <x:c r="T91" s="10" t="n">
        <x:v>32</x:v>
      </x:c>
      <x:c r="U91" s="10" t="n">
        <x:v>17</x:v>
      </x:c>
      <x:c r="V91" s="10" t="n">
        <x:f>IF(COUNT(U91,T91)=2,U91-T91,"")</x:f>
        <x:v>-15</x:v>
      </x:c>
      <x:c r="W91" s="10" t="n">
        <x:v>46</x:v>
      </x:c>
      <x:c r="X91" s="10" t="n">
        <x:f>IF(COUNT(AV91,AW91)=2,AV91+AW91,"")</x:f>
        <x:v>54</x:v>
      </x:c>
      <x:c r="Y91" s="10" t="n">
        <x:f>IF(COUNT(X91,W91)=2,X91-W91,"")</x:f>
        <x:v>8</x:v>
      </x:c>
      <x:c r="Z91" s="10" t="n">
        <x:v>0</x:v>
      </x:c>
      <x:c r="AA91" s="10" t="n">
        <x:f>IF(COUNT(AX91,AY91)=2,AX91+AY91,"")</x:f>
        <x:v>2</x:v>
      </x:c>
      <x:c r="AB91" s="10" t="n">
        <x:f>IF(COUNT(AA91,Z91)=2,AA91-Z91,"")</x:f>
        <x:v>2</x:v>
      </x:c>
      <x:c r="AC91" s="10" t="n">
        <x:v>239</x:v>
      </x:c>
      <x:c r="AD91" s="10" t="n">
        <x:v>306</x:v>
      </x:c>
      <x:c r="AE91" s="10" t="n">
        <x:f>IF(COUNT(AD91,AC91)=2,AD91-AC91,"")</x:f>
        <x:v>67</x:v>
      </x:c>
      <x:c r="AF91" s="10" t="n">
        <x:v>66</x:v>
      </x:c>
      <x:c r="AG91" s="10" t="n">
        <x:v>40</x:v>
      </x:c>
      <x:c r="AH91" s="10" t="n">
        <x:f>IF(COUNT(AG91,AF91)=2,AG91-AF91,"")</x:f>
        <x:v>-26</x:v>
      </x:c>
      <x:c r="AI91" s="10" t="n">
        <x:v>33</x:v>
      </x:c>
      <x:c r="AJ91" s="10" t="n">
        <x:v>30</x:v>
      </x:c>
      <x:c r="AK91" s="10" t="n">
        <x:f>IF(COUNT(AJ91,AI91)=2,AJ91-AI91,"")</x:f>
        <x:v>-3</x:v>
      </x:c>
      <x:c r="AL91" s="10" t="n">
        <x:v>29</x:v>
      </x:c>
      <x:c r="AM91" s="10" t="n">
        <x:v>29</x:v>
      </x:c>
      <x:c r="AN91" s="4" t="str">
        <x:v>C</x:v>
      </x:c>
      <x:c r="AO91" s="4" t="str">
        <x:v>C</x:v>
      </x:c>
      <x:c r="AP91" s="4" t="str">
        <x:v>EDM</x:v>
      </x:c>
      <x:c r="AQ91" s="4" t="str">
        <x:v>EDM</x:v>
      </x:c>
      <x:c r="AR91" s="4" t="n">
        <x:v>22.38</x:v>
      </x:c>
      <x:c r="AS91" s="4" t="n">
        <x:v>22.983333333333334</x:v>
      </x:c>
      <x:c r="AT91" s="4" t="n">
        <x:v>3.5</x:v>
      </x:c>
      <x:c r="AU91" s="4" t="n">
        <x:v>15.7</x:v>
      </x:c>
      <x:c r="AV91" s="10" t="n">
        <x:v>13</x:v>
      </x:c>
      <x:c r="AW91" s="10" t="n">
        <x:v>41</x:v>
      </x:c>
      <x:c r="AX91" s="10" t="n">
        <x:v>1</x:v>
      </x:c>
      <x:c r="AY91" s="10" t="n">
        <x:v>1</x:v>
      </x:c>
      <x:c r="AZ91" s="10" t="n">
        <x:v>1654</x:v>
      </x:c>
      <x:c r="BA91" s="10" t="n">
        <x:v>1365</x:v>
      </x:c>
      <x:c r="BB91" s="4" t="n">
        <x:v>54.8</x:v>
      </x:c>
      <x:c r="BC91" s="4" t="n">
        <x:v>7.1</x:v>
      </x:c>
      <x:c r="BD91" s="10" t="n">
        <x:v>1242</x:v>
      </x:c>
      <x:c r="BE91" s="10" t="n">
        <x:v>1027</x:v>
      </x:c>
      <x:c r="BF91" s="4" t="n">
        <x:v>54.7</x:v>
      </x:c>
      <x:c r="BG91" s="4" t="n">
        <x:v>5.9</x:v>
      </x:c>
      <x:c r="BH91" s="4" t="n">
        <x:v>12.7</x:v>
      </x:c>
      <x:c r="BI91" s="4" t="n">
        <x:v>87.6</x:v>
      </x:c>
      <x:c r="BJ91" s="4" t="n">
        <x:v>100.3</x:v>
      </x:c>
      <x:c r="BK91" s="4" t="n">
        <x:v>64.2</x:v>
      </x:c>
      <x:c r="BL91" s="4" t="n">
        <x:v>35.8</x:v>
      </x:c>
      <x:c r="BM91" s="4" t="n">
        <x:v>22.983333333333334</x:v>
      </x:c>
      <x:c r="BN91" s="4" t="n">
        <x:v>18.316666666666666</x:v>
      </x:c>
      <x:c r="BO91" s="10" t="n">
        <x:v>32</x:v>
      </x:c>
      <x:c r="BP91" s="10" t="n">
        <x:v>134</x:v>
      </x:c>
      <x:c r="BQ91" s="4" t="n">
        <x:v>17.9</x:v>
      </x:c>
      <x:c r="BR91" s="10" t="n">
        <x:v>508</x:v>
      </x:c>
      <x:c r="BS91" s="4" t="n">
        <x:v>60.4</x:v>
      </x:c>
      <x:c r="BT91" s="10" t="n">
        <x:v>82</x:v>
      </x:c>
      <x:c r="BU91" s="4" t="str">
        <x:v>EDM</x:v>
      </x:c>
      <x:c r="BV91" s="10" t="n">
        <x:v>2</x:v>
      </x:c>
      <x:c r="BW91" s="10" t="n">
        <x:v>3</x:v>
      </x:c>
      <x:c r="BX91" s="10" t="n">
        <x:v>669</x:v>
      </x:c>
      <x:c r="BY91" s="4" t="str">
        <x:v>Connor McDavid</x:v>
      </x:c>
      <x:c r="BZ91" s="4" t="str">
        <x:v>Connor McDavid</x:v>
      </x:c>
      <x:c r="CA91" s="4" t="str">
        <x:v>Connor McDavid</x:v>
      </x:c>
      <x:c r="CB91" s="4" t="str">
        <x:v>mcdavco01</x:v>
      </x:c>
    </x:row>
    <x:row r="92" ht="22" customHeight="1">
      <x:c r="A92" s="4" t="str">
        <x:v>Connor McMichael</x:v>
      </x:c>
      <x:c r="B92" s="4" t="str">
        <x:v>connormcmichael</x:v>
      </x:c>
      <x:c r="C92" s="10" t="n">
        <x:v>1</x:v>
      </x:c>
      <x:c r="D92" s="10" t="n">
        <x:v>1</x:v>
      </x:c>
      <x:c r="E92" s="10" t="n">
        <x:v>1</x:v>
      </x:c>
      <x:c r="F92" s="4" t="n">
        <x:f>IF(COUNT(N92,Q92,T92,W92,Z92,AC92,AF92,AI92)=8,N92*Guide!$E$5+Q92*Guide!$E$6+T92*Guide!$E$7+W92*Guide!$E$8+Z92*Guide!$E$9+AC92*Guide!$E$10+AF92*Guide!$E$11+AI92*Guide!$E$12,"")</x:f>
        <x:v>276.5</x:v>
      </x:c>
      <x:c r="G92" s="4" t="n">
        <x:f>IF(COUNT(O92,R92,U92,X92,AA92,AD92,AG92,AJ92)=8,O92*Guide!$E$5+R92*Guide!$E$6+U92*Guide!$E$7+X92*Guide!$E$8+AA92*Guide!$E$9+AD92*Guide!$E$10+AG92*Guide!$E$11+AJ92*Guide!$E$12,"")</x:f>
        <x:v>248.5</x:v>
      </x:c>
      <x:c r="H92" s="4" t="n">
        <x:f>IF(COUNT(G92,F92)=2,G92-F92,"")</x:f>
        <x:v>-28</x:v>
      </x:c>
      <x:c r="I92" s="4" t="n">
        <x:f>IF(AND(ISNUMBER(F92),K92&gt;0),F92/K92,"")</x:f>
        <x:v>3.3719512195121952</x:v>
      </x:c>
      <x:c r="J92" s="4" t="n">
        <x:f>IF(AND(ISNUMBER(G92),L92&gt;0),G92/L92,"")</x:f>
        <x:v>3.1858974358974357</x:v>
      </x:c>
      <x:c r="K92" s="10" t="n">
        <x:v>82</x:v>
      </x:c>
      <x:c r="L92" s="10" t="n">
        <x:v>78</x:v>
      </x:c>
      <x:c r="M92" s="10" t="n">
        <x:f>IF(COUNT(L92,K92)=2,L92-K92,"")</x:f>
        <x:v>-4</x:v>
      </x:c>
      <x:c r="N92" s="10" t="n">
        <x:v>26</x:v>
      </x:c>
      <x:c r="O92" s="10" t="n">
        <x:v>14</x:v>
      </x:c>
      <x:c r="P92" s="10" t="n">
        <x:f>IF(COUNT(O92,N92)=2,O92-N92,"")</x:f>
        <x:v>-12</x:v>
      </x:c>
      <x:c r="Q92" s="10" t="n">
        <x:v>26</x:v>
      </x:c>
      <x:c r="R92" s="10" t="n">
        <x:v>32</x:v>
      </x:c>
      <x:c r="S92" s="10" t="n">
        <x:f>IF(COUNT(R92,Q92)=2,R92-Q92,"")</x:f>
        <x:v>6</x:v>
      </x:c>
      <x:c r="T92" s="10" t="n">
        <x:v>0</x:v>
      </x:c>
      <x:c r="U92" s="10" t="n">
        <x:v>8</x:v>
      </x:c>
      <x:c r="V92" s="10" t="n">
        <x:f>IF(COUNT(U92,T92)=2,U92-T92,"")</x:f>
        <x:v>8</x:v>
      </x:c>
      <x:c r="W92" s="10" t="n">
        <x:v>10</x:v>
      </x:c>
      <x:c r="X92" s="10" t="n">
        <x:f>IF(COUNT(AV92,AW92)=2,AV92+AW92,"")</x:f>
        <x:v>5</x:v>
      </x:c>
      <x:c r="Y92" s="10" t="n">
        <x:f>IF(COUNT(X92,W92)=2,X92-W92,"")</x:f>
        <x:v>-5</x:v>
      </x:c>
      <x:c r="Z92" s="10" t="n">
        <x:v>1</x:v>
      </x:c>
      <x:c r="AA92" s="10" t="n">
        <x:f>IF(COUNT(AX92,AY92)=2,AX92+AY92,"")</x:f>
        <x:v>1</x:v>
      </x:c>
      <x:c r="AB92" s="10" t="n">
        <x:f>IF(COUNT(AA92,Z92)=2,AA92-Z92,"")</x:f>
        <x:v>0</x:v>
      </x:c>
      <x:c r="AC92" s="10" t="n">
        <x:v>163</x:v>
      </x:c>
      <x:c r="AD92" s="10" t="n">
        <x:v>142</x:v>
      </x:c>
      <x:c r="AE92" s="10" t="n">
        <x:f>IF(COUNT(AD92,AC92)=2,AD92-AC92,"")</x:f>
        <x:v>-21</x:v>
      </x:c>
      <x:c r="AF92" s="10" t="n">
        <x:v>43</x:v>
      </x:c>
      <x:c r="AG92" s="10" t="n">
        <x:v>45</x:v>
      </x:c>
      <x:c r="AH92" s="10" t="n">
        <x:f>IF(COUNT(AG92,AF92)=2,AG92-AF92,"")</x:f>
        <x:v>2</x:v>
      </x:c>
      <x:c r="AI92" s="10" t="n">
        <x:v>40</x:v>
      </x:c>
      <x:c r="AJ92" s="10" t="n">
        <x:v>45</x:v>
      </x:c>
      <x:c r="AK92" s="10" t="n">
        <x:f>IF(COUNT(AJ92,AI92)=2,AJ92-AI92,"")</x:f>
        <x:v>5</x:v>
      </x:c>
      <x:c r="AL92" s="10" t="n">
        <x:v>25</x:v>
      </x:c>
      <x:c r="AM92" s="10" t="n">
        <x:v>25</x:v>
      </x:c>
      <x:c r="AN92" s="4" t="str">
        <x:v>LW</x:v>
      </x:c>
      <x:c r="AO92" s="4" t="str">
        <x:v>C</x:v>
      </x:c>
      <x:c r="AP92" s="4" t="str">
        <x:v>WSH</x:v>
      </x:c>
      <x:c r="AQ92" s="4" t="str">
        <x:v>WSH</x:v>
      </x:c>
      <x:c r="AR92" s="4" t="n">
        <x:v>16.95</x:v>
      </x:c>
      <x:c r="AS92" s="4" t="n">
        <x:v>16.9</x:v>
      </x:c>
      <x:c r="AT92" s="4" t="n">
        <x:v>1.69</x:v>
      </x:c>
      <x:c r="AU92" s="4" t="n">
        <x:v>9.9</x:v>
      </x:c>
      <x:c r="AV92" s="10" t="n">
        <x:v>2</x:v>
      </x:c>
      <x:c r="AW92" s="10" t="n">
        <x:v>3</x:v>
      </x:c>
      <x:c r="AX92" s="10" t="n">
        <x:v>0</x:v>
      </x:c>
      <x:c r="AY92" s="10" t="n">
        <x:v>1</x:v>
      </x:c>
      <x:c r="AZ92" s="10" t="n">
        <x:v>986</x:v>
      </x:c>
      <x:c r="BA92" s="10" t="n">
        <x:v>1080</x:v>
      </x:c>
      <x:c r="BB92" s="4" t="n">
        <x:v>47.7</x:v>
      </x:c>
      <x:c r="BC92" s="4" t="n">
        <x:v>-2.5</x:v>
      </x:c>
      <x:c r="BD92" s="10" t="n">
        <x:v>700</x:v>
      </x:c>
      <x:c r="BE92" s="10" t="n">
        <x:v>766</x:v>
      </x:c>
      <x:c r="BF92" s="4" t="n">
        <x:v>47.7</x:v>
      </x:c>
      <x:c r="BG92" s="4" t="n">
        <x:v>-3.7</x:v>
      </x:c>
      <x:c r="BH92" s="4" t="n">
        <x:v>13.1</x:v>
      </x:c>
      <x:c r="BI92" s="4" t="n">
        <x:v>90.2</x:v>
      </x:c>
      <x:c r="BJ92" s="4" t="n">
        <x:v>103.2</x:v>
      </x:c>
      <x:c r="BK92" s="4" t="n">
        <x:v>47.4</x:v>
      </x:c>
      <x:c r="BL92" s="4" t="n">
        <x:v>52.6</x:v>
      </x:c>
      <x:c r="BM92" s="4" t="n">
        <x:v>16.9</x:v>
      </x:c>
      <x:c r="BN92" s="4" t="n">
        <x:v>13.25</x:v>
      </x:c>
      <x:c r="BO92" s="10" t="n">
        <x:v>29</x:v>
      </x:c>
      <x:c r="BP92" s="10" t="n">
        <x:v>56</x:v>
      </x:c>
      <x:c r="BQ92" s="4" t="n">
        <x:v>-3.1</x:v>
      </x:c>
      <x:c r="BR92" s="10" t="n">
        <x:v>250</x:v>
      </x:c>
      <x:c r="BS92" s="4" t="n">
        <x:v>56.8</x:v>
      </x:c>
      <x:c r="BT92" s="10" t="n">
        <x:v>78</x:v>
      </x:c>
      <x:c r="BU92" s="4" t="str">
        <x:v>WSH</x:v>
      </x:c>
      <x:c r="BV92" s="10" t="n">
        <x:v>141</x:v>
      </x:c>
      <x:c r="BW92" s="10" t="n">
        <x:v>169</x:v>
      </x:c>
      <x:c r="BX92" s="10" t="n">
        <x:v>680</x:v>
      </x:c>
      <x:c r="BY92" s="4" t="str">
        <x:v>Connor McMichael</x:v>
      </x:c>
      <x:c r="BZ92" s="4" t="str">
        <x:v>Connor McMichael</x:v>
      </x:c>
      <x:c r="CA92" s="4" t="str">
        <x:v>Connor McMichael</x:v>
      </x:c>
      <x:c r="CB92" s="4" t="str">
        <x:v>mcmicco01</x:v>
      </x:c>
    </x:row>
    <x:row r="93" ht="22" customHeight="1">
      <x:c r="A93" s="4" t="str">
        <x:v>Connor Zary</x:v>
      </x:c>
      <x:c r="B93" s="4" t="str">
        <x:v>connorzary</x:v>
      </x:c>
      <x:c r="C93" s="10" t="n">
        <x:v>1</x:v>
      </x:c>
      <x:c r="D93" s="10" t="n">
        <x:v>1</x:v>
      </x:c>
      <x:c r="E93" s="10" t="n">
        <x:v>1</x:v>
      </x:c>
      <x:c r="F93" s="4" t="n">
        <x:f>IF(COUNT(N93,Q93,T93,W93,Z93,AC93,AF93,AI93)=8,N93*Guide!$E$5+Q93*Guide!$E$6+T93*Guide!$E$7+W93*Guide!$E$8+Z93*Guide!$E$9+AC93*Guide!$E$10+AF93*Guide!$E$11+AI93*Guide!$E$12,"")</x:f>
        <x:v>240.75</x:v>
      </x:c>
      <x:c r="G93" s="4" t="n">
        <x:f>IF(COUNT(O93,R93,U93,X93,AA93,AD93,AG93,AJ93)=8,O93*Guide!$E$5+R93*Guide!$E$6+U93*Guide!$E$7+X93*Guide!$E$8+AA93*Guide!$E$9+AD93*Guide!$E$10+AG93*Guide!$E$11+AJ93*Guide!$E$12,"")</x:f>
        <x:v>136.5</x:v>
      </x:c>
      <x:c r="H93" s="4" t="n">
        <x:f>IF(COUNT(G93,F93)=2,G93-F93,"")</x:f>
        <x:v>-104.25</x:v>
      </x:c>
      <x:c r="I93" s="4" t="n">
        <x:f>IF(AND(ISNUMBER(F93),K93&gt;0),F93/K93,"")</x:f>
        <x:v>3.21</x:v>
      </x:c>
      <x:c r="J93" s="4" t="n">
        <x:f>IF(AND(ISNUMBER(G93),L93&gt;0),G93/L93,"")</x:f>
        <x:v>1.8445945945945945</x:v>
      </x:c>
      <x:c r="K93" s="10" t="n">
        <x:v>75</x:v>
      </x:c>
      <x:c r="L93" s="10" t="n">
        <x:v>74</x:v>
      </x:c>
      <x:c r="M93" s="10" t="n">
        <x:f>IF(COUNT(L93,K93)=2,L93-K93,"")</x:f>
        <x:v>-1</x:v>
      </x:c>
      <x:c r="N93" s="10" t="n">
        <x:v>21</x:v>
      </x:c>
      <x:c r="O93" s="10" t="n">
        <x:v>12</x:v>
      </x:c>
      <x:c r="P93" s="10" t="n">
        <x:f>IF(COUNT(O93,N93)=2,O93-N93,"")</x:f>
        <x:v>-9</x:v>
      </x:c>
      <x:c r="Q93" s="10" t="n">
        <x:v>25</x:v>
      </x:c>
      <x:c r="R93" s="10" t="n">
        <x:v>13</x:v>
      </x:c>
      <x:c r="S93" s="10" t="n">
        <x:f>IF(COUNT(R93,Q93)=2,R93-Q93,"")</x:f>
        <x:v>-12</x:v>
      </x:c>
      <x:c r="T93" s="10" t="n">
        <x:v>-2</x:v>
      </x:c>
      <x:c r="U93" s="10" t="n">
        <x:v>-9</x:v>
      </x:c>
      <x:c r="V93" s="10" t="n">
        <x:f>IF(COUNT(U93,T93)=2,U93-T93,"")</x:f>
        <x:v>-7</x:v>
      </x:c>
      <x:c r="W93" s="10" t="n">
        <x:v>12</x:v>
      </x:c>
      <x:c r="X93" s="10" t="n">
        <x:f>IF(COUNT(AV93,AW93)=2,AV93+AW93,"")</x:f>
        <x:v>7</x:v>
      </x:c>
      <x:c r="Y93" s="10" t="n">
        <x:f>IF(COUNT(X93,W93)=2,X93-W93,"")</x:f>
        <x:v>-5</x:v>
      </x:c>
      <x:c r="Z93" s="10" t="n">
        <x:v>0</x:v>
      </x:c>
      <x:c r="AA93" s="10" t="n">
        <x:f>IF(COUNT(AX93,AY93)=2,AX93+AY93,"")</x:f>
        <x:v>0</x:v>
      </x:c>
      <x:c r="AB93" s="10" t="n">
        <x:f>IF(COUNT(AA93,Z93)=2,AA93-Z93,"")</x:f>
        <x:v>0</x:v>
      </x:c>
      <x:c r="AC93" s="10" t="n">
        <x:v>139</x:v>
      </x:c>
      <x:c r="AD93" s="10" t="n">
        <x:v>110</x:v>
      </x:c>
      <x:c r="AE93" s="10" t="n">
        <x:f>IF(COUNT(AD93,AC93)=2,AD93-AC93,"")</x:f>
        <x:v>-29</x:v>
      </x:c>
      <x:c r="AF93" s="10" t="n">
        <x:v>37</x:v>
      </x:c>
      <x:c r="AG93" s="10" t="n">
        <x:v>45</x:v>
      </x:c>
      <x:c r="AH93" s="10" t="n">
        <x:f>IF(COUNT(AG93,AF93)=2,AG93-AF93,"")</x:f>
        <x:v>8</x:v>
      </x:c>
      <x:c r="AI93" s="10" t="n">
        <x:v>37</x:v>
      </x:c>
      <x:c r="AJ93" s="10" t="n">
        <x:v>17</x:v>
      </x:c>
      <x:c r="AK93" s="10" t="n">
        <x:f>IF(COUNT(AJ93,AI93)=2,AJ93-AI93,"")</x:f>
        <x:v>-20</x:v>
      </x:c>
      <x:c r="AL93" s="10" t="n">
        <x:v>24</x:v>
      </x:c>
      <x:c r="AM93" s="10" t="n">
        <x:v>24</x:v>
      </x:c>
      <x:c r="AN93" s="4" t="str">
        <x:v>C,LW,RW</x:v>
      </x:c>
      <x:c r="AO93" s="4" t="str">
        <x:v>C</x:v>
      </x:c>
      <x:c r="AP93" s="4" t="str">
        <x:v>CGY</x:v>
      </x:c>
      <x:c r="AQ93" s="4" t="str">
        <x:v>CGY</x:v>
      </x:c>
      <x:c r="AR93" s="4" t="n">
        <x:v>16.3</x:v>
      </x:c>
      <x:c r="AS93" s="4" t="n">
        <x:v>14.366666666666667</x:v>
      </x:c>
      <x:c r="AT93" s="4" t="n">
        <x:v>2.22</x:v>
      </x:c>
      <x:c r="AU93" s="4" t="n">
        <x:v>10.9</x:v>
      </x:c>
      <x:c r="AV93" s="10" t="n">
        <x:v>2</x:v>
      </x:c>
      <x:c r="AW93" s="10" t="n">
        <x:v>5</x:v>
      </x:c>
      <x:c r="AX93" s="10" t="n">
        <x:v>0</x:v>
      </x:c>
      <x:c r="AY93" s="10" t="n">
        <x:v>0</x:v>
      </x:c>
      <x:c r="AZ93" s="10" t="n">
        <x:v>888</x:v>
      </x:c>
      <x:c r="BA93" s="10" t="n">
        <x:v>886</x:v>
      </x:c>
      <x:c r="BB93" s="4" t="n">
        <x:v>50.1</x:v>
      </x:c>
      <x:c r="BC93" s="4" t="n">
        <x:v>1</x:v>
      </x:c>
      <x:c r="BD93" s="10" t="n">
        <x:v>622</x:v>
      </x:c>
      <x:c r="BE93" s="10" t="n">
        <x:v>649</x:v>
      </x:c>
      <x:c r="BF93" s="4" t="n">
        <x:v>48.9</x:v>
      </x:c>
      <x:c r="BG93" s="4" t="n">
        <x:v>0.1</x:v>
      </x:c>
      <x:c r="BH93" s="4" t="n">
        <x:v>8.1</x:v>
      </x:c>
      <x:c r="BI93" s="4" t="n">
        <x:v>90.1</x:v>
      </x:c>
      <x:c r="BJ93" s="4" t="n">
        <x:v>98.2</x:v>
      </x:c>
      <x:c r="BK93" s="4" t="n">
        <x:v>50.7</x:v>
      </x:c>
      <x:c r="BL93" s="4" t="n">
        <x:v>49.3</x:v>
      </x:c>
      <x:c r="BM93" s="4" t="n">
        <x:v>14.366666666666667</x:v>
      </x:c>
      <x:c r="BN93" s="4" t="n">
        <x:v>12.716666666666667</x:v>
      </x:c>
      <x:c r="BO93" s="10" t="n">
        <x:v>14</x:v>
      </x:c>
      <x:c r="BP93" s="10" t="n">
        <x:v>44</x:v>
      </x:c>
      <x:c r="BQ93" s="4" t="n">
        <x:v>-3.1</x:v>
      </x:c>
      <x:c r="BR93" s="10" t="n">
        <x:v>195</x:v>
      </x:c>
      <x:c r="BS93" s="4" t="n">
        <x:v>56.9</x:v>
      </x:c>
      <x:c r="BT93" s="10" t="n">
        <x:v>74</x:v>
      </x:c>
      <x:c r="BU93" s="4" t="str">
        <x:v>CGY</x:v>
      </x:c>
      <x:c r="BV93" s="10" t="n">
        <x:v>193</x:v>
      </x:c>
      <x:c r="BW93" s="10" t="n">
        <x:v>401</x:v>
      </x:c>
      <x:c r="BX93" s="10" t="n">
        <x:v>1098</x:v>
      </x:c>
      <x:c r="BY93" s="4" t="str">
        <x:v>Connor Zary</x:v>
      </x:c>
      <x:c r="BZ93" s="4" t="str">
        <x:v>Connor Zary</x:v>
      </x:c>
      <x:c r="CA93" s="4" t="str">
        <x:v>Connor Zary</x:v>
      </x:c>
      <x:c r="CB93" s="4" t="str">
        <x:v>zaryco01</x:v>
      </x:c>
    </x:row>
    <x:row r="94" ht="22" customHeight="1">
      <x:c r="A94" s="4" t="str">
        <x:v>Conor Garland</x:v>
      </x:c>
      <x:c r="B94" s="4" t="str">
        <x:v>conorgarland</x:v>
      </x:c>
      <x:c r="C94" s="10" t="n">
        <x:v>1</x:v>
      </x:c>
      <x:c r="D94" s="10" t="n">
        <x:v>1</x:v>
      </x:c>
      <x:c r="E94" s="10" t="n">
        <x:v>1</x:v>
      </x:c>
      <x:c r="F94" s="4" t="n">
        <x:f>IF(COUNT(N94,Q94,T94,W94,Z94,AC94,AF94,AI94)=8,N94*Guide!$E$5+Q94*Guide!$E$6+T94*Guide!$E$7+W94*Guide!$E$8+Z94*Guide!$E$9+AC94*Guide!$E$10+AF94*Guide!$E$11+AI94*Guide!$E$12,"")</x:f>
        <x:v>294.5</x:v>
      </x:c>
      <x:c r="G94" s="4" t="n">
        <x:f>IF(COUNT(O94,R94,U94,X94,AA94,AD94,AG94,AJ94)=8,O94*Guide!$E$5+R94*Guide!$E$6+U94*Guide!$E$7+X94*Guide!$E$8+AA94*Guide!$E$9+AD94*Guide!$E$10+AG94*Guide!$E$11+AJ94*Guide!$E$12,"")</x:f>
        <x:v>172.5</x:v>
      </x:c>
      <x:c r="H94" s="4" t="n">
        <x:f>IF(COUNT(G94,F94)=2,G94-F94,"")</x:f>
        <x:v>-122</x:v>
      </x:c>
      <x:c r="I94" s="4" t="n">
        <x:f>IF(AND(ISNUMBER(F94),K94&gt;0),F94/K94,"")</x:f>
        <x:v>3.68125</x:v>
      </x:c>
      <x:c r="J94" s="4" t="n">
        <x:f>IF(AND(ISNUMBER(G94),L94&gt;0),G94/L94,"")</x:f>
        <x:v>2.4295774647887325</x:v>
      </x:c>
      <x:c r="K94" s="10" t="n">
        <x:v>80</x:v>
      </x:c>
      <x:c r="L94" s="10" t="n">
        <x:v>71</x:v>
      </x:c>
      <x:c r="M94" s="10" t="n">
        <x:f>IF(COUNT(L94,K94)=2,L94-K94,"")</x:f>
        <x:v>-9</x:v>
      </x:c>
      <x:c r="N94" s="10" t="n">
        <x:v>21</x:v>
      </x:c>
      <x:c r="O94" s="10" t="n">
        <x:v>12</x:v>
      </x:c>
      <x:c r="P94" s="10" t="n">
        <x:f>IF(COUNT(O94,N94)=2,O94-N94,"")</x:f>
        <x:v>-9</x:v>
      </x:c>
      <x:c r="Q94" s="10" t="n">
        <x:v>33</x:v>
      </x:c>
      <x:c r="R94" s="10" t="n">
        <x:v>21</x:v>
      </x:c>
      <x:c r="S94" s="10" t="n">
        <x:f>IF(COUNT(R94,Q94)=2,R94-Q94,"")</x:f>
        <x:v>-12</x:v>
      </x:c>
      <x:c r="T94" s="10" t="n">
        <x:v>3</x:v>
      </x:c>
      <x:c r="U94" s="10" t="n">
        <x:v>-21</x:v>
      </x:c>
      <x:c r="V94" s="10" t="n">
        <x:f>IF(COUNT(U94,T94)=2,U94-T94,"")</x:f>
        <x:v>-24</x:v>
      </x:c>
      <x:c r="W94" s="10" t="n">
        <x:v>16</x:v>
      </x:c>
      <x:c r="X94" s="10" t="n">
        <x:f>IF(COUNT(AV94,AW94)=2,AV94+AW94,"")</x:f>
        <x:v>10</x:v>
      </x:c>
      <x:c r="Y94" s="10" t="n">
        <x:f>IF(COUNT(X94,W94)=2,X94-W94,"")</x:f>
        <x:v>-6</x:v>
      </x:c>
      <x:c r="Z94" s="10" t="n">
        <x:v>0</x:v>
      </x:c>
      <x:c r="AA94" s="10" t="n">
        <x:f>IF(COUNT(AX94,AY94)=2,AX94+AY94,"")</x:f>
        <x:v>1</x:v>
      </x:c>
      <x:c r="AB94" s="10" t="n">
        <x:f>IF(COUNT(AA94,Z94)=2,AA94-Z94,"")</x:f>
        <x:v>1</x:v>
      </x:c>
      <x:c r="AC94" s="10" t="n">
        <x:v>176</x:v>
      </x:c>
      <x:c r="AD94" s="10" t="n">
        <x:v>137</x:v>
      </x:c>
      <x:c r="AE94" s="10" t="n">
        <x:f>IF(COUNT(AD94,AC94)=2,AD94-AC94,"")</x:f>
        <x:v>-39</x:v>
      </x:c>
      <x:c r="AF94" s="10" t="n">
        <x:v>50</x:v>
      </x:c>
      <x:c r="AG94" s="10" t="n">
        <x:v>45</x:v>
      </x:c>
      <x:c r="AH94" s="10" t="n">
        <x:f>IF(COUNT(AG94,AF94)=2,AG94-AF94,"")</x:f>
        <x:v>-5</x:v>
      </x:c>
      <x:c r="AI94" s="10" t="n">
        <x:v>48</x:v>
      </x:c>
      <x:c r="AJ94" s="10" t="n">
        <x:v>32</x:v>
      </x:c>
      <x:c r="AK94" s="10" t="n">
        <x:f>IF(COUNT(AJ94,AI94)=2,AJ94-AI94,"")</x:f>
        <x:v>-16</x:v>
      </x:c>
      <x:c r="AL94" s="10" t="n">
        <x:v>29</x:v>
      </x:c>
      <x:c r="AM94" s="10" t="n">
        <x:v>29</x:v>
      </x:c>
      <x:c r="AN94" s="4" t="str">
        <x:v>RW</x:v>
      </x:c>
      <x:c r="AO94" s="4" t="str">
        <x:v>RW</x:v>
      </x:c>
      <x:c r="AP94" s="4" t="str">
        <x:v>VAN</x:v>
      </x:c>
      <x:c r="AQ94" s="4" t="str">
        <x:v>2TM</x:v>
      </x:c>
      <x:c r="AR94" s="4" t="n">
        <x:v>17.75</x:v>
      </x:c>
      <x:c r="AS94" s="4" t="n">
        <x:v>17.2</x:v>
      </x:c>
      <x:c r="AT94" s="4" t="n">
        <x:v>2.63</x:v>
      </x:c>
      <x:c r="AU94" s="4" t="n">
        <x:v>8.8</x:v>
      </x:c>
      <x:c r="AV94" s="10" t="n">
        <x:v>2</x:v>
      </x:c>
      <x:c r="AW94" s="10" t="n">
        <x:v>8</x:v>
      </x:c>
      <x:c r="AX94" s="10" t="n">
        <x:v>1</x:v>
      </x:c>
      <x:c r="AY94" s="10" t="n">
        <x:v>0</x:v>
      </x:c>
      <x:c r="AZ94" s="10" t="n">
        <x:v>979</x:v>
      </x:c>
      <x:c r="BA94" s="10" t="n">
        <x:v>1065</x:v>
      </x:c>
      <x:c r="BB94" s="4" t="n">
        <x:v>47.9</x:v>
      </x:c>
      <x:c r="BC94" s="4" t="n">
        <x:v>0</x:v>
      </x:c>
      <x:c r="BD94" s="10" t="n">
        <x:v>716</x:v>
      </x:c>
      <x:c r="BE94" s="10" t="n">
        <x:v>780</x:v>
      </x:c>
      <x:c r="BF94" s="4" t="n">
        <x:v>47.9</x:v>
      </x:c>
      <x:c r="BG94" s="4" t="n">
        <x:v>0.1</x:v>
      </x:c>
      <x:c r="BH94" s="4" t="n">
        <x:v>6.9</x:v>
      </x:c>
      <x:c r="BI94" s="4" t="n">
        <x:v>89.4</x:v>
      </x:c>
      <x:c r="BJ94" s="4" t="n">
        <x:v>96.2</x:v>
      </x:c>
      <x:c r="BK94" s="4" t="n">
        <x:v>43.6</x:v>
      </x:c>
      <x:c r="BL94" s="4" t="n">
        <x:v>56.4</x:v>
      </x:c>
      <x:c r="BM94" s="4" t="n">
        <x:v>17.2</x:v>
      </x:c>
      <x:c r="BN94" s="4" t="n">
        <x:v>13.8</x:v>
      </x:c>
      <x:c r="BO94" s="10" t="n">
        <x:v>28</x:v>
      </x:c>
      <x:c r="BP94" s="10" t="n">
        <x:v>75</x:v>
      </x:c>
      <x:c r="BQ94" s="4" t="n">
        <x:v>-2.8</x:v>
      </x:c>
      <x:c r="BR94" s="10" t="n">
        <x:v>272</x:v>
      </x:c>
      <x:c r="BS94" s="4" t="n">
        <x:v>50.4</x:v>
      </x:c>
      <x:c r="BT94" s="10" t="n">
        <x:v>71</x:v>
      </x:c>
      <x:c r="BU94" s="4" t="str">
        <x:v>TOT</x:v>
      </x:c>
      <x:c r="BV94" s="10" t="n">
        <x:v>125</x:v>
      </x:c>
      <x:c r="BW94" s="10" t="n">
        <x:v>295</x:v>
      </x:c>
      <x:c r="BX94" s="10" t="n">
        <x:v>320</x:v>
      </x:c>
      <x:c r="BY94" s="4" t="str">
        <x:v>Conor Garland</x:v>
      </x:c>
      <x:c r="BZ94" s="4" t="str">
        <x:v>Conor Garland</x:v>
      </x:c>
      <x:c r="CA94" s="4" t="str">
        <x:v>Conor Garland</x:v>
      </x:c>
      <x:c r="CB94" s="4" t="str">
        <x:v>garlaco01</x:v>
      </x:c>
    </x:row>
    <x:row r="95" ht="22" customHeight="1">
      <x:c r="A95" s="4" t="str">
        <x:v>Corey Perry</x:v>
      </x:c>
      <x:c r="B95" s="4" t="str">
        <x:v>coreyperry</x:v>
      </x:c>
      <x:c r="C95" s="10" t="n">
        <x:v>1</x:v>
      </x:c>
      <x:c r="D95" s="10" t="n">
        <x:v>1</x:v>
      </x:c>
      <x:c r="E95" s="10" t="n">
        <x:v>1</x:v>
      </x:c>
      <x:c r="F95" s="4" t="n">
        <x:f>IF(COUNT(N95,Q95,T95,W95,Z95,AC95,AF95,AI95)=8,N95*Guide!$E$5+Q95*Guide!$E$6+T95*Guide!$E$7+W95*Guide!$E$8+Z95*Guide!$E$9+AC95*Guide!$E$10+AF95*Guide!$E$11+AI95*Guide!$E$12,"")</x:f>
        <x:v>158.25</x:v>
      </x:c>
      <x:c r="G95" s="4" t="n">
        <x:f>IF(COUNT(O95,R95,U95,X95,AA95,AD95,AG95,AJ95)=8,O95*Guide!$E$5+R95*Guide!$E$6+U95*Guide!$E$7+X95*Guide!$E$8+AA95*Guide!$E$9+AD95*Guide!$E$10+AG95*Guide!$E$11+AJ95*Guide!$E$12,"")</x:f>
        <x:v>191.75</x:v>
      </x:c>
      <x:c r="H95" s="4" t="n">
        <x:f>IF(COUNT(G95,F95)=2,G95-F95,"")</x:f>
        <x:v>33.5</x:v>
      </x:c>
      <x:c r="I95" s="4" t="n">
        <x:f>IF(AND(ISNUMBER(F95),K95&gt;0),F95/K95,"")</x:f>
        <x:v>2.0551948051948052</x:v>
      </x:c>
      <x:c r="J95" s="4" t="n">
        <x:f>IF(AND(ISNUMBER(G95),L95&gt;0),G95/L95,"")</x:f>
        <x:v>2.6631944444444446</x:v>
      </x:c>
      <x:c r="K95" s="10" t="n">
        <x:v>77</x:v>
      </x:c>
      <x:c r="L95" s="10" t="n">
        <x:v>72</x:v>
      </x:c>
      <x:c r="M95" s="10" t="n">
        <x:f>IF(COUNT(L95,K95)=2,L95-K95,"")</x:f>
        <x:v>-5</x:v>
      </x:c>
      <x:c r="N95" s="10" t="n">
        <x:v>14</x:v>
      </x:c>
      <x:c r="O95" s="10" t="n">
        <x:v>17</x:v>
      </x:c>
      <x:c r="P95" s="10" t="n">
        <x:f>IF(COUNT(O95,N95)=2,O95-N95,"")</x:f>
        <x:v>3</x:v>
      </x:c>
      <x:c r="Q95" s="10" t="n">
        <x:v>14</x:v>
      </x:c>
      <x:c r="R95" s="10" t="n">
        <x:v>20</x:v>
      </x:c>
      <x:c r="S95" s="10" t="n">
        <x:f>IF(COUNT(R95,Q95)=2,R95-Q95,"")</x:f>
        <x:v>6</x:v>
      </x:c>
      <x:c r="T95" s="10" t="n">
        <x:v>3</x:v>
      </x:c>
      <x:c r="U95" s="10" t="n">
        <x:v>0</x:v>
      </x:c>
      <x:c r="V95" s="10" t="n">
        <x:f>IF(COUNT(U95,T95)=2,U95-T95,"")</x:f>
        <x:v>-3</x:v>
      </x:c>
      <x:c r="W95" s="10" t="n">
        <x:v>6</x:v>
      </x:c>
      <x:c r="X95" s="10" t="n">
        <x:f>IF(COUNT(AV95,AW95)=2,AV95+AW95,"")</x:f>
        <x:v>13</x:v>
      </x:c>
      <x:c r="Y95" s="10" t="n">
        <x:f>IF(COUNT(X95,W95)=2,X95-W95,"")</x:f>
        <x:v>7</x:v>
      </x:c>
      <x:c r="Z95" s="10" t="n">
        <x:v>0</x:v>
      </x:c>
      <x:c r="AA95" s="10" t="n">
        <x:f>IF(COUNT(AX95,AY95)=2,AX95+AY95,"")</x:f>
        <x:v>0</x:v>
      </x:c>
      <x:c r="AB95" s="10" t="n">
        <x:f>IF(COUNT(AA95,Z95)=2,AA95-Z95,"")</x:f>
        <x:v>0</x:v>
      </x:c>
      <x:c r="AC95" s="10" t="n">
        <x:v>91</x:v>
      </x:c>
      <x:c r="AD95" s="10" t="n">
        <x:v>113</x:v>
      </x:c>
      <x:c r="AE95" s="10" t="n">
        <x:f>IF(COUNT(AD95,AC95)=2,AD95-AC95,"")</x:f>
        <x:v>22</x:v>
      </x:c>
      <x:c r="AF95" s="10" t="n">
        <x:v>39</x:v>
      </x:c>
      <x:c r="AG95" s="10" t="n">
        <x:v>30</x:v>
      </x:c>
      <x:c r="AH95" s="10" t="n">
        <x:f>IF(COUNT(AG95,AF95)=2,AG95-AF95,"")</x:f>
        <x:v>-9</x:v>
      </x:c>
      <x:c r="AI95" s="10" t="n">
        <x:v>25</x:v>
      </x:c>
      <x:c r="AJ95" s="10" t="n">
        <x:v>20</x:v>
      </x:c>
      <x:c r="AK95" s="10" t="n">
        <x:f>IF(COUNT(AJ95,AI95)=2,AJ95-AI95,"")</x:f>
        <x:v>-5</x:v>
      </x:c>
      <x:c r="AL95" s="10" t="n">
        <x:v>40</x:v>
      </x:c>
      <x:c r="AM95" s="10" t="n">
        <x:v>40</x:v>
      </x:c>
      <x:c r="AN95" s="4" t="str">
        <x:v>RW</x:v>
      </x:c>
      <x:c r="AO95" s="4" t="str">
        <x:v>RW</x:v>
      </x:c>
      <x:c r="AP95" s="4" t="str">
        <x:v>LA</x:v>
      </x:c>
      <x:c r="AQ95" s="4" t="str">
        <x:v>2TM</x:v>
      </x:c>
      <x:c r="AR95" s="4" t="n">
        <x:v>11.66</x:v>
      </x:c>
      <x:c r="AS95" s="4" t="n">
        <x:v>13.666666666666666</x:v>
      </x:c>
      <x:c r="AT95" s="4" t="n">
        <x:v>1.32</x:v>
      </x:c>
      <x:c r="AU95" s="4" t="n">
        <x:v>15</x:v>
      </x:c>
      <x:c r="AV95" s="10" t="n">
        <x:v>5</x:v>
      </x:c>
      <x:c r="AW95" s="10" t="n">
        <x:v>8</x:v>
      </x:c>
      <x:c r="AX95" s="10" t="n">
        <x:v>0</x:v>
      </x:c>
      <x:c r="AY95" s="10" t="n">
        <x:v>0</x:v>
      </x:c>
      <x:c r="AZ95" s="10" t="n">
        <x:v>822</x:v>
      </x:c>
      <x:c r="BA95" s="10" t="n">
        <x:v>802</x:v>
      </x:c>
      <x:c r="BB95" s="4" t="n">
        <x:v>50.6</x:v>
      </x:c>
      <x:c r="BC95" s="4" t="n">
        <x:v>-1.7</x:v>
      </x:c>
      <x:c r="BD95" s="10" t="n">
        <x:v>569</x:v>
      </x:c>
      <x:c r="BE95" s="10" t="n">
        <x:v>598</x:v>
      </x:c>
      <x:c r="BF95" s="4" t="n">
        <x:v>48.8</x:v>
      </x:c>
      <x:c r="BG95" s="4" t="n">
        <x:v>-3</x:v>
      </x:c>
      <x:c r="BH95" s="4" t="n">
        <x:v>11.3</x:v>
      </x:c>
      <x:c r="BI95" s="4" t="n">
        <x:v>91.2</x:v>
      </x:c>
      <x:c r="BJ95" s="4" t="n">
        <x:v>102.5</x:v>
      </x:c>
      <x:c r="BK95" s="4" t="n">
        <x:v>58.3</x:v>
      </x:c>
      <x:c r="BL95" s="4" t="n">
        <x:v>41.7</x:v>
      </x:c>
      <x:c r="BM95" s="4" t="n">
        <x:v>13.666666666666666</x:v>
      </x:c>
      <x:c r="BN95" s="4" t="n">
        <x:v>11.333333333333334</x:v>
      </x:c>
      <x:c r="BO95" s="10" t="n">
        <x:v>6</x:v>
      </x:c>
      <x:c r="BP95" s="10" t="n">
        <x:v>49</x:v>
      </x:c>
      <x:c r="BQ95" s="4" t="n">
        <x:v>0.9</x:v>
      </x:c>
      <x:c r="BR95" s="10" t="n">
        <x:v>219</x:v>
      </x:c>
      <x:c r="BS95" s="4" t="n">
        <x:v>51.6</x:v>
      </x:c>
      <x:c r="BT95" s="10" t="n">
        <x:v>72</x:v>
      </x:c>
      <x:c r="BU95" s="4" t="str">
        <x:v>TOT</x:v>
      </x:c>
      <x:c r="BV95" s="10" t="n">
        <x:v>400</x:v>
      </x:c>
      <x:c r="BW95" s="10" t="n">
        <x:v>239</x:v>
      </x:c>
      <x:c r="BX95" s="10" t="n">
        <x:v>801</x:v>
      </x:c>
      <x:c r="BY95" s="4" t="str">
        <x:v>Corey Perry</x:v>
      </x:c>
      <x:c r="BZ95" s="4" t="str">
        <x:v>Corey Perry</x:v>
      </x:c>
      <x:c r="CA95" s="4" t="str">
        <x:v>Corey Perry</x:v>
      </x:c>
      <x:c r="CB95" s="4" t="str">
        <x:v>perryco01</x:v>
      </x:c>
    </x:row>
    <x:row r="96" ht="22" customHeight="1">
      <x:c r="A96" s="4" t="str">
        <x:v>Cutter Gauthier</x:v>
      </x:c>
      <x:c r="B96" s="4" t="str">
        <x:v>cuttergauthier</x:v>
      </x:c>
      <x:c r="C96" s="10" t="n">
        <x:v>1</x:v>
      </x:c>
      <x:c r="D96" s="10" t="n">
        <x:v>1</x:v>
      </x:c>
      <x:c r="E96" s="10" t="n">
        <x:v>1</x:v>
      </x:c>
      <x:c r="F96" s="4" t="n">
        <x:f>IF(COUNT(N96,Q96,T96,W96,Z96,AC96,AF96,AI96)=8,N96*Guide!$E$5+Q96*Guide!$E$6+T96*Guide!$E$7+W96*Guide!$E$8+Z96*Guide!$E$9+AC96*Guide!$E$10+AF96*Guide!$E$11+AI96*Guide!$E$12,"")</x:f>
        <x:v>275.75</x:v>
      </x:c>
      <x:c r="G96" s="4" t="n">
        <x:f>IF(COUNT(O96,R96,U96,X96,AA96,AD96,AG96,AJ96)=8,O96*Guide!$E$5+R96*Guide!$E$6+U96*Guide!$E$7+X96*Guide!$E$8+AA96*Guide!$E$9+AD96*Guide!$E$10+AG96*Guide!$E$11+AJ96*Guide!$E$12,"")</x:f>
        <x:v>367.5</x:v>
      </x:c>
      <x:c r="H96" s="4" t="n">
        <x:f>IF(COUNT(G96,F96)=2,G96-F96,"")</x:f>
        <x:v>91.75</x:v>
      </x:c>
      <x:c r="I96" s="4" t="n">
        <x:f>IF(AND(ISNUMBER(F96),K96&gt;0),F96/K96,"")</x:f>
        <x:v>3.404320987654321</x:v>
      </x:c>
      <x:c r="J96" s="4" t="n">
        <x:f>IF(AND(ISNUMBER(G96),L96&gt;0),G96/L96,"")</x:f>
        <x:v>4.8355263157894735</x:v>
      </x:c>
      <x:c r="K96" s="10" t="n">
        <x:v>81</x:v>
      </x:c>
      <x:c r="L96" s="10" t="n">
        <x:v>76</x:v>
      </x:c>
      <x:c r="M96" s="10" t="n">
        <x:f>IF(COUNT(L96,K96)=2,L96-K96,"")</x:f>
        <x:v>-5</x:v>
      </x:c>
      <x:c r="N96" s="10" t="n">
        <x:v>25</x:v>
      </x:c>
      <x:c r="O96" s="10" t="n">
        <x:v>41</x:v>
      </x:c>
      <x:c r="P96" s="10" t="n">
        <x:f>IF(COUNT(O96,N96)=2,O96-N96,"")</x:f>
        <x:v>16</x:v>
      </x:c>
      <x:c r="Q96" s="10" t="n">
        <x:v>22</x:v>
      </x:c>
      <x:c r="R96" s="10" t="n">
        <x:v>28</x:v>
      </x:c>
      <x:c r="S96" s="10" t="n">
        <x:f>IF(COUNT(R96,Q96)=2,R96-Q96,"")</x:f>
        <x:v>6</x:v>
      </x:c>
      <x:c r="T96" s="10" t="n">
        <x:v>-5</x:v>
      </x:c>
      <x:c r="U96" s="10" t="n">
        <x:v>-2</x:v>
      </x:c>
      <x:c r="V96" s="10" t="n">
        <x:f>IF(COUNT(U96,T96)=2,U96-T96,"")</x:f>
        <x:v>3</x:v>
      </x:c>
      <x:c r="W96" s="10" t="n">
        <x:v>9</x:v>
      </x:c>
      <x:c r="X96" s="10" t="n">
        <x:f>IF(COUNT(AV96,AW96)=2,AV96+AW96,"")</x:f>
        <x:v>19</x:v>
      </x:c>
      <x:c r="Y96" s="10" t="n">
        <x:f>IF(COUNT(X96,W96)=2,X96-W96,"")</x:f>
        <x:v>10</x:v>
      </x:c>
      <x:c r="Z96" s="10" t="n">
        <x:v>0</x:v>
      </x:c>
      <x:c r="AA96" s="10" t="n">
        <x:f>IF(COUNT(AX96,AY96)=2,AX96+AY96,"")</x:f>
        <x:v>0</x:v>
      </x:c>
      <x:c r="AB96" s="10" t="n">
        <x:f>IF(COUNT(AA96,Z96)=2,AA96-Z96,"")</x:f>
        <x:v>0</x:v>
      </x:c>
      <x:c r="AC96" s="10" t="n">
        <x:v>202</x:v>
      </x:c>
      <x:c r="AD96" s="10" t="n">
        <x:v>286</x:v>
      </x:c>
      <x:c r="AE96" s="10" t="n">
        <x:f>IF(COUNT(AD96,AC96)=2,AD96-AC96,"")</x:f>
        <x:v>84</x:v>
      </x:c>
      <x:c r="AF96" s="10" t="n">
        <x:v>68</x:v>
      </x:c>
      <x:c r="AG96" s="10" t="n">
        <x:v>64</x:v>
      </x:c>
      <x:c r="AH96" s="10" t="n">
        <x:f>IF(COUNT(AG96,AF96)=2,AG96-AF96,"")</x:f>
        <x:v>-4</x:v>
      </x:c>
      <x:c r="AI96" s="10" t="n">
        <x:v>51</x:v>
      </x:c>
      <x:c r="AJ96" s="10" t="n">
        <x:v>20</x:v>
      </x:c>
      <x:c r="AK96" s="10" t="n">
        <x:f>IF(COUNT(AJ96,AI96)=2,AJ96-AI96,"")</x:f>
        <x:v>-31</x:v>
      </x:c>
      <x:c r="AL96" s="10" t="n">
        <x:v>22</x:v>
      </x:c>
      <x:c r="AM96" s="10" t="n">
        <x:v>22</x:v>
      </x:c>
      <x:c r="AN96" s="4" t="str">
        <x:v>LW</x:v>
      </x:c>
      <x:c r="AO96" s="4" t="str">
        <x:v>LW</x:v>
      </x:c>
      <x:c r="AP96" s="4" t="str">
        <x:v>ANA</x:v>
      </x:c>
      <x:c r="AQ96" s="4" t="str">
        <x:v>ANA</x:v>
      </x:c>
      <x:c r="AR96" s="4" t="n">
        <x:v>14.68</x:v>
      </x:c>
      <x:c r="AS96" s="4" t="n">
        <x:v>17.25</x:v>
      </x:c>
      <x:c r="AT96" s="4" t="n">
        <x:v>1.68</x:v>
      </x:c>
      <x:c r="AU96" s="4" t="n">
        <x:v>14.3</x:v>
      </x:c>
      <x:c r="AV96" s="10" t="n">
        <x:v>11</x:v>
      </x:c>
      <x:c r="AW96" s="10" t="n">
        <x:v>8</x:v>
      </x:c>
      <x:c r="AX96" s="10" t="n">
        <x:v>0</x:v>
      </x:c>
      <x:c r="AY96" s="10" t="n">
        <x:v>0</x:v>
      </x:c>
      <x:c r="AZ96" s="10" t="n">
        <x:v>1329</x:v>
      </x:c>
      <x:c r="BA96" s="10" t="n">
        <x:v>1074</x:v>
      </x:c>
      <x:c r="BB96" s="4" t="n">
        <x:v>55.3</x:v>
      </x:c>
      <x:c r="BC96" s="4" t="n">
        <x:v>4.5</x:v>
      </x:c>
      <x:c r="BD96" s="10" t="n">
        <x:v>954</x:v>
      </x:c>
      <x:c r="BE96" s="10" t="n">
        <x:v>781</x:v>
      </x:c>
      <x:c r="BF96" s="4" t="n">
        <x:v>55</x:v>
      </x:c>
      <x:c r="BG96" s="4" t="n">
        <x:v>4.1</x:v>
      </x:c>
      <x:c r="BH96" s="4" t="n">
        <x:v>11.1</x:v>
      </x:c>
      <x:c r="BI96" s="4" t="n">
        <x:v>86.8</x:v>
      </x:c>
      <x:c r="BJ96" s="4" t="n">
        <x:v>97.9</x:v>
      </x:c>
      <x:c r="BK96" s="4" t="n">
        <x:v>59.5</x:v>
      </x:c>
      <x:c r="BL96" s="4" t="n">
        <x:v>40.5</x:v>
      </x:c>
      <x:c r="BM96" s="4" t="n">
        <x:v>17.25</x:v>
      </x:c>
      <x:c r="BN96" s="4" t="n">
        <x:v>14.133333333333333</x:v>
      </x:c>
      <x:c r="BO96" s="10" t="n">
        <x:v>19</x:v>
      </x:c>
      <x:c r="BP96" s="10" t="n">
        <x:v>74</x:v>
      </x:c>
      <x:c r="BQ96" s="4" t="n">
        <x:v>3</x:v>
      </x:c>
      <x:c r="BR96" s="10" t="n">
        <x:v>559</x:v>
      </x:c>
      <x:c r="BS96" s="4" t="n">
        <x:v>51.2</x:v>
      </x:c>
      <x:c r="BT96" s="10" t="n">
        <x:v>76</x:v>
      </x:c>
      <x:c r="BU96" s="4" t="str">
        <x:v>ANA</x:v>
      </x:c>
      <x:c r="BV96" s="10" t="n">
        <x:v>176</x:v>
      </x:c>
      <x:c r="BW96" s="10" t="n">
        <x:v>59</x:v>
      </x:c>
      <x:c r="BX96" s="10" t="n">
        <x:v>329</x:v>
      </x:c>
      <x:c r="BY96" s="4" t="str">
        <x:v>Cutter Gauthier</x:v>
      </x:c>
      <x:c r="BZ96" s="4" t="str">
        <x:v>Cutter Gauthier</x:v>
      </x:c>
      <x:c r="CA96" s="4" t="str">
        <x:v>Cutter Gauthier</x:v>
      </x:c>
      <x:c r="CB96" s="4" t="str">
        <x:v>gauthcu01</x:v>
      </x:c>
    </x:row>
    <x:row r="97" ht="22" customHeight="1">
      <x:c r="A97" s="4" t="str">
        <x:v>Dakota Joshua</x:v>
      </x:c>
      <x:c r="B97" s="4" t="str">
        <x:v>dakotajoshua</x:v>
      </x:c>
      <x:c r="C97" s="10" t="n">
        <x:v>1</x:v>
      </x:c>
      <x:c r="D97" s="10" t="n">
        <x:v>1</x:v>
      </x:c>
      <x:c r="E97" s="10" t="n">
        <x:v>1</x:v>
      </x:c>
      <x:c r="F97" s="4" t="n">
        <x:f>IF(COUNT(N97,Q97,T97,W97,Z97,AC97,AF97,AI97)=8,N97*Guide!$E$5+Q97*Guide!$E$6+T97*Guide!$E$7+W97*Guide!$E$8+Z97*Guide!$E$9+AC97*Guide!$E$10+AF97*Guide!$E$11+AI97*Guide!$E$12,"")</x:f>
        <x:v>222.75</x:v>
      </x:c>
      <x:c r="G97" s="4" t="n">
        <x:f>IF(COUNT(O97,R97,U97,X97,AA97,AD97,AG97,AJ97)=8,O97*Guide!$E$5+R97*Guide!$E$6+U97*Guide!$E$7+X97*Guide!$E$8+AA97*Guide!$E$9+AD97*Guide!$E$10+AG97*Guide!$E$11+AJ97*Guide!$E$12,"")</x:f>
        <x:v>147.75</x:v>
      </x:c>
      <x:c r="H97" s="4" t="n">
        <x:f>IF(COUNT(G97,F97)=2,G97-F97,"")</x:f>
        <x:v>-75</x:v>
      </x:c>
      <x:c r="I97" s="4" t="n">
        <x:f>IF(AND(ISNUMBER(F97),K97&gt;0),F97/K97,"")</x:f>
        <x:v>2.819620253164557</x:v>
      </x:c>
      <x:c r="J97" s="4" t="n">
        <x:f>IF(AND(ISNUMBER(G97),L97&gt;0),G97/L97,"")</x:f>
        <x:v>2.6863636363636365</x:v>
      </x:c>
      <x:c r="K97" s="10" t="n">
        <x:v>79</x:v>
      </x:c>
      <x:c r="L97" s="10" t="n">
        <x:v>55</x:v>
      </x:c>
      <x:c r="M97" s="10" t="n">
        <x:f>IF(COUNT(L97,K97)=2,L97-K97,"")</x:f>
        <x:v>-24</x:v>
      </x:c>
      <x:c r="N97" s="10" t="n">
        <x:v>14</x:v>
      </x:c>
      <x:c r="O97" s="10" t="n">
        <x:v>10</x:v>
      </x:c>
      <x:c r="P97" s="10" t="n">
        <x:f>IF(COUNT(O97,N97)=2,O97-N97,"")</x:f>
        <x:v>-4</x:v>
      </x:c>
      <x:c r="Q97" s="10" t="n">
        <x:v>16</x:v>
      </x:c>
      <x:c r="R97" s="10" t="n">
        <x:v>8</x:v>
      </x:c>
      <x:c r="S97" s="10" t="n">
        <x:f>IF(COUNT(R97,Q97)=2,R97-Q97,"")</x:f>
        <x:v>-8</x:v>
      </x:c>
      <x:c r="T97" s="10" t="n">
        <x:v>-2</x:v>
      </x:c>
      <x:c r="U97" s="10" t="n">
        <x:v>-2</x:v>
      </x:c>
      <x:c r="V97" s="10" t="n">
        <x:f>IF(COUNT(U97,T97)=2,U97-T97,"")</x:f>
        <x:v>0</x:v>
      </x:c>
      <x:c r="W97" s="10" t="n">
        <x:v>3</x:v>
      </x:c>
      <x:c r="X97" s="10" t="n">
        <x:f>IF(COUNT(AV97,AW97)=2,AV97+AW97,"")</x:f>
        <x:v>0</x:v>
      </x:c>
      <x:c r="Y97" s="10" t="n">
        <x:f>IF(COUNT(X97,W97)=2,X97-W97,"")</x:f>
        <x:v>-3</x:v>
      </x:c>
      <x:c r="Z97" s="10" t="n">
        <x:v>1</x:v>
      </x:c>
      <x:c r="AA97" s="10" t="n">
        <x:f>IF(COUNT(AX97,AY97)=2,AX97+AY97,"")</x:f>
        <x:v>0</x:v>
      </x:c>
      <x:c r="AB97" s="10" t="n">
        <x:f>IF(COUNT(AA97,Z97)=2,AA97-Z97,"")</x:f>
        <x:v>-1</x:v>
      </x:c>
      <x:c r="AC97" s="10" t="n">
        <x:v>80</x:v>
      </x:c>
      <x:c r="AD97" s="10" t="n">
        <x:v>52</x:v>
      </x:c>
      <x:c r="AE97" s="10" t="n">
        <x:f>IF(COUNT(AD97,AC97)=2,AD97-AC97,"")</x:f>
        <x:v>-28</x:v>
      </x:c>
      <x:c r="AF97" s="10" t="n">
        <x:v>259</x:v>
      </x:c>
      <x:c r="AG97" s="10" t="n">
        <x:v>195</x:v>
      </x:c>
      <x:c r="AH97" s="10" t="n">
        <x:f>IF(COUNT(AG97,AF97)=2,AG97-AF97,"")</x:f>
        <x:v>-64</x:v>
      </x:c>
      <x:c r="AI97" s="10" t="n">
        <x:v>40</x:v>
      </x:c>
      <x:c r="AJ97" s="10" t="n">
        <x:v>32</x:v>
      </x:c>
      <x:c r="AK97" s="10" t="n">
        <x:f>IF(COUNT(AJ97,AI97)=2,AJ97-AI97,"")</x:f>
        <x:v>-8</x:v>
      </x:c>
      <x:c r="AL97" s="10" t="n">
        <x:v>29</x:v>
      </x:c>
      <x:c r="AM97" s="10" t="n">
        <x:v>29</x:v>
      </x:c>
      <x:c r="AN97" s="4" t="str">
        <x:v>C,LW</x:v>
      </x:c>
      <x:c r="AO97" s="4" t="str">
        <x:v>C</x:v>
      </x:c>
      <x:c r="AP97" s="4" t="str">
        <x:v>TOR</x:v>
      </x:c>
      <x:c r="AQ97" s="4" t="str">
        <x:v>TOR</x:v>
      </x:c>
      <x:c r="AR97" s="4" t="n">
        <x:v>13.08</x:v>
      </x:c>
      <x:c r="AS97" s="4" t="n">
        <x:v>12.25</x:v>
      </x:c>
      <x:c r="AT97" s="4" t="n">
        <x:v>0.59</x:v>
      </x:c>
      <x:c r="AU97" s="4" t="n">
        <x:v>19.2</x:v>
      </x:c>
      <x:c r="AV97" s="10" t="n">
        <x:v>0</x:v>
      </x:c>
      <x:c r="AW97" s="10" t="n">
        <x:v>0</x:v>
      </x:c>
      <x:c r="AX97" s="10" t="n">
        <x:v>0</x:v>
      </x:c>
      <x:c r="AY97" s="10" t="n">
        <x:v>0</x:v>
      </x:c>
      <x:c r="AZ97" s="10" t="n">
        <x:v>526</x:v>
      </x:c>
      <x:c r="BA97" s="10" t="n">
        <x:v>668</x:v>
      </x:c>
      <x:c r="BB97" s="4" t="n">
        <x:v>44.1</x:v>
      </x:c>
      <x:c r="BC97" s="4" t="n">
        <x:v>-0.5</x:v>
      </x:c>
      <x:c r="BD97" s="10" t="n">
        <x:v>377</x:v>
      </x:c>
      <x:c r="BE97" s="10" t="n">
        <x:v>486</x:v>
      </x:c>
      <x:c r="BF97" s="4" t="n">
        <x:v>43.7</x:v>
      </x:c>
      <x:c r="BG97" s="4" t="n">
        <x:v>-1.9</x:v>
      </x:c>
      <x:c r="BH97" s="4" t="n">
        <x:v>11.7</x:v>
      </x:c>
      <x:c r="BI97" s="4" t="n">
        <x:v>90.3</x:v>
      </x:c>
      <x:c r="BJ97" s="4" t="n">
        <x:v>101.9</x:v>
      </x:c>
      <x:c r="BK97" s="4" t="n">
        <x:v>32</x:v>
      </x:c>
      <x:c r="BL97" s="4" t="n">
        <x:v>68</x:v>
      </x:c>
      <x:c r="BM97" s="4" t="n">
        <x:v>12.25</x:v>
      </x:c>
      <x:c r="BN97" s="4" t="n">
        <x:v>11.416666666666666</x:v>
      </x:c>
      <x:c r="BO97" s="10" t="n">
        <x:v>9</x:v>
      </x:c>
      <x:c r="BP97" s="10" t="n">
        <x:v>20</x:v>
      </x:c>
      <x:c r="BQ97" s="4" t="n">
        <x:v>-4.8</x:v>
      </x:c>
      <x:c r="BR97" s="10" t="n">
        <x:v>93</x:v>
      </x:c>
      <x:c r="BS97" s="4" t="n">
        <x:v>55.9</x:v>
      </x:c>
      <x:c r="BT97" s="10" t="n">
        <x:v>55</x:v>
      </x:c>
      <x:c r="BU97" s="4" t="str">
        <x:v>TOR</x:v>
      </x:c>
      <x:c r="BV97" s="10" t="n">
        <x:v>369</x:v>
      </x:c>
      <x:c r="BW97" s="10" t="n">
        <x:v>490</x:v>
      </x:c>
      <x:c r="BX97" s="10" t="n">
        <x:v>481</x:v>
      </x:c>
      <x:c r="BY97" s="4" t="str">
        <x:v>Dakota Joshua</x:v>
      </x:c>
      <x:c r="BZ97" s="4" t="str">
        <x:v>Dakota Joshua</x:v>
      </x:c>
      <x:c r="CA97" s="4" t="str">
        <x:v>Dakota Joshua</x:v>
      </x:c>
      <x:c r="CB97" s="4" t="str">
        <x:v>joshuda01</x:v>
      </x:c>
    </x:row>
    <x:row r="98" ht="22" customHeight="1">
      <x:c r="A98" s="4" t="str">
        <x:v>Damon Severson</x:v>
      </x:c>
      <x:c r="B98" s="4" t="str">
        <x:v>damonseverson</x:v>
      </x:c>
      <x:c r="C98" s="10" t="n">
        <x:v>1</x:v>
      </x:c>
      <x:c r="D98" s="10" t="n">
        <x:v>1</x:v>
      </x:c>
      <x:c r="E98" s="10" t="n">
        <x:v>1</x:v>
      </x:c>
      <x:c r="F98" s="4" t="n">
        <x:f>IF(COUNT(N98,Q98,T98,W98,Z98,AC98,AF98,AI98)=8,N98*Guide!$E$5+Q98*Guide!$E$6+T98*Guide!$E$7+W98*Guide!$E$8+Z98*Guide!$E$9+AC98*Guide!$E$10+AF98*Guide!$E$11+AI98*Guide!$E$12,"")</x:f>
        <x:v>210.25</x:v>
      </x:c>
      <x:c r="G98" s="4" t="n">
        <x:f>IF(COUNT(O98,R98,U98,X98,AA98,AD98,AG98,AJ98)=8,O98*Guide!$E$5+R98*Guide!$E$6+U98*Guide!$E$7+X98*Guide!$E$8+AA98*Guide!$E$9+AD98*Guide!$E$10+AG98*Guide!$E$11+AJ98*Guide!$E$12,"")</x:f>
        <x:v>223.5</x:v>
      </x:c>
      <x:c r="H98" s="4" t="n">
        <x:f>IF(COUNT(G98,F98)=2,G98-F98,"")</x:f>
        <x:v>13.25</x:v>
      </x:c>
      <x:c r="I98" s="4" t="n">
        <x:f>IF(AND(ISNUMBER(F98),K98&gt;0),F98/K98,"")</x:f>
        <x:v>2.8412162162162162</x:v>
      </x:c>
      <x:c r="J98" s="4" t="n">
        <x:f>IF(AND(ISNUMBER(G98),L98&gt;0),G98/L98,"")</x:f>
        <x:v>3.147887323943662</x:v>
      </x:c>
      <x:c r="K98" s="10" t="n">
        <x:v>74</x:v>
      </x:c>
      <x:c r="L98" s="10" t="n">
        <x:v>71</x:v>
      </x:c>
      <x:c r="M98" s="10" t="n">
        <x:f>IF(COUNT(L98,K98)=2,L98-K98,"")</x:f>
        <x:v>-3</x:v>
      </x:c>
      <x:c r="N98" s="10" t="n">
        <x:v>7</x:v>
      </x:c>
      <x:c r="O98" s="10" t="n">
        <x:v>8</x:v>
      </x:c>
      <x:c r="P98" s="10" t="n">
        <x:f>IF(COUNT(O98,N98)=2,O98-N98,"")</x:f>
        <x:v>1</x:v>
      </x:c>
      <x:c r="Q98" s="10" t="n">
        <x:v>22</x:v>
      </x:c>
      <x:c r="R98" s="10" t="n">
        <x:v>24</x:v>
      </x:c>
      <x:c r="S98" s="10" t="n">
        <x:f>IF(COUNT(R98,Q98)=2,R98-Q98,"")</x:f>
        <x:v>2</x:v>
      </x:c>
      <x:c r="T98" s="10" t="n">
        <x:v>0</x:v>
      </x:c>
      <x:c r="U98" s="10" t="n">
        <x:v>18</x:v>
      </x:c>
      <x:c r="V98" s="10" t="n">
        <x:f>IF(COUNT(U98,T98)=2,U98-T98,"")</x:f>
        <x:v>18</x:v>
      </x:c>
      <x:c r="W98" s="10" t="n">
        <x:v>4</x:v>
      </x:c>
      <x:c r="X98" s="10" t="n">
        <x:f>IF(COUNT(AV98,AW98)=2,AV98+AW98,"")</x:f>
        <x:v>4</x:v>
      </x:c>
      <x:c r="Y98" s="10" t="n">
        <x:f>IF(COUNT(X98,W98)=2,X98-W98,"")</x:f>
        <x:v>0</x:v>
      </x:c>
      <x:c r="Z98" s="10" t="n">
        <x:v>1</x:v>
      </x:c>
      <x:c r="AA98" s="10" t="n">
        <x:f>IF(COUNT(AX98,AY98)=2,AX98+AY98,"")</x:f>
        <x:v>0</x:v>
      </x:c>
      <x:c r="AB98" s="10" t="n">
        <x:f>IF(COUNT(AA98,Z98)=2,AA98-Z98,"")</x:f>
        <x:v>-1</x:v>
      </x:c>
      <x:c r="AC98" s="10" t="n">
        <x:v>88</x:v>
      </x:c>
      <x:c r="AD98" s="10" t="n">
        <x:v>93</x:v>
      </x:c>
      <x:c r="AE98" s="10" t="n">
        <x:f>IF(COUNT(AD98,AC98)=2,AD98-AC98,"")</x:f>
        <x:v>5</x:v>
      </x:c>
      <x:c r="AF98" s="10" t="n">
        <x:v>43</x:v>
      </x:c>
      <x:c r="AG98" s="10" t="n">
        <x:v>39</x:v>
      </x:c>
      <x:c r="AH98" s="10" t="n">
        <x:f>IF(COUNT(AG98,AF98)=2,AG98-AF98,"")</x:f>
        <x:v>-4</x:v>
      </x:c>
      <x:c r="AI98" s="10" t="n">
        <x:v>102</x:v>
      </x:c>
      <x:c r="AJ98" s="10" t="n">
        <x:v>86</x:v>
      </x:c>
      <x:c r="AK98" s="10" t="n">
        <x:f>IF(COUNT(AJ98,AI98)=2,AJ98-AI98,"")</x:f>
        <x:v>-16</x:v>
      </x:c>
      <x:c r="AL98" s="10" t="n">
        <x:v>31</x:v>
      </x:c>
      <x:c r="AM98" s="10" t="n">
        <x:v>31</x:v>
      </x:c>
      <x:c r="AN98" s="4" t="str">
        <x:v>D</x:v>
      </x:c>
      <x:c r="AO98" s="4" t="str">
        <x:v>D</x:v>
      </x:c>
      <x:c r="AP98" s="4" t="str">
        <x:v>CBJ</x:v>
      </x:c>
      <x:c r="AQ98" s="4" t="str">
        <x:v>CBJ</x:v>
      </x:c>
      <x:c r="AR98" s="4" t="n">
        <x:v>19.33</x:v>
      </x:c>
      <x:c r="AS98" s="4" t="n">
        <x:v>21.066666666666666</x:v>
      </x:c>
      <x:c r="AT98" s="4" t="n">
        <x:v>0.65</x:v>
      </x:c>
      <x:c r="AU98" s="4" t="n">
        <x:v>8.6</x:v>
      </x:c>
      <x:c r="AV98" s="10" t="n">
        <x:v>1</x:v>
      </x:c>
      <x:c r="AW98" s="10" t="n">
        <x:v>3</x:v>
      </x:c>
      <x:c r="AX98" s="10" t="n">
        <x:v>0</x:v>
      </x:c>
      <x:c r="AY98" s="10" t="n">
        <x:v>0</x:v>
      </x:c>
      <x:c r="AZ98" s="10" t="n">
        <x:v>1464</x:v>
      </x:c>
      <x:c r="BA98" s="10" t="n">
        <x:v>1228</x:v>
      </x:c>
      <x:c r="BB98" s="4" t="n">
        <x:v>54.4</x:v>
      </x:c>
      <x:c r="BC98" s="4" t="n">
        <x:v>5.7</x:v>
      </x:c>
      <x:c r="BD98" s="10" t="n">
        <x:v>1065</x:v>
      </x:c>
      <x:c r="BE98" s="10" t="n">
        <x:v>896</x:v>
      </x:c>
      <x:c r="BF98" s="4" t="n">
        <x:v>54.3</x:v>
      </x:c>
      <x:c r="BG98" s="4" t="n">
        <x:v>6</x:v>
      </x:c>
      <x:c r="BH98" s="4" t="n">
        <x:v>10.5</x:v>
      </x:c>
      <x:c r="BI98" s="4" t="n">
        <x:v>90.2</x:v>
      </x:c>
      <x:c r="BJ98" s="4" t="n">
        <x:v>100.7</x:v>
      </x:c>
      <x:c r="BK98" s="4" t="n">
        <x:v>48.9</x:v>
      </x:c>
      <x:c r="BL98" s="4" t="n">
        <x:v>51.1</x:v>
      </x:c>
      <x:c r="BM98" s="4" t="n">
        <x:v>21.066666666666666</x:v>
      </x:c>
      <x:c r="BN98" s="4" t="n">
        <x:v>19.35</x:v>
      </x:c>
      <x:c r="BO98" s="10" t="n">
        <x:v>28</x:v>
      </x:c>
      <x:c r="BP98" s="10" t="n">
        <x:v>82</x:v>
      </x:c>
      <x:c r="BQ98" s="4" t="n">
        <x:v>11</x:v>
      </x:c>
      <x:c r="BR98" s="10" t="n">
        <x:v>238</x:v>
      </x:c>
      <x:c r="BS98" s="4" t="n">
        <x:v>39.1</x:v>
      </x:c>
      <x:c r="BT98" s="10" t="n">
        <x:v>71</x:v>
      </x:c>
      <x:c r="BU98" s="4" t="str">
        <x:v>CBJ</x:v>
      </x:c>
      <x:c r="BV98" s="10" t="n">
        <x:v>381</x:v>
      </x:c>
      <x:c r="BW98" s="10" t="n">
        <x:v>308</x:v>
      </x:c>
      <x:c r="BX98" s="10" t="n">
        <x:v>924</x:v>
      </x:c>
      <x:c r="BY98" s="4" t="str">
        <x:v>Damon Severson</x:v>
      </x:c>
      <x:c r="BZ98" s="4" t="str">
        <x:v>Damon Severson</x:v>
      </x:c>
      <x:c r="CA98" s="4" t="str">
        <x:v>Damon Severson</x:v>
      </x:c>
      <x:c r="CB98" s="4" t="str">
        <x:v>severda01</x:v>
      </x:c>
    </x:row>
    <x:row r="99" ht="22" customHeight="1">
      <x:c r="A99" s="4" t="str">
        <x:v>Danila Yurov</x:v>
      </x:c>
      <x:c r="B99" s="4" t="str">
        <x:v>danilayurov</x:v>
      </x:c>
      <x:c r="C99" s="10" t="n">
        <x:v>1</x:v>
      </x:c>
      <x:c r="D99" s="10" t="n">
        <x:v>1</x:v>
      </x:c>
      <x:c r="E99" s="10" t="n">
        <x:v>1</x:v>
      </x:c>
      <x:c r="F99" s="4" t="n">
        <x:f>IF(COUNT(N99,Q99,T99,W99,Z99,AC99,AF99,AI99)=8,N99*Guide!$E$5+Q99*Guide!$E$6+T99*Guide!$E$7+W99*Guide!$E$8+Z99*Guide!$E$9+AC99*Guide!$E$10+AF99*Guide!$E$11+AI99*Guide!$E$12,"")</x:f>
        <x:v>246.5</x:v>
      </x:c>
      <x:c r="G99" s="4" t="n">
        <x:f>IF(COUNT(O99,R99,U99,X99,AA99,AD99,AG99,AJ99)=8,O99*Guide!$E$5+R99*Guide!$E$6+U99*Guide!$E$7+X99*Guide!$E$8+AA99*Guide!$E$9+AD99*Guide!$E$10+AG99*Guide!$E$11+AJ99*Guide!$E$12,"")</x:f>
        <x:v>156.75</x:v>
      </x:c>
      <x:c r="H99" s="4" t="n">
        <x:f>IF(COUNT(G99,F99)=2,G99-F99,"")</x:f>
        <x:v>-89.75</x:v>
      </x:c>
      <x:c r="I99" s="4" t="n">
        <x:f>IF(AND(ISNUMBER(F99),K99&gt;0),F99/K99,"")</x:f>
        <x:v>3.2434210526315788</x:v>
      </x:c>
      <x:c r="J99" s="4" t="n">
        <x:f>IF(AND(ISNUMBER(G99),L99&gt;0),G99/L99,"")</x:f>
        <x:v>2.1472602739726026</x:v>
      </x:c>
      <x:c r="K99" s="10" t="n">
        <x:v>76</x:v>
      </x:c>
      <x:c r="L99" s="10" t="n">
        <x:v>73</x:v>
      </x:c>
      <x:c r="M99" s="10" t="n">
        <x:f>IF(COUNT(L99,K99)=2,L99-K99,"")</x:f>
        <x:v>-3</x:v>
      </x:c>
      <x:c r="N99" s="10" t="n">
        <x:v>17</x:v>
      </x:c>
      <x:c r="O99" s="10" t="n">
        <x:v>12</x:v>
      </x:c>
      <x:c r="P99" s="10" t="n">
        <x:f>IF(COUNT(O99,N99)=2,O99-N99,"")</x:f>
        <x:v>-5</x:v>
      </x:c>
      <x:c r="Q99" s="10" t="n">
        <x:v>23</x:v>
      </x:c>
      <x:c r="R99" s="10" t="n">
        <x:v>15</x:v>
      </x:c>
      <x:c r="S99" s="10" t="n">
        <x:f>IF(COUNT(R99,Q99)=2,R99-Q99,"")</x:f>
        <x:v>-8</x:v>
      </x:c>
      <x:c r="T99" s="10" t="n">
        <x:v>4</x:v>
      </x:c>
      <x:c r="U99" s="10" t="n">
        <x:v>-7</x:v>
      </x:c>
      <x:c r="V99" s="10" t="n">
        <x:f>IF(COUNT(U99,T99)=2,U99-T99,"")</x:f>
        <x:v>-11</x:v>
      </x:c>
      <x:c r="W99" s="10" t="n">
        <x:v>12</x:v>
      </x:c>
      <x:c r="X99" s="10" t="n">
        <x:f>IF(COUNT(AV99,AW99)=2,AV99+AW99,"")</x:f>
        <x:v>3</x:v>
      </x:c>
      <x:c r="Y99" s="10" t="n">
        <x:f>IF(COUNT(X99,W99)=2,X99-W99,"")</x:f>
        <x:v>-9</x:v>
      </x:c>
      <x:c r="Z99" s="10" t="n">
        <x:v>0</x:v>
      </x:c>
      <x:c r="AA99" s="10" t="n">
        <x:f>IF(COUNT(AX99,AY99)=2,AX99+AY99,"")</x:f>
        <x:v>0</x:v>
      </x:c>
      <x:c r="AB99" s="10" t="n">
        <x:f>IF(COUNT(AA99,Z99)=2,AA99-Z99,"")</x:f>
        <x:v>0</x:v>
      </x:c>
      <x:c r="AC99" s="10" t="n">
        <x:v>150</x:v>
      </x:c>
      <x:c r="AD99" s="10" t="n">
        <x:v>80</x:v>
      </x:c>
      <x:c r="AE99" s="10" t="n">
        <x:f>IF(COUNT(AD99,AC99)=2,AD99-AC99,"")</x:f>
        <x:v>-70</x:v>
      </x:c>
      <x:c r="AF99" s="10" t="n">
        <x:v>107</x:v>
      </x:c>
      <x:c r="AG99" s="10" t="n">
        <x:v>62</x:v>
      </x:c>
      <x:c r="AH99" s="10" t="n">
        <x:f>IF(COUNT(AG99,AF99)=2,AG99-AF99,"")</x:f>
        <x:v>-45</x:v>
      </x:c>
      <x:c r="AI99" s="10" t="n">
        <x:v>39</x:v>
      </x:c>
      <x:c r="AJ99" s="10" t="n">
        <x:v>43</x:v>
      </x:c>
      <x:c r="AK99" s="10" t="n">
        <x:f>IF(COUNT(AJ99,AI99)=2,AJ99-AI99,"")</x:f>
        <x:v>4</x:v>
      </x:c>
      <x:c r="AL99" s="10" t="n">
        <x:v>22</x:v>
      </x:c>
      <x:c r="AM99" s="10" t="n">
        <x:v>22</x:v>
      </x:c>
      <x:c r="AN99" s="4" t="str">
        <x:v>C</x:v>
      </x:c>
      <x:c r="AO99" s="4" t="str">
        <x:v>RW</x:v>
      </x:c>
      <x:c r="AP99" s="4" t="str">
        <x:v>MIN</x:v>
      </x:c>
      <x:c r="AQ99" s="4" t="str">
        <x:v>MIN</x:v>
      </x:c>
      <x:c r="AR99" s="4" t="n">
        <x:v>14.96</x:v>
      </x:c>
      <x:c r="AS99" s="4" t="n">
        <x:v>13.3</x:v>
      </x:c>
      <x:c r="AT99" s="4" t="n">
        <x:v>1.96</x:v>
      </x:c>
      <x:c r="AU99" s="4" t="n">
        <x:v>15</x:v>
      </x:c>
      <x:c r="AV99" s="10" t="n">
        <x:v>1</x:v>
      </x:c>
      <x:c r="AW99" s="10" t="n">
        <x:v>2</x:v>
      </x:c>
      <x:c r="AX99" s="10" t="n">
        <x:v>0</x:v>
      </x:c>
      <x:c r="AY99" s="10" t="n">
        <x:v>0</x:v>
      </x:c>
      <x:c r="AZ99" s="10" t="n">
        <x:v>775</x:v>
      </x:c>
      <x:c r="BA99" s="10" t="n">
        <x:v>895</x:v>
      </x:c>
      <x:c r="BB99" s="4" t="n">
        <x:v>46.4</x:v>
      </x:c>
      <x:c r="BC99" s="4" t="n">
        <x:v>-2.5</x:v>
      </x:c>
      <x:c r="BD99" s="10" t="n">
        <x:v>578</x:v>
      </x:c>
      <x:c r="BE99" s="10" t="n">
        <x:v>634</x:v>
      </x:c>
      <x:c r="BF99" s="4" t="n">
        <x:v>47.7</x:v>
      </x:c>
      <x:c r="BG99" s="4" t="n">
        <x:v>-1.8</x:v>
      </x:c>
      <x:c r="BH99" s="4" t="n">
        <x:v>9.6</x:v>
      </x:c>
      <x:c r="BI99" s="4" t="n">
        <x:v>90</x:v>
      </x:c>
      <x:c r="BJ99" s="4" t="n">
        <x:v>99.7</x:v>
      </x:c>
      <x:c r="BK99" s="4" t="n">
        <x:v>54.8</x:v>
      </x:c>
      <x:c r="BL99" s="4" t="n">
        <x:v>45.2</x:v>
      </x:c>
      <x:c r="BM99" s="4" t="n">
        <x:v>13.3</x:v>
      </x:c>
      <x:c r="BN99" s="4" t="n">
        <x:v>12.433333333333334</x:v>
      </x:c>
      <x:c r="BO99" s="10" t="n">
        <x:v>16</x:v>
      </x:c>
      <x:c r="BP99" s="10" t="n">
        <x:v>45</x:v>
      </x:c>
      <x:c r="BQ99" s="4" t="n">
        <x:v>-3.6</x:v>
      </x:c>
      <x:c r="BR99" s="10" t="n">
        <x:v>171</x:v>
      </x:c>
      <x:c r="BS99" s="4" t="n">
        <x:v>46.8</x:v>
      </x:c>
      <x:c r="BT99" s="10" t="n">
        <x:v>73</x:v>
      </x:c>
      <x:c r="BU99" s="4" t="str">
        <x:v>MIN</x:v>
      </x:c>
      <x:c r="BV99" s="10" t="n">
        <x:v>249</x:v>
      </x:c>
      <x:c r="BW99" s="10" t="n">
        <x:v>371</x:v>
      </x:c>
      <x:c r="BX99" s="10" t="n">
        <x:v>1092</x:v>
      </x:c>
      <x:c r="BY99" s="4" t="str">
        <x:v>Danila Yurov</x:v>
      </x:c>
      <x:c r="BZ99" s="4" t="str">
        <x:v>Danila Yurov</x:v>
      </x:c>
      <x:c r="CA99" s="4" t="str">
        <x:v>Danila Yurov</x:v>
      </x:c>
      <x:c r="CB99" s="4" t="str">
        <x:v>yurovda01</x:v>
      </x:c>
    </x:row>
    <x:row r="100" ht="22" customHeight="1">
      <x:c r="A100" s="4" t="str">
        <x:v>Darnell Nurse</x:v>
      </x:c>
      <x:c r="B100" s="4" t="str">
        <x:v>darnellnurse</x:v>
      </x:c>
      <x:c r="C100" s="10" t="n">
        <x:v>1</x:v>
      </x:c>
      <x:c r="D100" s="10" t="n">
        <x:v>1</x:v>
      </x:c>
      <x:c r="E100" s="10" t="n">
        <x:v>1</x:v>
      </x:c>
      <x:c r="F100" s="4" t="n">
        <x:f>IF(COUNT(N100,Q100,T100,W100,Z100,AC100,AF100,AI100)=8,N100*Guide!$E$5+Q100*Guide!$E$6+T100*Guide!$E$7+W100*Guide!$E$8+Z100*Guide!$E$9+AC100*Guide!$E$10+AF100*Guide!$E$11+AI100*Guide!$E$12,"")</x:f>
        <x:v>314.75</x:v>
      </x:c>
      <x:c r="G100" s="4" t="n">
        <x:f>IF(COUNT(O100,R100,U100,X100,AA100,AD100,AG100,AJ100)=8,O100*Guide!$E$5+R100*Guide!$E$6+U100*Guide!$E$7+X100*Guide!$E$8+AA100*Guide!$E$9+AD100*Guide!$E$10+AG100*Guide!$E$11+AJ100*Guide!$E$12,"")</x:f>
        <x:v>272.75</x:v>
      </x:c>
      <x:c r="H100" s="4" t="n">
        <x:f>IF(COUNT(G100,F100)=2,G100-F100,"")</x:f>
        <x:v>-42</x:v>
      </x:c>
      <x:c r="I100" s="4" t="n">
        <x:f>IF(AND(ISNUMBER(F100),K100&gt;0),F100/K100,"")</x:f>
        <x:v>4.196666666666666</x:v>
      </x:c>
      <x:c r="J100" s="4" t="n">
        <x:f>IF(AND(ISNUMBER(G100),L100&gt;0),G100/L100,"")</x:f>
        <x:v>3.326219512195122</x:v>
      </x:c>
      <x:c r="K100" s="10" t="n">
        <x:v>75</x:v>
      </x:c>
      <x:c r="L100" s="10" t="n">
        <x:v>82</x:v>
      </x:c>
      <x:c r="M100" s="10" t="n">
        <x:f>IF(COUNT(L100,K100)=2,L100-K100,"")</x:f>
        <x:v>7</x:v>
      </x:c>
      <x:c r="N100" s="10" t="n">
        <x:v>8</x:v>
      </x:c>
      <x:c r="O100" s="10" t="n">
        <x:v>7</x:v>
      </x:c>
      <x:c r="P100" s="10" t="n">
        <x:f>IF(COUNT(O100,N100)=2,O100-N100,"")</x:f>
        <x:v>-1</x:v>
      </x:c>
      <x:c r="Q100" s="10" t="n">
        <x:v>27</x:v>
      </x:c>
      <x:c r="R100" s="10" t="n">
        <x:v>17</x:v>
      </x:c>
      <x:c r="S100" s="10" t="n">
        <x:f>IF(COUNT(R100,Q100)=2,R100-Q100,"")</x:f>
        <x:v>-10</x:v>
      </x:c>
      <x:c r="T100" s="10" t="n">
        <x:v>13</x:v>
      </x:c>
      <x:c r="U100" s="10" t="n">
        <x:v>-12</x:v>
      </x:c>
      <x:c r="V100" s="10" t="n">
        <x:f>IF(COUNT(U100,T100)=2,U100-T100,"")</x:f>
        <x:v>-25</x:v>
      </x:c>
      <x:c r="W100" s="10" t="n">
        <x:v>5</x:v>
      </x:c>
      <x:c r="X100" s="10" t="n">
        <x:f>IF(COUNT(AV100,AW100)=2,AV100+AW100,"")</x:f>
        <x:v>0</x:v>
      </x:c>
      <x:c r="Y100" s="10" t="n">
        <x:f>IF(COUNT(X100,W100)=2,X100-W100,"")</x:f>
        <x:v>-5</x:v>
      </x:c>
      <x:c r="Z100" s="10" t="n">
        <x:v>1</x:v>
      </x:c>
      <x:c r="AA100" s="10" t="n">
        <x:f>IF(COUNT(AX100,AY100)=2,AX100+AY100,"")</x:f>
        <x:v>2</x:v>
      </x:c>
      <x:c r="AB100" s="10" t="n">
        <x:f>IF(COUNT(AA100,Z100)=2,AA100-Z100,"")</x:f>
        <x:v>1</x:v>
      </x:c>
      <x:c r="AC100" s="10" t="n">
        <x:v>174</x:v>
      </x:c>
      <x:c r="AD100" s="10" t="n">
        <x:v>164</x:v>
      </x:c>
      <x:c r="AE100" s="10" t="n">
        <x:f>IF(COUNT(AD100,AC100)=2,AD100-AC100,"")</x:f>
        <x:v>-10</x:v>
      </x:c>
      <x:c r="AF100" s="10" t="n">
        <x:v>144</x:v>
      </x:c>
      <x:c r="AG100" s="10" t="n">
        <x:v>137</x:v>
      </x:c>
      <x:c r="AH100" s="10" t="n">
        <x:f>IF(COUNT(AG100,AF100)=2,AG100-AF100,"")</x:f>
        <x:v>-7</x:v>
      </x:c>
      <x:c r="AI100" s="10" t="n">
        <x:v>135</x:v>
      </x:c>
      <x:c r="AJ100" s="10" t="n">
        <x:v>166</x:v>
      </x:c>
      <x:c r="AK100" s="10" t="n">
        <x:f>IF(COUNT(AJ100,AI100)=2,AJ100-AI100,"")</x:f>
        <x:v>31</x:v>
      </x:c>
      <x:c r="AL100" s="10" t="n">
        <x:v>30</x:v>
      </x:c>
      <x:c r="AM100" s="10" t="n">
        <x:v>30</x:v>
      </x:c>
      <x:c r="AN100" s="4" t="str">
        <x:v>D</x:v>
      </x:c>
      <x:c r="AO100" s="4" t="str">
        <x:v>D</x:v>
      </x:c>
      <x:c r="AP100" s="4" t="str">
        <x:v>EDM</x:v>
      </x:c>
      <x:c r="AQ100" s="4" t="str">
        <x:v>EDM</x:v>
      </x:c>
      <x:c r="AR100" s="4" t="n">
        <x:v>22.449999999999996</x:v>
      </x:c>
      <x:c r="AS100" s="4" t="n">
        <x:v>20.966666666666665</x:v>
      </x:c>
      <x:c r="AT100" s="4" t="n">
        <x:v>1.04</x:v>
      </x:c>
      <x:c r="AU100" s="4" t="n">
        <x:v>4.3</x:v>
      </x:c>
      <x:c r="AV100" s="10" t="n">
        <x:v>0</x:v>
      </x:c>
      <x:c r="AW100" s="10" t="n">
        <x:v>0</x:v>
      </x:c>
      <x:c r="AX100" s="10" t="n">
        <x:v>0</x:v>
      </x:c>
      <x:c r="AY100" s="10" t="n">
        <x:v>2</x:v>
      </x:c>
      <x:c r="AZ100" s="10" t="n">
        <x:v>1457</x:v>
      </x:c>
      <x:c r="BA100" s="10" t="n">
        <x:v>1592</x:v>
      </x:c>
      <x:c r="BB100" s="4" t="n">
        <x:v>47.8</x:v>
      </x:c>
      <x:c r="BC100" s="4" t="n">
        <x:v>-4.2</x:v>
      </x:c>
      <x:c r="BD100" s="10" t="n">
        <x:v>1071</x:v>
      </x:c>
      <x:c r="BE100" s="10" t="n">
        <x:v>1130</x:v>
      </x:c>
      <x:c r="BF100" s="4" t="n">
        <x:v>48.7</x:v>
      </x:c>
      <x:c r="BG100" s="4" t="n">
        <x:v>-3.9</x:v>
      </x:c>
      <x:c r="BH100" s="4" t="n">
        <x:v>8.5</x:v>
      </x:c>
      <x:c r="BI100" s="4" t="n">
        <x:v>89.3</x:v>
      </x:c>
      <x:c r="BJ100" s="4" t="n">
        <x:v>97.8</x:v>
      </x:c>
      <x:c r="BK100" s="4" t="n">
        <x:v>52.3</x:v>
      </x:c>
      <x:c r="BL100" s="4" t="n">
        <x:v>47.7</x:v>
      </x:c>
      <x:c r="BM100" s="4" t="n">
        <x:v>20.966666666666665</x:v>
      </x:c>
      <x:c r="BN100" s="4" t="n">
        <x:v>19.233333333333334</x:v>
      </x:c>
      <x:c r="BO100" s="10" t="n">
        <x:v>19</x:v>
      </x:c>
      <x:c r="BP100" s="10" t="n">
        <x:v>88</x:v>
      </x:c>
      <x:c r="BQ100" s="4" t="n">
        <x:v>-0.2</x:v>
      </x:c>
      <x:c r="BR100" s="10" t="n">
        <x:v>354</x:v>
      </x:c>
      <x:c r="BS100" s="4" t="n">
        <x:v>46.3</x:v>
      </x:c>
      <x:c r="BT100" s="10" t="n">
        <x:v>82</x:v>
      </x:c>
      <x:c r="BU100" s="4" t="str">
        <x:v>EDM</x:v>
      </x:c>
      <x:c r="BV100" s="10" t="n">
        <x:v>301</x:v>
      </x:c>
      <x:c r="BW100" s="10" t="n">
        <x:v>411</x:v>
      </x:c>
      <x:c r="BX100" s="10" t="n">
        <x:v>747</x:v>
      </x:c>
      <x:c r="BY100" s="4" t="str">
        <x:v>Darnell Nurse</x:v>
      </x:c>
      <x:c r="BZ100" s="4" t="str">
        <x:v>Darnell Nurse</x:v>
      </x:c>
      <x:c r="CA100" s="4" t="str">
        <x:v>Darnell Nurse</x:v>
      </x:c>
      <x:c r="CB100" s="4" t="str">
        <x:v>nurseda01</x:v>
      </x:c>
    </x:row>
    <x:row r="101" ht="22" customHeight="1">
      <x:c r="A101" s="4" t="str">
        <x:v>Darren Raddysh</x:v>
      </x:c>
      <x:c r="B101" s="4" t="str">
        <x:v>darrenraddysh</x:v>
      </x:c>
      <x:c r="C101" s="10" t="n">
        <x:v>1</x:v>
      </x:c>
      <x:c r="D101" s="10" t="n">
        <x:v>1</x:v>
      </x:c>
      <x:c r="E101" s="10" t="n">
        <x:v>1</x:v>
      </x:c>
      <x:c r="F101" s="4" t="n">
        <x:f>IF(COUNT(N101,Q101,T101,W101,Z101,AC101,AF101,AI101)=8,N101*Guide!$E$5+Q101*Guide!$E$6+T101*Guide!$E$7+W101*Guide!$E$8+Z101*Guide!$E$9+AC101*Guide!$E$10+AF101*Guide!$E$11+AI101*Guide!$E$12,"")</x:f>
        <x:v>214</x:v>
      </x:c>
      <x:c r="G101" s="4" t="n">
        <x:f>IF(COUNT(O101,R101,U101,X101,AA101,AD101,AG101,AJ101)=8,O101*Guide!$E$5+R101*Guide!$E$6+U101*Guide!$E$7+X101*Guide!$E$8+AA101*Guide!$E$9+AD101*Guide!$E$10+AG101*Guide!$E$11+AJ101*Guide!$E$12,"")</x:f>
        <x:v>400.5</x:v>
      </x:c>
      <x:c r="H101" s="4" t="n">
        <x:f>IF(COUNT(G101,F101)=2,G101-F101,"")</x:f>
        <x:v>186.5</x:v>
      </x:c>
      <x:c r="I101" s="4" t="n">
        <x:f>IF(AND(ISNUMBER(F101),K101&gt;0),F101/K101,"")</x:f>
        <x:v>2.8157894736842106</x:v>
      </x:c>
      <x:c r="J101" s="4" t="n">
        <x:f>IF(AND(ISNUMBER(G101),L101&gt;0),G101/L101,"")</x:f>
        <x:v>5.486301369863014</x:v>
      </x:c>
      <x:c r="K101" s="10" t="n">
        <x:v>76</x:v>
      </x:c>
      <x:c r="L101" s="10" t="n">
        <x:v>73</x:v>
      </x:c>
      <x:c r="M101" s="10" t="n">
        <x:f>IF(COUNT(L101,K101)=2,L101-K101,"")</x:f>
        <x:v>-3</x:v>
      </x:c>
      <x:c r="N101" s="10" t="n">
        <x:v>6</x:v>
      </x:c>
      <x:c r="O101" s="10" t="n">
        <x:v>22</x:v>
      </x:c>
      <x:c r="P101" s="10" t="n">
        <x:f>IF(COUNT(O101,N101)=2,O101-N101,"")</x:f>
        <x:v>16</x:v>
      </x:c>
      <x:c r="Q101" s="10" t="n">
        <x:v>26</x:v>
      </x:c>
      <x:c r="R101" s="10" t="n">
        <x:v>48</x:v>
      </x:c>
      <x:c r="S101" s="10" t="n">
        <x:f>IF(COUNT(R101,Q101)=2,R101-Q101,"")</x:f>
        <x:v>22</x:v>
      </x:c>
      <x:c r="T101" s="10" t="n">
        <x:v>4</x:v>
      </x:c>
      <x:c r="U101" s="10" t="n">
        <x:v>21</x:v>
      </x:c>
      <x:c r="V101" s="10" t="n">
        <x:f>IF(COUNT(U101,T101)=2,U101-T101,"")</x:f>
        <x:v>17</x:v>
      </x:c>
      <x:c r="W101" s="10" t="n">
        <x:v>10</x:v>
      </x:c>
      <x:c r="X101" s="10" t="n">
        <x:f>IF(COUNT(AV101,AW101)=2,AV101+AW101,"")</x:f>
        <x:v>26</x:v>
      </x:c>
      <x:c r="Y101" s="10" t="n">
        <x:f>IF(COUNT(X101,W101)=2,X101-W101,"")</x:f>
        <x:v>16</x:v>
      </x:c>
      <x:c r="Z101" s="10" t="n">
        <x:v>0</x:v>
      </x:c>
      <x:c r="AA101" s="10" t="n">
        <x:f>IF(COUNT(AX101,AY101)=2,AX101+AY101,"")</x:f>
        <x:v>0</x:v>
      </x:c>
      <x:c r="AB101" s="10" t="n">
        <x:f>IF(COUNT(AA101,Z101)=2,AA101-Z101,"")</x:f>
        <x:v>0</x:v>
      </x:c>
      <x:c r="AC101" s="10" t="n">
        <x:v>108</x:v>
      </x:c>
      <x:c r="AD101" s="10" t="n">
        <x:v>212</x:v>
      </x:c>
      <x:c r="AE101" s="10" t="n">
        <x:f>IF(COUNT(AD101,AC101)=2,AD101-AC101,"")</x:f>
        <x:v>104</x:v>
      </x:c>
      <x:c r="AF101" s="10" t="n">
        <x:v>47</x:v>
      </x:c>
      <x:c r="AG101" s="10" t="n">
        <x:v>67</x:v>
      </x:c>
      <x:c r="AH101" s="10" t="n">
        <x:f>IF(COUNT(AG101,AF101)=2,AG101-AF101,"")</x:f>
        <x:v>20</x:v>
      </x:c>
      <x:c r="AI101" s="10" t="n">
        <x:v>79</x:v>
      </x:c>
      <x:c r="AJ101" s="10" t="n">
        <x:v>69</x:v>
      </x:c>
      <x:c r="AK101" s="10" t="n">
        <x:f>IF(COUNT(AJ101,AI101)=2,AJ101-AI101,"")</x:f>
        <x:v>-10</x:v>
      </x:c>
      <x:c r="AL101" s="10" t="n">
        <x:v>29</x:v>
      </x:c>
      <x:c r="AM101" s="10" t="n">
        <x:v>29</x:v>
      </x:c>
      <x:c r="AN101" s="4" t="str">
        <x:v>D</x:v>
      </x:c>
      <x:c r="AO101" s="4" t="str">
        <x:v>D</x:v>
      </x:c>
      <x:c r="AP101" s="4" t="str">
        <x:v>TB</x:v>
      </x:c>
      <x:c r="AQ101" s="4" t="str">
        <x:v>TBL</x:v>
      </x:c>
      <x:c r="AR101" s="4" t="n">
        <x:v>17.62</x:v>
      </x:c>
      <x:c r="AS101" s="4" t="n">
        <x:v>22.7</x:v>
      </x:c>
      <x:c r="AT101" s="4" t="n">
        <x:v>1.61</x:v>
      </x:c>
      <x:c r="AU101" s="4" t="n">
        <x:v>10.4</x:v>
      </x:c>
      <x:c r="AV101" s="10" t="n">
        <x:v>10</x:v>
      </x:c>
      <x:c r="AW101" s="10" t="n">
        <x:v>16</x:v>
      </x:c>
      <x:c r="AX101" s="10" t="n">
        <x:v>0</x:v>
      </x:c>
      <x:c r="AY101" s="10" t="n">
        <x:v>0</x:v>
      </x:c>
      <x:c r="AZ101" s="10" t="n">
        <x:v>1521</x:v>
      </x:c>
      <x:c r="BA101" s="10" t="n">
        <x:v>1146</x:v>
      </x:c>
      <x:c r="BB101" s="4" t="n">
        <x:v>57</x:v>
      </x:c>
      <x:c r="BC101" s="4" t="n">
        <x:v>5.3</x:v>
      </x:c>
      <x:c r="BD101" s="10" t="n">
        <x:v>1117</x:v>
      </x:c>
      <x:c r="BE101" s="10" t="n">
        <x:v>867</x:v>
      </x:c>
      <x:c r="BF101" s="4" t="n">
        <x:v>56.3</x:v>
      </x:c>
      <x:c r="BG101" s="4" t="n">
        <x:v>5.5</x:v>
      </x:c>
      <x:c r="BH101" s="4" t="n">
        <x:v>12.4</x:v>
      </x:c>
      <x:c r="BI101" s="4" t="n">
        <x:v>89.1</x:v>
      </x:c>
      <x:c r="BJ101" s="4" t="n">
        <x:v>101.5</x:v>
      </x:c>
      <x:c r="BK101" s="4" t="n">
        <x:v>54.5</x:v>
      </x:c>
      <x:c r="BL101" s="4" t="n">
        <x:v>45.5</x:v>
      </x:c>
      <x:c r="BM101" s="4" t="n">
        <x:v>22.7</x:v>
      </x:c>
      <x:c r="BN101" s="4" t="n">
        <x:v>18.166666666666668</x:v>
      </x:c>
      <x:c r="BO101" s="10" t="n">
        <x:v>14</x:v>
      </x:c>
      <x:c r="BP101" s="10" t="n">
        <x:v>73</x:v>
      </x:c>
      <x:c r="BQ101" s="4" t="n">
        <x:v>15.4</x:v>
      </x:c>
      <x:c r="BR101" s="10" t="n">
        <x:v>459</x:v>
      </x:c>
      <x:c r="BS101" s="4" t="n">
        <x:v>46.2</x:v>
      </x:c>
      <x:c r="BT101" s="10" t="n">
        <x:v>73</x:v>
      </x:c>
      <x:c r="BU101" s="4" t="str">
        <x:v>TBL</x:v>
      </x:c>
      <x:c r="BV101" s="10" t="n">
        <x:v>341</x:v>
      </x:c>
      <x:c r="BW101" s="10" t="n">
        <x:v>57</x:v>
      </x:c>
      <x:c r="BX101" s="10" t="n">
        <x:v>838</x:v>
      </x:c>
      <x:c r="BY101" s="4" t="str">
        <x:v>Darren Raddysh</x:v>
      </x:c>
      <x:c r="BZ101" s="4" t="str">
        <x:v>Darren Raddysh</x:v>
      </x:c>
      <x:c r="CA101" s="4" t="str">
        <x:v>Darren Raddysh</x:v>
      </x:c>
      <x:c r="CB101" s="4" t="str">
        <x:v>raddyda01</x:v>
      </x:c>
    </x:row>
    <x:row r="102" ht="22" customHeight="1">
      <x:c r="A102" s="4" t="str">
        <x:v>David Pastrňák</x:v>
      </x:c>
      <x:c r="B102" s="4" t="str">
        <x:v>davidpastrnak</x:v>
      </x:c>
      <x:c r="C102" s="10" t="n">
        <x:v>1</x:v>
      </x:c>
      <x:c r="D102" s="10" t="n">
        <x:v>1</x:v>
      </x:c>
      <x:c r="E102" s="10" t="n">
        <x:v>1</x:v>
      </x:c>
      <x:c r="F102" s="4" t="n">
        <x:f>IF(COUNT(N102,Q102,T102,W102,Z102,AC102,AF102,AI102)=8,N102*Guide!$E$5+Q102*Guide!$E$6+T102*Guide!$E$7+W102*Guide!$E$8+Z102*Guide!$E$9+AC102*Guide!$E$10+AF102*Guide!$E$11+AI102*Guide!$E$12,"")</x:f>
        <x:v>496.5</x:v>
      </x:c>
      <x:c r="G102" s="4" t="n">
        <x:f>IF(COUNT(O102,R102,U102,X102,AA102,AD102,AG102,AJ102)=8,O102*Guide!$E$5+R102*Guide!$E$6+U102*Guide!$E$7+X102*Guide!$E$8+AA102*Guide!$E$9+AD102*Guide!$E$10+AG102*Guide!$E$11+AJ102*Guide!$E$12,"")</x:f>
        <x:v>476.75</x:v>
      </x:c>
      <x:c r="H102" s="4" t="n">
        <x:f>IF(COUNT(G102,F102)=2,G102-F102,"")</x:f>
        <x:v>-19.75</x:v>
      </x:c>
      <x:c r="I102" s="4" t="n">
        <x:f>IF(AND(ISNUMBER(F102),K102&gt;0),F102/K102,"")</x:f>
        <x:v>6.054878048780488</x:v>
      </x:c>
      <x:c r="J102" s="4" t="n">
        <x:f>IF(AND(ISNUMBER(G102),L102&gt;0),G102/L102,"")</x:f>
        <x:v>6.191558441558442</x:v>
      </x:c>
      <x:c r="K102" s="10" t="n">
        <x:v>82</x:v>
      </x:c>
      <x:c r="L102" s="10" t="n">
        <x:v>77</x:v>
      </x:c>
      <x:c r="M102" s="10" t="n">
        <x:f>IF(COUNT(L102,K102)=2,L102-K102,"")</x:f>
        <x:v>-5</x:v>
      </x:c>
      <x:c r="N102" s="10" t="n">
        <x:v>45</x:v>
      </x:c>
      <x:c r="O102" s="10" t="n">
        <x:v>29</x:v>
      </x:c>
      <x:c r="P102" s="10" t="n">
        <x:f>IF(COUNT(O102,N102)=2,O102-N102,"")</x:f>
        <x:v>-16</x:v>
      </x:c>
      <x:c r="Q102" s="10" t="n">
        <x:v>54</x:v>
      </x:c>
      <x:c r="R102" s="10" t="n">
        <x:v>71</x:v>
      </x:c>
      <x:c r="S102" s="10" t="n">
        <x:f>IF(COUNT(R102,Q102)=2,R102-Q102,"")</x:f>
        <x:v>17</x:v>
      </x:c>
      <x:c r="T102" s="10" t="n">
        <x:v>11</x:v>
      </x:c>
      <x:c r="U102" s="10" t="n">
        <x:v>4</x:v>
      </x:c>
      <x:c r="V102" s="10" t="n">
        <x:f>IF(COUNT(U102,T102)=2,U102-T102,"")</x:f>
        <x:v>-7</x:v>
      </x:c>
      <x:c r="W102" s="10" t="n">
        <x:v>29</x:v>
      </x:c>
      <x:c r="X102" s="10" t="n">
        <x:f>IF(COUNT(AV102,AW102)=2,AV102+AW102,"")</x:f>
        <x:v>33</x:v>
      </x:c>
      <x:c r="Y102" s="10" t="n">
        <x:f>IF(COUNT(X102,W102)=2,X102-W102,"")</x:f>
        <x:v>4</x:v>
      </x:c>
      <x:c r="Z102" s="10" t="n">
        <x:v>0</x:v>
      </x:c>
      <x:c r="AA102" s="10" t="n">
        <x:f>IF(COUNT(AX102,AY102)=2,AX102+AY102,"")</x:f>
        <x:v>0</x:v>
      </x:c>
      <x:c r="AB102" s="10" t="n">
        <x:f>IF(COUNT(AA102,Z102)=2,AA102-Z102,"")</x:f>
        <x:v>0</x:v>
      </x:c>
      <x:c r="AC102" s="10" t="n">
        <x:v>315</x:v>
      </x:c>
      <x:c r="AD102" s="10" t="n">
        <x:v>261</x:v>
      </x:c>
      <x:c r="AE102" s="10" t="n">
        <x:f>IF(COUNT(AD102,AC102)=2,AD102-AC102,"")</x:f>
        <x:v>-54</x:v>
      </x:c>
      <x:c r="AF102" s="10" t="n">
        <x:v>65</x:v>
      </x:c>
      <x:c r="AG102" s="10" t="n">
        <x:v>86</x:v>
      </x:c>
      <x:c r="AH102" s="10" t="n">
        <x:f>IF(COUNT(AG102,AF102)=2,AG102-AF102,"")</x:f>
        <x:v>21</x:v>
      </x:c>
      <x:c r="AI102" s="10" t="n">
        <x:v>26</x:v>
      </x:c>
      <x:c r="AJ102" s="10" t="n">
        <x:v>32</x:v>
      </x:c>
      <x:c r="AK102" s="10" t="n">
        <x:f>IF(COUNT(AJ102,AI102)=2,AJ102-AI102,"")</x:f>
        <x:v>6</x:v>
      </x:c>
      <x:c r="AL102" s="10" t="n">
        <x:v>29</x:v>
      </x:c>
      <x:c r="AM102" s="10" t="n">
        <x:v>29</x:v>
      </x:c>
      <x:c r="AN102" s="4" t="str">
        <x:v>RW</x:v>
      </x:c>
      <x:c r="AO102" s="4" t="str">
        <x:v>RW</x:v>
      </x:c>
      <x:c r="AP102" s="4" t="str">
        <x:v>BOS</x:v>
      </x:c>
      <x:c r="AQ102" s="4" t="str">
        <x:v>BOS</x:v>
      </x:c>
      <x:c r="AR102" s="4" t="n">
        <x:v>19.82</x:v>
      </x:c>
      <x:c r="AS102" s="4" t="n">
        <x:v>20.65</x:v>
      </x:c>
      <x:c r="AT102" s="4" t="n">
        <x:v>3.3</x:v>
      </x:c>
      <x:c r="AU102" s="4" t="n">
        <x:v>11.1</x:v>
      </x:c>
      <x:c r="AV102" s="10" t="n">
        <x:v>10</x:v>
      </x:c>
      <x:c r="AW102" s="10" t="n">
        <x:v>23</x:v>
      </x:c>
      <x:c r="AX102" s="10" t="n">
        <x:v>0</x:v>
      </x:c>
      <x:c r="AY102" s="10" t="n">
        <x:v>0</x:v>
      </x:c>
      <x:c r="AZ102" s="10" t="n">
        <x:v>1230</x:v>
      </x:c>
      <x:c r="BA102" s="10" t="n">
        <x:v>1293</x:v>
      </x:c>
      <x:c r="BB102" s="4" t="n">
        <x:v>48.8</x:v>
      </x:c>
      <x:c r="BC102" s="4" t="n">
        <x:v>-0.2</x:v>
      </x:c>
      <x:c r="BD102" s="10" t="n">
        <x:v>874</x:v>
      </x:c>
      <x:c r="BE102" s="10" t="n">
        <x:v>936</x:v>
      </x:c>
      <x:c r="BF102" s="4" t="n">
        <x:v>48.3</x:v>
      </x:c>
      <x:c r="BG102" s="4" t="n">
        <x:v>-1.3</x:v>
      </x:c>
      <x:c r="BH102" s="4" t="n">
        <x:v>14.1</x:v>
      </x:c>
      <x:c r="BI102" s="4" t="n">
        <x:v>88.5</x:v>
      </x:c>
      <x:c r="BJ102" s="4" t="n">
        <x:v>102.6</x:v>
      </x:c>
      <x:c r="BK102" s="4" t="n">
        <x:v>55.6</x:v>
      </x:c>
      <x:c r="BL102" s="4" t="n">
        <x:v>44.4</x:v>
      </x:c>
      <x:c r="BM102" s="4" t="n">
        <x:v>20.65</x:v>
      </x:c>
      <x:c r="BN102" s="4" t="n">
        <x:v>16.966666666666665</x:v>
      </x:c>
      <x:c r="BO102" s="10" t="n">
        <x:v>32</x:v>
      </x:c>
      <x:c r="BP102" s="10" t="n">
        <x:v>134</x:v>
      </x:c>
      <x:c r="BQ102" s="4" t="n">
        <x:v>-2.7</x:v>
      </x:c>
      <x:c r="BR102" s="10" t="n">
        <x:v>562</x:v>
      </x:c>
      <x:c r="BS102" s="4" t="n">
        <x:v>46.4</x:v>
      </x:c>
      <x:c r="BT102" s="10" t="n">
        <x:v>77</x:v>
      </x:c>
      <x:c r="BU102" s="4" t="str">
        <x:v>BOS</x:v>
      </x:c>
      <x:c r="BV102" s="10" t="n">
        <x:v>6</x:v>
      </x:c>
      <x:c r="BW102" s="10" t="n">
        <x:v>10</x:v>
      </x:c>
      <x:c r="BX102" s="10" t="n">
        <x:v>786</x:v>
      </x:c>
      <x:c r="BY102" s="4" t="str">
        <x:v>David Pastrnak</x:v>
      </x:c>
      <x:c r="BZ102" s="4" t="str">
        <x:v>David Pastrňák</x:v>
      </x:c>
      <x:c r="CA102" s="4" t="str">
        <x:v>David Pastrňák</x:v>
      </x:c>
      <x:c r="CB102" s="4" t="str">
        <x:v>pastrda01</x:v>
      </x:c>
    </x:row>
    <x:row r="103" ht="22" customHeight="1">
      <x:c r="A103" s="4" t="str">
        <x:v>David Perron</x:v>
      </x:c>
      <x:c r="B103" s="4" t="str">
        <x:v>davidperron</x:v>
      </x:c>
      <x:c r="C103" s="10" t="n">
        <x:v>1</x:v>
      </x:c>
      <x:c r="D103" s="10" t="n">
        <x:v>1</x:v>
      </x:c>
      <x:c r="E103" s="10" t="n">
        <x:v>1</x:v>
      </x:c>
      <x:c r="F103" s="4" t="n">
        <x:f>IF(COUNT(N103,Q103,T103,W103,Z103,AC103,AF103,AI103)=8,N103*Guide!$E$5+Q103*Guide!$E$6+T103*Guide!$E$7+W103*Guide!$E$8+Z103*Guide!$E$9+AC103*Guide!$E$10+AF103*Guide!$E$11+AI103*Guide!$E$12,"")</x:f>
        <x:v>188.75</x:v>
      </x:c>
      <x:c r="G103" s="4" t="n">
        <x:f>IF(COUNT(O103,R103,U103,X103,AA103,AD103,AG103,AJ103)=8,O103*Guide!$E$5+R103*Guide!$E$6+U103*Guide!$E$7+X103*Guide!$E$8+AA103*Guide!$E$9+AD103*Guide!$E$10+AG103*Guide!$E$11+AJ103*Guide!$E$12,"")</x:f>
        <x:v>161</x:v>
      </x:c>
      <x:c r="H103" s="4" t="n">
        <x:f>IF(COUNT(G103,F103)=2,G103-F103,"")</x:f>
        <x:v>-27.75</x:v>
      </x:c>
      <x:c r="I103" s="4" t="n">
        <x:f>IF(AND(ISNUMBER(F103),K103&gt;0),F103/K103,"")</x:f>
        <x:v>2.6215277777777777</x:v>
      </x:c>
      <x:c r="J103" s="4" t="n">
        <x:f>IF(AND(ISNUMBER(G103),L103&gt;0),G103/L103,"")</x:f>
        <x:v>2.476923076923077</x:v>
      </x:c>
      <x:c r="K103" s="10" t="n">
        <x:v>72</x:v>
      </x:c>
      <x:c r="L103" s="10" t="n">
        <x:v>65</x:v>
      </x:c>
      <x:c r="M103" s="10" t="n">
        <x:f>IF(COUNT(L103,K103)=2,L103-K103,"")</x:f>
        <x:v>-7</x:v>
      </x:c>
      <x:c r="N103" s="10" t="n">
        <x:v>14</x:v>
      </x:c>
      <x:c r="O103" s="10" t="n">
        <x:v>13</x:v>
      </x:c>
      <x:c r="P103" s="10" t="n">
        <x:f>IF(COUNT(O103,N103)=2,O103-N103,"")</x:f>
        <x:v>-1</x:v>
      </x:c>
      <x:c r="Q103" s="10" t="n">
        <x:v>19</x:v>
      </x:c>
      <x:c r="R103" s="10" t="n">
        <x:v>15</x:v>
      </x:c>
      <x:c r="S103" s="10" t="n">
        <x:f>IF(COUNT(R103,Q103)=2,R103-Q103,"")</x:f>
        <x:v>-4</x:v>
      </x:c>
      <x:c r="T103" s="10" t="n">
        <x:v>-4</x:v>
      </x:c>
      <x:c r="U103" s="10" t="n">
        <x:v>-7</x:v>
      </x:c>
      <x:c r="V103" s="10" t="n">
        <x:f>IF(COUNT(U103,T103)=2,U103-T103,"")</x:f>
        <x:v>-3</x:v>
      </x:c>
      <x:c r="W103" s="10" t="n">
        <x:v>10</x:v>
      </x:c>
      <x:c r="X103" s="10" t="n">
        <x:f>IF(COUNT(AV103,AW103)=2,AV103+AW103,"")</x:f>
        <x:v>8</x:v>
      </x:c>
      <x:c r="Y103" s="10" t="n">
        <x:f>IF(COUNT(X103,W103)=2,X103-W103,"")</x:f>
        <x:v>-2</x:v>
      </x:c>
      <x:c r="Z103" s="10" t="n">
        <x:v>0</x:v>
      </x:c>
      <x:c r="AA103" s="10" t="n">
        <x:f>IF(COUNT(AX103,AY103)=2,AX103+AY103,"")</x:f>
        <x:v>0</x:v>
      </x:c>
      <x:c r="AB103" s="10" t="n">
        <x:f>IF(COUNT(AA103,Z103)=2,AA103-Z103,"")</x:f>
        <x:v>0</x:v>
      </x:c>
      <x:c r="AC103" s="10" t="n">
        <x:v>111</x:v>
      </x:c>
      <x:c r="AD103" s="10" t="n">
        <x:v>93</x:v>
      </x:c>
      <x:c r="AE103" s="10" t="n">
        <x:f>IF(COUNT(AD103,AC103)=2,AD103-AC103,"")</x:f>
        <x:v>-18</x:v>
      </x:c>
      <x:c r="AF103" s="10" t="n">
        <x:v>108</x:v>
      </x:c>
      <x:c r="AG103" s="10" t="n">
        <x:v>90</x:v>
      </x:c>
      <x:c r="AH103" s="10" t="n">
        <x:f>IF(COUNT(AG103,AF103)=2,AG103-AF103,"")</x:f>
        <x:v>-18</x:v>
      </x:c>
      <x:c r="AI103" s="10" t="n">
        <x:v>20</x:v>
      </x:c>
      <x:c r="AJ103" s="10" t="n">
        <x:v>23</x:v>
      </x:c>
      <x:c r="AK103" s="10" t="n">
        <x:f>IF(COUNT(AJ103,AI103)=2,AJ103-AI103,"")</x:f>
        <x:v>3</x:v>
      </x:c>
      <x:c r="AL103" s="10" t="n">
        <x:v>37</x:v>
      </x:c>
      <x:c r="AM103" s="10" t="n">
        <x:v>37</x:v>
      </x:c>
      <x:c r="AN103" s="4" t="str">
        <x:v>LW,RW</x:v>
      </x:c>
      <x:c r="AO103" s="4" t="str">
        <x:v>LW</x:v>
      </x:c>
      <x:c r="AP103" s="4" t="str">
        <x:v>OTT</x:v>
      </x:c>
      <x:c r="AQ103" s="4" t="str">
        <x:v>2TM</x:v>
      </x:c>
      <x:c r="AR103" s="4" t="n">
        <x:v>13.959999999999999</x:v>
      </x:c>
      <x:c r="AS103" s="4" t="n">
        <x:v>13.566666666666666</x:v>
      </x:c>
      <x:c r="AT103" s="4" t="n">
        <x:v>2.02</x:v>
      </x:c>
      <x:c r="AU103" s="4" t="n">
        <x:v>14</x:v>
      </x:c>
      <x:c r="AV103" s="10" t="n">
        <x:v>3</x:v>
      </x:c>
      <x:c r="AW103" s="10" t="n">
        <x:v>5</x:v>
      </x:c>
      <x:c r="AX103" s="10" t="n">
        <x:v>0</x:v>
      </x:c>
      <x:c r="AY103" s="10" t="n">
        <x:v>0</x:v>
      </x:c>
      <x:c r="AZ103" s="10" t="n">
        <x:v>676</x:v>
      </x:c>
      <x:c r="BA103" s="10" t="n">
        <x:v>638</x:v>
      </x:c>
      <x:c r="BB103" s="4" t="n">
        <x:v>51.4</x:v>
      </x:c>
      <x:c r="BC103" s="4" t="n">
        <x:v>-1.1</x:v>
      </x:c>
      <x:c r="BD103" s="10" t="n">
        <x:v>505</x:v>
      </x:c>
      <x:c r="BE103" s="10" t="n">
        <x:v>441</x:v>
      </x:c>
      <x:c r="BF103" s="4" t="n">
        <x:v>53.4</x:v>
      </x:c>
      <x:c r="BG103" s="4" t="n">
        <x:v>0.9</x:v>
      </x:c>
      <x:c r="BH103" s="4" t="n">
        <x:v>10</x:v>
      </x:c>
      <x:c r="BI103" s="4" t="n">
        <x:v>87.5</x:v>
      </x:c>
      <x:c r="BJ103" s="4" t="n">
        <x:v>97.6</x:v>
      </x:c>
      <x:c r="BK103" s="4" t="n">
        <x:v>55.2</x:v>
      </x:c>
      <x:c r="BL103" s="4" t="n">
        <x:v>44.8</x:v>
      </x:c>
      <x:c r="BM103" s="4" t="n">
        <x:v>13.566666666666666</x:v>
      </x:c>
      <x:c r="BN103" s="4" t="n">
        <x:v>11.666666666666666</x:v>
      </x:c>
      <x:c r="BO103" s="10" t="n">
        <x:v>14</x:v>
      </x:c>
      <x:c r="BP103" s="10" t="n">
        <x:v>36</x:v>
      </x:c>
      <x:c r="BQ103" s="4" t="n">
        <x:v>5.4</x:v>
      </x:c>
      <x:c r="BR103" s="10" t="n">
        <x:v>163</x:v>
      </x:c>
      <x:c r="BS103" s="4" t="n">
        <x:v>57.1</x:v>
      </x:c>
      <x:c r="BT103" s="10" t="n">
        <x:v>65</x:v>
      </x:c>
      <x:c r="BU103" s="4" t="str">
        <x:v>TOT</x:v>
      </x:c>
      <x:c r="BV103" s="10" t="n">
        <x:v>328</x:v>
      </x:c>
      <x:c r="BW103" s="10" t="n">
        <x:v>356</x:v>
      </x:c>
      <x:c r="BX103" s="10" t="n">
        <x:v>798</x:v>
      </x:c>
      <x:c r="BY103" s="4" t="str">
        <x:v>David Perron</x:v>
      </x:c>
      <x:c r="BZ103" s="4" t="str">
        <x:v>David Perron</x:v>
      </x:c>
      <x:c r="CA103" s="4" t="str">
        <x:v>David Perron</x:v>
      </x:c>
      <x:c r="CB103" s="4" t="str">
        <x:v>perroda01</x:v>
      </x:c>
    </x:row>
    <x:row r="104" ht="22" customHeight="1">
      <x:c r="A104" s="4" t="str">
        <x:v>Dawson Mercer</x:v>
      </x:c>
      <x:c r="B104" s="4" t="str">
        <x:v>dawsonmercer</x:v>
      </x:c>
      <x:c r="C104" s="10" t="n">
        <x:v>1</x:v>
      </x:c>
      <x:c r="D104" s="10" t="n">
        <x:v>1</x:v>
      </x:c>
      <x:c r="E104" s="10" t="n">
        <x:v>1</x:v>
      </x:c>
      <x:c r="F104" s="4" t="n">
        <x:f>IF(COUNT(N104,Q104,T104,W104,Z104,AC104,AF104,AI104)=8,N104*Guide!$E$5+Q104*Guide!$E$6+T104*Guide!$E$7+W104*Guide!$E$8+Z104*Guide!$E$9+AC104*Guide!$E$10+AF104*Guide!$E$11+AI104*Guide!$E$12,"")</x:f>
        <x:v>266</x:v>
      </x:c>
      <x:c r="G104" s="4" t="n">
        <x:f>IF(COUNT(O104,R104,U104,X104,AA104,AD104,AG104,AJ104)=8,O104*Guide!$E$5+R104*Guide!$E$6+U104*Guide!$E$7+X104*Guide!$E$8+AA104*Guide!$E$9+AD104*Guide!$E$10+AG104*Guide!$E$11+AJ104*Guide!$E$12,"")</x:f>
        <x:v>243</x:v>
      </x:c>
      <x:c r="H104" s="4" t="n">
        <x:f>IF(COUNT(G104,F104)=2,G104-F104,"")</x:f>
        <x:v>-23</x:v>
      </x:c>
      <x:c r="I104" s="4" t="n">
        <x:f>IF(AND(ISNUMBER(F104),K104&gt;0),F104/K104,"")</x:f>
        <x:v>3.2439024390243905</x:v>
      </x:c>
      <x:c r="J104" s="4" t="n">
        <x:f>IF(AND(ISNUMBER(G104),L104&gt;0),G104/L104,"")</x:f>
        <x:v>2.9634146341463414</x:v>
      </x:c>
      <x:c r="K104" s="10" t="n">
        <x:v>82</x:v>
      </x:c>
      <x:c r="L104" s="10" t="n">
        <x:v>82</x:v>
      </x:c>
      <x:c r="M104" s="10" t="n">
        <x:f>IF(COUNT(L104,K104)=2,L104-K104,"")</x:f>
        <x:v>0</x:v>
      </x:c>
      <x:c r="N104" s="10" t="n">
        <x:v>24</x:v>
      </x:c>
      <x:c r="O104" s="10" t="n">
        <x:v>20</x:v>
      </x:c>
      <x:c r="P104" s="10" t="n">
        <x:f>IF(COUNT(O104,N104)=2,O104-N104,"")</x:f>
        <x:v>-4</x:v>
      </x:c>
      <x:c r="Q104" s="10" t="n">
        <x:v>22</x:v>
      </x:c>
      <x:c r="R104" s="10" t="n">
        <x:v>22</x:v>
      </x:c>
      <x:c r="S104" s="10" t="n">
        <x:f>IF(COUNT(R104,Q104)=2,R104-Q104,"")</x:f>
        <x:v>0</x:v>
      </x:c>
      <x:c r="T104" s="10" t="n">
        <x:v>-1</x:v>
      </x:c>
      <x:c r="U104" s="10" t="n">
        <x:v>-2</x:v>
      </x:c>
      <x:c r="V104" s="10" t="n">
        <x:f>IF(COUNT(U104,T104)=2,U104-T104,"")</x:f>
        <x:v>-1</x:v>
      </x:c>
      <x:c r="W104" s="10" t="n">
        <x:v>10</x:v>
      </x:c>
      <x:c r="X104" s="10" t="n">
        <x:f>IF(COUNT(AV104,AW104)=2,AV104+AW104,"")</x:f>
        <x:v>7</x:v>
      </x:c>
      <x:c r="Y104" s="10" t="n">
        <x:f>IF(COUNT(X104,W104)=2,X104-W104,"")</x:f>
        <x:v>-3</x:v>
      </x:c>
      <x:c r="Z104" s="10" t="n">
        <x:v>2</x:v>
      </x:c>
      <x:c r="AA104" s="10" t="n">
        <x:f>IF(COUNT(AX104,AY104)=2,AX104+AY104,"")</x:f>
        <x:v>3</x:v>
      </x:c>
      <x:c r="AB104" s="10" t="n">
        <x:f>IF(COUNT(AA104,Z104)=2,AA104-Z104,"")</x:f>
        <x:v>1</x:v>
      </x:c>
      <x:c r="AC104" s="10" t="n">
        <x:v>146</x:v>
      </x:c>
      <x:c r="AD104" s="10" t="n">
        <x:v>158</x:v>
      </x:c>
      <x:c r="AE104" s="10" t="n">
        <x:f>IF(COUNT(AD104,AC104)=2,AD104-AC104,"")</x:f>
        <x:v>12</x:v>
      </x:c>
      <x:c r="AF104" s="10" t="n">
        <x:v>39</x:v>
      </x:c>
      <x:c r="AG104" s="10" t="n">
        <x:v>33</x:v>
      </x:c>
      <x:c r="AH104" s="10" t="n">
        <x:f>IF(COUNT(AG104,AF104)=2,AG104-AF104,"")</x:f>
        <x:v>-6</x:v>
      </x:c>
      <x:c r="AI104" s="10" t="n">
        <x:v>57</x:v>
      </x:c>
      <x:c r="AJ104" s="10" t="n">
        <x:v>47</x:v>
      </x:c>
      <x:c r="AK104" s="10" t="n">
        <x:f>IF(COUNT(AJ104,AI104)=2,AJ104-AI104,"")</x:f>
        <x:v>-10</x:v>
      </x:c>
      <x:c r="AL104" s="10" t="n">
        <x:v>24</x:v>
      </x:c>
      <x:c r="AM104" s="10" t="n">
        <x:v>24</x:v>
      </x:c>
      <x:c r="AN104" s="4" t="str">
        <x:v>C,RW</x:v>
      </x:c>
      <x:c r="AO104" s="4" t="str">
        <x:v>C</x:v>
      </x:c>
      <x:c r="AP104" s="4" t="str">
        <x:v>NJ</x:v>
      </x:c>
      <x:c r="AQ104" s="4" t="str">
        <x:v>NJD</x:v>
      </x:c>
      <x:c r="AR104" s="4" t="n">
        <x:v>18.07</x:v>
      </x:c>
      <x:c r="AS104" s="4" t="n">
        <x:v>18.233333333333334</x:v>
      </x:c>
      <x:c r="AT104" s="4" t="n">
        <x:v>1.65</x:v>
      </x:c>
      <x:c r="AU104" s="4" t="n">
        <x:v>12.7</x:v>
      </x:c>
      <x:c r="AV104" s="10" t="n">
        <x:v>4</x:v>
      </x:c>
      <x:c r="AW104" s="10" t="n">
        <x:v>3</x:v>
      </x:c>
      <x:c r="AX104" s="10" t="n">
        <x:v>3</x:v>
      </x:c>
      <x:c r="AY104" s="10" t="n">
        <x:v>0</x:v>
      </x:c>
      <x:c r="AZ104" s="10" t="n">
        <x:v>1298</x:v>
      </x:c>
      <x:c r="BA104" s="10" t="n">
        <x:v>1170</x:v>
      </x:c>
      <x:c r="BB104" s="4" t="n">
        <x:v>52.6</x:v>
      </x:c>
      <x:c r="BC104" s="4" t="n">
        <x:v>1.2</x:v>
      </x:c>
      <x:c r="BD104" s="10" t="n">
        <x:v>937</x:v>
      </x:c>
      <x:c r="BE104" s="10" t="n">
        <x:v>837</x:v>
      </x:c>
      <x:c r="BF104" s="4" t="n">
        <x:v>52.8</x:v>
      </x:c>
      <x:c r="BG104" s="4" t="n">
        <x:v>1.7</x:v>
      </x:c>
      <x:c r="BH104" s="4" t="n">
        <x:v>8.4</x:v>
      </x:c>
      <x:c r="BI104" s="4" t="n">
        <x:v>90</x:v>
      </x:c>
      <x:c r="BJ104" s="4" t="n">
        <x:v>98.4</x:v>
      </x:c>
      <x:c r="BK104" s="4" t="n">
        <x:v>47.6</x:v>
      </x:c>
      <x:c r="BL104" s="4" t="n">
        <x:v>52.4</x:v>
      </x:c>
      <x:c r="BM104" s="4" t="n">
        <x:v>18.233333333333334</x:v>
      </x:c>
      <x:c r="BN104" s="4" t="n">
        <x:v>14.966666666666667</x:v>
      </x:c>
      <x:c r="BO104" s="10" t="n">
        <x:v>27</x:v>
      </x:c>
      <x:c r="BP104" s="10" t="n">
        <x:v>75</x:v>
      </x:c>
      <x:c r="BQ104" s="4" t="n">
        <x:v>-0.9</x:v>
      </x:c>
      <x:c r="BR104" s="10" t="n">
        <x:v>319</x:v>
      </x:c>
      <x:c r="BS104" s="4" t="n">
        <x:v>49.5</x:v>
      </x:c>
      <x:c r="BT104" s="10" t="n">
        <x:v>82</x:v>
      </x:c>
      <x:c r="BU104" s="4" t="str">
        <x:v>NJD</x:v>
      </x:c>
      <x:c r="BV104" s="10" t="n">
        <x:v>194</x:v>
      </x:c>
      <x:c r="BW104" s="10" t="n">
        <x:v>198</x:v>
      </x:c>
      <x:c r="BX104" s="10" t="n">
        <x:v>687</x:v>
      </x:c>
      <x:c r="BY104" s="4" t="str">
        <x:v>Dawson Mercer</x:v>
      </x:c>
      <x:c r="BZ104" s="4" t="str">
        <x:v>Dawson Mercer</x:v>
      </x:c>
      <x:c r="CA104" s="4" t="str">
        <x:v>Dawson Mercer</x:v>
      </x:c>
      <x:c r="CB104" s="4" t="str">
        <x:v>merceda01</x:v>
      </x:c>
    </x:row>
    <x:row r="105" ht="22" customHeight="1">
      <x:c r="A105" s="4" t="str">
        <x:v>Denton Mateychuk</x:v>
      </x:c>
      <x:c r="B105" s="4" t="str">
        <x:v>dentonmateychuk</x:v>
      </x:c>
      <x:c r="C105" s="10" t="n">
        <x:v>1</x:v>
      </x:c>
      <x:c r="D105" s="10" t="n">
        <x:v>1</x:v>
      </x:c>
      <x:c r="E105" s="10" t="n">
        <x:v>1</x:v>
      </x:c>
      <x:c r="F105" s="4" t="n">
        <x:f>IF(COUNT(N105,Q105,T105,W105,Z105,AC105,AF105,AI105)=8,N105*Guide!$E$5+Q105*Guide!$E$6+T105*Guide!$E$7+W105*Guide!$E$8+Z105*Guide!$E$9+AC105*Guide!$E$10+AF105*Guide!$E$11+AI105*Guide!$E$12,"")</x:f>
        <x:v>187.25</x:v>
      </x:c>
      <x:c r="G105" s="4" t="n">
        <x:f>IF(COUNT(O105,R105,U105,X105,AA105,AD105,AG105,AJ105)=8,O105*Guide!$E$5+R105*Guide!$E$6+U105*Guide!$E$7+X105*Guide!$E$8+AA105*Guide!$E$9+AD105*Guide!$E$10+AG105*Guide!$E$11+AJ105*Guide!$E$12,"")</x:f>
        <x:v>218.5</x:v>
      </x:c>
      <x:c r="H105" s="4" t="n">
        <x:f>IF(COUNT(G105,F105)=2,G105-F105,"")</x:f>
        <x:v>31.25</x:v>
      </x:c>
      <x:c r="I105" s="4" t="n">
        <x:f>IF(AND(ISNUMBER(F105),K105&gt;0),F105/K105,"")</x:f>
        <x:v>2.6006944444444446</x:v>
      </x:c>
      <x:c r="J105" s="4" t="n">
        <x:f>IF(AND(ISNUMBER(G105),L105&gt;0),G105/L105,"")</x:f>
        <x:v>2.9133333333333336</x:v>
      </x:c>
      <x:c r="K105" s="10" t="n">
        <x:v>72</x:v>
      </x:c>
      <x:c r="L105" s="10" t="n">
        <x:v>75</x:v>
      </x:c>
      <x:c r="M105" s="10" t="n">
        <x:f>IF(COUNT(L105,K105)=2,L105-K105,"")</x:f>
        <x:v>3</x:v>
      </x:c>
      <x:c r="N105" s="10" t="n">
        <x:v>7</x:v>
      </x:c>
      <x:c r="O105" s="10" t="n">
        <x:v>13</x:v>
      </x:c>
      <x:c r="P105" s="10" t="n">
        <x:f>IF(COUNT(O105,N105)=2,O105-N105,"")</x:f>
        <x:v>6</x:v>
      </x:c>
      <x:c r="Q105" s="10" t="n">
        <x:v>17</x:v>
      </x:c>
      <x:c r="R105" s="10" t="n">
        <x:v>18</x:v>
      </x:c>
      <x:c r="S105" s="10" t="n">
        <x:f>IF(COUNT(R105,Q105)=2,R105-Q105,"")</x:f>
        <x:v>1</x:v>
      </x:c>
      <x:c r="T105" s="10" t="n">
        <x:v>-1</x:v>
      </x:c>
      <x:c r="U105" s="10" t="n">
        <x:v>12</x:v>
      </x:c>
      <x:c r="V105" s="10" t="n">
        <x:f>IF(COUNT(U105,T105)=2,U105-T105,"")</x:f>
        <x:v>13</x:v>
      </x:c>
      <x:c r="W105" s="10" t="n">
        <x:v>4</x:v>
      </x:c>
      <x:c r="X105" s="10" t="n">
        <x:f>IF(COUNT(AV105,AW105)=2,AV105+AW105,"")</x:f>
        <x:v>3</x:v>
      </x:c>
      <x:c r="Y105" s="10" t="n">
        <x:f>IF(COUNT(X105,W105)=2,X105-W105,"")</x:f>
        <x:v>-1</x:v>
      </x:c>
      <x:c r="Z105" s="10" t="n">
        <x:v>0</x:v>
      </x:c>
      <x:c r="AA105" s="10" t="n">
        <x:f>IF(COUNT(AX105,AY105)=2,AX105+AY105,"")</x:f>
        <x:v>0</x:v>
      </x:c>
      <x:c r="AB105" s="10" t="n">
        <x:f>IF(COUNT(AA105,Z105)=2,AA105-Z105,"")</x:f>
        <x:v>0</x:v>
      </x:c>
      <x:c r="AC105" s="10" t="n">
        <x:v>78</x:v>
      </x:c>
      <x:c r="AD105" s="10" t="n">
        <x:v>88</x:v>
      </x:c>
      <x:c r="AE105" s="10" t="n">
        <x:f>IF(COUNT(AD105,AC105)=2,AD105-AC105,"")</x:f>
        <x:v>10</x:v>
      </x:c>
      <x:c r="AF105" s="10" t="n">
        <x:v>43</x:v>
      </x:c>
      <x:c r="AG105" s="10" t="n">
        <x:v>26</x:v>
      </x:c>
      <x:c r="AH105" s="10" t="n">
        <x:f>IF(COUNT(AG105,AF105)=2,AG105-AF105,"")</x:f>
        <x:v>-17</x:v>
      </x:c>
      <x:c r="AI105" s="10" t="n">
        <x:v>100</x:v>
      </x:c>
      <x:c r="AJ105" s="10" t="n">
        <x:v>92</x:v>
      </x:c>
      <x:c r="AK105" s="10" t="n">
        <x:f>IF(COUNT(AJ105,AI105)=2,AJ105-AI105,"")</x:f>
        <x:v>-8</x:v>
      </x:c>
      <x:c r="AL105" s="10" t="n">
        <x:v>21</x:v>
      </x:c>
      <x:c r="AM105" s="10" t="n">
        <x:v>21</x:v>
      </x:c>
      <x:c r="AN105" s="4" t="str">
        <x:v>D</x:v>
      </x:c>
      <x:c r="AO105" s="4" t="str">
        <x:v>D</x:v>
      </x:c>
      <x:c r="AP105" s="4" t="str">
        <x:v>CBJ</x:v>
      </x:c>
      <x:c r="AQ105" s="4" t="str">
        <x:v>CBJ</x:v>
      </x:c>
      <x:c r="AR105" s="4" t="n">
        <x:v>18.04</x:v>
      </x:c>
      <x:c r="AS105" s="4" t="n">
        <x:v>19.183333333333334</x:v>
      </x:c>
      <x:c r="AT105" s="4" t="n">
        <x:v>0.74</x:v>
      </x:c>
      <x:c r="AU105" s="4" t="n">
        <x:v>14.8</x:v>
      </x:c>
      <x:c r="AV105" s="10" t="n">
        <x:v>1</x:v>
      </x:c>
      <x:c r="AW105" s="10" t="n">
        <x:v>2</x:v>
      </x:c>
      <x:c r="AX105" s="10" t="n">
        <x:v>0</x:v>
      </x:c>
      <x:c r="AY105" s="10" t="n">
        <x:v>0</x:v>
      </x:c>
      <x:c r="AZ105" s="10" t="n">
        <x:v>1277</x:v>
      </x:c>
      <x:c r="BA105" s="10" t="n">
        <x:v>1192</x:v>
      </x:c>
      <x:c r="BB105" s="4" t="n">
        <x:v>51.7</x:v>
      </x:c>
      <x:c r="BC105" s="4" t="n">
        <x:v>1.8</x:v>
      </x:c>
      <x:c r="BD105" s="10" t="n">
        <x:v>935</x:v>
      </x:c>
      <x:c r="BE105" s="10" t="n">
        <x:v>868</x:v>
      </x:c>
      <x:c r="BF105" s="4" t="n">
        <x:v>51.9</x:v>
      </x:c>
      <x:c r="BG105" s="4" t="n">
        <x:v>2.5</x:v>
      </x:c>
      <x:c r="BH105" s="4" t="n">
        <x:v>10.1</x:v>
      </x:c>
      <x:c r="BI105" s="4" t="n">
        <x:v>90.8</x:v>
      </x:c>
      <x:c r="BJ105" s="4" t="n">
        <x:v>100.9</x:v>
      </x:c>
      <x:c r="BK105" s="4" t="n">
        <x:v>50.6</x:v>
      </x:c>
      <x:c r="BL105" s="4" t="n">
        <x:v>49.4</x:v>
      </x:c>
      <x:c r="BM105" s="4" t="n">
        <x:v>19.183333333333334</x:v>
      </x:c>
      <x:c r="BN105" s="4" t="n">
        <x:v>17.066666666666666</x:v>
      </x:c>
      <x:c r="BO105" s="10" t="n">
        <x:v>15</x:v>
      </x:c>
      <x:c r="BP105" s="10" t="n">
        <x:v>80</x:v>
      </x:c>
      <x:c r="BQ105" s="4" t="n">
        <x:v>6.5</x:v>
      </x:c>
      <x:c r="BR105" s="10" t="n">
        <x:v>211</x:v>
      </x:c>
      <x:c r="BS105" s="4" t="n">
        <x:v>41.7</x:v>
      </x:c>
      <x:c r="BT105" s="10" t="n">
        <x:v>75</x:v>
      </x:c>
      <x:c r="BU105" s="4" t="str">
        <x:v>CBJ</x:v>
      </x:c>
      <x:c r="BV105" s="10" t="n">
        <x:v>450</x:v>
      </x:c>
      <x:c r="BW105" s="10" t="n">
        <x:v>317</x:v>
      </x:c>
      <x:c r="BX105" s="10" t="n">
        <x:v>655</x:v>
      </x:c>
      <x:c r="BY105" s="4" t="str">
        <x:v>Denton Mateychuk</x:v>
      </x:c>
      <x:c r="BZ105" s="4" t="str">
        <x:v>Denton Mateychuk</x:v>
      </x:c>
      <x:c r="CA105" s="4" t="str">
        <x:v>Denton Mateychuk</x:v>
      </x:c>
      <x:c r="CB105" s="4" t="str">
        <x:v>mateyde01</x:v>
      </x:c>
    </x:row>
    <x:row r="106" ht="22" customHeight="1">
      <x:c r="A106" s="4" t="str">
        <x:v>Devon Toews</x:v>
      </x:c>
      <x:c r="B106" s="4" t="str">
        <x:v>devontoews</x:v>
      </x:c>
      <x:c r="C106" s="10" t="n">
        <x:v>1</x:v>
      </x:c>
      <x:c r="D106" s="10" t="n">
        <x:v>1</x:v>
      </x:c>
      <x:c r="E106" s="10" t="n">
        <x:v>1</x:v>
      </x:c>
      <x:c r="F106" s="4" t="n">
        <x:f>IF(COUNT(N106,Q106,T106,W106,Z106,AC106,AF106,AI106)=8,N106*Guide!$E$5+Q106*Guide!$E$6+T106*Guide!$E$7+W106*Guide!$E$8+Z106*Guide!$E$9+AC106*Guide!$E$10+AF106*Guide!$E$11+AI106*Guide!$E$12,"")</x:f>
        <x:v>306</x:v>
      </x:c>
      <x:c r="G106" s="4" t="n">
        <x:f>IF(COUNT(O106,R106,U106,X106,AA106,AD106,AG106,AJ106)=8,O106*Guide!$E$5+R106*Guide!$E$6+U106*Guide!$E$7+X106*Guide!$E$8+AA106*Guide!$E$9+AD106*Guide!$E$10+AG106*Guide!$E$11+AJ106*Guide!$E$12,"")</x:f>
        <x:v>210.5</x:v>
      </x:c>
      <x:c r="H106" s="4" t="n">
        <x:f>IF(COUNT(G106,F106)=2,G106-F106,"")</x:f>
        <x:v>-95.5</x:v>
      </x:c>
      <x:c r="I106" s="4" t="n">
        <x:f>IF(AND(ISNUMBER(F106),K106&gt;0),F106/K106,"")</x:f>
        <x:v>4.026315789473684</x:v>
      </x:c>
      <x:c r="J106" s="4" t="n">
        <x:f>IF(AND(ISNUMBER(G106),L106&gt;0),G106/L106,"")</x:f>
        <x:v>3.0955882352941178</x:v>
      </x:c>
      <x:c r="K106" s="10" t="n">
        <x:v>76</x:v>
      </x:c>
      <x:c r="L106" s="10" t="n">
        <x:v>68</x:v>
      </x:c>
      <x:c r="M106" s="10" t="n">
        <x:f>IF(COUNT(L106,K106)=2,L106-K106,"")</x:f>
        <x:v>-8</x:v>
      </x:c>
      <x:c r="N106" s="10" t="n">
        <x:v>9</x:v>
      </x:c>
      <x:c r="O106" s="10" t="n">
        <x:v>3</x:v>
      </x:c>
      <x:c r="P106" s="10" t="n">
        <x:f>IF(COUNT(O106,N106)=2,O106-N106,"")</x:f>
        <x:v>-6</x:v>
      </x:c>
      <x:c r="Q106" s="10" t="n">
        <x:v>37</x:v>
      </x:c>
      <x:c r="R106" s="10" t="n">
        <x:v>21</x:v>
      </x:c>
      <x:c r="S106" s="10" t="n">
        <x:f>IF(COUNT(R106,Q106)=2,R106-Q106,"")</x:f>
        <x:v>-16</x:v>
      </x:c>
      <x:c r="T106" s="10" t="n">
        <x:v>21</x:v>
      </x:c>
      <x:c r="U106" s="10" t="n">
        <x:v>37</x:v>
      </x:c>
      <x:c r="V106" s="10" t="n">
        <x:f>IF(COUNT(U106,T106)=2,U106-T106,"")</x:f>
        <x:v>16</x:v>
      </x:c>
      <x:c r="W106" s="10" t="n">
        <x:v>6</x:v>
      </x:c>
      <x:c r="X106" s="10" t="n">
        <x:f>IF(COUNT(AV106,AW106)=2,AV106+AW106,"")</x:f>
        <x:v>1</x:v>
      </x:c>
      <x:c r="Y106" s="10" t="n">
        <x:f>IF(COUNT(X106,W106)=2,X106-W106,"")</x:f>
        <x:v>-5</x:v>
      </x:c>
      <x:c r="Z106" s="10" t="n">
        <x:v>1</x:v>
      </x:c>
      <x:c r="AA106" s="10" t="n">
        <x:f>IF(COUNT(AX106,AY106)=2,AX106+AY106,"")</x:f>
        <x:v>0</x:v>
      </x:c>
      <x:c r="AB106" s="10" t="n">
        <x:f>IF(COUNT(AA106,Z106)=2,AA106-Z106,"")</x:f>
        <x:v>-1</x:v>
      </x:c>
      <x:c r="AC106" s="10" t="n">
        <x:v>140</x:v>
      </x:c>
      <x:c r="AD106" s="10" t="n">
        <x:v>115</x:v>
      </x:c>
      <x:c r="AE106" s="10" t="n">
        <x:f>IF(COUNT(AD106,AC106)=2,AD106-AC106,"")</x:f>
        <x:v>-25</x:v>
      </x:c>
      <x:c r="AF106" s="10" t="n">
        <x:v>46</x:v>
      </x:c>
      <x:c r="AG106" s="10" t="n">
        <x:v>26</x:v>
      </x:c>
      <x:c r="AH106" s="10" t="n">
        <x:f>IF(COUNT(AG106,AF106)=2,AG106-AF106,"")</x:f>
        <x:v>-20</x:v>
      </x:c>
      <x:c r="AI106" s="10" t="n">
        <x:v>110</x:v>
      </x:c>
      <x:c r="AJ106" s="10" t="n">
        <x:v>83</x:v>
      </x:c>
      <x:c r="AK106" s="10" t="n">
        <x:f>IF(COUNT(AJ106,AI106)=2,AJ106-AI106,"")</x:f>
        <x:v>-27</x:v>
      </x:c>
      <x:c r="AL106" s="10" t="n">
        <x:v>31</x:v>
      </x:c>
      <x:c r="AM106" s="10" t="n">
        <x:v>31</x:v>
      </x:c>
      <x:c r="AN106" s="4" t="str">
        <x:v>D</x:v>
      </x:c>
      <x:c r="AO106" s="4" t="str">
        <x:v>D</x:v>
      </x:c>
      <x:c r="AP106" s="4" t="str">
        <x:v>COL</x:v>
      </x:c>
      <x:c r="AQ106" s="4" t="str">
        <x:v>COL</x:v>
      </x:c>
      <x:c r="AR106" s="4" t="n">
        <x:v>24.52</x:v>
      </x:c>
      <x:c r="AS106" s="4" t="n">
        <x:v>22.366666666666667</x:v>
      </x:c>
      <x:c r="AT106" s="4" t="n">
        <x:v>1.15</x:v>
      </x:c>
      <x:c r="AU106" s="4" t="n">
        <x:v>2.6</x:v>
      </x:c>
      <x:c r="AV106" s="10" t="n">
        <x:v>1</x:v>
      </x:c>
      <x:c r="AW106" s="10" t="n">
        <x:v>0</x:v>
      </x:c>
      <x:c r="AX106" s="10" t="n">
        <x:v>0</x:v>
      </x:c>
      <x:c r="AY106" s="10" t="n">
        <x:v>0</x:v>
      </x:c>
      <x:c r="AZ106" s="10" t="n">
        <x:v>1476</x:v>
      </x:c>
      <x:c r="BA106" s="10" t="n">
        <x:v>1144</x:v>
      </x:c>
      <x:c r="BB106" s="4" t="n">
        <x:v>56.3</x:v>
      </x:c>
      <x:c r="BC106" s="4" t="n">
        <x:v>-0.3</x:v>
      </x:c>
      <x:c r="BD106" s="10" t="n">
        <x:v>1051</x:v>
      </x:c>
      <x:c r="BE106" s="10" t="n">
        <x:v>854</x:v>
      </x:c>
      <x:c r="BF106" s="4" t="n">
        <x:v>55.2</x:v>
      </x:c>
      <x:c r="BG106" s="4" t="n">
        <x:v>-1.3</x:v>
      </x:c>
      <x:c r="BH106" s="4" t="n">
        <x:v>12</x:v>
      </x:c>
      <x:c r="BI106" s="4" t="n">
        <x:v>91.7</x:v>
      </x:c>
      <x:c r="BJ106" s="4" t="n">
        <x:v>103.6</x:v>
      </x:c>
      <x:c r="BK106" s="4" t="n">
        <x:v>58.1</x:v>
      </x:c>
      <x:c r="BL106" s="4" t="n">
        <x:v>41.9</x:v>
      </x:c>
      <x:c r="BM106" s="4" t="n">
        <x:v>22.366666666666667</x:v>
      </x:c>
      <x:c r="BN106" s="4" t="n">
        <x:v>18.55</x:v>
      </x:c>
      <x:c r="BO106" s="10" t="n">
        <x:v>29</x:v>
      </x:c>
      <x:c r="BP106" s="10" t="n">
        <x:v>64</x:v>
      </x:c>
      <x:c r="BQ106" s="4" t="n">
        <x:v>16.3</x:v>
      </x:c>
      <x:c r="BR106" s="10" t="n">
        <x:v>240</x:v>
      </x:c>
      <x:c r="BS106" s="4" t="n">
        <x:v>47.9</x:v>
      </x:c>
      <x:c r="BT106" s="10" t="n">
        <x:v>68</x:v>
      </x:c>
      <x:c r="BU106" s="4" t="str">
        <x:v>COL</x:v>
      </x:c>
      <x:c r="BV106" s="10" t="n">
        <x:v>188</x:v>
      </x:c>
      <x:c r="BW106" s="10" t="n">
        <x:v>412</x:v>
      </x:c>
      <x:c r="BX106" s="10" t="n">
        <x:v>1020</x:v>
      </x:c>
      <x:c r="BY106" s="4" t="str">
        <x:v>Devon Toews</x:v>
      </x:c>
      <x:c r="BZ106" s="4" t="str">
        <x:v>Devon Toews</x:v>
      </x:c>
      <x:c r="CA106" s="4" t="str">
        <x:v>Devon Toews</x:v>
      </x:c>
      <x:c r="CB106" s="4" t="str">
        <x:v>toewsde01</x:v>
      </x:c>
    </x:row>
    <x:row r="107" ht="22" customHeight="1">
      <x:c r="A107" s="4" t="str">
        <x:v>Dmitri Voronkov</x:v>
      </x:c>
      <x:c r="B107" s="4" t="str">
        <x:v>dmitrivoronkov</x:v>
      </x:c>
      <x:c r="C107" s="10" t="n">
        <x:v>1</x:v>
      </x:c>
      <x:c r="D107" s="10" t="n">
        <x:v>1</x:v>
      </x:c>
      <x:c r="E107" s="10" t="n">
        <x:v>1</x:v>
      </x:c>
      <x:c r="F107" s="4" t="n">
        <x:f>IF(COUNT(N107,Q107,T107,W107,Z107,AC107,AF107,AI107)=8,N107*Guide!$E$5+Q107*Guide!$E$6+T107*Guide!$E$7+W107*Guide!$E$8+Z107*Guide!$E$9+AC107*Guide!$E$10+AF107*Guide!$E$11+AI107*Guide!$E$12,"")</x:f>
        <x:v>284.25</x:v>
      </x:c>
      <x:c r="G107" s="4" t="n">
        <x:f>IF(COUNT(O107,R107,U107,X107,AA107,AD107,AG107,AJ107)=8,O107*Guide!$E$5+R107*Guide!$E$6+U107*Guide!$E$7+X107*Guide!$E$8+AA107*Guide!$E$9+AD107*Guide!$E$10+AG107*Guide!$E$11+AJ107*Guide!$E$12,"")</x:f>
        <x:v>195</x:v>
      </x:c>
      <x:c r="H107" s="4" t="n">
        <x:f>IF(COUNT(G107,F107)=2,G107-F107,"")</x:f>
        <x:v>-89.25</x:v>
      </x:c>
      <x:c r="I107" s="4" t="n">
        <x:f>IF(AND(ISNUMBER(F107),K107&gt;0),F107/K107,"")</x:f>
        <x:v>3.6915584415584415</x:v>
      </x:c>
      <x:c r="J107" s="4" t="n">
        <x:f>IF(AND(ISNUMBER(G107),L107&gt;0),G107/L107,"")</x:f>
        <x:v>3.0952380952380953</x:v>
      </x:c>
      <x:c r="K107" s="10" t="n">
        <x:v>77</x:v>
      </x:c>
      <x:c r="L107" s="10" t="n">
        <x:v>63</x:v>
      </x:c>
      <x:c r="M107" s="10" t="n">
        <x:f>IF(COUNT(L107,K107)=2,L107-K107,"")</x:f>
        <x:v>-14</x:v>
      </x:c>
      <x:c r="N107" s="10" t="n">
        <x:v>25</x:v>
      </x:c>
      <x:c r="O107" s="10" t="n">
        <x:v>17</x:v>
      </x:c>
      <x:c r="P107" s="10" t="n">
        <x:f>IF(COUNT(O107,N107)=2,O107-N107,"")</x:f>
        <x:v>-8</x:v>
      </x:c>
      <x:c r="Q107" s="10" t="n">
        <x:v>24</x:v>
      </x:c>
      <x:c r="R107" s="10" t="n">
        <x:v>15</x:v>
      </x:c>
      <x:c r="S107" s="10" t="n">
        <x:f>IF(COUNT(R107,Q107)=2,R107-Q107,"")</x:f>
        <x:v>-9</x:v>
      </x:c>
      <x:c r="T107" s="10" t="n">
        <x:v>-1</x:v>
      </x:c>
      <x:c r="U107" s="10" t="n">
        <x:v>-1</x:v>
      </x:c>
      <x:c r="V107" s="10" t="n">
        <x:f>IF(COUNT(U107,T107)=2,U107-T107,"")</x:f>
        <x:v>0</x:v>
      </x:c>
      <x:c r="W107" s="10" t="n">
        <x:v>12</x:v>
      </x:c>
      <x:c r="X107" s="10" t="n">
        <x:f>IF(COUNT(AV107,AW107)=2,AV107+AW107,"")</x:f>
        <x:v>9</x:v>
      </x:c>
      <x:c r="Y107" s="10" t="n">
        <x:f>IF(COUNT(X107,W107)=2,X107-W107,"")</x:f>
        <x:v>-3</x:v>
      </x:c>
      <x:c r="Z107" s="10" t="n">
        <x:v>0</x:v>
      </x:c>
      <x:c r="AA107" s="10" t="n">
        <x:f>IF(COUNT(AX107,AY107)=2,AX107+AY107,"")</x:f>
        <x:v>0</x:v>
      </x:c>
      <x:c r="AB107" s="10" t="n">
        <x:f>IF(COUNT(AA107,Z107)=2,AA107-Z107,"")</x:f>
        <x:v>0</x:v>
      </x:c>
      <x:c r="AC107" s="10" t="n">
        <x:v>161</x:v>
      </x:c>
      <x:c r="AD107" s="10" t="n">
        <x:v>110</x:v>
      </x:c>
      <x:c r="AE107" s="10" t="n">
        <x:f>IF(COUNT(AD107,AC107)=2,AD107-AC107,"")</x:f>
        <x:v>-51</x:v>
      </x:c>
      <x:c r="AF107" s="10" t="n">
        <x:v>82</x:v>
      </x:c>
      <x:c r="AG107" s="10" t="n">
        <x:v>105</x:v>
      </x:c>
      <x:c r="AH107" s="10" t="n">
        <x:f>IF(COUNT(AG107,AF107)=2,AG107-AF107,"")</x:f>
        <x:v>23</x:v>
      </x:c>
      <x:c r="AI107" s="10" t="n">
        <x:v>54</x:v>
      </x:c>
      <x:c r="AJ107" s="10" t="n">
        <x:v>27</x:v>
      </x:c>
      <x:c r="AK107" s="10" t="n">
        <x:f>IF(COUNT(AJ107,AI107)=2,AJ107-AI107,"")</x:f>
        <x:v>-27</x:v>
      </x:c>
      <x:c r="AL107" s="10" t="n">
        <x:v>25</x:v>
      </x:c>
      <x:c r="AM107" s="10" t="n">
        <x:v>25</x:v>
      </x:c>
      <x:c r="AN107" s="4" t="str">
        <x:v>LW</x:v>
      </x:c>
      <x:c r="AO107" s="4" t="str">
        <x:v>LW</x:v>
      </x:c>
      <x:c r="AP107" s="4" t="str">
        <x:v>CBJ</x:v>
      </x:c>
      <x:c r="AQ107" s="4" t="str">
        <x:v>CBJ</x:v>
      </x:c>
      <x:c r="AR107" s="4" t="n">
        <x:v>16.51</x:v>
      </x:c>
      <x:c r="AS107" s="4" t="n">
        <x:v>13.933333333333334</x:v>
      </x:c>
      <x:c r="AT107" s="4" t="n">
        <x:v>2.1</x:v>
      </x:c>
      <x:c r="AU107" s="4" t="n">
        <x:v>15.5</x:v>
      </x:c>
      <x:c r="AV107" s="10" t="n">
        <x:v>7</x:v>
      </x:c>
      <x:c r="AW107" s="10" t="n">
        <x:v>2</x:v>
      </x:c>
      <x:c r="AX107" s="10" t="n">
        <x:v>0</x:v>
      </x:c>
      <x:c r="AY107" s="10" t="n">
        <x:v>0</x:v>
      </x:c>
      <x:c r="AZ107" s="10" t="n">
        <x:v>825</x:v>
      </x:c>
      <x:c r="BA107" s="10" t="n">
        <x:v>737</x:v>
      </x:c>
      <x:c r="BB107" s="4" t="n">
        <x:v>52.8</x:v>
      </x:c>
      <x:c r="BC107" s="4" t="n">
        <x:v>3.4</x:v>
      </x:c>
      <x:c r="BD107" s="10" t="n">
        <x:v>598</x:v>
      </x:c>
      <x:c r="BE107" s="10" t="n">
        <x:v>533</x:v>
      </x:c>
      <x:c r="BF107" s="4" t="n">
        <x:v>52.9</x:v>
      </x:c>
      <x:c r="BG107" s="4" t="n">
        <x:v>3.9</x:v>
      </x:c>
      <x:c r="BH107" s="4" t="n">
        <x:v>9.6</x:v>
      </x:c>
      <x:c r="BI107" s="4" t="n">
        <x:v>89.2</x:v>
      </x:c>
      <x:c r="BJ107" s="4" t="n">
        <x:v>98.8</x:v>
      </x:c>
      <x:c r="BK107" s="4" t="n">
        <x:v>64.5</x:v>
      </x:c>
      <x:c r="BL107" s="4" t="n">
        <x:v>35.5</x:v>
      </x:c>
      <x:c r="BM107" s="4" t="n">
        <x:v>13.933333333333334</x:v>
      </x:c>
      <x:c r="BN107" s="4" t="n">
        <x:v>11.916666666666666</x:v>
      </x:c>
      <x:c r="BO107" s="10" t="n">
        <x:v>9</x:v>
      </x:c>
      <x:c r="BP107" s="10" t="n">
        <x:v>41</x:v>
      </x:c>
      <x:c r="BQ107" s="4" t="n">
        <x:v>5.4</x:v>
      </x:c>
      <x:c r="BR107" s="10" t="n">
        <x:v>194</x:v>
      </x:c>
      <x:c r="BS107" s="4" t="n">
        <x:v>56.7</x:v>
      </x:c>
      <x:c r="BT107" s="10" t="n">
        <x:v>63</x:v>
      </x:c>
      <x:c r="BU107" s="4" t="str">
        <x:v>CBJ</x:v>
      </x:c>
      <x:c r="BV107" s="10" t="n">
        <x:v>161</x:v>
      </x:c>
      <x:c r="BW107" s="10" t="n">
        <x:v>309</x:v>
      </x:c>
      <x:c r="BX107" s="10" t="n">
        <x:v>1058</x:v>
      </x:c>
      <x:c r="BY107" s="4" t="str">
        <x:v>Dmitri Voronkov</x:v>
      </x:c>
      <x:c r="BZ107" s="4" t="str">
        <x:v>Dmitri Voronkov</x:v>
      </x:c>
      <x:c r="CA107" s="4" t="str">
        <x:v>Dmitri Voronkov</x:v>
      </x:c>
      <x:c r="CB107" s="4" t="str">
        <x:v>vorondi01</x:v>
      </x:c>
    </x:row>
    <x:row r="108" ht="22" customHeight="1">
      <x:c r="A108" s="4" t="str">
        <x:v>Dmitry Orlov</x:v>
      </x:c>
      <x:c r="B108" s="4" t="str">
        <x:v>dmitryorlov</x:v>
      </x:c>
      <x:c r="C108" s="10" t="n">
        <x:v>1</x:v>
      </x:c>
      <x:c r="D108" s="10" t="n">
        <x:v>1</x:v>
      </x:c>
      <x:c r="E108" s="10" t="n">
        <x:v>1</x:v>
      </x:c>
      <x:c r="F108" s="4" t="n">
        <x:f>IF(COUNT(N108,Q108,T108,W108,Z108,AC108,AF108,AI108)=8,N108*Guide!$E$5+Q108*Guide!$E$6+T108*Guide!$E$7+W108*Guide!$E$8+Z108*Guide!$E$9+AC108*Guide!$E$10+AF108*Guide!$E$11+AI108*Guide!$E$12,"")</x:f>
        <x:v>218.5</x:v>
      </x:c>
      <x:c r="G108" s="4" t="n">
        <x:f>IF(COUNT(O108,R108,U108,X108,AA108,AD108,AG108,AJ108)=8,O108*Guide!$E$5+R108*Guide!$E$6+U108*Guide!$E$7+X108*Guide!$E$8+AA108*Guide!$E$9+AD108*Guide!$E$10+AG108*Guide!$E$11+AJ108*Guide!$E$12,"")</x:f>
        <x:v>215.25</x:v>
      </x:c>
      <x:c r="H108" s="4" t="n">
        <x:f>IF(COUNT(G108,F108)=2,G108-F108,"")</x:f>
        <x:v>-3.25</x:v>
      </x:c>
      <x:c r="I108" s="4" t="n">
        <x:f>IF(AND(ISNUMBER(F108),K108&gt;0),F108/K108,"")</x:f>
        <x:v>2.801282051282051</x:v>
      </x:c>
      <x:c r="J108" s="4" t="n">
        <x:f>IF(AND(ISNUMBER(G108),L108&gt;0),G108/L108,"")</x:f>
        <x:v>2.625</x:v>
      </x:c>
      <x:c r="K108" s="10" t="n">
        <x:v>78</x:v>
      </x:c>
      <x:c r="L108" s="10" t="n">
        <x:v>82</x:v>
      </x:c>
      <x:c r="M108" s="10" t="n">
        <x:f>IF(COUNT(L108,K108)=2,L108-K108,"")</x:f>
        <x:v>4</x:v>
      </x:c>
      <x:c r="N108" s="10" t="n">
        <x:v>7</x:v>
      </x:c>
      <x:c r="O108" s="10" t="n">
        <x:v>3</x:v>
      </x:c>
      <x:c r="P108" s="10" t="n">
        <x:f>IF(COUNT(O108,N108)=2,O108-N108,"")</x:f>
        <x:v>-4</x:v>
      </x:c>
      <x:c r="Q108" s="10" t="n">
        <x:v>21</x:v>
      </x:c>
      <x:c r="R108" s="10" t="n">
        <x:v>34</x:v>
      </x:c>
      <x:c r="S108" s="10" t="n">
        <x:f>IF(COUNT(R108,Q108)=2,R108-Q108,"")</x:f>
        <x:v>13</x:v>
      </x:c>
      <x:c r="T108" s="10" t="n">
        <x:v>14</x:v>
      </x:c>
      <x:c r="U108" s="10" t="n">
        <x:v>-28</x:v>
      </x:c>
      <x:c r="V108" s="10" t="n">
        <x:f>IF(COUNT(U108,T108)=2,U108-T108,"")</x:f>
        <x:v>-42</x:v>
      </x:c>
      <x:c r="W108" s="10" t="n">
        <x:v>1</x:v>
      </x:c>
      <x:c r="X108" s="10" t="n">
        <x:f>IF(COUNT(AV108,AW108)=2,AV108+AW108,"")</x:f>
        <x:v>18</x:v>
      </x:c>
      <x:c r="Y108" s="10" t="n">
        <x:f>IF(COUNT(X108,W108)=2,X108-W108,"")</x:f>
        <x:v>17</x:v>
      </x:c>
      <x:c r="Z108" s="10" t="n">
        <x:v>1</x:v>
      </x:c>
      <x:c r="AA108" s="10" t="n">
        <x:f>IF(COUNT(AX108,AY108)=2,AX108+AY108,"")</x:f>
        <x:v>0</x:v>
      </x:c>
      <x:c r="AB108" s="10" t="n">
        <x:f>IF(COUNT(AA108,Z108)=2,AA108-Z108,"")</x:f>
        <x:v>-1</x:v>
      </x:c>
      <x:c r="AC108" s="10" t="n">
        <x:v>120</x:v>
      </x:c>
      <x:c r="AD108" s="10" t="n">
        <x:v>91</x:v>
      </x:c>
      <x:c r="AE108" s="10" t="n">
        <x:f>IF(COUNT(AD108,AC108)=2,AD108-AC108,"")</x:f>
        <x:v>-29</x:v>
      </x:c>
      <x:c r="AF108" s="10" t="n">
        <x:v>99</x:v>
      </x:c>
      <x:c r="AG108" s="10" t="n">
        <x:v>123</x:v>
      </x:c>
      <x:c r="AH108" s="10" t="n">
        <x:f>IF(COUNT(AG108,AF108)=2,AG108-AF108,"")</x:f>
        <x:v>24</x:v>
      </x:c>
      <x:c r="AI108" s="10" t="n">
        <x:v>73</x:v>
      </x:c>
      <x:c r="AJ108" s="10" t="n">
        <x:v>77</x:v>
      </x:c>
      <x:c r="AK108" s="10" t="n">
        <x:f>IF(COUNT(AJ108,AI108)=2,AJ108-AI108,"")</x:f>
        <x:v>4</x:v>
      </x:c>
      <x:c r="AL108" s="10" t="n">
        <x:v>34</x:v>
      </x:c>
      <x:c r="AM108" s="10" t="n">
        <x:v>34</x:v>
      </x:c>
      <x:c r="AN108" s="4" t="str">
        <x:v>D</x:v>
      </x:c>
      <x:c r="AO108" s="4" t="str">
        <x:v>D</x:v>
      </x:c>
      <x:c r="AP108" s="4" t="str">
        <x:v>SJ</x:v>
      </x:c>
      <x:c r="AQ108" s="4" t="str">
        <x:v>SJS</x:v>
      </x:c>
      <x:c r="AR108" s="4" t="n">
        <x:v>19.580000000000002</x:v>
      </x:c>
      <x:c r="AS108" s="4" t="n">
        <x:v>21.2</x:v>
      </x:c>
      <x:c r="AT108" s="4" t="n">
        <x:v>0.12</x:v>
      </x:c>
      <x:c r="AU108" s="4" t="n">
        <x:v>3.3</x:v>
      </x:c>
      <x:c r="AV108" s="10" t="n">
        <x:v>1</x:v>
      </x:c>
      <x:c r="AW108" s="10" t="n">
        <x:v>17</x:v>
      </x:c>
      <x:c r="AX108" s="10" t="n">
        <x:v>0</x:v>
      </x:c>
      <x:c r="AY108" s="10" t="n">
        <x:v>0</x:v>
      </x:c>
      <x:c r="AZ108" s="10" t="n">
        <x:v>1380</x:v>
      </x:c>
      <x:c r="BA108" s="10" t="n">
        <x:v>1360</x:v>
      </x:c>
      <x:c r="BB108" s="4" t="n">
        <x:v>50.4</x:v>
      </x:c>
      <x:c r="BC108" s="4" t="n">
        <x:v>5.4</x:v>
      </x:c>
      <x:c r="BD108" s="10" t="n">
        <x:v>962</x:v>
      </x:c>
      <x:c r="BE108" s="10" t="n">
        <x:v>1006</x:v>
      </x:c>
      <x:c r="BF108" s="4" t="n">
        <x:v>48.9</x:v>
      </x:c>
      <x:c r="BG108" s="4" t="n">
        <x:v>4</x:v>
      </x:c>
      <x:c r="BH108" s="4" t="n">
        <x:v>9.3</x:v>
      </x:c>
      <x:c r="BI108" s="4" t="n">
        <x:v>87.8</x:v>
      </x:c>
      <x:c r="BJ108" s="4" t="n">
        <x:v>97.2</x:v>
      </x:c>
      <x:c r="BK108" s="4" t="n">
        <x:v>47.9</x:v>
      </x:c>
      <x:c r="BL108" s="4" t="n">
        <x:v>52.1</x:v>
      </x:c>
      <x:c r="BM108" s="4" t="n">
        <x:v>21.2</x:v>
      </x:c>
      <x:c r="BN108" s="4" t="n">
        <x:v>17.933333333333334</x:v>
      </x:c>
      <x:c r="BO108" s="10" t="n">
        <x:v>22</x:v>
      </x:c>
      <x:c r="BP108" s="10" t="n">
        <x:v>105</x:v>
      </x:c>
      <x:c r="BQ108" s="4" t="n">
        <x:v>-5.9</x:v>
      </x:c>
      <x:c r="BR108" s="10" t="n">
        <x:v>237</x:v>
      </x:c>
      <x:c r="BS108" s="4" t="n">
        <x:v>38.4</x:v>
      </x:c>
      <x:c r="BT108" s="10" t="n">
        <x:v>82</x:v>
      </x:c>
      <x:c r="BU108" s="4" t="str">
        <x:v>SJS</x:v>
      </x:c>
      <x:c r="BV108" s="10" t="n">
        <x:v>395</x:v>
      </x:c>
      <x:c r="BW108" s="10" t="n">
        <x:v>235</x:v>
      </x:c>
      <x:c r="BX108" s="10" t="n">
        <x:v>766</x:v>
      </x:c>
      <x:c r="BY108" s="4" t="str">
        <x:v>Dmitry Orlov</x:v>
      </x:c>
      <x:c r="BZ108" s="4" t="str">
        <x:v>Dmitry Orlov</x:v>
      </x:c>
      <x:c r="CA108" s="4" t="str">
        <x:v>Dmitry Orlov</x:v>
      </x:c>
      <x:c r="CB108" s="4" t="str">
        <x:v>orlovdm01</x:v>
      </x:c>
    </x:row>
    <x:row r="109" ht="22" customHeight="1">
      <x:c r="A109" s="4" t="str">
        <x:v>Dougie Hamilton</x:v>
      </x:c>
      <x:c r="B109" s="4" t="str">
        <x:v>dougiehamilton</x:v>
      </x:c>
      <x:c r="C109" s="10" t="n">
        <x:v>1</x:v>
      </x:c>
      <x:c r="D109" s="10" t="n">
        <x:v>1</x:v>
      </x:c>
      <x:c r="E109" s="10" t="n">
        <x:v>1</x:v>
      </x:c>
      <x:c r="F109" s="4" t="n">
        <x:f>IF(COUNT(N109,Q109,T109,W109,Z109,AC109,AF109,AI109)=8,N109*Guide!$E$5+Q109*Guide!$E$6+T109*Guide!$E$7+W109*Guide!$E$8+Z109*Guide!$E$9+AC109*Guide!$E$10+AF109*Guide!$E$11+AI109*Guide!$E$12,"")</x:f>
        <x:v>356</x:v>
      </x:c>
      <x:c r="G109" s="4" t="n">
        <x:f>IF(COUNT(O109,R109,U109,X109,AA109,AD109,AG109,AJ109)=8,O109*Guide!$E$5+R109*Guide!$E$6+U109*Guide!$E$7+X109*Guide!$E$8+AA109*Guide!$E$9+AD109*Guide!$E$10+AG109*Guide!$E$11+AJ109*Guide!$E$12,"")</x:f>
        <x:v>271</x:v>
      </x:c>
      <x:c r="H109" s="4" t="n">
        <x:f>IF(COUNT(G109,F109)=2,G109-F109,"")</x:f>
        <x:v>-85</x:v>
      </x:c>
      <x:c r="I109" s="4" t="n">
        <x:f>IF(AND(ISNUMBER(F109),K109&gt;0),F109/K109,"")</x:f>
        <x:v>4.45</x:v>
      </x:c>
      <x:c r="J109" s="4" t="n">
        <x:f>IF(AND(ISNUMBER(G109),L109&gt;0),G109/L109,"")</x:f>
        <x:v>3.5194805194805197</x:v>
      </x:c>
      <x:c r="K109" s="10" t="n">
        <x:v>80</x:v>
      </x:c>
      <x:c r="L109" s="10" t="n">
        <x:v>77</x:v>
      </x:c>
      <x:c r="M109" s="10" t="n">
        <x:f>IF(COUNT(L109,K109)=2,L109-K109,"")</x:f>
        <x:v>-3</x:v>
      </x:c>
      <x:c r="N109" s="10" t="n">
        <x:v>15</x:v>
      </x:c>
      <x:c r="O109" s="10" t="n">
        <x:v>12</x:v>
      </x:c>
      <x:c r="P109" s="10" t="n">
        <x:f>IF(COUNT(O109,N109)=2,O109-N109,"")</x:f>
        <x:v>-3</x:v>
      </x:c>
      <x:c r="Q109" s="10" t="n">
        <x:v>40</x:v>
      </x:c>
      <x:c r="R109" s="10" t="n">
        <x:v>27</x:v>
      </x:c>
      <x:c r="S109" s="10" t="n">
        <x:f>IF(COUNT(R109,Q109)=2,R109-Q109,"")</x:f>
        <x:v>-13</x:v>
      </x:c>
      <x:c r="T109" s="10" t="n">
        <x:v>6</x:v>
      </x:c>
      <x:c r="U109" s="10" t="n">
        <x:v>-2</x:v>
      </x:c>
      <x:c r="V109" s="10" t="n">
        <x:f>IF(COUNT(U109,T109)=2,U109-T109,"")</x:f>
        <x:v>-8</x:v>
      </x:c>
      <x:c r="W109" s="10" t="n">
        <x:v>23</x:v>
      </x:c>
      <x:c r="X109" s="10" t="n">
        <x:f>IF(COUNT(AV109,AW109)=2,AV109+AW109,"")</x:f>
        <x:v>14</x:v>
      </x:c>
      <x:c r="Y109" s="10" t="n">
        <x:f>IF(COUNT(X109,W109)=2,X109-W109,"")</x:f>
        <x:v>-9</x:v>
      </x:c>
      <x:c r="Z109" s="10" t="n">
        <x:v>0</x:v>
      </x:c>
      <x:c r="AA109" s="10" t="n">
        <x:f>IF(COUNT(AX109,AY109)=2,AX109+AY109,"")</x:f>
        <x:v>0</x:v>
      </x:c>
      <x:c r="AB109" s="10" t="n">
        <x:f>IF(COUNT(AA109,Z109)=2,AA109-Z109,"")</x:f>
        <x:v>0</x:v>
      </x:c>
      <x:c r="AC109" s="10" t="n">
        <x:v>212</x:v>
      </x:c>
      <x:c r="AD109" s="10" t="n">
        <x:v>202</x:v>
      </x:c>
      <x:c r="AE109" s="10" t="n">
        <x:f>IF(COUNT(AD109,AC109)=2,AD109-AC109,"")</x:f>
        <x:v>-10</x:v>
      </x:c>
      <x:c r="AF109" s="10" t="n">
        <x:v>82</x:v>
      </x:c>
      <x:c r="AG109" s="10" t="n">
        <x:v>87</x:v>
      </x:c>
      <x:c r="AH109" s="10" t="n">
        <x:f>IF(COUNT(AG109,AF109)=2,AG109-AF109,"")</x:f>
        <x:v>5</x:v>
      </x:c>
      <x:c r="AI109" s="10" t="n">
        <x:v>98</x:v>
      </x:c>
      <x:c r="AJ109" s="10" t="n">
        <x:v>77</x:v>
      </x:c>
      <x:c r="AK109" s="10" t="n">
        <x:f>IF(COUNT(AJ109,AI109)=2,AJ109-AI109,"")</x:f>
        <x:v>-21</x:v>
      </x:c>
      <x:c r="AL109" s="10" t="n">
        <x:v>32</x:v>
      </x:c>
      <x:c r="AM109" s="10" t="n">
        <x:v>32</x:v>
      </x:c>
      <x:c r="AN109" s="4" t="str">
        <x:v>D</x:v>
      </x:c>
      <x:c r="AO109" s="4" t="str">
        <x:v>D</x:v>
      </x:c>
      <x:c r="AP109" s="4" t="str">
        <x:v>NJ</x:v>
      </x:c>
      <x:c r="AQ109" s="4" t="str">
        <x:v>NJD</x:v>
      </x:c>
      <x:c r="AR109" s="4" t="n">
        <x:v>19.990000000000002</x:v>
      </x:c>
      <x:c r="AS109" s="4" t="n">
        <x:v>21.533333333333335</x:v>
      </x:c>
      <x:c r="AT109" s="4" t="n">
        <x:v>2.68</x:v>
      </x:c>
      <x:c r="AU109" s="4" t="n">
        <x:v>5.9</x:v>
      </x:c>
      <x:c r="AV109" s="10" t="n">
        <x:v>4</x:v>
      </x:c>
      <x:c r="AW109" s="10" t="n">
        <x:v>10</x:v>
      </x:c>
      <x:c r="AX109" s="10" t="n">
        <x:v>0</x:v>
      </x:c>
      <x:c r="AY109" s="10" t="n">
        <x:v>0</x:v>
      </x:c>
      <x:c r="AZ109" s="10" t="n">
        <x:v>1509</x:v>
      </x:c>
      <x:c r="BA109" s="10" t="n">
        <x:v>1270</x:v>
      </x:c>
      <x:c r="BB109" s="4" t="n">
        <x:v>54.3</x:v>
      </x:c>
      <x:c r="BC109" s="4" t="n">
        <x:v>4.2</x:v>
      </x:c>
      <x:c r="BD109" s="10" t="n">
        <x:v>1090</x:v>
      </x:c>
      <x:c r="BE109" s="10" t="n">
        <x:v>924</x:v>
      </x:c>
      <x:c r="BF109" s="4" t="n">
        <x:v>54.1</x:v>
      </x:c>
      <x:c r="BG109" s="4" t="n">
        <x:v>4.3</x:v>
      </x:c>
      <x:c r="BH109" s="4" t="n">
        <x:v>8.5</x:v>
      </x:c>
      <x:c r="BI109" s="4" t="n">
        <x:v>89.5</x:v>
      </x:c>
      <x:c r="BJ109" s="4" t="n">
        <x:v>98</x:v>
      </x:c>
      <x:c r="BK109" s="4" t="n">
        <x:v>52.2</x:v>
      </x:c>
      <x:c r="BL109" s="4" t="n">
        <x:v>47.8</x:v>
      </x:c>
      <x:c r="BM109" s="4" t="n">
        <x:v>21.533333333333335</x:v>
      </x:c>
      <x:c r="BN109" s="4" t="n">
        <x:v>18.016666666666666</x:v>
      </x:c>
      <x:c r="BO109" s="10" t="n">
        <x:v>14</x:v>
      </x:c>
      <x:c r="BP109" s="10" t="n">
        <x:v>119</x:v>
      </x:c>
      <x:c r="BQ109" s="4" t="n">
        <x:v>2.3</x:v>
      </x:c>
      <x:c r="BR109" s="10" t="n">
        <x:v>456</x:v>
      </x:c>
      <x:c r="BS109" s="4" t="n">
        <x:v>44.3</x:v>
      </x:c>
      <x:c r="BT109" s="10" t="n">
        <x:v>77</x:v>
      </x:c>
      <x:c r="BU109" s="4" t="str">
        <x:v>NJD</x:v>
      </x:c>
      <x:c r="BV109" s="10" t="n">
        <x:v>116</x:v>
      </x:c>
      <x:c r="BW109" s="10" t="n">
        <x:v>220</x:v>
      </x:c>
      <x:c r="BX109" s="10" t="n">
        <x:v>384</x:v>
      </x:c>
      <x:c r="BY109" s="4" t="str">
        <x:v>Dougie Hamilton</x:v>
      </x:c>
      <x:c r="BZ109" s="4" t="str">
        <x:v>Dougie Hamilton</x:v>
      </x:c>
      <x:c r="CA109" s="4" t="str">
        <x:v>Dougie Hamilton</x:v>
      </x:c>
      <x:c r="CB109" s="4" t="str">
        <x:v>hamildo01</x:v>
      </x:c>
    </x:row>
    <x:row r="110" ht="22" customHeight="1">
      <x:c r="A110" s="4" t="str">
        <x:v>Drake Batherson</x:v>
      </x:c>
      <x:c r="B110" s="4" t="str">
        <x:v>drakebatherson</x:v>
      </x:c>
      <x:c r="C110" s="10" t="n">
        <x:v>1</x:v>
      </x:c>
      <x:c r="D110" s="10" t="n">
        <x:v>1</x:v>
      </x:c>
      <x:c r="E110" s="10" t="n">
        <x:v>1</x:v>
      </x:c>
      <x:c r="F110" s="4" t="n">
        <x:f>IF(COUNT(N110,Q110,T110,W110,Z110,AC110,AF110,AI110)=8,N110*Guide!$E$5+Q110*Guide!$E$6+T110*Guide!$E$7+W110*Guide!$E$8+Z110*Guide!$E$9+AC110*Guide!$E$10+AF110*Guide!$E$11+AI110*Guide!$E$12,"")</x:f>
        <x:v>350.5</x:v>
      </x:c>
      <x:c r="G110" s="4" t="n">
        <x:f>IF(COUNT(O110,R110,U110,X110,AA110,AD110,AG110,AJ110)=8,O110*Guide!$E$5+R110*Guide!$E$6+U110*Guide!$E$7+X110*Guide!$E$8+AA110*Guide!$E$9+AD110*Guide!$E$10+AG110*Guide!$E$11+AJ110*Guide!$E$12,"")</x:f>
        <x:v>357.75</x:v>
      </x:c>
      <x:c r="H110" s="4" t="n">
        <x:f>IF(COUNT(G110,F110)=2,G110-F110,"")</x:f>
        <x:v>7.25</x:v>
      </x:c>
      <x:c r="I110" s="4" t="n">
        <x:f>IF(AND(ISNUMBER(F110),K110&gt;0),F110/K110,"")</x:f>
        <x:v>4.274390243902439</x:v>
      </x:c>
      <x:c r="J110" s="4" t="n">
        <x:f>IF(AND(ISNUMBER(G110),L110&gt;0),G110/L110,"")</x:f>
        <x:v>4.5284810126582276</x:v>
      </x:c>
      <x:c r="K110" s="10" t="n">
        <x:v>82</x:v>
      </x:c>
      <x:c r="L110" s="10" t="n">
        <x:v>79</x:v>
      </x:c>
      <x:c r="M110" s="10" t="n">
        <x:f>IF(COUNT(L110,K110)=2,L110-K110,"")</x:f>
        <x:v>-3</x:v>
      </x:c>
      <x:c r="N110" s="10" t="n">
        <x:v>26</x:v>
      </x:c>
      <x:c r="O110" s="10" t="n">
        <x:v>33</x:v>
      </x:c>
      <x:c r="P110" s="10" t="n">
        <x:f>IF(COUNT(O110,N110)=2,O110-N110,"")</x:f>
        <x:v>7</x:v>
      </x:c>
      <x:c r="Q110" s="10" t="n">
        <x:v>40</x:v>
      </x:c>
      <x:c r="R110" s="10" t="n">
        <x:v>38</x:v>
      </x:c>
      <x:c r="S110" s="10" t="n">
        <x:f>IF(COUNT(R110,Q110)=2,R110-Q110,"")</x:f>
        <x:v>-2</x:v>
      </x:c>
      <x:c r="T110" s="10" t="n">
        <x:v>-6</x:v>
      </x:c>
      <x:c r="U110" s="10" t="n">
        <x:v>-7</x:v>
      </x:c>
      <x:c r="V110" s="10" t="n">
        <x:f>IF(COUNT(U110,T110)=2,U110-T110,"")</x:f>
        <x:v>-1</x:v>
      </x:c>
      <x:c r="W110" s="10" t="n">
        <x:v>26</x:v>
      </x:c>
      <x:c r="X110" s="10" t="n">
        <x:f>IF(COUNT(AV110,AW110)=2,AV110+AW110,"")</x:f>
        <x:v>30</x:v>
      </x:c>
      <x:c r="Y110" s="10" t="n">
        <x:f>IF(COUNT(X110,W110)=2,X110-W110,"")</x:f>
        <x:v>4</x:v>
      </x:c>
      <x:c r="Z110" s="10" t="n">
        <x:v>0</x:v>
      </x:c>
      <x:c r="AA110" s="10" t="n">
        <x:f>IF(COUNT(AX110,AY110)=2,AX110+AY110,"")</x:f>
        <x:v>0</x:v>
      </x:c>
      <x:c r="AB110" s="10" t="n">
        <x:f>IF(COUNT(AA110,Z110)=2,AA110-Z110,"")</x:f>
        <x:v>0</x:v>
      </x:c>
      <x:c r="AC110" s="10" t="n">
        <x:v>192</x:v>
      </x:c>
      <x:c r="AD110" s="10" t="n">
        <x:v>167</x:v>
      </x:c>
      <x:c r="AE110" s="10" t="n">
        <x:f>IF(COUNT(AD110,AC110)=2,AD110-AC110,"")</x:f>
        <x:v>-25</x:v>
      </x:c>
      <x:c r="AF110" s="10" t="n">
        <x:v>135</x:v>
      </x:c>
      <x:c r="AG110" s="10" t="n">
        <x:v>122</x:v>
      </x:c>
      <x:c r="AH110" s="10" t="n">
        <x:f>IF(COUNT(AG110,AF110)=2,AG110-AF110,"")</x:f>
        <x:v>-13</x:v>
      </x:c>
      <x:c r="AI110" s="10" t="n">
        <x:v>33</x:v>
      </x:c>
      <x:c r="AJ110" s="10" t="n">
        <x:v>22</x:v>
      </x:c>
      <x:c r="AK110" s="10" t="n">
        <x:f>IF(COUNT(AJ110,AI110)=2,AJ110-AI110,"")</x:f>
        <x:v>-11</x:v>
      </x:c>
      <x:c r="AL110" s="10" t="n">
        <x:v>27</x:v>
      </x:c>
      <x:c r="AM110" s="10" t="n">
        <x:v>27</x:v>
      </x:c>
      <x:c r="AN110" s="4" t="str">
        <x:v>LW,RW</x:v>
      </x:c>
      <x:c r="AO110" s="4" t="str">
        <x:v>C</x:v>
      </x:c>
      <x:c r="AP110" s="4" t="str">
        <x:v>OTT</x:v>
      </x:c>
      <x:c r="AQ110" s="4" t="str">
        <x:v>OTT</x:v>
      </x:c>
      <x:c r="AR110" s="4" t="n">
        <x:v>18.07</x:v>
      </x:c>
      <x:c r="AS110" s="4" t="n">
        <x:v>17.35</x:v>
      </x:c>
      <x:c r="AT110" s="4" t="n">
        <x:v>3.13</x:v>
      </x:c>
      <x:c r="AU110" s="4" t="n">
        <x:v>19.8</x:v>
      </x:c>
      <x:c r="AV110" s="10" t="n">
        <x:v>13</x:v>
      </x:c>
      <x:c r="AW110" s="10" t="n">
        <x:v>17</x:v>
      </x:c>
      <x:c r="AX110" s="10" t="n">
        <x:v>0</x:v>
      </x:c>
      <x:c r="AY110" s="10" t="n">
        <x:v>0</x:v>
      </x:c>
      <x:c r="AZ110" s="10" t="n">
        <x:v>1189</x:v>
      </x:c>
      <x:c r="BA110" s="10" t="n">
        <x:v>929</x:v>
      </x:c>
      <x:c r="BB110" s="4" t="n">
        <x:v>56.1</x:v>
      </x:c>
      <x:c r="BC110" s="4" t="n">
        <x:v>4.9</x:v>
      </x:c>
      <x:c r="BD110" s="10" t="n">
        <x:v>858</x:v>
      </x:c>
      <x:c r="BE110" s="10" t="n">
        <x:v>681</x:v>
      </x:c>
      <x:c r="BF110" s="4" t="n">
        <x:v>55.8</x:v>
      </x:c>
      <x:c r="BG110" s="4" t="n">
        <x:v>3.4</x:v>
      </x:c>
      <x:c r="BH110" s="4" t="n">
        <x:v>9.6</x:v>
      </x:c>
      <x:c r="BI110" s="4" t="n">
        <x:v>87.4</x:v>
      </x:c>
      <x:c r="BJ110" s="4" t="n">
        <x:v>97.1</x:v>
      </x:c>
      <x:c r="BK110" s="4" t="n">
        <x:v>69.7</x:v>
      </x:c>
      <x:c r="BL110" s="4" t="n">
        <x:v>30.3</x:v>
      </x:c>
      <x:c r="BM110" s="4" t="n">
        <x:v>17.35</x:v>
      </x:c>
      <x:c r="BN110" s="4" t="n">
        <x:v>14.133333333333333</x:v>
      </x:c>
      <x:c r="BO110" s="10" t="n">
        <x:v>22</x:v>
      </x:c>
      <x:c r="BP110" s="10" t="n">
        <x:v>63</x:v>
      </x:c>
      <x:c r="BQ110" s="4" t="n">
        <x:v>12.1</x:v>
      </x:c>
      <x:c r="BR110" s="10" t="n">
        <x:v>338</x:v>
      </x:c>
      <x:c r="BS110" s="4" t="n">
        <x:v>49.7</x:v>
      </x:c>
      <x:c r="BT110" s="10" t="n">
        <x:v>79</x:v>
      </x:c>
      <x:c r="BU110" s="4" t="str">
        <x:v>OTT</x:v>
      </x:c>
      <x:c r="BV110" s="10" t="n">
        <x:v>60</x:v>
      </x:c>
      <x:c r="BW110" s="10" t="n">
        <x:v>53</x:v>
      </x:c>
      <x:c r="BX110" s="10" t="n">
        <x:v>36</x:v>
      </x:c>
      <x:c r="BY110" s="4" t="str">
        <x:v>Drake Batherson</x:v>
      </x:c>
      <x:c r="BZ110" s="4" t="str">
        <x:v>Drake Batherson</x:v>
      </x:c>
      <x:c r="CA110" s="4" t="str">
        <x:v>Drake Batherson</x:v>
      </x:c>
      <x:c r="CB110" s="4" t="str">
        <x:v>bathedr01</x:v>
      </x:c>
    </x:row>
    <x:row r="111" ht="22" customHeight="1">
      <x:c r="A111" s="4" t="str">
        <x:v>Drew Doughty</x:v>
      </x:c>
      <x:c r="B111" s="4" t="str">
        <x:v>drewdoughty</x:v>
      </x:c>
      <x:c r="C111" s="10" t="n">
        <x:v>1</x:v>
      </x:c>
      <x:c r="D111" s="10" t="n">
        <x:v>1</x:v>
      </x:c>
      <x:c r="E111" s="10" t="n">
        <x:v>1</x:v>
      </x:c>
      <x:c r="F111" s="4" t="n">
        <x:f>IF(COUNT(N111,Q111,T111,W111,Z111,AC111,AF111,AI111)=8,N111*Guide!$E$5+Q111*Guide!$E$6+T111*Guide!$E$7+W111*Guide!$E$8+Z111*Guide!$E$9+AC111*Guide!$E$10+AF111*Guide!$E$11+AI111*Guide!$E$12,"")</x:f>
        <x:v>308</x:v>
      </x:c>
      <x:c r="G111" s="4" t="n">
        <x:f>IF(COUNT(O111,R111,U111,X111,AA111,AD111,AG111,AJ111)=8,O111*Guide!$E$5+R111*Guide!$E$6+U111*Guide!$E$7+X111*Guide!$E$8+AA111*Guide!$E$9+AD111*Guide!$E$10+AG111*Guide!$E$11+AJ111*Guide!$E$12,"")</x:f>
        <x:v>177.25</x:v>
      </x:c>
      <x:c r="H111" s="4" t="n">
        <x:f>IF(COUNT(G111,F111)=2,G111-F111,"")</x:f>
        <x:v>-130.75</x:v>
      </x:c>
      <x:c r="I111" s="4" t="n">
        <x:f>IF(AND(ISNUMBER(F111),K111&gt;0),F111/K111,"")</x:f>
        <x:v>4.052631578947368</x:v>
      </x:c>
      <x:c r="J111" s="4" t="n">
        <x:f>IF(AND(ISNUMBER(G111),L111&gt;0),G111/L111,"")</x:f>
        <x:v>2.4618055555555554</x:v>
      </x:c>
      <x:c r="K111" s="10" t="n">
        <x:v>76</x:v>
      </x:c>
      <x:c r="L111" s="10" t="n">
        <x:v>72</x:v>
      </x:c>
      <x:c r="M111" s="10" t="n">
        <x:f>IF(COUNT(L111,K111)=2,L111-K111,"")</x:f>
        <x:v>-4</x:v>
      </x:c>
      <x:c r="N111" s="10" t="n">
        <x:v>10</x:v>
      </x:c>
      <x:c r="O111" s="10" t="n">
        <x:v>5</x:v>
      </x:c>
      <x:c r="P111" s="10" t="n">
        <x:f>IF(COUNT(O111,N111)=2,O111-N111,"")</x:f>
        <x:v>-5</x:v>
      </x:c>
      <x:c r="Q111" s="10" t="n">
        <x:v>35</x:v>
      </x:c>
      <x:c r="R111" s="10" t="n">
        <x:v>18</x:v>
      </x:c>
      <x:c r="S111" s="10" t="n">
        <x:f>IF(COUNT(R111,Q111)=2,R111-Q111,"")</x:f>
        <x:v>-17</x:v>
      </x:c>
      <x:c r="T111" s="10" t="n">
        <x:v>11</x:v>
      </x:c>
      <x:c r="U111" s="10" t="n">
        <x:v>4</x:v>
      </x:c>
      <x:c r="V111" s="10" t="n">
        <x:f>IF(COUNT(U111,T111)=2,U111-T111,"")</x:f>
        <x:v>-7</x:v>
      </x:c>
      <x:c r="W111" s="10" t="n">
        <x:v>19</x:v>
      </x:c>
      <x:c r="X111" s="10" t="n">
        <x:f>IF(COUNT(AV111,AW111)=2,AV111+AW111,"")</x:f>
        <x:v>1</x:v>
      </x:c>
      <x:c r="Y111" s="10" t="n">
        <x:f>IF(COUNT(X111,W111)=2,X111-W111,"")</x:f>
        <x:v>-18</x:v>
      </x:c>
      <x:c r="Z111" s="10" t="n">
        <x:v>1</x:v>
      </x:c>
      <x:c r="AA111" s="10" t="n">
        <x:f>IF(COUNT(AX111,AY111)=2,AX111+AY111,"")</x:f>
        <x:v>1</x:v>
      </x:c>
      <x:c r="AB111" s="10" t="n">
        <x:f>IF(COUNT(AA111,Z111)=2,AA111-Z111,"")</x:f>
        <x:v>0</x:v>
      </x:c>
      <x:c r="AC111" s="10" t="n">
        <x:v>107</x:v>
      </x:c>
      <x:c r="AD111" s="10" t="n">
        <x:v>101</x:v>
      </x:c>
      <x:c r="AE111" s="10" t="n">
        <x:f>IF(COUNT(AD111,AC111)=2,AD111-AC111,"")</x:f>
        <x:v>-6</x:v>
      </x:c>
      <x:c r="AF111" s="10" t="n">
        <x:v>71</x:v>
      </x:c>
      <x:c r="AG111" s="10" t="n">
        <x:v>52</x:v>
      </x:c>
      <x:c r="AH111" s="10" t="n">
        <x:f>IF(COUNT(AG111,AF111)=2,AG111-AF111,"")</x:f>
        <x:v>-19</x:v>
      </x:c>
      <x:c r="AI111" s="10" t="n">
        <x:v>114</x:v>
      </x:c>
      <x:c r="AJ111" s="10" t="n">
        <x:v>76</x:v>
      </x:c>
      <x:c r="AK111" s="10" t="n">
        <x:f>IF(COUNT(AJ111,AI111)=2,AJ111-AI111,"")</x:f>
        <x:v>-38</x:v>
      </x:c>
      <x:c r="AL111" s="10" t="n">
        <x:v>36</x:v>
      </x:c>
      <x:c r="AM111" s="10" t="n">
        <x:v>36</x:v>
      </x:c>
      <x:c r="AN111" s="4" t="str">
        <x:v>D</x:v>
      </x:c>
      <x:c r="AO111" s="4" t="str">
        <x:v>D</x:v>
      </x:c>
      <x:c r="AP111" s="4" t="str">
        <x:v>LA</x:v>
      </x:c>
      <x:c r="AQ111" s="4" t="str">
        <x:v>LAK</x:v>
      </x:c>
      <x:c r="AR111" s="4" t="n">
        <x:v>24.45</x:v>
      </x:c>
      <x:c r="AS111" s="4" t="n">
        <x:v>23.083333333333332</x:v>
      </x:c>
      <x:c r="AT111" s="4" t="n">
        <x:v>2.65</x:v>
      </x:c>
      <x:c r="AU111" s="4" t="n">
        <x:v>5</x:v>
      </x:c>
      <x:c r="AV111" s="10" t="n">
        <x:v>0</x:v>
      </x:c>
      <x:c r="AW111" s="10" t="n">
        <x:v>1</x:v>
      </x:c>
      <x:c r="AX111" s="10" t="n">
        <x:v>0</x:v>
      </x:c>
      <x:c r="AY111" s="10" t="n">
        <x:v>1</x:v>
      </x:c>
      <x:c r="AZ111" s="10" t="n">
        <x:v>1466</x:v>
      </x:c>
      <x:c r="BA111" s="10" t="n">
        <x:v>1276</x:v>
      </x:c>
      <x:c r="BB111" s="4" t="n">
        <x:v>53.5</x:v>
      </x:c>
      <x:c r="BC111" s="4" t="n">
        <x:v>2.3</x:v>
      </x:c>
      <x:c r="BD111" s="10" t="n">
        <x:v>1043</x:v>
      </x:c>
      <x:c r="BE111" s="10" t="n">
        <x:v>939</x:v>
      </x:c>
      <x:c r="BF111" s="4" t="n">
        <x:v>52.6</x:v>
      </x:c>
      <x:c r="BG111" s="4" t="n">
        <x:v>1.1</x:v>
      </x:c>
      <x:c r="BH111" s="4" t="n">
        <x:v>10</x:v>
      </x:c>
      <x:c r="BI111" s="4" t="n">
        <x:v>90.3</x:v>
      </x:c>
      <x:c r="BJ111" s="4" t="n">
        <x:v>100.3</x:v>
      </x:c>
      <x:c r="BK111" s="4" t="n">
        <x:v>48</x:v>
      </x:c>
      <x:c r="BL111" s="4" t="n">
        <x:v>52</x:v>
      </x:c>
      <x:c r="BM111" s="4" t="n">
        <x:v>23.083333333333332</x:v>
      </x:c>
      <x:c r="BN111" s="4" t="n">
        <x:v>20.133333333333333</x:v>
      </x:c>
      <x:c r="BO111" s="10" t="n">
        <x:v>18</x:v>
      </x:c>
      <x:c r="BP111" s="10" t="n">
        <x:v>82</x:v>
      </x:c>
      <x:c r="BQ111" s="4" t="n">
        <x:v>9.3</x:v>
      </x:c>
      <x:c r="BR111" s="10" t="n">
        <x:v>259</x:v>
      </x:c>
      <x:c r="BS111" s="4" t="n">
        <x:v>39</x:v>
      </x:c>
      <x:c r="BT111" s="10" t="n">
        <x:v>72</x:v>
      </x:c>
      <x:c r="BU111" s="4" t="str">
        <x:v>LAK</x:v>
      </x:c>
      <x:c r="BV111" s="10" t="n">
        <x:v>197</x:v>
      </x:c>
      <x:c r="BW111" s="10" t="n">
        <x:v>423</x:v>
      </x:c>
      <x:c r="BX111" s="10" t="n">
        <x:v>227</x:v>
      </x:c>
      <x:c r="BY111" s="4" t="str">
        <x:v>Drew Doughty</x:v>
      </x:c>
      <x:c r="BZ111" s="4" t="str">
        <x:v>Drew Doughty</x:v>
      </x:c>
      <x:c r="CA111" s="4" t="str">
        <x:v>Drew Doughty</x:v>
      </x:c>
      <x:c r="CB111" s="4" t="str">
        <x:v>doughdr01</x:v>
      </x:c>
    </x:row>
    <x:row r="112" ht="22" customHeight="1">
      <x:c r="A112" s="4" t="str">
        <x:v>Drew O'Connor</x:v>
      </x:c>
      <x:c r="B112" s="4" t="str">
        <x:v>drewoconnor</x:v>
      </x:c>
      <x:c r="C112" s="10" t="n">
        <x:v>1</x:v>
      </x:c>
      <x:c r="D112" s="10" t="n">
        <x:v>1</x:v>
      </x:c>
      <x:c r="E112" s="10" t="n">
        <x:v>1</x:v>
      </x:c>
      <x:c r="F112" s="4" t="n">
        <x:f>IF(COUNT(N112,Q112,T112,W112,Z112,AC112,AF112,AI112)=8,N112*Guide!$E$5+Q112*Guide!$E$6+T112*Guide!$E$7+W112*Guide!$E$8+Z112*Guide!$E$9+AC112*Guide!$E$10+AF112*Guide!$E$11+AI112*Guide!$E$12,"")</x:f>
        <x:v>192.5</x:v>
      </x:c>
      <x:c r="G112" s="4" t="n">
        <x:f>IF(COUNT(O112,R112,U112,X112,AA112,AD112,AG112,AJ112)=8,O112*Guide!$E$5+R112*Guide!$E$6+U112*Guide!$E$7+X112*Guide!$E$8+AA112*Guide!$E$9+AD112*Guide!$E$10+AG112*Guide!$E$11+AJ112*Guide!$E$12,"")</x:f>
        <x:v>173.75</x:v>
      </x:c>
      <x:c r="H112" s="4" t="n">
        <x:f>IF(COUNT(G112,F112)=2,G112-F112,"")</x:f>
        <x:v>-18.75</x:v>
      </x:c>
      <x:c r="I112" s="4" t="n">
        <x:f>IF(AND(ISNUMBER(F112),K112&gt;0),F112/K112,"")</x:f>
        <x:v>2.40625</x:v>
      </x:c>
      <x:c r="J112" s="4" t="n">
        <x:f>IF(AND(ISNUMBER(G112),L112&gt;0),G112/L112,"")</x:f>
        <x:v>2.1189024390243905</x:v>
      </x:c>
      <x:c r="K112" s="10" t="n">
        <x:v>80</x:v>
      </x:c>
      <x:c r="L112" s="10" t="n">
        <x:v>82</x:v>
      </x:c>
      <x:c r="M112" s="10" t="n">
        <x:f>IF(COUNT(L112,K112)=2,L112-K112,"")</x:f>
        <x:v>2</x:v>
      </x:c>
      <x:c r="N112" s="10" t="n">
        <x:v>14</x:v>
      </x:c>
      <x:c r="O112" s="10" t="n">
        <x:v>17</x:v>
      </x:c>
      <x:c r="P112" s="10" t="n">
        <x:f>IF(COUNT(O112,N112)=2,O112-N112,"")</x:f>
        <x:v>3</x:v>
      </x:c>
      <x:c r="Q112" s="10" t="n">
        <x:v>15</x:v>
      </x:c>
      <x:c r="R112" s="10" t="n">
        <x:v>12</x:v>
      </x:c>
      <x:c r="S112" s="10" t="n">
        <x:f>IF(COUNT(R112,Q112)=2,R112-Q112,"")</x:f>
        <x:v>-3</x:v>
      </x:c>
      <x:c r="T112" s="10" t="n">
        <x:v>-3</x:v>
      </x:c>
      <x:c r="U112" s="10" t="n">
        <x:v>-12</x:v>
      </x:c>
      <x:c r="V112" s="10" t="n">
        <x:f>IF(COUNT(U112,T112)=2,U112-T112,"")</x:f>
        <x:v>-9</x:v>
      </x:c>
      <x:c r="W112" s="10" t="n">
        <x:v>2</x:v>
      </x:c>
      <x:c r="X112" s="10" t="n">
        <x:f>IF(COUNT(AV112,AW112)=2,AV112+AW112,"")</x:f>
        <x:v>0</x:v>
      </x:c>
      <x:c r="Y112" s="10" t="n">
        <x:f>IF(COUNT(X112,W112)=2,X112-W112,"")</x:f>
        <x:v>-2</x:v>
      </x:c>
      <x:c r="Z112" s="10" t="n">
        <x:v>1</x:v>
      </x:c>
      <x:c r="AA112" s="10" t="n">
        <x:f>IF(COUNT(AX112,AY112)=2,AX112+AY112,"")</x:f>
        <x:v>3</x:v>
      </x:c>
      <x:c r="AB112" s="10" t="n">
        <x:f>IF(COUNT(AA112,Z112)=2,AA112-Z112,"")</x:f>
        <x:v>2</x:v>
      </x:c>
      <x:c r="AC112" s="10" t="n">
        <x:v>125</x:v>
      </x:c>
      <x:c r="AD112" s="10" t="n">
        <x:v>136</x:v>
      </x:c>
      <x:c r="AE112" s="10" t="n">
        <x:f>IF(COUNT(AD112,AC112)=2,AD112-AC112,"")</x:f>
        <x:v>11</x:v>
      </x:c>
      <x:c r="AF112" s="10" t="n">
        <x:v>83</x:v>
      </x:c>
      <x:c r="AG112" s="10" t="n">
        <x:v>77</x:v>
      </x:c>
      <x:c r="AH112" s="10" t="n">
        <x:f>IF(COUNT(AG112,AF112)=2,AG112-AF112,"")</x:f>
        <x:v>-6</x:v>
      </x:c>
      <x:c r="AI112" s="10" t="n">
        <x:v>50</x:v>
      </x:c>
      <x:c r="AJ112" s="10" t="n">
        <x:v>26</x:v>
      </x:c>
      <x:c r="AK112" s="10" t="n">
        <x:f>IF(COUNT(AJ112,AI112)=2,AJ112-AI112,"")</x:f>
        <x:v>-24</x:v>
      </x:c>
      <x:c r="AL112" s="10" t="n">
        <x:v>27</x:v>
      </x:c>
      <x:c r="AM112" s="10" t="n">
        <x:v>27</x:v>
      </x:c>
      <x:c r="AN112" s="4" t="str">
        <x:v>LW</x:v>
      </x:c>
      <x:c r="AO112" s="4" t="str">
        <x:v>F</x:v>
      </x:c>
      <x:c r="AP112" s="4" t="str">
        <x:v>VAN</x:v>
      </x:c>
      <x:c r="AQ112" s="4" t="str">
        <x:v>VAN</x:v>
      </x:c>
      <x:c r="AR112" s="4" t="n">
        <x:v>14.35</x:v>
      </x:c>
      <x:c r="AS112" s="4" t="n">
        <x:v>14.583333333333334</x:v>
      </x:c>
      <x:c r="AT112" s="4" t="n">
        <x:v>0.35</x:v>
      </x:c>
      <x:c r="AU112" s="4" t="n">
        <x:v>12.5</x:v>
      </x:c>
      <x:c r="AV112" s="10" t="n">
        <x:v>0</x:v>
      </x:c>
      <x:c r="AW112" s="10" t="n">
        <x:v>0</x:v>
      </x:c>
      <x:c r="AX112" s="10" t="n">
        <x:v>2</x:v>
      </x:c>
      <x:c r="AY112" s="10" t="n">
        <x:v>1</x:v>
      </x:c>
      <x:c r="AZ112" s="10" t="n">
        <x:v>977</x:v>
      </x:c>
      <x:c r="BA112" s="10" t="n">
        <x:v>1050</x:v>
      </x:c>
      <x:c r="BB112" s="4" t="n">
        <x:v>48.2</x:v>
      </x:c>
      <x:c r="BC112" s="4" t="n">
        <x:v>2</x:v>
      </x:c>
      <x:c r="BD112" s="10" t="n">
        <x:v>711</x:v>
      </x:c>
      <x:c r="BE112" s="10" t="n">
        <x:v>767</x:v>
      </x:c>
      <x:c r="BF112" s="4" t="n">
        <x:v>48.1</x:v>
      </x:c>
      <x:c r="BG112" s="4" t="n">
        <x:v>2.4</x:v>
      </x:c>
      <x:c r="BH112" s="4" t="n">
        <x:v>9.4</x:v>
      </x:c>
      <x:c r="BI112" s="4" t="n">
        <x:v>88.5</x:v>
      </x:c>
      <x:c r="BJ112" s="4" t="n">
        <x:v>97.9</x:v>
      </x:c>
      <x:c r="BK112" s="4" t="n">
        <x:v>51.5</x:v>
      </x:c>
      <x:c r="BL112" s="4" t="n">
        <x:v>48.5</x:v>
      </x:c>
      <x:c r="BM112" s="4" t="n">
        <x:v>14.583333333333334</x:v>
      </x:c>
      <x:c r="BN112" s="4" t="n">
        <x:v>13.15</x:v>
      </x:c>
      <x:c r="BO112" s="10" t="n">
        <x:v>23</x:v>
      </x:c>
      <x:c r="BP112" s="10" t="n">
        <x:v>62</x:v>
      </x:c>
      <x:c r="BQ112" s="4" t="n">
        <x:v>-12.7</x:v>
      </x:c>
      <x:c r="BR112" s="10" t="n">
        <x:v>269</x:v>
      </x:c>
      <x:c r="BS112" s="4" t="n">
        <x:v>50.6</x:v>
      </x:c>
      <x:c r="BT112" s="10" t="n">
        <x:v>82</x:v>
      </x:c>
      <x:c r="BU112" s="4" t="str">
        <x:v>VAN</x:v>
      </x:c>
      <x:c r="BV112" s="10" t="n">
        <x:v>388</x:v>
      </x:c>
      <x:c r="BW112" s="10" t="n">
        <x:v>345</x:v>
      </x:c>
      <x:c r="BX112" s="10" t="n">
        <x:v>753</x:v>
      </x:c>
      <x:c r="BY112" s="4" t="str">
        <x:v>Drew O'Connor</x:v>
      </x:c>
      <x:c r="BZ112" s="4" t="str">
        <x:v>Drew O'Connor</x:v>
      </x:c>
      <x:c r="CA112" s="4" t="str">
        <x:v>Drew O'Connor</x:v>
      </x:c>
      <x:c r="CB112" s="4" t="str">
        <x:v>oconndr01</x:v>
      </x:c>
    </x:row>
    <x:row r="113" ht="22" customHeight="1">
      <x:c r="A113" s="4" t="str">
        <x:v>Dylan Cozens</x:v>
      </x:c>
      <x:c r="B113" s="4" t="str">
        <x:v>dylancozens</x:v>
      </x:c>
      <x:c r="C113" s="10" t="n">
        <x:v>1</x:v>
      </x:c>
      <x:c r="D113" s="10" t="n">
        <x:v>1</x:v>
      </x:c>
      <x:c r="E113" s="10" t="n">
        <x:v>1</x:v>
      </x:c>
      <x:c r="F113" s="4" t="n">
        <x:f>IF(COUNT(N113,Q113,T113,W113,Z113,AC113,AF113,AI113)=8,N113*Guide!$E$5+Q113*Guide!$E$6+T113*Guide!$E$7+W113*Guide!$E$8+Z113*Guide!$E$9+AC113*Guide!$E$10+AF113*Guide!$E$11+AI113*Guide!$E$12,"")</x:f>
        <x:v>329.25</x:v>
      </x:c>
      <x:c r="G113" s="4" t="n">
        <x:f>IF(COUNT(O113,R113,U113,X113,AA113,AD113,AG113,AJ113)=8,O113*Guide!$E$5+R113*Guide!$E$6+U113*Guide!$E$7+X113*Guide!$E$8+AA113*Guide!$E$9+AD113*Guide!$E$10+AG113*Guide!$E$11+AJ113*Guide!$E$12,"")</x:f>
        <x:v>349.75</x:v>
      </x:c>
      <x:c r="H113" s="4" t="n">
        <x:f>IF(COUNT(G113,F113)=2,G113-F113,"")</x:f>
        <x:v>20.5</x:v>
      </x:c>
      <x:c r="I113" s="4" t="n">
        <x:f>IF(AND(ISNUMBER(F113),K113&gt;0),F113/K113,"")</x:f>
        <x:v>4.064814814814815</x:v>
      </x:c>
      <x:c r="J113" s="4" t="n">
        <x:f>IF(AND(ISNUMBER(G113),L113&gt;0),G113/L113,"")</x:f>
        <x:v>4.265243902439025</x:v>
      </x:c>
      <x:c r="K113" s="10" t="n">
        <x:v>81</x:v>
      </x:c>
      <x:c r="L113" s="10" t="n">
        <x:v>82</x:v>
      </x:c>
      <x:c r="M113" s="10" t="n">
        <x:f>IF(COUNT(L113,K113)=2,L113-K113,"")</x:f>
        <x:v>1</x:v>
      </x:c>
      <x:c r="N113" s="10" t="n">
        <x:v>23</x:v>
      </x:c>
      <x:c r="O113" s="10" t="n">
        <x:v>28</x:v>
      </x:c>
      <x:c r="P113" s="10" t="n">
        <x:f>IF(COUNT(O113,N113)=2,O113-N113,"")</x:f>
        <x:v>5</x:v>
      </x:c>
      <x:c r="Q113" s="10" t="n">
        <x:v>33</x:v>
      </x:c>
      <x:c r="R113" s="10" t="n">
        <x:v>31</x:v>
      </x:c>
      <x:c r="S113" s="10" t="n">
        <x:f>IF(COUNT(R113,Q113)=2,R113-Q113,"")</x:f>
        <x:v>-2</x:v>
      </x:c>
      <x:c r="T113" s="10" t="n">
        <x:v>2</x:v>
      </x:c>
      <x:c r="U113" s="10" t="n">
        <x:v>-7</x:v>
      </x:c>
      <x:c r="V113" s="10" t="n">
        <x:f>IF(COUNT(U113,T113)=2,U113-T113,"")</x:f>
        <x:v>-9</x:v>
      </x:c>
      <x:c r="W113" s="10" t="n">
        <x:v>15</x:v>
      </x:c>
      <x:c r="X113" s="10" t="n">
        <x:f>IF(COUNT(AV113,AW113)=2,AV113+AW113,"")</x:f>
        <x:v>29</x:v>
      </x:c>
      <x:c r="Y113" s="10" t="n">
        <x:f>IF(COUNT(X113,W113)=2,X113-W113,"")</x:f>
        <x:v>14</x:v>
      </x:c>
      <x:c r="Z113" s="10" t="n">
        <x:v>1</x:v>
      </x:c>
      <x:c r="AA113" s="10" t="n">
        <x:f>IF(COUNT(AX113,AY113)=2,AX113+AY113,"")</x:f>
        <x:v>0</x:v>
      </x:c>
      <x:c r="AB113" s="10" t="n">
        <x:f>IF(COUNT(AA113,Z113)=2,AA113-Z113,"")</x:f>
        <x:v>-1</x:v>
      </x:c>
      <x:c r="AC113" s="10" t="n">
        <x:v>187</x:v>
      </x:c>
      <x:c r="AD113" s="10" t="n">
        <x:v>204</x:v>
      </x:c>
      <x:c r="AE113" s="10" t="n">
        <x:f>IF(COUNT(AD113,AC113)=2,AD113-AC113,"")</x:f>
        <x:v>17</x:v>
      </x:c>
      <x:c r="AF113" s="10" t="n">
        <x:v>166</x:v>
      </x:c>
      <x:c r="AG113" s="10" t="n">
        <x:v>215</x:v>
      </x:c>
      <x:c r="AH113" s="10" t="n">
        <x:f>IF(COUNT(AG113,AF113)=2,AG113-AF113,"")</x:f>
        <x:v>49</x:v>
      </x:c>
      <x:c r="AI113" s="10" t="n">
        <x:v>40</x:v>
      </x:c>
      <x:c r="AJ113" s="10" t="n">
        <x:v>24</x:v>
      </x:c>
      <x:c r="AK113" s="10" t="n">
        <x:f>IF(COUNT(AJ113,AI113)=2,AJ113-AI113,"")</x:f>
        <x:v>-16</x:v>
      </x:c>
      <x:c r="AL113" s="10" t="n">
        <x:v>24</x:v>
      </x:c>
      <x:c r="AM113" s="10" t="n">
        <x:v>24</x:v>
      </x:c>
      <x:c r="AN113" s="4" t="str">
        <x:v>C</x:v>
      </x:c>
      <x:c r="AO113" s="4" t="str">
        <x:v>C</x:v>
      </x:c>
      <x:c r="AP113" s="4" t="str">
        <x:v>OTT</x:v>
      </x:c>
      <x:c r="AQ113" s="4" t="str">
        <x:v>OTT</x:v>
      </x:c>
      <x:c r="AR113" s="4" t="n">
        <x:v>17.38</x:v>
      </x:c>
      <x:c r="AS113" s="4" t="n">
        <x:v>17.033333333333335</x:v>
      </x:c>
      <x:c r="AT113" s="4" t="n">
        <x:v>2.43</x:v>
      </x:c>
      <x:c r="AU113" s="4" t="n">
        <x:v>13.7</x:v>
      </x:c>
      <x:c r="AV113" s="10" t="n">
        <x:v>13</x:v>
      </x:c>
      <x:c r="AW113" s="10" t="n">
        <x:v>16</x:v>
      </x:c>
      <x:c r="AX113" s="10" t="n">
        <x:v>0</x:v>
      </x:c>
      <x:c r="AY113" s="10" t="n">
        <x:v>0</x:v>
      </x:c>
      <x:c r="AZ113" s="10" t="n">
        <x:v>1224</x:v>
      </x:c>
      <x:c r="BA113" s="10" t="n">
        <x:v>913</x:v>
      </x:c>
      <x:c r="BB113" s="4" t="n">
        <x:v>57.3</x:v>
      </x:c>
      <x:c r="BC113" s="4" t="n">
        <x:v>6.3</x:v>
      </x:c>
      <x:c r="BD113" s="10" t="n">
        <x:v>895</x:v>
      </x:c>
      <x:c r="BE113" s="10" t="n">
        <x:v>655</x:v>
      </x:c>
      <x:c r="BF113" s="4" t="n">
        <x:v>57.7</x:v>
      </x:c>
      <x:c r="BG113" s="4" t="n">
        <x:v>5.9</x:v>
      </x:c>
      <x:c r="BH113" s="4" t="n">
        <x:v>8.2</x:v>
      </x:c>
      <x:c r="BI113" s="4" t="n">
        <x:v>87.8</x:v>
      </x:c>
      <x:c r="BJ113" s="4" t="n">
        <x:v>96</x:v>
      </x:c>
      <x:c r="BK113" s="4" t="n">
        <x:v>59</x:v>
      </x:c>
      <x:c r="BL113" s="4" t="n">
        <x:v>41</x:v>
      </x:c>
      <x:c r="BM113" s="4" t="n">
        <x:v>17.033333333333335</x:v>
      </x:c>
      <x:c r="BN113" s="4" t="n">
        <x:v>13.766666666666667</x:v>
      </x:c>
      <x:c r="BO113" s="10" t="n">
        <x:v>19</x:v>
      </x:c>
      <x:c r="BP113" s="10" t="n">
        <x:v>53</x:v>
      </x:c>
      <x:c r="BQ113" s="4" t="n">
        <x:v>20.6</x:v>
      </x:c>
      <x:c r="BR113" s="10" t="n">
        <x:v>380</x:v>
      </x:c>
      <x:c r="BS113" s="4" t="n">
        <x:v>53.7</x:v>
      </x:c>
      <x:c r="BT113" s="10" t="n">
        <x:v>82</x:v>
      </x:c>
      <x:c r="BU113" s="4" t="str">
        <x:v>OTT</x:v>
      </x:c>
      <x:c r="BV113" s="10" t="n">
        <x:v>109</x:v>
      </x:c>
      <x:c r="BW113" s="10" t="n">
        <x:v>93</x:v>
      </x:c>
      <x:c r="BX113" s="10" t="n">
        <x:v>180</x:v>
      </x:c>
      <x:c r="BY113" s="4" t="str">
        <x:v>Dylan Cozens</x:v>
      </x:c>
      <x:c r="BZ113" s="4" t="str">
        <x:v>Dylan Cozens</x:v>
      </x:c>
      <x:c r="CA113" s="4" t="str">
        <x:v>Dylan Cozens</x:v>
      </x:c>
      <x:c r="CB113" s="4" t="str">
        <x:v>cozendy01</x:v>
      </x:c>
    </x:row>
    <x:row r="114" ht="22" customHeight="1">
      <x:c r="A114" s="4" t="str">
        <x:v>Dylan DeMelo</x:v>
      </x:c>
      <x:c r="B114" s="4" t="str">
        <x:v>dylandemelo</x:v>
      </x:c>
      <x:c r="C114" s="10" t="n">
        <x:v>1</x:v>
      </x:c>
      <x:c r="D114" s="10" t="n">
        <x:v>1</x:v>
      </x:c>
      <x:c r="E114" s="10" t="n">
        <x:v>1</x:v>
      </x:c>
      <x:c r="F114" s="4" t="n">
        <x:f>IF(COUNT(N114,Q114,T114,W114,Z114,AC114,AF114,AI114)=8,N114*Guide!$E$5+Q114*Guide!$E$6+T114*Guide!$E$7+W114*Guide!$E$8+Z114*Guide!$E$9+AC114*Guide!$E$10+AF114*Guide!$E$11+AI114*Guide!$E$12,"")</x:f>
        <x:v>251.25</x:v>
      </x:c>
      <x:c r="G114" s="4" t="n">
        <x:f>IF(COUNT(O114,R114,U114,X114,AA114,AD114,AG114,AJ114)=8,O114*Guide!$E$5+R114*Guide!$E$6+U114*Guide!$E$7+X114*Guide!$E$8+AA114*Guide!$E$9+AD114*Guide!$E$10+AG114*Guide!$E$11+AJ114*Guide!$E$12,"")</x:f>
        <x:v>202.25</x:v>
      </x:c>
      <x:c r="H114" s="4" t="n">
        <x:f>IF(COUNT(G114,F114)=2,G114-F114,"")</x:f>
        <x:v>-49</x:v>
      </x:c>
      <x:c r="I114" s="4" t="n">
        <x:f>IF(AND(ISNUMBER(F114),K114&gt;0),F114/K114,"")</x:f>
        <x:v>3.0640243902439024</x:v>
      </x:c>
      <x:c r="J114" s="4" t="n">
        <x:f>IF(AND(ISNUMBER(G114),L114&gt;0),G114/L114,"")</x:f>
        <x:v>2.466463414634146</x:v>
      </x:c>
      <x:c r="K114" s="10" t="n">
        <x:v>82</x:v>
      </x:c>
      <x:c r="L114" s="10" t="n">
        <x:v>82</x:v>
      </x:c>
      <x:c r="M114" s="10" t="n">
        <x:f>IF(COUNT(L114,K114)=2,L114-K114,"")</x:f>
        <x:v>0</x:v>
      </x:c>
      <x:c r="N114" s="10" t="n">
        <x:v>4</x:v>
      </x:c>
      <x:c r="O114" s="10" t="n">
        <x:v>3</x:v>
      </x:c>
      <x:c r="P114" s="10" t="n">
        <x:f>IF(COUNT(O114,N114)=2,O114-N114,"")</x:f>
        <x:v>-1</x:v>
      </x:c>
      <x:c r="Q114" s="10" t="n">
        <x:v>23</x:v>
      </x:c>
      <x:c r="R114" s="10" t="n">
        <x:v>16</x:v>
      </x:c>
      <x:c r="S114" s="10" t="n">
        <x:f>IF(COUNT(R114,Q114)=2,R114-Q114,"")</x:f>
        <x:v>-7</x:v>
      </x:c>
      <x:c r="T114" s="10" t="n">
        <x:v>21</x:v>
      </x:c>
      <x:c r="U114" s="10" t="n">
        <x:v>7</x:v>
      </x:c>
      <x:c r="V114" s="10" t="n">
        <x:f>IF(COUNT(U114,T114)=2,U114-T114,"")</x:f>
        <x:v>-14</x:v>
      </x:c>
      <x:c r="W114" s="10" t="n">
        <x:v>1</x:v>
      </x:c>
      <x:c r="X114" s="10" t="n">
        <x:f>IF(COUNT(AV114,AW114)=2,AV114+AW114,"")</x:f>
        <x:v>0</x:v>
      </x:c>
      <x:c r="Y114" s="10" t="n">
        <x:f>IF(COUNT(X114,W114)=2,X114-W114,"")</x:f>
        <x:v>-1</x:v>
      </x:c>
      <x:c r="Z114" s="10" t="n">
        <x:v>1</x:v>
      </x:c>
      <x:c r="AA114" s="10" t="n">
        <x:f>IF(COUNT(AX114,AY114)=2,AX114+AY114,"")</x:f>
        <x:v>2</x:v>
      </x:c>
      <x:c r="AB114" s="10" t="n">
        <x:f>IF(COUNT(AA114,Z114)=2,AA114-Z114,"")</x:f>
        <x:v>1</x:v>
      </x:c>
      <x:c r="AC114" s="10" t="n">
        <x:v>81</x:v>
      </x:c>
      <x:c r="AD114" s="10" t="n">
        <x:v>75</x:v>
      </x:c>
      <x:c r="AE114" s="10" t="n">
        <x:f>IF(COUNT(AD114,AC114)=2,AD114-AC114,"")</x:f>
        <x:v>-6</x:v>
      </x:c>
      <x:c r="AF114" s="10" t="n">
        <x:v>130</x:v>
      </x:c>
      <x:c r="AG114" s="10" t="n">
        <x:v>115</x:v>
      </x:c>
      <x:c r="AH114" s="10" t="n">
        <x:f>IF(COUNT(AG114,AF114)=2,AG114-AF114,"")</x:f>
        <x:v>-15</x:v>
      </x:c>
      <x:c r="AI114" s="10" t="n">
        <x:v>118</x:v>
      </x:c>
      <x:c r="AJ114" s="10" t="n">
        <x:v>109</x:v>
      </x:c>
      <x:c r="AK114" s="10" t="n">
        <x:f>IF(COUNT(AJ114,AI114)=2,AJ114-AI114,"")</x:f>
        <x:v>-9</x:v>
      </x:c>
      <x:c r="AL114" s="10" t="n">
        <x:v>32</x:v>
      </x:c>
      <x:c r="AM114" s="10" t="n">
        <x:v>32</x:v>
      </x:c>
      <x:c r="AN114" s="4" t="str">
        <x:v>D</x:v>
      </x:c>
      <x:c r="AO114" s="4" t="str">
        <x:v>D</x:v>
      </x:c>
      <x:c r="AP114" s="4" t="str">
        <x:v>WPG</x:v>
      </x:c>
      <x:c r="AQ114" s="4" t="str">
        <x:v>WPG</x:v>
      </x:c>
      <x:c r="AR114" s="4" t="n">
        <x:v>21.639999999999997</x:v>
      </x:c>
      <x:c r="AS114" s="4" t="n">
        <x:v>21.45</x:v>
      </x:c>
      <x:c r="AT114" s="4" t="n">
        <x:v>0.11</x:v>
      </x:c>
      <x:c r="AU114" s="4" t="n">
        <x:v>4</x:v>
      </x:c>
      <x:c r="AV114" s="10" t="n">
        <x:v>0</x:v>
      </x:c>
      <x:c r="AW114" s="10" t="n">
        <x:v>0</x:v>
      </x:c>
      <x:c r="AX114" s="10" t="n">
        <x:v>0</x:v>
      </x:c>
      <x:c r="AY114" s="10" t="n">
        <x:v>2</x:v>
      </x:c>
      <x:c r="AZ114" s="10" t="n">
        <x:v>1381</x:v>
      </x:c>
      <x:c r="BA114" s="10" t="n">
        <x:v>1428</x:v>
      </x:c>
      <x:c r="BB114" s="4" t="n">
        <x:v>49.2</x:v>
      </x:c>
      <x:c r="BC114" s="4" t="n">
        <x:v>0.5</x:v>
      </x:c>
      <x:c r="BD114" s="10" t="n">
        <x:v>1037</x:v>
      </x:c>
      <x:c r="BE114" s="10" t="n">
        <x:v>1039</x:v>
      </x:c>
      <x:c r="BF114" s="4" t="n">
        <x:v>50</x:v>
      </x:c>
      <x:c r="BG114" s="4" t="n">
        <x:v>1.9</x:v>
      </x:c>
      <x:c r="BH114" s="4" t="n">
        <x:v>10.7</x:v>
      </x:c>
      <x:c r="BI114" s="4" t="n">
        <x:v>90.3</x:v>
      </x:c>
      <x:c r="BJ114" s="4" t="n">
        <x:v>101</x:v>
      </x:c>
      <x:c r="BK114" s="4" t="n">
        <x:v>56</x:v>
      </x:c>
      <x:c r="BL114" s="4" t="n">
        <x:v>44</x:v>
      </x:c>
      <x:c r="BM114" s="4" t="n">
        <x:v>21.45</x:v>
      </x:c>
      <x:c r="BN114" s="4" t="n">
        <x:v>19.066666666666666</x:v>
      </x:c>
      <x:c r="BO114" s="10" t="n">
        <x:v>23</x:v>
      </x:c>
      <x:c r="BP114" s="10" t="n">
        <x:v>80</x:v>
      </x:c>
      <x:c r="BQ114" s="4" t="n">
        <x:v>0</x:v>
      </x:c>
      <x:c r="BR114" s="10" t="n">
        <x:v>199</x:v>
      </x:c>
      <x:c r="BS114" s="4" t="n">
        <x:v>37.7</x:v>
      </x:c>
      <x:c r="BT114" s="10" t="n">
        <x:v>82</x:v>
      </x:c>
      <x:c r="BU114" s="4" t="str">
        <x:v>WPG</x:v>
      </x:c>
      <x:c r="BV114" s="10" t="n">
        <x:v>405</x:v>
      </x:c>
      <x:c r="BW114" s="10" t="n">
        <x:v>473</x:v>
      </x:c>
      <x:c r="BX114" s="10" t="n">
        <x:v>207</x:v>
      </x:c>
      <x:c r="BY114" s="4" t="str">
        <x:v>Dylan DeMelo</x:v>
      </x:c>
      <x:c r="BZ114" s="4" t="str">
        <x:v>Dylan DeMelo</x:v>
      </x:c>
      <x:c r="CA114" s="4" t="str">
        <x:v>Dylan DeMelo</x:v>
      </x:c>
      <x:c r="CB114" s="4" t="str">
        <x:v>demeldy01</x:v>
      </x:c>
    </x:row>
    <x:row r="115" ht="22" customHeight="1">
      <x:c r="A115" s="4" t="str">
        <x:v>Dylan Guenther</x:v>
      </x:c>
      <x:c r="B115" s="4" t="str">
        <x:v>dylanguenther</x:v>
      </x:c>
      <x:c r="C115" s="10" t="n">
        <x:v>1</x:v>
      </x:c>
      <x:c r="D115" s="10" t="n">
        <x:v>1</x:v>
      </x:c>
      <x:c r="E115" s="10" t="n">
        <x:v>1</x:v>
      </x:c>
      <x:c r="F115" s="4" t="n">
        <x:f>IF(COUNT(N115,Q115,T115,W115,Z115,AC115,AF115,AI115)=8,N115*Guide!$E$5+Q115*Guide!$E$6+T115*Guide!$E$7+W115*Guide!$E$8+Z115*Guide!$E$9+AC115*Guide!$E$10+AF115*Guide!$E$11+AI115*Guide!$E$12,"")</x:f>
        <x:v>346.75</x:v>
      </x:c>
      <x:c r="G115" s="4" t="n">
        <x:f>IF(COUNT(O115,R115,U115,X115,AA115,AD115,AG115,AJ115)=8,O115*Guide!$E$5+R115*Guide!$E$6+U115*Guide!$E$7+X115*Guide!$E$8+AA115*Guide!$E$9+AD115*Guide!$E$10+AG115*Guide!$E$11+AJ115*Guide!$E$12,"")</x:f>
        <x:v>388</x:v>
      </x:c>
      <x:c r="H115" s="4" t="n">
        <x:f>IF(COUNT(G115,F115)=2,G115-F115,"")</x:f>
        <x:v>41.25</x:v>
      </x:c>
      <x:c r="I115" s="4" t="n">
        <x:f>IF(AND(ISNUMBER(F115),K115&gt;0),F115/K115,"")</x:f>
        <x:v>4.5625</x:v>
      </x:c>
      <x:c r="J115" s="4" t="n">
        <x:f>IF(AND(ISNUMBER(G115),L115&gt;0),G115/L115,"")</x:f>
        <x:v>4.9113924050632916</x:v>
      </x:c>
      <x:c r="K115" s="10" t="n">
        <x:v>76</x:v>
      </x:c>
      <x:c r="L115" s="10" t="n">
        <x:v>79</x:v>
      </x:c>
      <x:c r="M115" s="10" t="n">
        <x:f>IF(COUNT(L115,K115)=2,L115-K115,"")</x:f>
        <x:v>3</x:v>
      </x:c>
      <x:c r="N115" s="10" t="n">
        <x:v>31</x:v>
      </x:c>
      <x:c r="O115" s="10" t="n">
        <x:v>40</x:v>
      </x:c>
      <x:c r="P115" s="10" t="n">
        <x:f>IF(COUNT(O115,N115)=2,O115-N115,"")</x:f>
        <x:v>9</x:v>
      </x:c>
      <x:c r="Q115" s="10" t="n">
        <x:v>33</x:v>
      </x:c>
      <x:c r="R115" s="10" t="n">
        <x:v>33</x:v>
      </x:c>
      <x:c r="S115" s="10" t="n">
        <x:f>IF(COUNT(R115,Q115)=2,R115-Q115,"")</x:f>
        <x:v>0</x:v>
      </x:c>
      <x:c r="T115" s="10" t="n">
        <x:v>-5</x:v>
      </x:c>
      <x:c r="U115" s="10" t="n">
        <x:v>7</x:v>
      </x:c>
      <x:c r="V115" s="10" t="n">
        <x:f>IF(COUNT(U115,T115)=2,U115-T115,"")</x:f>
        <x:v>12</x:v>
      </x:c>
      <x:c r="W115" s="10" t="n">
        <x:v>28</x:v>
      </x:c>
      <x:c r="X115" s="10" t="n">
        <x:f>IF(COUNT(AV115,AW115)=2,AV115+AW115,"")</x:f>
        <x:v>24</x:v>
      </x:c>
      <x:c r="Y115" s="10" t="n">
        <x:f>IF(COUNT(X115,W115)=2,X115-W115,"")</x:f>
        <x:v>-4</x:v>
      </x:c>
      <x:c r="Z115" s="10" t="n">
        <x:v>0</x:v>
      </x:c>
      <x:c r="AA115" s="10" t="n">
        <x:f>IF(COUNT(AX115,AY115)=2,AX115+AY115,"")</x:f>
        <x:v>0</x:v>
      </x:c>
      <x:c r="AB115" s="10" t="n">
        <x:f>IF(COUNT(AA115,Z115)=2,AA115-Z115,"")</x:f>
        <x:v>0</x:v>
      </x:c>
      <x:c r="AC115" s="10" t="n">
        <x:v>212</x:v>
      </x:c>
      <x:c r="AD115" s="10" t="n">
        <x:v>242</x:v>
      </x:c>
      <x:c r="AE115" s="10" t="n">
        <x:f>IF(COUNT(AD115,AC115)=2,AD115-AC115,"")</x:f>
        <x:v>30</x:v>
      </x:c>
      <x:c r="AF115" s="10" t="n">
        <x:v>59</x:v>
      </x:c>
      <x:c r="AG115" s="10" t="n">
        <x:v>66</x:v>
      </x:c>
      <x:c r="AH115" s="10" t="n">
        <x:f>IF(COUNT(AG115,AF115)=2,AG115-AF115,"")</x:f>
        <x:v>7</x:v>
      </x:c>
      <x:c r="AI115" s="10" t="n">
        <x:v>44</x:v>
      </x:c>
      <x:c r="AJ115" s="10" t="n">
        <x:v>28</x:v>
      </x:c>
      <x:c r="AK115" s="10" t="n">
        <x:f>IF(COUNT(AJ115,AI115)=2,AJ115-AI115,"")</x:f>
        <x:v>-16</x:v>
      </x:c>
      <x:c r="AL115" s="10" t="n">
        <x:v>22</x:v>
      </x:c>
      <x:c r="AM115" s="10" t="n">
        <x:v>22</x:v>
      </x:c>
      <x:c r="AN115" s="4" t="str">
        <x:v>RW</x:v>
      </x:c>
      <x:c r="AO115" s="4" t="str">
        <x:v>RW</x:v>
      </x:c>
      <x:c r="AP115" s="4" t="str">
        <x:v>UTA</x:v>
      </x:c>
      <x:c r="AQ115" s="4" t="str">
        <x:v>UTA</x:v>
      </x:c>
      <x:c r="AR115" s="4" t="n">
        <x:v>17.21</x:v>
      </x:c>
      <x:c r="AS115" s="4" t="n">
        <x:v>17.4</x:v>
      </x:c>
      <x:c r="AT115" s="4" t="n">
        <x:v>3.31</x:v>
      </x:c>
      <x:c r="AU115" s="4" t="n">
        <x:v>16.5</x:v>
      </x:c>
      <x:c r="AV115" s="10" t="n">
        <x:v>9</x:v>
      </x:c>
      <x:c r="AW115" s="10" t="n">
        <x:v>15</x:v>
      </x:c>
      <x:c r="AX115" s="10" t="n">
        <x:v>0</x:v>
      </x:c>
      <x:c r="AY115" s="10" t="n">
        <x:v>0</x:v>
      </x:c>
      <x:c r="AZ115" s="10" t="n">
        <x:v>1228</x:v>
      </x:c>
      <x:c r="BA115" s="10" t="n">
        <x:v>1055</x:v>
      </x:c>
      <x:c r="BB115" s="4" t="n">
        <x:v>53.8</x:v>
      </x:c>
      <x:c r="BC115" s="4" t="n">
        <x:v>0.4</x:v>
      </x:c>
      <x:c r="BD115" s="10" t="n">
        <x:v>899</x:v>
      </x:c>
      <x:c r="BE115" s="10" t="n">
        <x:v>761</x:v>
      </x:c>
      <x:c r="BF115" s="4" t="n">
        <x:v>54.2</x:v>
      </x:c>
      <x:c r="BG115" s="4" t="n">
        <x:v>1.2</x:v>
      </x:c>
      <x:c r="BH115" s="4" t="n">
        <x:v>11.6</x:v>
      </x:c>
      <x:c r="BI115" s="4" t="n">
        <x:v>88.9</x:v>
      </x:c>
      <x:c r="BJ115" s="4" t="n">
        <x:v>100.5</x:v>
      </x:c>
      <x:c r="BK115" s="4" t="n">
        <x:v>53.6</x:v>
      </x:c>
      <x:c r="BL115" s="4" t="n">
        <x:v>46.4</x:v>
      </x:c>
      <x:c r="BM115" s="4" t="n">
        <x:v>17.4</x:v>
      </x:c>
      <x:c r="BN115" s="4" t="n">
        <x:v>13.883333333333333</x:v>
      </x:c>
      <x:c r="BO115" s="10" t="n">
        <x:v>16</x:v>
      </x:c>
      <x:c r="BP115" s="10" t="n">
        <x:v>68</x:v>
      </x:c>
      <x:c r="BQ115" s="4" t="n">
        <x:v>7.9</x:v>
      </x:c>
      <x:c r="BR115" s="10" t="n">
        <x:v>530</x:v>
      </x:c>
      <x:c r="BS115" s="4" t="n">
        <x:v>45.7</x:v>
      </x:c>
      <x:c r="BT115" s="10" t="n">
        <x:v>79</x:v>
      </x:c>
      <x:c r="BU115" s="4" t="str">
        <x:v>UTA</x:v>
      </x:c>
      <x:c r="BV115" s="10" t="n">
        <x:v>71</x:v>
      </x:c>
      <x:c r="BW115" s="10" t="n">
        <x:v>48</x:v>
      </x:c>
      <x:c r="BX115" s="10" t="n">
        <x:v>370</x:v>
      </x:c>
      <x:c r="BY115" s="4" t="str">
        <x:v>Dylan Guenther</x:v>
      </x:c>
      <x:c r="BZ115" s="4" t="str">
        <x:v>Dylan Guenther</x:v>
      </x:c>
      <x:c r="CA115" s="4" t="str">
        <x:v>Dylan Guenther</x:v>
      </x:c>
      <x:c r="CB115" s="4" t="str">
        <x:v>guentdy01</x:v>
      </x:c>
    </x:row>
    <x:row r="116" ht="22" customHeight="1">
      <x:c r="A116" s="4" t="str">
        <x:v>Dylan Holloway</x:v>
      </x:c>
      <x:c r="B116" s="4" t="str">
        <x:v>dylanholloway</x:v>
      </x:c>
      <x:c r="C116" s="10" t="n">
        <x:v>1</x:v>
      </x:c>
      <x:c r="D116" s="10" t="n">
        <x:v>1</x:v>
      </x:c>
      <x:c r="E116" s="10" t="n">
        <x:v>1</x:v>
      </x:c>
      <x:c r="F116" s="4" t="n">
        <x:f>IF(COUNT(N116,Q116,T116,W116,Z116,AC116,AF116,AI116)=8,N116*Guide!$E$5+Q116*Guide!$E$6+T116*Guide!$E$7+W116*Guide!$E$8+Z116*Guide!$E$9+AC116*Guide!$E$10+AF116*Guide!$E$11+AI116*Guide!$E$12,"")</x:f>
        <x:v>279.5</x:v>
      </x:c>
      <x:c r="G116" s="4" t="n">
        <x:f>IF(COUNT(O116,R116,U116,X116,AA116,AD116,AG116,AJ116)=8,O116*Guide!$E$5+R116*Guide!$E$6+U116*Guide!$E$7+X116*Guide!$E$8+AA116*Guide!$E$9+AD116*Guide!$E$10+AG116*Guide!$E$11+AJ116*Guide!$E$12,"")</x:f>
        <x:v>299.5</x:v>
      </x:c>
      <x:c r="H116" s="4" t="n">
        <x:f>IF(COUNT(G116,F116)=2,G116-F116,"")</x:f>
        <x:v>20</x:v>
      </x:c>
      <x:c r="I116" s="4" t="n">
        <x:f>IF(AND(ISNUMBER(F116),K116&gt;0),F116/K116,"")</x:f>
        <x:v>3.6298701298701297</x:v>
      </x:c>
      <x:c r="J116" s="4" t="n">
        <x:f>IF(AND(ISNUMBER(G116),L116&gt;0),G116/L116,"")</x:f>
        <x:v>5.076271186440678</x:v>
      </x:c>
      <x:c r="K116" s="10" t="n">
        <x:v>77</x:v>
      </x:c>
      <x:c r="L116" s="10" t="n">
        <x:v>59</x:v>
      </x:c>
      <x:c r="M116" s="10" t="n">
        <x:f>IF(COUNT(L116,K116)=2,L116-K116,"")</x:f>
        <x:v>-18</x:v>
      </x:c>
      <x:c r="N116" s="10" t="n">
        <x:v>20</x:v>
      </x:c>
      <x:c r="O116" s="10" t="n">
        <x:v>22</x:v>
      </x:c>
      <x:c r="P116" s="10" t="n">
        <x:f>IF(COUNT(O116,N116)=2,O116-N116,"")</x:f>
        <x:v>2</x:v>
      </x:c>
      <x:c r="Q116" s="10" t="n">
        <x:v>24</x:v>
      </x:c>
      <x:c r="R116" s="10" t="n">
        <x:v>29</x:v>
      </x:c>
      <x:c r="S116" s="10" t="n">
        <x:f>IF(COUNT(R116,Q116)=2,R116-Q116,"")</x:f>
        <x:v>5</x:v>
      </x:c>
      <x:c r="T116" s="10" t="n">
        <x:v>6</x:v>
      </x:c>
      <x:c r="U116" s="10" t="n">
        <x:v>13</x:v>
      </x:c>
      <x:c r="V116" s="10" t="n">
        <x:f>IF(COUNT(U116,T116)=2,U116-T116,"")</x:f>
        <x:v>7</x:v>
      </x:c>
      <x:c r="W116" s="10" t="n">
        <x:v>9</x:v>
      </x:c>
      <x:c r="X116" s="10" t="n">
        <x:f>IF(COUNT(AV116,AW116)=2,AV116+AW116,"")</x:f>
        <x:v>8</x:v>
      </x:c>
      <x:c r="Y116" s="10" t="n">
        <x:f>IF(COUNT(X116,W116)=2,X116-W116,"")</x:f>
        <x:v>-1</x:v>
      </x:c>
      <x:c r="Z116" s="10" t="n">
        <x:v>0</x:v>
      </x:c>
      <x:c r="AA116" s="10" t="n">
        <x:f>IF(COUNT(AX116,AY116)=2,AX116+AY116,"")</x:f>
        <x:v>0</x:v>
      </x:c>
      <x:c r="AB116" s="10" t="n">
        <x:f>IF(COUNT(AA116,Z116)=2,AA116-Z116,"")</x:f>
        <x:v>0</x:v>
      </x:c>
      <x:c r="AC116" s="10" t="n">
        <x:v>147</x:v>
      </x:c>
      <x:c r="AD116" s="10" t="n">
        <x:v>162</x:v>
      </x:c>
      <x:c r="AE116" s="10" t="n">
        <x:f>IF(COUNT(AD116,AC116)=2,AD116-AC116,"")</x:f>
        <x:v>15</x:v>
      </x:c>
      <x:c r="AF116" s="10" t="n">
        <x:v>174</x:v>
      </x:c>
      <x:c r="AG116" s="10" t="n">
        <x:v>129</x:v>
      </x:c>
      <x:c r="AH116" s="10" t="n">
        <x:f>IF(COUNT(AG116,AF116)=2,AG116-AF116,"")</x:f>
        <x:v>-45</x:v>
      </x:c>
      <x:c r="AI116" s="10" t="n">
        <x:v>43</x:v>
      </x:c>
      <x:c r="AJ116" s="10" t="n">
        <x:v>41</x:v>
      </x:c>
      <x:c r="AK116" s="10" t="n">
        <x:f>IF(COUNT(AJ116,AI116)=2,AJ116-AI116,"")</x:f>
        <x:v>-2</x:v>
      </x:c>
      <x:c r="AL116" s="10" t="n">
        <x:v>24</x:v>
      </x:c>
      <x:c r="AM116" s="10" t="n">
        <x:v>24</x:v>
      </x:c>
      <x:c r="AN116" s="4" t="str">
        <x:v>C,LW</x:v>
      </x:c>
      <x:c r="AO116" s="4" t="str">
        <x:v>C</x:v>
      </x:c>
      <x:c r="AP116" s="4" t="str">
        <x:v>STL</x:v>
      </x:c>
      <x:c r="AQ116" s="4" t="str">
        <x:v>STL</x:v>
      </x:c>
      <x:c r="AR116" s="4" t="n">
        <x:v>16.080000000000002</x:v>
      </x:c>
      <x:c r="AS116" s="4" t="n">
        <x:v>18.25</x:v>
      </x:c>
      <x:c r="AT116" s="4" t="n">
        <x:v>1.57</x:v>
      </x:c>
      <x:c r="AU116" s="4" t="n">
        <x:v>13.6</x:v>
      </x:c>
      <x:c r="AV116" s="10" t="n">
        <x:v>4</x:v>
      </x:c>
      <x:c r="AW116" s="10" t="n">
        <x:v>4</x:v>
      </x:c>
      <x:c r="AX116" s="10" t="n">
        <x:v>0</x:v>
      </x:c>
      <x:c r="AY116" s="10" t="n">
        <x:v>0</x:v>
      </x:c>
      <x:c r="AZ116" s="10" t="n">
        <x:v>898</x:v>
      </x:c>
      <x:c r="BA116" s="10" t="n">
        <x:v>878</x:v>
      </x:c>
      <x:c r="BB116" s="4" t="n">
        <x:v>50.6</x:v>
      </x:c>
      <x:c r="BC116" s="4" t="n">
        <x:v>2.9</x:v>
      </x:c>
      <x:c r="BD116" s="10" t="n">
        <x:v>647</x:v>
      </x:c>
      <x:c r="BE116" s="10" t="n">
        <x:v>646</x:v>
      </x:c>
      <x:c r="BF116" s="4" t="n">
        <x:v>50</x:v>
      </x:c>
      <x:c r="BG116" s="4" t="n">
        <x:v>3</x:v>
      </x:c>
      <x:c r="BH116" s="4" t="n">
        <x:v>13.5</x:v>
      </x:c>
      <x:c r="BI116" s="4" t="n">
        <x:v>89.9</x:v>
      </x:c>
      <x:c r="BJ116" s="4" t="n">
        <x:v>103.4</x:v>
      </x:c>
      <x:c r="BK116" s="4" t="n">
        <x:v>57.7</x:v>
      </x:c>
      <x:c r="BL116" s="4" t="n">
        <x:v>42.3</x:v>
      </x:c>
      <x:c r="BM116" s="4" t="n">
        <x:v>18.25</x:v>
      </x:c>
      <x:c r="BN116" s="4" t="n">
        <x:v>15.716666666666667</x:v>
      </x:c>
      <x:c r="BO116" s="10" t="n">
        <x:v>13</x:v>
      </x:c>
      <x:c r="BP116" s="10" t="n">
        <x:v>42</x:v>
      </x:c>
      <x:c r="BQ116" s="4" t="n">
        <x:v>5.5</x:v>
      </x:c>
      <x:c r="BR116" s="10" t="n">
        <x:v>296</x:v>
      </x:c>
      <x:c r="BS116" s="4" t="n">
        <x:v>54.7</x:v>
      </x:c>
      <x:c r="BT116" s="10" t="n">
        <x:v>59</x:v>
      </x:c>
      <x:c r="BU116" s="4" t="str">
        <x:v>STL</x:v>
      </x:c>
      <x:c r="BV116" s="10" t="n">
        <x:v>206</x:v>
      </x:c>
      <x:c r="BW116" s="10" t="n">
        <x:v>134</x:v>
      </x:c>
      <x:c r="BX116" s="10" t="n">
        <x:v>421</x:v>
      </x:c>
      <x:c r="BY116" s="4" t="str">
        <x:v>Dylan Holloway</x:v>
      </x:c>
      <x:c r="BZ116" s="4" t="str">
        <x:v>Dylan Holloway</x:v>
      </x:c>
      <x:c r="CA116" s="4" t="str">
        <x:v>Dylan Holloway</x:v>
      </x:c>
      <x:c r="CB116" s="4" t="str">
        <x:v>hollody01</x:v>
      </x:c>
    </x:row>
    <x:row r="117" ht="22" customHeight="1">
      <x:c r="A117" s="4" t="str">
        <x:v>Dylan Larkin</x:v>
      </x:c>
      <x:c r="B117" s="4" t="str">
        <x:v>dylanlarkin</x:v>
      </x:c>
      <x:c r="C117" s="10" t="n">
        <x:v>1</x:v>
      </x:c>
      <x:c r="D117" s="10" t="n">
        <x:v>1</x:v>
      </x:c>
      <x:c r="E117" s="10" t="n">
        <x:v>1</x:v>
      </x:c>
      <x:c r="F117" s="4" t="n">
        <x:f>IF(COUNT(N117,Q117,T117,W117,Z117,AC117,AF117,AI117)=8,N117*Guide!$E$5+Q117*Guide!$E$6+T117*Guide!$E$7+W117*Guide!$E$8+Z117*Guide!$E$9+AC117*Guide!$E$10+AF117*Guide!$E$11+AI117*Guide!$E$12,"")</x:f>
        <x:v>383.5</x:v>
      </x:c>
      <x:c r="G117" s="4" t="n">
        <x:f>IF(COUNT(O117,R117,U117,X117,AA117,AD117,AG117,AJ117)=8,O117*Guide!$E$5+R117*Guide!$E$6+U117*Guide!$E$7+X117*Guide!$E$8+AA117*Guide!$E$9+AD117*Guide!$E$10+AG117*Guide!$E$11+AJ117*Guide!$E$12,"")</x:f>
        <x:v>358.25</x:v>
      </x:c>
      <x:c r="H117" s="4" t="n">
        <x:f>IF(COUNT(G117,F117)=2,G117-F117,"")</x:f>
        <x:v>-25.25</x:v>
      </x:c>
      <x:c r="I117" s="4" t="n">
        <x:f>IF(AND(ISNUMBER(F117),K117&gt;0),F117/K117,"")</x:f>
        <x:v>4.79375</x:v>
      </x:c>
      <x:c r="J117" s="4" t="n">
        <x:f>IF(AND(ISNUMBER(G117),L117&gt;0),G117/L117,"")</x:f>
        <x:v>4.841216216216216</x:v>
      </x:c>
      <x:c r="K117" s="10" t="n">
        <x:v>80</x:v>
      </x:c>
      <x:c r="L117" s="10" t="n">
        <x:v>74</x:v>
      </x:c>
      <x:c r="M117" s="10" t="n">
        <x:f>IF(COUNT(L117,K117)=2,L117-K117,"")</x:f>
        <x:v>-6</x:v>
      </x:c>
      <x:c r="N117" s="10" t="n">
        <x:v>33</x:v>
      </x:c>
      <x:c r="O117" s="10" t="n">
        <x:v>34</x:v>
      </x:c>
      <x:c r="P117" s="10" t="n">
        <x:f>IF(COUNT(O117,N117)=2,O117-N117,"")</x:f>
        <x:v>1</x:v>
      </x:c>
      <x:c r="Q117" s="10" t="n">
        <x:v>42</x:v>
      </x:c>
      <x:c r="R117" s="10" t="n">
        <x:v>33</x:v>
      </x:c>
      <x:c r="S117" s="10" t="n">
        <x:f>IF(COUNT(R117,Q117)=2,R117-Q117,"")</x:f>
        <x:v>-9</x:v>
      </x:c>
      <x:c r="T117" s="10" t="n">
        <x:v>0</x:v>
      </x:c>
      <x:c r="U117" s="10" t="n">
        <x:v>3</x:v>
      </x:c>
      <x:c r="V117" s="10" t="n">
        <x:f>IF(COUNT(U117,T117)=2,U117-T117,"")</x:f>
        <x:v>3</x:v>
      </x:c>
      <x:c r="W117" s="10" t="n">
        <x:v>29</x:v>
      </x:c>
      <x:c r="X117" s="10" t="n">
        <x:f>IF(COUNT(AV117,AW117)=2,AV117+AW117,"")</x:f>
        <x:v>24</x:v>
      </x:c>
      <x:c r="Y117" s="10" t="n">
        <x:f>IF(COUNT(X117,W117)=2,X117-W117,"")</x:f>
        <x:v>-5</x:v>
      </x:c>
      <x:c r="Z117" s="10" t="n">
        <x:v>1</x:v>
      </x:c>
      <x:c r="AA117" s="10" t="n">
        <x:f>IF(COUNT(AX117,AY117)=2,AX117+AY117,"")</x:f>
        <x:v>1</x:v>
      </x:c>
      <x:c r="AB117" s="10" t="n">
        <x:f>IF(COUNT(AA117,Z117)=2,AA117-Z117,"")</x:f>
        <x:v>0</x:v>
      </x:c>
      <x:c r="AC117" s="10" t="n">
        <x:v>221</x:v>
      </x:c>
      <x:c r="AD117" s="10" t="n">
        <x:v>228</x:v>
      </x:c>
      <x:c r="AE117" s="10" t="n">
        <x:f>IF(COUNT(AD117,AC117)=2,AD117-AC117,"")</x:f>
        <x:v>7</x:v>
      </x:c>
      <x:c r="AF117" s="10" t="n">
        <x:v>45</x:v>
      </x:c>
      <x:c r="AG117" s="10" t="n">
        <x:v>46</x:v>
      </x:c>
      <x:c r="AH117" s="10" t="n">
        <x:f>IF(COUNT(AG117,AF117)=2,AG117-AF117,"")</x:f>
        <x:v>1</x:v>
      </x:c>
      <x:c r="AI117" s="10" t="n">
        <x:v>36</x:v>
      </x:c>
      <x:c r="AJ117" s="10" t="n">
        <x:v>33</x:v>
      </x:c>
      <x:c r="AK117" s="10" t="n">
        <x:f>IF(COUNT(AJ117,AI117)=2,AJ117-AI117,"")</x:f>
        <x:v>-3</x:v>
      </x:c>
      <x:c r="AL117" s="10" t="n">
        <x:v>29</x:v>
      </x:c>
      <x:c r="AM117" s="10" t="n">
        <x:v>29</x:v>
      </x:c>
      <x:c r="AN117" s="4" t="str">
        <x:v>C</x:v>
      </x:c>
      <x:c r="AO117" s="4" t="str">
        <x:v>C</x:v>
      </x:c>
      <x:c r="AP117" s="4" t="str">
        <x:v>DET</x:v>
      </x:c>
      <x:c r="AQ117" s="4" t="str">
        <x:v>DET</x:v>
      </x:c>
      <x:c r="AR117" s="4" t="n">
        <x:v>19.8</x:v>
      </x:c>
      <x:c r="AS117" s="4" t="n">
        <x:v>20.183333333333334</x:v>
      </x:c>
      <x:c r="AT117" s="4" t="n">
        <x:v>2.99</x:v>
      </x:c>
      <x:c r="AU117" s="4" t="n">
        <x:v>14.9</x:v>
      </x:c>
      <x:c r="AV117" s="10" t="n">
        <x:v>14</x:v>
      </x:c>
      <x:c r="AW117" s="10" t="n">
        <x:v>10</x:v>
      </x:c>
      <x:c r="AX117" s="10" t="n">
        <x:v>1</x:v>
      </x:c>
      <x:c r="AY117" s="10" t="n">
        <x:v>0</x:v>
      </x:c>
      <x:c r="AZ117" s="10" t="n">
        <x:v>1156</x:v>
      </x:c>
      <x:c r="BA117" s="10" t="n">
        <x:v>1102</x:v>
      </x:c>
      <x:c r="BB117" s="4" t="n">
        <x:v>51.2</x:v>
      </x:c>
      <x:c r="BC117" s="4" t="n">
        <x:v>3</x:v>
      </x:c>
      <x:c r="BD117" s="10" t="n">
        <x:v>834</x:v>
      </x:c>
      <x:c r="BE117" s="10" t="n">
        <x:v>790</x:v>
      </x:c>
      <x:c r="BF117" s="4" t="n">
        <x:v>51.4</x:v>
      </x:c>
      <x:c r="BG117" s="4" t="n">
        <x:v>2.1</x:v>
      </x:c>
      <x:c r="BH117" s="4" t="n">
        <x:v>11.2</x:v>
      </x:c>
      <x:c r="BI117" s="4" t="n">
        <x:v>88.6</x:v>
      </x:c>
      <x:c r="BJ117" s="4" t="n">
        <x:v>99.9</x:v>
      </x:c>
      <x:c r="BK117" s="4" t="n">
        <x:v>44.2</x:v>
      </x:c>
      <x:c r="BL117" s="4" t="n">
        <x:v>55.8</x:v>
      </x:c>
      <x:c r="BM117" s="4" t="n">
        <x:v>20.183333333333334</x:v>
      </x:c>
      <x:c r="BN117" s="4" t="n">
        <x:v>15.4</x:v>
      </x:c>
      <x:c r="BO117" s="10" t="n">
        <x:v>18</x:v>
      </x:c>
      <x:c r="BP117" s="10" t="n">
        <x:v>67</x:v>
      </x:c>
      <x:c r="BQ117" s="4" t="n">
        <x:v>-1.2</x:v>
      </x:c>
      <x:c r="BR117" s="10" t="n">
        <x:v>451</x:v>
      </x:c>
      <x:c r="BS117" s="4" t="n">
        <x:v>50.6</x:v>
      </x:c>
      <x:c r="BT117" s="10" t="n">
        <x:v>74</x:v>
      </x:c>
      <x:c r="BU117" s="4" t="str">
        <x:v>DET</x:v>
      </x:c>
      <x:c r="BV117" s="10" t="n">
        <x:v>32</x:v>
      </x:c>
      <x:c r="BW117" s="10" t="n">
        <x:v>64</x:v>
      </x:c>
      <x:c r="BX117" s="10" t="n">
        <x:v>575</x:v>
      </x:c>
      <x:c r="BY117" s="4" t="str">
        <x:v>Dylan Larkin</x:v>
      </x:c>
      <x:c r="BZ117" s="4" t="str">
        <x:v>Dylan Larkin</x:v>
      </x:c>
      <x:c r="CA117" s="4" t="str">
        <x:v>Dylan Larkin</x:v>
      </x:c>
      <x:c r="CB117" s="4" t="str">
        <x:v>larkidy01</x:v>
      </x:c>
    </x:row>
    <x:row r="118" ht="22" customHeight="1">
      <x:c r="A118" s="4" t="str">
        <x:v>Dylan Strome</x:v>
      </x:c>
      <x:c r="B118" s="4" t="str">
        <x:v>dylanstrome</x:v>
      </x:c>
      <x:c r="C118" s="10" t="n">
        <x:v>1</x:v>
      </x:c>
      <x:c r="D118" s="10" t="n">
        <x:v>1</x:v>
      </x:c>
      <x:c r="E118" s="10" t="n">
        <x:v>1</x:v>
      </x:c>
      <x:c r="F118" s="4" t="n">
        <x:f>IF(COUNT(N118,Q118,T118,W118,Z118,AC118,AF118,AI118)=8,N118*Guide!$E$5+Q118*Guide!$E$6+T118*Guide!$E$7+W118*Guide!$E$8+Z118*Guide!$E$9+AC118*Guide!$E$10+AF118*Guide!$E$11+AI118*Guide!$E$12,"")</x:f>
        <x:v>330.25</x:v>
      </x:c>
      <x:c r="G118" s="4" t="n">
        <x:f>IF(COUNT(O118,R118,U118,X118,AA118,AD118,AG118,AJ118)=8,O118*Guide!$E$5+R118*Guide!$E$6+U118*Guide!$E$7+X118*Guide!$E$8+AA118*Guide!$E$9+AD118*Guide!$E$10+AG118*Guide!$E$11+AJ118*Guide!$E$12,"")</x:f>
        <x:v>294.25</x:v>
      </x:c>
      <x:c r="H118" s="4" t="n">
        <x:f>IF(COUNT(G118,F118)=2,G118-F118,"")</x:f>
        <x:v>-36</x:v>
      </x:c>
      <x:c r="I118" s="4" t="n">
        <x:f>IF(AND(ISNUMBER(F118),K118&gt;0),F118/K118,"")</x:f>
        <x:v>4.027439024390244</x:v>
      </x:c>
      <x:c r="J118" s="4" t="n">
        <x:f>IF(AND(ISNUMBER(G118),L118&gt;0),G118/L118,"")</x:f>
        <x:v>3.678125</x:v>
      </x:c>
      <x:c r="K118" s="10" t="n">
        <x:v>82</x:v>
      </x:c>
      <x:c r="L118" s="10" t="n">
        <x:v>80</x:v>
      </x:c>
      <x:c r="M118" s="10" t="n">
        <x:f>IF(COUNT(L118,K118)=2,L118-K118,"")</x:f>
        <x:v>-2</x:v>
      </x:c>
      <x:c r="N118" s="10" t="n">
        <x:v>25</x:v>
      </x:c>
      <x:c r="O118" s="10" t="n">
        <x:v>19</x:v>
      </x:c>
      <x:c r="P118" s="10" t="n">
        <x:f>IF(COUNT(O118,N118)=2,O118-N118,"")</x:f>
        <x:v>-6</x:v>
      </x:c>
      <x:c r="Q118" s="10" t="n">
        <x:v>43</x:v>
      </x:c>
      <x:c r="R118" s="10" t="n">
        <x:v>39</x:v>
      </x:c>
      <x:c r="S118" s="10" t="n">
        <x:f>IF(COUNT(R118,Q118)=2,R118-Q118,"")</x:f>
        <x:v>-4</x:v>
      </x:c>
      <x:c r="T118" s="10" t="n">
        <x:v>-6</x:v>
      </x:c>
      <x:c r="U118" s="10" t="n">
        <x:v>2</x:v>
      </x:c>
      <x:c r="V118" s="10" t="n">
        <x:f>IF(COUNT(U118,T118)=2,U118-T118,"")</x:f>
        <x:v>8</x:v>
      </x:c>
      <x:c r="W118" s="10" t="n">
        <x:v>24</x:v>
      </x:c>
      <x:c r="X118" s="10" t="n">
        <x:f>IF(COUNT(AV118,AW118)=2,AV118+AW118,"")</x:f>
        <x:v>21</x:v>
      </x:c>
      <x:c r="Y118" s="10" t="n">
        <x:f>IF(COUNT(X118,W118)=2,X118-W118,"")</x:f>
        <x:v>-3</x:v>
      </x:c>
      <x:c r="Z118" s="10" t="n">
        <x:v>0</x:v>
      </x:c>
      <x:c r="AA118" s="10" t="n">
        <x:f>IF(COUNT(AX118,AY118)=2,AX118+AY118,"")</x:f>
        <x:v>0</x:v>
      </x:c>
      <x:c r="AB118" s="10" t="n">
        <x:f>IF(COUNT(AA118,Z118)=2,AA118-Z118,"")</x:f>
        <x:v>0</x:v>
      </x:c>
      <x:c r="AC118" s="10" t="n">
        <x:v>146</x:v>
      </x:c>
      <x:c r="AD118" s="10" t="n">
        <x:v>143</x:v>
      </x:c>
      <x:c r="AE118" s="10" t="n">
        <x:f>IF(COUNT(AD118,AC118)=2,AD118-AC118,"")</x:f>
        <x:v>-3</x:v>
      </x:c>
      <x:c r="AF118" s="10" t="n">
        <x:v>22</x:v>
      </x:c>
      <x:c r="AG118" s="10" t="n">
        <x:v>11</x:v>
      </x:c>
      <x:c r="AH118" s="10" t="n">
        <x:f>IF(COUNT(AG118,AF118)=2,AG118-AF118,"")</x:f>
        <x:v>-11</x:v>
      </x:c>
      <x:c r="AI118" s="10" t="n">
        <x:v>55</x:v>
      </x:c>
      <x:c r="AJ118" s="10" t="n">
        <x:v>53</x:v>
      </x:c>
      <x:c r="AK118" s="10" t="n">
        <x:f>IF(COUNT(AJ118,AI118)=2,AJ118-AI118,"")</x:f>
        <x:v>-2</x:v>
      </x:c>
      <x:c r="AL118" s="10" t="n">
        <x:v>28</x:v>
      </x:c>
      <x:c r="AM118" s="10" t="n">
        <x:v>28</x:v>
      </x:c>
      <x:c r="AN118" s="4" t="str">
        <x:v>C</x:v>
      </x:c>
      <x:c r="AO118" s="4" t="str">
        <x:v>C</x:v>
      </x:c>
      <x:c r="AP118" s="4" t="str">
        <x:v>WSH</x:v>
      </x:c>
      <x:c r="AQ118" s="4" t="str">
        <x:v>WSH</x:v>
      </x:c>
      <x:c r="AR118" s="4" t="n">
        <x:v>17.23</x:v>
      </x:c>
      <x:c r="AS118" s="4" t="n">
        <x:v>18.033333333333335</x:v>
      </x:c>
      <x:c r="AT118" s="4" t="n">
        <x:v>2.86</x:v>
      </x:c>
      <x:c r="AU118" s="4" t="n">
        <x:v>13.3</x:v>
      </x:c>
      <x:c r="AV118" s="10" t="n">
        <x:v>6</x:v>
      </x:c>
      <x:c r="AW118" s="10" t="n">
        <x:v>15</x:v>
      </x:c>
      <x:c r="AX118" s="10" t="n">
        <x:v>0</x:v>
      </x:c>
      <x:c r="AY118" s="10" t="n">
        <x:v>0</x:v>
      </x:c>
      <x:c r="AZ118" s="10" t="n">
        <x:v>1248</x:v>
      </x:c>
      <x:c r="BA118" s="10" t="n">
        <x:v>1235</x:v>
      </x:c>
      <x:c r="BB118" s="4" t="n">
        <x:v>50.3</x:v>
      </x:c>
      <x:c r="BC118" s="4" t="n">
        <x:v>1.3</x:v>
      </x:c>
      <x:c r="BD118" s="10" t="n">
        <x:v>915</x:v>
      </x:c>
      <x:c r="BE118" s="10" t="n">
        <x:v>896</x:v>
      </x:c>
      <x:c r="BF118" s="4" t="n">
        <x:v>50.5</x:v>
      </x:c>
      <x:c r="BG118" s="4" t="n">
        <x:v>0.3</x:v>
      </x:c>
      <x:c r="BH118" s="4" t="n">
        <x:v>13.2</x:v>
      </x:c>
      <x:c r="BI118" s="4" t="n">
        <x:v>88.4</x:v>
      </x:c>
      <x:c r="BJ118" s="4" t="n">
        <x:v>101.6</x:v>
      </x:c>
      <x:c r="BK118" s="4" t="n">
        <x:v>67.8</x:v>
      </x:c>
      <x:c r="BL118" s="4" t="n">
        <x:v>32.2</x:v>
      </x:c>
      <x:c r="BM118" s="4" t="n">
        <x:v>18.033333333333335</x:v>
      </x:c>
      <x:c r="BN118" s="4" t="n">
        <x:v>14.866666666666667</x:v>
      </x:c>
      <x:c r="BO118" s="10" t="n">
        <x:v>19</x:v>
      </x:c>
      <x:c r="BP118" s="10" t="n">
        <x:v>75</x:v>
      </x:c>
      <x:c r="BQ118" s="4" t="n">
        <x:v>5.1</x:v>
      </x:c>
      <x:c r="BR118" s="10" t="n">
        <x:v>261</x:v>
      </x:c>
      <x:c r="BS118" s="4" t="n">
        <x:v>54.8</x:v>
      </x:c>
      <x:c r="BT118" s="10" t="n">
        <x:v>80</x:v>
      </x:c>
      <x:c r="BU118" s="4" t="str">
        <x:v>WSH</x:v>
      </x:c>
      <x:c r="BV118" s="10" t="n">
        <x:v>53</x:v>
      </x:c>
      <x:c r="BW118" s="10" t="n">
        <x:v>104</x:v>
      </x:c>
      <x:c r="BX118" s="10" t="n">
        <x:v>986</x:v>
      </x:c>
      <x:c r="BY118" s="4" t="str">
        <x:v>Dylan Strome</x:v>
      </x:c>
      <x:c r="BZ118" s="4" t="str">
        <x:v>Dylan Strome</x:v>
      </x:c>
      <x:c r="CA118" s="4" t="str">
        <x:v>Dylan Strome</x:v>
      </x:c>
      <x:c r="CB118" s="4" t="str">
        <x:v>stromdy01</x:v>
      </x:c>
    </x:row>
    <x:row r="119" ht="22" customHeight="1">
      <x:c r="A119" s="4" t="str">
        <x:v>Eeli Tolvanen</x:v>
      </x:c>
      <x:c r="B119" s="4" t="str">
        <x:v>eelitolvanen</x:v>
      </x:c>
      <x:c r="C119" s="10" t="n">
        <x:v>1</x:v>
      </x:c>
      <x:c r="D119" s="10" t="n">
        <x:v>1</x:v>
      </x:c>
      <x:c r="E119" s="10" t="n">
        <x:v>1</x:v>
      </x:c>
      <x:c r="F119" s="4" t="n">
        <x:f>IF(COUNT(N119,Q119,T119,W119,Z119,AC119,AF119,AI119)=8,N119*Guide!$E$5+Q119*Guide!$E$6+T119*Guide!$E$7+W119*Guide!$E$8+Z119*Guide!$E$9+AC119*Guide!$E$10+AF119*Guide!$E$11+AI119*Guide!$E$12,"")</x:f>
        <x:v>273</x:v>
      </x:c>
      <x:c r="G119" s="4" t="n">
        <x:f>IF(COUNT(O119,R119,U119,X119,AA119,AD119,AG119,AJ119)=8,O119*Guide!$E$5+R119*Guide!$E$6+U119*Guide!$E$7+X119*Guide!$E$8+AA119*Guide!$E$9+AD119*Guide!$E$10+AG119*Guide!$E$11+AJ119*Guide!$E$12,"")</x:f>
        <x:v>258.75</x:v>
      </x:c>
      <x:c r="H119" s="4" t="n">
        <x:f>IF(COUNT(G119,F119)=2,G119-F119,"")</x:f>
        <x:v>-14.25</x:v>
      </x:c>
      <x:c r="I119" s="4" t="n">
        <x:f>IF(AND(ISNUMBER(F119),K119&gt;0),F119/K119,"")</x:f>
        <x:v>3.4125</x:v>
      </x:c>
      <x:c r="J119" s="4" t="n">
        <x:f>IF(AND(ISNUMBER(G119),L119&gt;0),G119/L119,"")</x:f>
        <x:v>3.3173076923076925</x:v>
      </x:c>
      <x:c r="K119" s="10" t="n">
        <x:v>80</x:v>
      </x:c>
      <x:c r="L119" s="10" t="n">
        <x:v>78</x:v>
      </x:c>
      <x:c r="M119" s="10" t="n">
        <x:f>IF(COUNT(L119,K119)=2,L119-K119,"")</x:f>
        <x:v>-2</x:v>
      </x:c>
      <x:c r="N119" s="10" t="n">
        <x:v>21</x:v>
      </x:c>
      <x:c r="O119" s="10" t="n">
        <x:v>12</x:v>
      </x:c>
      <x:c r="P119" s="10" t="n">
        <x:f>IF(COUNT(O119,N119)=2,O119-N119,"")</x:f>
        <x:v>-9</x:v>
      </x:c>
      <x:c r="Q119" s="10" t="n">
        <x:v>16</x:v>
      </x:c>
      <x:c r="R119" s="10" t="n">
        <x:v>24</x:v>
      </x:c>
      <x:c r="S119" s="10" t="n">
        <x:f>IF(COUNT(R119,Q119)=2,R119-Q119,"")</x:f>
        <x:v>8</x:v>
      </x:c>
      <x:c r="T119" s="10" t="n">
        <x:v>-3</x:v>
      </x:c>
      <x:c r="U119" s="10" t="n">
        <x:v>-18</x:v>
      </x:c>
      <x:c r="V119" s="10" t="n">
        <x:f>IF(COUNT(U119,T119)=2,U119-T119,"")</x:f>
        <x:v>-15</x:v>
      </x:c>
      <x:c r="W119" s="10" t="n">
        <x:v>6</x:v>
      </x:c>
      <x:c r="X119" s="10" t="n">
        <x:f>IF(COUNT(AV119,AW119)=2,AV119+AW119,"")</x:f>
        <x:v>14</x:v>
      </x:c>
      <x:c r="Y119" s="10" t="n">
        <x:f>IF(COUNT(X119,W119)=2,X119-W119,"")</x:f>
        <x:v>8</x:v>
      </x:c>
      <x:c r="Z119" s="10" t="n">
        <x:v>0</x:v>
      </x:c>
      <x:c r="AA119" s="10" t="n">
        <x:f>IF(COUNT(AX119,AY119)=2,AX119+AY119,"")</x:f>
        <x:v>0</x:v>
      </x:c>
      <x:c r="AB119" s="10" t="n">
        <x:f>IF(COUNT(AA119,Z119)=2,AA119-Z119,"")</x:f>
        <x:v>0</x:v>
      </x:c>
      <x:c r="AC119" s="10" t="n">
        <x:v>133</x:v>
      </x:c>
      <x:c r="AD119" s="10" t="n">
        <x:v>141</x:v>
      </x:c>
      <x:c r="AE119" s="10" t="n">
        <x:f>IF(COUNT(AD119,AC119)=2,AD119-AC119,"")</x:f>
        <x:v>8</x:v>
      </x:c>
      <x:c r="AF119" s="10" t="n">
        <x:v>212</x:v>
      </x:c>
      <x:c r="AG119" s="10" t="n">
        <x:v>187</x:v>
      </x:c>
      <x:c r="AH119" s="10" t="n">
        <x:f>IF(COUNT(AG119,AF119)=2,AG119-AF119,"")</x:f>
        <x:v>-25</x:v>
      </x:c>
      <x:c r="AI119" s="10" t="n">
        <x:v>69</x:v>
      </x:c>
      <x:c r="AJ119" s="10" t="n">
        <x:v>81</x:v>
      </x:c>
      <x:c r="AK119" s="10" t="n">
        <x:f>IF(COUNT(AJ119,AI119)=2,AJ119-AI119,"")</x:f>
        <x:v>12</x:v>
      </x:c>
      <x:c r="AL119" s="10" t="n">
        <x:v>26</x:v>
      </x:c>
      <x:c r="AM119" s="10" t="n">
        <x:v>26</x:v>
      </x:c>
      <x:c r="AN119" s="4" t="str">
        <x:v>LW,RW</x:v>
      </x:c>
      <x:c r="AO119" s="4" t="str">
        <x:v>RW</x:v>
      </x:c>
      <x:c r="AP119" s="4" t="str">
        <x:v>SEA</x:v>
      </x:c>
      <x:c r="AQ119" s="4" t="str">
        <x:v>SEA</x:v>
      </x:c>
      <x:c r="AR119" s="4" t="n">
        <x:v>14.56</x:v>
      </x:c>
      <x:c r="AS119" s="4" t="n">
        <x:v>16.05</x:v>
      </x:c>
      <x:c r="AT119" s="4" t="n">
        <x:v>1.1</x:v>
      </x:c>
      <x:c r="AU119" s="4" t="n">
        <x:v>8.5</x:v>
      </x:c>
      <x:c r="AV119" s="10" t="n">
        <x:v>5</x:v>
      </x:c>
      <x:c r="AW119" s="10" t="n">
        <x:v>9</x:v>
      </x:c>
      <x:c r="AX119" s="10" t="n">
        <x:v>0</x:v>
      </x:c>
      <x:c r="AY119" s="10" t="n">
        <x:v>0</x:v>
      </x:c>
      <x:c r="AZ119" s="10" t="n">
        <x:v>898</x:v>
      </x:c>
      <x:c r="BA119" s="10" t="n">
        <x:v>1179</x:v>
      </x:c>
      <x:c r="BB119" s="4" t="n">
        <x:v>43.2</x:v>
      </x:c>
      <x:c r="BC119" s="4" t="n">
        <x:v>-3.1</x:v>
      </x:c>
      <x:c r="BD119" s="10" t="n">
        <x:v>631</x:v>
      </x:c>
      <x:c r="BE119" s="10" t="n">
        <x:v>840</x:v>
      </x:c>
      <x:c r="BF119" s="4" t="n">
        <x:v>42.9</x:v>
      </x:c>
      <x:c r="BG119" s="4" t="n">
        <x:v>-3.9</x:v>
      </x:c>
      <x:c r="BH119" s="4" t="n">
        <x:v>9.4</x:v>
      </x:c>
      <x:c r="BI119" s="4" t="n">
        <x:v>89.8</x:v>
      </x:c>
      <x:c r="BJ119" s="4" t="n">
        <x:v>99.2</x:v>
      </x:c>
      <x:c r="BK119" s="4" t="n">
        <x:v>38.7</x:v>
      </x:c>
      <x:c r="BL119" s="4" t="n">
        <x:v>61.3</x:v>
      </x:c>
      <x:c r="BM119" s="4" t="n">
        <x:v>16.05</x:v>
      </x:c>
      <x:c r="BN119" s="4" t="n">
        <x:v>13.166666666666666</x:v>
      </x:c>
      <x:c r="BO119" s="10" t="n">
        <x:v>18</x:v>
      </x:c>
      <x:c r="BP119" s="10" t="n">
        <x:v>49</x:v>
      </x:c>
      <x:c r="BQ119" s="4" t="n">
        <x:v>-12.2</x:v>
      </x:c>
      <x:c r="BR119" s="10" t="n">
        <x:v>294</x:v>
      </x:c>
      <x:c r="BS119" s="4" t="n">
        <x:v>48</x:v>
      </x:c>
      <x:c r="BT119" s="10" t="n">
        <x:v>78</x:v>
      </x:c>
      <x:c r="BU119" s="4" t="str">
        <x:v>SEA</x:v>
      </x:c>
      <x:c r="BV119" s="10" t="n">
        <x:v>282</x:v>
      </x:c>
      <x:c r="BW119" s="10" t="n">
        <x:v>254</x:v>
      </x:c>
      <x:c r="BX119" s="10" t="n">
        <x:v>1023</x:v>
      </x:c>
      <x:c r="BY119" s="4" t="str">
        <x:v>Eeli Tolvanen</x:v>
      </x:c>
      <x:c r="BZ119" s="4" t="str">
        <x:v>Eeli Tolvanen</x:v>
      </x:c>
      <x:c r="CA119" s="4" t="str">
        <x:v>Eeli Tolvanen</x:v>
      </x:c>
      <x:c r="CB119" s="4" t="str">
        <x:v>tolvaee01</x:v>
      </x:c>
    </x:row>
    <x:row r="120" ht="22" customHeight="1">
      <x:c r="A120" s="4" t="str">
        <x:v>Eetu Luostarinen</x:v>
      </x:c>
      <x:c r="B120" s="4" t="str">
        <x:v>eetuluostarinen</x:v>
      </x:c>
      <x:c r="C120" s="10" t="n">
        <x:v>1</x:v>
      </x:c>
      <x:c r="D120" s="10" t="n">
        <x:v>1</x:v>
      </x:c>
      <x:c r="E120" s="10" t="n">
        <x:v>1</x:v>
      </x:c>
      <x:c r="F120" s="4" t="n">
        <x:f>IF(COUNT(N120,Q120,T120,W120,Z120,AC120,AF120,AI120)=8,N120*Guide!$E$5+Q120*Guide!$E$6+T120*Guide!$E$7+W120*Guide!$E$8+Z120*Guide!$E$9+AC120*Guide!$E$10+AF120*Guide!$E$11+AI120*Guide!$E$12,"")</x:f>
        <x:v>226</x:v>
      </x:c>
      <x:c r="G120" s="4" t="n">
        <x:f>IF(COUNT(O120,R120,U120,X120,AA120,AD120,AG120,AJ120)=8,O120*Guide!$E$5+R120*Guide!$E$6+U120*Guide!$E$7+X120*Guide!$E$8+AA120*Guide!$E$9+AD120*Guide!$E$10+AG120*Guide!$E$11+AJ120*Guide!$E$12,"")</x:f>
        <x:v>217.75</x:v>
      </x:c>
      <x:c r="H120" s="4" t="n">
        <x:f>IF(COUNT(G120,F120)=2,G120-F120,"")</x:f>
        <x:v>-8.25</x:v>
      </x:c>
      <x:c r="I120" s="4" t="n">
        <x:f>IF(AND(ISNUMBER(F120),K120&gt;0),F120/K120,"")</x:f>
        <x:v>2.825</x:v>
      </x:c>
      <x:c r="J120" s="4" t="n">
        <x:f>IF(AND(ISNUMBER(G120),L120&gt;0),G120/L120,"")</x:f>
        <x:v>2.982876712328767</x:v>
      </x:c>
      <x:c r="K120" s="10" t="n">
        <x:v>80</x:v>
      </x:c>
      <x:c r="L120" s="10" t="n">
        <x:v>73</x:v>
      </x:c>
      <x:c r="M120" s="10" t="n">
        <x:f>IF(COUNT(L120,K120)=2,L120-K120,"")</x:f>
        <x:v>-7</x:v>
      </x:c>
      <x:c r="N120" s="10" t="n">
        <x:v>13</x:v>
      </x:c>
      <x:c r="O120" s="10" t="n">
        <x:v>11</x:v>
      </x:c>
      <x:c r="P120" s="10" t="n">
        <x:f>IF(COUNT(O120,N120)=2,O120-N120,"")</x:f>
        <x:v>-2</x:v>
      </x:c>
      <x:c r="Q120" s="10" t="n">
        <x:v>18</x:v>
      </x:c>
      <x:c r="R120" s="10" t="n">
        <x:v>22</x:v>
      </x:c>
      <x:c r="S120" s="10" t="n">
        <x:f>IF(COUNT(R120,Q120)=2,R120-Q120,"")</x:f>
        <x:v>4</x:v>
      </x:c>
      <x:c r="T120" s="10" t="n">
        <x:v>4</x:v>
      </x:c>
      <x:c r="U120" s="10" t="n">
        <x:v>4</x:v>
      </x:c>
      <x:c r="V120" s="10" t="n">
        <x:f>IF(COUNT(U120,T120)=2,U120-T120,"")</x:f>
        <x:v>0</x:v>
      </x:c>
      <x:c r="W120" s="10" t="n">
        <x:v>3</x:v>
      </x:c>
      <x:c r="X120" s="10" t="n">
        <x:f>IF(COUNT(AV120,AW120)=2,AV120+AW120,"")</x:f>
        <x:v>1</x:v>
      </x:c>
      <x:c r="Y120" s="10" t="n">
        <x:f>IF(COUNT(X120,W120)=2,X120-W120,"")</x:f>
        <x:v>-2</x:v>
      </x:c>
      <x:c r="Z120" s="10" t="n">
        <x:v>2</x:v>
      </x:c>
      <x:c r="AA120" s="10" t="n">
        <x:f>IF(COUNT(AX120,AY120)=2,AX120+AY120,"")</x:f>
        <x:v>1</x:v>
      </x:c>
      <x:c r="AB120" s="10" t="n">
        <x:f>IF(COUNT(AA120,Z120)=2,AA120-Z120,"")</x:f>
        <x:v>-1</x:v>
      </x:c>
      <x:c r="AC120" s="10" t="n">
        <x:v>102</x:v>
      </x:c>
      <x:c r="AD120" s="10" t="n">
        <x:v>107</x:v>
      </x:c>
      <x:c r="AE120" s="10" t="n">
        <x:f>IF(COUNT(AD120,AC120)=2,AD120-AC120,"")</x:f>
        <x:v>5</x:v>
      </x:c>
      <x:c r="AF120" s="10" t="n">
        <x:v>155</x:v>
      </x:c>
      <x:c r="AG120" s="10" t="n">
        <x:v>121</x:v>
      </x:c>
      <x:c r="AH120" s="10" t="n">
        <x:f>IF(COUNT(AG120,AF120)=2,AG120-AF120,"")</x:f>
        <x:v>-34</x:v>
      </x:c>
      <x:c r="AI120" s="10" t="n">
        <x:v>57</x:v>
      </x:c>
      <x:c r="AJ120" s="10" t="n">
        <x:v>57</x:v>
      </x:c>
      <x:c r="AK120" s="10" t="n">
        <x:f>IF(COUNT(AJ120,AI120)=2,AJ120-AI120,"")</x:f>
        <x:v>0</x:v>
      </x:c>
      <x:c r="AL120" s="10" t="n">
        <x:v>27</x:v>
      </x:c>
      <x:c r="AM120" s="10" t="n">
        <x:v>27</x:v>
      </x:c>
      <x:c r="AN120" s="4" t="str">
        <x:v>LW</x:v>
      </x:c>
      <x:c r="AO120" s="4" t="str">
        <x:v>C</x:v>
      </x:c>
      <x:c r="AP120" s="4" t="str">
        <x:v>FLA</x:v>
      </x:c>
      <x:c r="AQ120" s="4" t="str">
        <x:v>FLA</x:v>
      </x:c>
      <x:c r="AR120" s="4" t="n">
        <x:v>15.559999999999999</x:v>
      </x:c>
      <x:c r="AS120" s="4" t="n">
        <x:v>16.566666666666666</x:v>
      </x:c>
      <x:c r="AT120" s="4" t="n">
        <x:v>0.64</x:v>
      </x:c>
      <x:c r="AU120" s="4" t="n">
        <x:v>10.3</x:v>
      </x:c>
      <x:c r="AV120" s="10" t="n">
        <x:v>1</x:v>
      </x:c>
      <x:c r="AW120" s="10" t="n">
        <x:v>0</x:v>
      </x:c>
      <x:c r="AX120" s="10" t="n">
        <x:v>0</x:v>
      </x:c>
      <x:c r="AY120" s="10" t="n">
        <x:v>1</x:v>
      </x:c>
      <x:c r="AZ120" s="10" t="n">
        <x:v>955</x:v>
      </x:c>
      <x:c r="BA120" s="10" t="n">
        <x:v>845</x:v>
      </x:c>
      <x:c r="BB120" s="4" t="n">
        <x:v>53.1</x:v>
      </x:c>
      <x:c r="BC120" s="4" t="n">
        <x:v>1.8</x:v>
      </x:c>
      <x:c r="BD120" s="10" t="n">
        <x:v>680</x:v>
      </x:c>
      <x:c r="BE120" s="10" t="n">
        <x:v>619</x:v>
      </x:c>
      <x:c r="BF120" s="4" t="n">
        <x:v>52.3</x:v>
      </x:c>
      <x:c r="BG120" s="4" t="n">
        <x:v>2</x:v>
      </x:c>
      <x:c r="BH120" s="4" t="n">
        <x:v>12.6</x:v>
      </x:c>
      <x:c r="BI120" s="4" t="n">
        <x:v>87.7</x:v>
      </x:c>
      <x:c r="BJ120" s="4" t="n">
        <x:v>100.3</x:v>
      </x:c>
      <x:c r="BK120" s="4" t="n">
        <x:v>47.4</x:v>
      </x:c>
      <x:c r="BL120" s="4" t="n">
        <x:v>52.6</x:v>
      </x:c>
      <x:c r="BM120" s="4" t="n">
        <x:v>16.566666666666666</x:v>
      </x:c>
      <x:c r="BN120" s="4" t="n">
        <x:v>13.55</x:v>
      </x:c>
      <x:c r="BO120" s="10" t="n">
        <x:v>20</x:v>
      </x:c>
      <x:c r="BP120" s="10" t="n">
        <x:v>45</x:v>
      </x:c>
      <x:c r="BQ120" s="4" t="n">
        <x:v>3.2</x:v>
      </x:c>
      <x:c r="BR120" s="10" t="n">
        <x:v>200</x:v>
      </x:c>
      <x:c r="BS120" s="4" t="n">
        <x:v>53.5</x:v>
      </x:c>
      <x:c r="BT120" s="10" t="n">
        <x:v>73</x:v>
      </x:c>
      <x:c r="BU120" s="4" t="str">
        <x:v>FLA</x:v>
      </x:c>
      <x:c r="BV120" s="10" t="n">
        <x:v>360</x:v>
      </x:c>
      <x:c r="BW120" s="10" t="n">
        <x:v>287</x:v>
      </x:c>
      <x:c r="BX120" s="10" t="n">
        <x:v>616</x:v>
      </x:c>
      <x:c r="BY120" s="4" t="str">
        <x:v>Eetu Luostarinen</x:v>
      </x:c>
      <x:c r="BZ120" s="4" t="str">
        <x:v>Eetu Luostarinen</x:v>
      </x:c>
      <x:c r="CA120" s="4" t="str">
        <x:v>Eetu Luostarinen</x:v>
      </x:c>
      <x:c r="CB120" s="4" t="str">
        <x:v>luostee01</x:v>
      </x:c>
    </x:row>
    <x:row r="121" ht="22" customHeight="1">
      <x:c r="A121" s="4" t="str">
        <x:v>Egor Chinakhov</x:v>
      </x:c>
      <x:c r="B121" s="4" t="str">
        <x:v>yegorchinakhov</x:v>
      </x:c>
      <x:c r="C121" s="10" t="n">
        <x:v>1</x:v>
      </x:c>
      <x:c r="D121" s="10" t="n">
        <x:v>1</x:v>
      </x:c>
      <x:c r="E121" s="10" t="n">
        <x:v>1</x:v>
      </x:c>
      <x:c r="F121" s="4" t="n">
        <x:f>IF(COUNT(N121,Q121,T121,W121,Z121,AC121,AF121,AI121)=8,N121*Guide!$E$5+Q121*Guide!$E$6+T121*Guide!$E$7+W121*Guide!$E$8+Z121*Guide!$E$9+AC121*Guide!$E$10+AF121*Guide!$E$11+AI121*Guide!$E$12,"")</x:f>
        <x:v>232.25</x:v>
      </x:c>
      <x:c r="G121" s="4" t="n">
        <x:f>IF(COUNT(O121,R121,U121,X121,AA121,AD121,AG121,AJ121)=8,O121*Guide!$E$5+R121*Guide!$E$6+U121*Guide!$E$7+X121*Guide!$E$8+AA121*Guide!$E$9+AD121*Guide!$E$10+AG121*Guide!$E$11+AJ121*Guide!$E$12,"")</x:f>
        <x:v>221.5</x:v>
      </x:c>
      <x:c r="H121" s="4" t="n">
        <x:f>IF(COUNT(G121,F121)=2,G121-F121,"")</x:f>
        <x:v>-10.75</x:v>
      </x:c>
      <x:c r="I121" s="4" t="n">
        <x:f>IF(AND(ISNUMBER(F121),K121&gt;0),F121/K121,"")</x:f>
        <x:v>3.317857142857143</x:v>
      </x:c>
      <x:c r="J121" s="4" t="n">
        <x:f>IF(AND(ISNUMBER(G121),L121&gt;0),G121/L121,"")</x:f>
        <x:v>3.076388888888889</x:v>
      </x:c>
      <x:c r="K121" s="10" t="n">
        <x:v>70</x:v>
      </x:c>
      <x:c r="L121" s="10" t="n">
        <x:v>72</x:v>
      </x:c>
      <x:c r="M121" s="10" t="n">
        <x:f>IF(COUNT(L121,K121)=2,L121-K121,"")</x:f>
        <x:v>2</x:v>
      </x:c>
      <x:c r="N121" s="10" t="n">
        <x:v>19</x:v>
      </x:c>
      <x:c r="O121" s="10" t="n">
        <x:v>21</x:v>
      </x:c>
      <x:c r="P121" s="10" t="n">
        <x:f>IF(COUNT(O121,N121)=2,O121-N121,"")</x:f>
        <x:v>2</x:v>
      </x:c>
      <x:c r="Q121" s="10" t="n">
        <x:v>22</x:v>
      </x:c>
      <x:c r="R121" s="10" t="n">
        <x:v>21</x:v>
      </x:c>
      <x:c r="S121" s="10" t="n">
        <x:f>IF(COUNT(R121,Q121)=2,R121-Q121,"")</x:f>
        <x:v>-1</x:v>
      </x:c>
      <x:c r="T121" s="10" t="n">
        <x:v>-4</x:v>
      </x:c>
      <x:c r="U121" s="10" t="n">
        <x:v>-2</x:v>
      </x:c>
      <x:c r="V121" s="10" t="n">
        <x:f>IF(COUNT(U121,T121)=2,U121-T121,"")</x:f>
        <x:v>2</x:v>
      </x:c>
      <x:c r="W121" s="10" t="n">
        <x:v>9</x:v>
      </x:c>
      <x:c r="X121" s="10" t="n">
        <x:f>IF(COUNT(AV121,AW121)=2,AV121+AW121,"")</x:f>
        <x:v>6</x:v>
      </x:c>
      <x:c r="Y121" s="10" t="n">
        <x:f>IF(COUNT(X121,W121)=2,X121-W121,"")</x:f>
        <x:v>-3</x:v>
      </x:c>
      <x:c r="Z121" s="10" t="n">
        <x:v>0</x:v>
      </x:c>
      <x:c r="AA121" s="10" t="n">
        <x:f>IF(COUNT(AX121,AY121)=2,AX121+AY121,"")</x:f>
        <x:v>0</x:v>
      </x:c>
      <x:c r="AB121" s="10" t="n">
        <x:f>IF(COUNT(AA121,Z121)=2,AA121-Z121,"")</x:f>
        <x:v>0</x:v>
      </x:c>
      <x:c r="AC121" s="10" t="n">
        <x:v>147</x:v>
      </x:c>
      <x:c r="AD121" s="10" t="n">
        <x:v>140</x:v>
      </x:c>
      <x:c r="AE121" s="10" t="n">
        <x:f>IF(COUNT(AD121,AC121)=2,AD121-AC121,"")</x:f>
        <x:v>-7</x:v>
      </x:c>
      <x:c r="AF121" s="10" t="n">
        <x:v>98</x:v>
      </x:c>
      <x:c r="AG121" s="10" t="n">
        <x:v>49</x:v>
      </x:c>
      <x:c r="AH121" s="10" t="n">
        <x:f>IF(COUNT(AG121,AF121)=2,AG121-AF121,"")</x:f>
        <x:v>-49</x:v>
      </x:c>
      <x:c r="AI121" s="10" t="n">
        <x:v>32</x:v>
      </x:c>
      <x:c r="AJ121" s="10" t="n">
        <x:v>31</x:v>
      </x:c>
      <x:c r="AK121" s="10" t="n">
        <x:f>IF(COUNT(AJ121,AI121)=2,AJ121-AI121,"")</x:f>
        <x:v>-1</x:v>
      </x:c>
      <x:c r="AL121" s="10" t="n">
        <x:v>24</x:v>
      </x:c>
      <x:c r="AM121" s="10" t="n">
        <x:v>24</x:v>
      </x:c>
      <x:c r="AN121" s="4" t="str">
        <x:v>LW,RW</x:v>
      </x:c>
      <x:c r="AO121" s="4" t="str">
        <x:v>RW</x:v>
      </x:c>
      <x:c r="AP121" s="4" t="str">
        <x:v>CBJ</x:v>
      </x:c>
      <x:c r="AQ121" s="4" t="str">
        <x:v>2TM</x:v>
      </x:c>
      <x:c r="AR121" s="4" t="n">
        <x:v>15.920000000000002</x:v>
      </x:c>
      <x:c r="AS121" s="4" t="n">
        <x:v>13.483333333333333</x:v>
      </x:c>
      <x:c r="AT121" s="4" t="n">
        <x:v>2.04</x:v>
      </x:c>
      <x:c r="AU121" s="4" t="n">
        <x:v>15</x:v>
      </x:c>
      <x:c r="AV121" s="10" t="n">
        <x:v>2</x:v>
      </x:c>
      <x:c r="AW121" s="10" t="n">
        <x:v>4</x:v>
      </x:c>
      <x:c r="AX121" s="10" t="n">
        <x:v>0</x:v>
      </x:c>
      <x:c r="AY121" s="10" t="n">
        <x:v>0</x:v>
      </x:c>
      <x:c r="AZ121" s="10" t="n">
        <x:v>847</x:v>
      </x:c>
      <x:c r="BA121" s="10" t="n">
        <x:v>852</x:v>
      </x:c>
      <x:c r="BB121" s="4" t="n">
        <x:v>49.9</x:v>
      </x:c>
      <x:c r="BC121" s="4" t="n">
        <x:v>-1</x:v>
      </x:c>
      <x:c r="BD121" s="10" t="n">
        <x:v>613</x:v>
      </x:c>
      <x:c r="BE121" s="10" t="n">
        <x:v>636</x:v>
      </x:c>
      <x:c r="BF121" s="4" t="n">
        <x:v>49.1</x:v>
      </x:c>
      <x:c r="BG121" s="4" t="n">
        <x:v>-1.7</x:v>
      </x:c>
      <x:c r="BH121" s="4" t="n">
        <x:v>11.6</x:v>
      </x:c>
      <x:c r="BI121" s="4" t="n">
        <x:v>88.5</x:v>
      </x:c>
      <x:c r="BJ121" s="4" t="n">
        <x:v>100</x:v>
      </x:c>
      <x:c r="BK121" s="4" t="n">
        <x:v>61</x:v>
      </x:c>
      <x:c r="BL121" s="4" t="n">
        <x:v>39</x:v>
      </x:c>
      <x:c r="BM121" s="4" t="n">
        <x:v>13.483333333333333</x:v>
      </x:c>
      <x:c r="BN121" s="4" t="n">
        <x:v>12.166666666666666</x:v>
      </x:c>
      <x:c r="BO121" s="10" t="n">
        <x:v>9</x:v>
      </x:c>
      <x:c r="BP121" s="10" t="n">
        <x:v>38</x:v>
      </x:c>
      <x:c r="BQ121" s="4" t="n">
        <x:v>3.9</x:v>
      </x:c>
      <x:c r="BR121" s="10" t="n">
        <x:v>300</x:v>
      </x:c>
      <x:c r="BS121" s="4" t="n">
        <x:v>46.7</x:v>
      </x:c>
      <x:c r="BT121" s="10" t="n">
        <x:v>72</x:v>
      </x:c>
      <x:c r="BU121" s="4" t="str">
        <x:v>TOT</x:v>
      </x:c>
      <x:c r="BV121" s="10" t="n">
        <x:v>236</x:v>
      </x:c>
      <x:c r="BW121" s="10" t="n">
        <x:v>201</x:v>
      </x:c>
      <x:c r="BX121" s="10" t="n">
        <x:v>149</x:v>
      </x:c>
      <x:c r="BY121" s="4" t="str">
        <x:v>Yegor Chinakhov</x:v>
      </x:c>
      <x:c r="BZ121" s="4" t="str">
        <x:v>Egor Chinakhov</x:v>
      </x:c>
      <x:c r="CA121" s="4" t="str">
        <x:v>Egor Chinakhov</x:v>
      </x:c>
      <x:c r="CB121" s="4" t="str">
        <x:v>chinaye01</x:v>
      </x:c>
    </x:row>
    <x:row r="122" ht="22" customHeight="1">
      <x:c r="A122" s="4" t="str">
        <x:v>Elias Lindholm</x:v>
      </x:c>
      <x:c r="B122" s="4" t="str">
        <x:v>eliaslindholm</x:v>
      </x:c>
      <x:c r="C122" s="10" t="n">
        <x:v>1</x:v>
      </x:c>
      <x:c r="D122" s="10" t="n">
        <x:v>1</x:v>
      </x:c>
      <x:c r="E122" s="10" t="n">
        <x:v>1</x:v>
      </x:c>
      <x:c r="F122" s="4" t="n">
        <x:f>IF(COUNT(N122,Q122,T122,W122,Z122,AC122,AF122,AI122)=8,N122*Guide!$E$5+Q122*Guide!$E$6+T122*Guide!$E$7+W122*Guide!$E$8+Z122*Guide!$E$9+AC122*Guide!$E$10+AF122*Guide!$E$11+AI122*Guide!$E$12,"")</x:f>
        <x:v>303.75</x:v>
      </x:c>
      <x:c r="G122" s="4" t="n">
        <x:f>IF(COUNT(O122,R122,U122,X122,AA122,AD122,AG122,AJ122)=8,O122*Guide!$E$5+R122*Guide!$E$6+U122*Guide!$E$7+X122*Guide!$E$8+AA122*Guide!$E$9+AD122*Guide!$E$10+AG122*Guide!$E$11+AJ122*Guide!$E$12,"")</x:f>
        <x:v>257</x:v>
      </x:c>
      <x:c r="H122" s="4" t="n">
        <x:f>IF(COUNT(G122,F122)=2,G122-F122,"")</x:f>
        <x:v>-46.75</x:v>
      </x:c>
      <x:c r="I122" s="4" t="n">
        <x:f>IF(AND(ISNUMBER(F122),K122&gt;0),F122/K122,"")</x:f>
        <x:v>3.7042682926829267</x:v>
      </x:c>
      <x:c r="J122" s="4" t="n">
        <x:f>IF(AND(ISNUMBER(G122),L122&gt;0),G122/L122,"")</x:f>
        <x:v>3.7246376811594204</x:v>
      </x:c>
      <x:c r="K122" s="10" t="n">
        <x:v>82</x:v>
      </x:c>
      <x:c r="L122" s="10" t="n">
        <x:v>69</x:v>
      </x:c>
      <x:c r="M122" s="10" t="n">
        <x:f>IF(COUNT(L122,K122)=2,L122-K122,"")</x:f>
        <x:v>-13</x:v>
      </x:c>
      <x:c r="N122" s="10" t="n">
        <x:v>20</x:v>
      </x:c>
      <x:c r="O122" s="10" t="n">
        <x:v>17</x:v>
      </x:c>
      <x:c r="P122" s="10" t="n">
        <x:f>IF(COUNT(O122,N122)=2,O122-N122,"")</x:f>
        <x:v>-3</x:v>
      </x:c>
      <x:c r="Q122" s="10" t="n">
        <x:v>30</x:v>
      </x:c>
      <x:c r="R122" s="10" t="n">
        <x:v>31</x:v>
      </x:c>
      <x:c r="S122" s="10" t="n">
        <x:f>IF(COUNT(R122,Q122)=2,R122-Q122,"")</x:f>
        <x:v>1</x:v>
      </x:c>
      <x:c r="T122" s="10" t="n">
        <x:v>-5</x:v>
      </x:c>
      <x:c r="U122" s="10" t="n">
        <x:v>-7</x:v>
      </x:c>
      <x:c r="V122" s="10" t="n">
        <x:f>IF(COUNT(U122,T122)=2,U122-T122,"")</x:f>
        <x:v>-2</x:v>
      </x:c>
      <x:c r="W122" s="10" t="n">
        <x:v>17</x:v>
      </x:c>
      <x:c r="X122" s="10" t="n">
        <x:f>IF(COUNT(AV122,AW122)=2,AV122+AW122,"")</x:f>
        <x:v>20</x:v>
      </x:c>
      <x:c r="Y122" s="10" t="n">
        <x:f>IF(COUNT(X122,W122)=2,X122-W122,"")</x:f>
        <x:v>3</x:v>
      </x:c>
      <x:c r="Z122" s="10" t="n">
        <x:v>2</x:v>
      </x:c>
      <x:c r="AA122" s="10" t="n">
        <x:f>IF(COUNT(AX122,AY122)=2,AX122+AY122,"")</x:f>
        <x:v>0</x:v>
      </x:c>
      <x:c r="AB122" s="10" t="n">
        <x:f>IF(COUNT(AA122,Z122)=2,AA122-Z122,"")</x:f>
        <x:v>-2</x:v>
      </x:c>
      <x:c r="AC122" s="10" t="n">
        <x:v>151</x:v>
      </x:c>
      <x:c r="AD122" s="10" t="n">
        <x:v>114</x:v>
      </x:c>
      <x:c r="AE122" s="10" t="n">
        <x:f>IF(COUNT(AD122,AC122)=2,AD122-AC122,"")</x:f>
        <x:v>-37</x:v>
      </x:c>
      <x:c r="AF122" s="10" t="n">
        <x:v>105</x:v>
      </x:c>
      <x:c r="AG122" s="10" t="n">
        <x:v>41</x:v>
      </x:c>
      <x:c r="AH122" s="10" t="n">
        <x:f>IF(COUNT(AG122,AF122)=2,AG122-AF122,"")</x:f>
        <x:v>-64</x:v>
      </x:c>
      <x:c r="AI122" s="10" t="n">
        <x:v>69</x:v>
      </x:c>
      <x:c r="AJ122" s="10" t="n">
        <x:v>59</x:v>
      </x:c>
      <x:c r="AK122" s="10" t="n">
        <x:f>IF(COUNT(AJ122,AI122)=2,AJ122-AI122,"")</x:f>
        <x:v>-10</x:v>
      </x:c>
      <x:c r="AL122" s="10" t="n">
        <x:v>31</x:v>
      </x:c>
      <x:c r="AM122" s="10" t="n">
        <x:v>31</x:v>
      </x:c>
      <x:c r="AN122" s="4" t="str">
        <x:v>C</x:v>
      </x:c>
      <x:c r="AO122" s="4" t="str">
        <x:v>C</x:v>
      </x:c>
      <x:c r="AP122" s="4" t="str">
        <x:v>BOS</x:v>
      </x:c>
      <x:c r="AQ122" s="4" t="str">
        <x:v>BOS</x:v>
      </x:c>
      <x:c r="AR122" s="4" t="n">
        <x:v>17.909999999999997</x:v>
      </x:c>
      <x:c r="AS122" s="4" t="n">
        <x:v>17.883333333333333</x:v>
      </x:c>
      <x:c r="AT122" s="4" t="n">
        <x:v>2.76</x:v>
      </x:c>
      <x:c r="AU122" s="4" t="n">
        <x:v>14.9</x:v>
      </x:c>
      <x:c r="AV122" s="10" t="n">
        <x:v>7</x:v>
      </x:c>
      <x:c r="AW122" s="10" t="n">
        <x:v>13</x:v>
      </x:c>
      <x:c r="AX122" s="10" t="n">
        <x:v>0</x:v>
      </x:c>
      <x:c r="AY122" s="10" t="n">
        <x:v>0</x:v>
      </x:c>
      <x:c r="AZ122" s="10" t="n">
        <x:v>932</x:v>
      </x:c>
      <x:c r="BA122" s="10" t="n">
        <x:v>1055</x:v>
      </x:c>
      <x:c r="BB122" s="4" t="n">
        <x:v>46.9</x:v>
      </x:c>
      <x:c r="BC122" s="4" t="n">
        <x:v>-2.5</x:v>
      </x:c>
      <x:c r="BD122" s="10" t="n">
        <x:v>650</x:v>
      </x:c>
      <x:c r="BE122" s="10" t="n">
        <x:v>760</x:v>
      </x:c>
      <x:c r="BF122" s="4" t="n">
        <x:v>46.1</x:v>
      </x:c>
      <x:c r="BG122" s="4" t="n">
        <x:v>-3.8</x:v>
      </x:c>
      <x:c r="BH122" s="4" t="n">
        <x:v>12.6</x:v>
      </x:c>
      <x:c r="BI122" s="4" t="n">
        <x:v>88.4</x:v>
      </x:c>
      <x:c r="BJ122" s="4" t="n">
        <x:v>101</x:v>
      </x:c>
      <x:c r="BK122" s="4" t="n">
        <x:v>51.4</x:v>
      </x:c>
      <x:c r="BL122" s="4" t="n">
        <x:v>48.6</x:v>
      </x:c>
      <x:c r="BM122" s="4" t="n">
        <x:v>17.883333333333333</x:v>
      </x:c>
      <x:c r="BN122" s="4" t="n">
        <x:v>14.166666666666666</x:v>
      </x:c>
      <x:c r="BO122" s="10" t="n">
        <x:v>17</x:v>
      </x:c>
      <x:c r="BP122" s="10" t="n">
        <x:v>52</x:v>
      </x:c>
      <x:c r="BQ122" s="4" t="n">
        <x:v>-7.6</x:v>
      </x:c>
      <x:c r="BR122" s="10" t="n">
        <x:v>260</x:v>
      </x:c>
      <x:c r="BS122" s="4" t="n">
        <x:v>43.8</x:v>
      </x:c>
      <x:c r="BT122" s="10" t="n">
        <x:v>69</x:v>
      </x:c>
      <x:c r="BU122" s="4" t="str">
        <x:v>BOS</x:v>
      </x:c>
      <x:c r="BV122" s="10" t="n">
        <x:v>155</x:v>
      </x:c>
      <x:c r="BW122" s="10" t="n">
        <x:v>158</x:v>
      </x:c>
      <x:c r="BX122" s="10" t="n">
        <x:v>600</x:v>
      </x:c>
      <x:c r="BY122" s="4" t="str">
        <x:v>Elias Lindholm</x:v>
      </x:c>
      <x:c r="BZ122" s="4" t="str">
        <x:v>Elias Lindholm</x:v>
      </x:c>
      <x:c r="CA122" s="4" t="str">
        <x:v>Elias Lindholm</x:v>
      </x:c>
      <x:c r="CB122" s="4" t="str">
        <x:v>lindhel01</x:v>
      </x:c>
    </x:row>
    <x:row r="123" ht="22" customHeight="1">
      <x:c r="A123" s="4" t="str">
        <x:v>Elias Pettersson</x:v>
      </x:c>
      <x:c r="B123" s="4" t="str">
        <x:v>eliaspetterssonf</x:v>
      </x:c>
      <x:c r="C123" s="10" t="n">
        <x:v>1</x:v>
      </x:c>
      <x:c r="D123" s="10" t="n">
        <x:v>1</x:v>
      </x:c>
      <x:c r="E123" s="10" t="n">
        <x:v>1</x:v>
      </x:c>
      <x:c r="F123" s="4" t="n">
        <x:f>IF(COUNT(N123,Q123,T123,W123,Z123,AC123,AF123,AI123)=8,N123*Guide!$E$5+Q123*Guide!$E$6+T123*Guide!$E$7+W123*Guide!$E$8+Z123*Guide!$E$9+AC123*Guide!$E$10+AF123*Guide!$E$11+AI123*Guide!$E$12,"")</x:f>
        <x:v>379.5</x:v>
      </x:c>
      <x:c r="G123" s="4" t="n">
        <x:f>IF(COUNT(O123,R123,U123,X123,AA123,AD123,AG123,AJ123)=8,O123*Guide!$E$5+R123*Guide!$E$6+U123*Guide!$E$7+X123*Guide!$E$8+AA123*Guide!$E$9+AD123*Guide!$E$10+AG123*Guide!$E$11+AJ123*Guide!$E$12,"")</x:f>
        <x:v>293.5</x:v>
      </x:c>
      <x:c r="H123" s="4" t="n">
        <x:f>IF(COUNT(G123,F123)=2,G123-F123,"")</x:f>
        <x:v>-86</x:v>
      </x:c>
      <x:c r="I123" s="4" t="n">
        <x:f>IF(AND(ISNUMBER(F123),K123&gt;0),F123/K123,"")</x:f>
        <x:v>4.865384615384615</x:v>
      </x:c>
      <x:c r="J123" s="4" t="n">
        <x:f>IF(AND(ISNUMBER(G123),L123&gt;0),G123/L123,"")</x:f>
        <x:v>3.9662162162162162</x:v>
      </x:c>
      <x:c r="K123" s="10" t="n">
        <x:v>78</x:v>
      </x:c>
      <x:c r="L123" s="10" t="n">
        <x:v>74</x:v>
      </x:c>
      <x:c r="M123" s="10" t="n">
        <x:f>IF(COUNT(L123,K123)=2,L123-K123,"")</x:f>
        <x:v>-4</x:v>
      </x:c>
      <x:c r="N123" s="10" t="n">
        <x:v>25</x:v>
      </x:c>
      <x:c r="O123" s="10" t="n">
        <x:v>15</x:v>
      </x:c>
      <x:c r="P123" s="10" t="n">
        <x:f>IF(COUNT(O123,N123)=2,O123-N123,"")</x:f>
        <x:v>-10</x:v>
      </x:c>
      <x:c r="Q123" s="10" t="n">
        <x:v>42</x:v>
      </x:c>
      <x:c r="R123" s="10" t="n">
        <x:v>36</x:v>
      </x:c>
      <x:c r="S123" s="10" t="n">
        <x:f>IF(COUNT(R123,Q123)=2,R123-Q123,"")</x:f>
        <x:v>-6</x:v>
      </x:c>
      <x:c r="T123" s="10" t="n">
        <x:v>5</x:v>
      </x:c>
      <x:c r="U123" s="10" t="n">
        <x:v>-30</x:v>
      </x:c>
      <x:c r="V123" s="10" t="n">
        <x:f>IF(COUNT(U123,T123)=2,U123-T123,"")</x:f>
        <x:v>-35</x:v>
      </x:c>
      <x:c r="W123" s="10" t="n">
        <x:v>20</x:v>
      </x:c>
      <x:c r="X123" s="10" t="n">
        <x:f>IF(COUNT(AV123,AW123)=2,AV123+AW123,"")</x:f>
        <x:v>22</x:v>
      </x:c>
      <x:c r="Y123" s="10" t="n">
        <x:f>IF(COUNT(X123,W123)=2,X123-W123,"")</x:f>
        <x:v>2</x:v>
      </x:c>
      <x:c r="Z123" s="10" t="n">
        <x:v>1</x:v>
      </x:c>
      <x:c r="AA123" s="10" t="n">
        <x:f>IF(COUNT(AX123,AY123)=2,AX123+AY123,"")</x:f>
        <x:v>1</x:v>
      </x:c>
      <x:c r="AB123" s="10" t="n">
        <x:f>IF(COUNT(AA123,Z123)=2,AA123-Z123,"")</x:f>
        <x:v>0</x:v>
      </x:c>
      <x:c r="AC123" s="10" t="n">
        <x:v>161</x:v>
      </x:c>
      <x:c r="AD123" s="10" t="n">
        <x:v>131</x:v>
      </x:c>
      <x:c r="AE123" s="10" t="n">
        <x:f>IF(COUNT(AD123,AC123)=2,AD123-AC123,"")</x:f>
        <x:v>-30</x:v>
      </x:c>
      <x:c r="AF123" s="10" t="n">
        <x:v>92</x:v>
      </x:c>
      <x:c r="AG123" s="10" t="n">
        <x:v>67</x:v>
      </x:c>
      <x:c r="AH123" s="10" t="n">
        <x:f>IF(COUNT(AG123,AF123)=2,AG123-AF123,"")</x:f>
        <x:v>-25</x:v>
      </x:c>
      <x:c r="AI123" s="10" t="n">
        <x:v>83</x:v>
      </x:c>
      <x:c r="AJ123" s="10" t="n">
        <x:v>108</x:v>
      </x:c>
      <x:c r="AK123" s="10" t="n">
        <x:f>IF(COUNT(AJ123,AI123)=2,AJ123-AI123,"")</x:f>
        <x:v>25</x:v>
      </x:c>
      <x:c r="AL123" s="10" t="n">
        <x:v>27</x:v>
      </x:c>
      <x:c r="AM123" s="10" t="n">
        <x:v>27</x:v>
      </x:c>
      <x:c r="AN123" s="4" t="str">
        <x:v>C,LW</x:v>
      </x:c>
      <x:c r="AO123" s="4" t="str">
        <x:v>C</x:v>
      </x:c>
      <x:c r="AP123" s="4" t="str">
        <x:v>VAN</x:v>
      </x:c>
      <x:c r="AQ123" s="4" t="str">
        <x:v>VAN</x:v>
      </x:c>
      <x:c r="AR123" s="4" t="n">
        <x:v>18.89</x:v>
      </x:c>
      <x:c r="AS123" s="4" t="n">
        <x:v>18.966666666666665</x:v>
      </x:c>
      <x:c r="AT123" s="4" t="n">
        <x:v>3.11</x:v>
      </x:c>
      <x:c r="AU123" s="4" t="n">
        <x:v>11.5</x:v>
      </x:c>
      <x:c r="AV123" s="10" t="n">
        <x:v>4</x:v>
      </x:c>
      <x:c r="AW123" s="10" t="n">
        <x:v>18</x:v>
      </x:c>
      <x:c r="AX123" s="10" t="n">
        <x:v>1</x:v>
      </x:c>
      <x:c r="AY123" s="10" t="n">
        <x:v>0</x:v>
      </x:c>
      <x:c r="AZ123" s="10" t="n">
        <x:v>1028</x:v>
      </x:c>
      <x:c r="BA123" s="10" t="n">
        <x:v>1168</x:v>
      </x:c>
      <x:c r="BB123" s="4" t="n">
        <x:v>46.8</x:v>
      </x:c>
      <x:c r="BC123" s="4" t="n">
        <x:v>0.6</x:v>
      </x:c>
      <x:c r="BD123" s="10" t="n">
        <x:v>757</x:v>
      </x:c>
      <x:c r="BE123" s="10" t="n">
        <x:v>844</x:v>
      </x:c>
      <x:c r="BF123" s="4" t="n">
        <x:v>47.3</x:v>
      </x:c>
      <x:c r="BG123" s="4" t="n">
        <x:v>1.9</x:v>
      </x:c>
      <x:c r="BH123" s="4" t="n">
        <x:v>8.7</x:v>
      </x:c>
      <x:c r="BI123" s="4" t="n">
        <x:v>87.5</x:v>
      </x:c>
      <x:c r="BJ123" s="4" t="n">
        <x:v>96.2</x:v>
      </x:c>
      <x:c r="BK123" s="4" t="n">
        <x:v>53.8</x:v>
      </x:c>
      <x:c r="BL123" s="4" t="n">
        <x:v>46.2</x:v>
      </x:c>
      <x:c r="BM123" s="4" t="n">
        <x:v>18.966666666666665</x:v>
      </x:c>
      <x:c r="BN123" s="4" t="n">
        <x:v>14.816666666666666</x:v>
      </x:c>
      <x:c r="BO123" s="10" t="n">
        <x:v>31</x:v>
      </x:c>
      <x:c r="BP123" s="10" t="n">
        <x:v>68</x:v>
      </x:c>
      <x:c r="BQ123" s="4" t="n">
        <x:v>-8</x:v>
      </x:c>
      <x:c r="BR123" s="10" t="n">
        <x:v>293</x:v>
      </x:c>
      <x:c r="BS123" s="4" t="n">
        <x:v>44.7</x:v>
      </x:c>
      <x:c r="BT123" s="10" t="n">
        <x:v>74</x:v>
      </x:c>
      <x:c r="BU123" s="4" t="str">
        <x:v>VAN</x:v>
      </x:c>
      <x:c r="BV123" s="10" t="n">
        <x:v>56</x:v>
      </x:c>
      <x:c r="BW123" s="10" t="n">
        <x:v>136</x:v>
      </x:c>
      <x:c r="BX123" s="10" t="n">
        <x:v>810</x:v>
      </x:c>
      <x:c r="BY123" s="4" t="str">
        <x:v>Elias Pettersson (F)</x:v>
      </x:c>
      <x:c r="BZ123" s="4" t="str">
        <x:v>Elias Pettersson</x:v>
      </x:c>
      <x:c r="CA123" s="4" t="str">
        <x:v>Elias Pettersson</x:v>
      </x:c>
      <x:c r="CB123" s="4" t="str">
        <x:v>petteel01</x:v>
      </x:c>
    </x:row>
    <x:row r="124" ht="22" customHeight="1">
      <x:c r="A124" s="4" t="str">
        <x:v>Emil Heineman</x:v>
      </x:c>
      <x:c r="B124" s="4" t="str">
        <x:v>emilheineman</x:v>
      </x:c>
      <x:c r="C124" s="10" t="n">
        <x:v>1</x:v>
      </x:c>
      <x:c r="D124" s="10" t="n">
        <x:v>1</x:v>
      </x:c>
      <x:c r="E124" s="10" t="n">
        <x:v>1</x:v>
      </x:c>
      <x:c r="F124" s="4" t="n">
        <x:f>IF(COUNT(N124,Q124,T124,W124,Z124,AC124,AF124,AI124)=8,N124*Guide!$E$5+Q124*Guide!$E$6+T124*Guide!$E$7+W124*Guide!$E$8+Z124*Guide!$E$9+AC124*Guide!$E$10+AF124*Guide!$E$11+AI124*Guide!$E$12,"")</x:f>
        <x:v>208</x:v>
      </x:c>
      <x:c r="G124" s="4" t="n">
        <x:f>IF(COUNT(O124,R124,U124,X124,AA124,AD124,AG124,AJ124)=8,O124*Guide!$E$5+R124*Guide!$E$6+U124*Guide!$E$7+X124*Guide!$E$8+AA124*Guide!$E$9+AD124*Guide!$E$10+AG124*Guide!$E$11+AJ124*Guide!$E$12,"")</x:f>
        <x:v>251.75</x:v>
      </x:c>
      <x:c r="H124" s="4" t="n">
        <x:f>IF(COUNT(G124,F124)=2,G124-F124,"")</x:f>
        <x:v>43.75</x:v>
      </x:c>
      <x:c r="I124" s="4" t="n">
        <x:f>IF(AND(ISNUMBER(F124),K124&gt;0),F124/K124,"")</x:f>
        <x:v>2.6666666666666665</x:v>
      </x:c>
      <x:c r="J124" s="4" t="n">
        <x:f>IF(AND(ISNUMBER(G124),L124&gt;0),G124/L124,"")</x:f>
        <x:v>3.0701219512195124</x:v>
      </x:c>
      <x:c r="K124" s="10" t="n">
        <x:v>78</x:v>
      </x:c>
      <x:c r="L124" s="10" t="n">
        <x:v>82</x:v>
      </x:c>
      <x:c r="M124" s="10" t="n">
        <x:f>IF(COUNT(L124,K124)=2,L124-K124,"")</x:f>
        <x:v>4</x:v>
      </x:c>
      <x:c r="N124" s="10" t="n">
        <x:v>15</x:v>
      </x:c>
      <x:c r="O124" s="10" t="n">
        <x:v>22</x:v>
      </x:c>
      <x:c r="P124" s="10" t="n">
        <x:f>IF(COUNT(O124,N124)=2,O124-N124,"")</x:f>
        <x:v>7</x:v>
      </x:c>
      <x:c r="Q124" s="10" t="n">
        <x:v>14</x:v>
      </x:c>
      <x:c r="R124" s="10" t="n">
        <x:v>9</x:v>
      </x:c>
      <x:c r="S124" s="10" t="n">
        <x:f>IF(COUNT(R124,Q124)=2,R124-Q124,"")</x:f>
        <x:v>-5</x:v>
      </x:c>
      <x:c r="T124" s="10" t="n">
        <x:v>-2</x:v>
      </x:c>
      <x:c r="U124" s="10" t="n">
        <x:v>-13</x:v>
      </x:c>
      <x:c r="V124" s="10" t="n">
        <x:f>IF(COUNT(U124,T124)=2,U124-T124,"")</x:f>
        <x:v>-11</x:v>
      </x:c>
      <x:c r="W124" s="10" t="n">
        <x:v>7</x:v>
      </x:c>
      <x:c r="X124" s="10" t="n">
        <x:f>IF(COUNT(AV124,AW124)=2,AV124+AW124,"")</x:f>
        <x:v>4</x:v>
      </x:c>
      <x:c r="Y124" s="10" t="n">
        <x:f>IF(COUNT(X124,W124)=2,X124-W124,"")</x:f>
        <x:v>-3</x:v>
      </x:c>
      <x:c r="Z124" s="10" t="n">
        <x:v>0</x:v>
      </x:c>
      <x:c r="AA124" s="10" t="n">
        <x:f>IF(COUNT(AX124,AY124)=2,AX124+AY124,"")</x:f>
        <x:v>0</x:v>
      </x:c>
      <x:c r="AB124" s="10" t="n">
        <x:f>IF(COUNT(AA124,Z124)=2,AA124-Z124,"")</x:f>
        <x:v>0</x:v>
      </x:c>
      <x:c r="AC124" s="10" t="n">
        <x:v>94</x:v>
      </x:c>
      <x:c r="AD124" s="10" t="n">
        <x:v>174</x:v>
      </x:c>
      <x:c r="AE124" s="10" t="n">
        <x:f>IF(COUNT(AD124,AC124)=2,AD124-AC124,"")</x:f>
        <x:v>80</x:v>
      </x:c>
      <x:c r="AF124" s="10" t="n">
        <x:v>217</x:v>
      </x:c>
      <x:c r="AG124" s="10" t="n">
        <x:v>247</x:v>
      </x:c>
      <x:c r="AH124" s="10" t="n">
        <x:f>IF(COUNT(AG124,AF124)=2,AG124-AF124,"")</x:f>
        <x:v>30</x:v>
      </x:c>
      <x:c r="AI124" s="10" t="n">
        <x:v>31</x:v>
      </x:c>
      <x:c r="AJ124" s="10" t="n">
        <x:v>54</x:v>
      </x:c>
      <x:c r="AK124" s="10" t="n">
        <x:f>IF(COUNT(AJ124,AI124)=2,AJ124-AI124,"")</x:f>
        <x:v>23</x:v>
      </x:c>
      <x:c r="AL124" s="10" t="n">
        <x:v>24</x:v>
      </x:c>
      <x:c r="AM124" s="10" t="n">
        <x:v>24</x:v>
      </x:c>
      <x:c r="AN124" s="4" t="str">
        <x:v>LW</x:v>
      </x:c>
      <x:c r="AO124" s="4" t="str">
        <x:v>LW</x:v>
      </x:c>
      <x:c r="AP124" s="4" t="str">
        <x:v>NYI</x:v>
      </x:c>
      <x:c r="AQ124" s="4" t="str">
        <x:v>NYI</x:v>
      </x:c>
      <x:c r="AR124" s="4" t="n">
        <x:v>11.729999999999999</x:v>
      </x:c>
      <x:c r="AS124" s="4" t="n">
        <x:v>16.616666666666667</x:v>
      </x:c>
      <x:c r="AT124" s="4" t="n">
        <x:v>1.11</x:v>
      </x:c>
      <x:c r="AU124" s="4" t="n">
        <x:v>12.6</x:v>
      </x:c>
      <x:c r="AV124" s="10" t="n">
        <x:v>4</x:v>
      </x:c>
      <x:c r="AW124" s="10" t="n">
        <x:v>0</x:v>
      </x:c>
      <x:c r="AX124" s="10" t="n">
        <x:v>0</x:v>
      </x:c>
      <x:c r="AY124" s="10" t="n">
        <x:v>0</x:v>
      </x:c>
      <x:c r="AZ124" s="10" t="n">
        <x:v>1171</x:v>
      </x:c>
      <x:c r="BA124" s="10" t="n">
        <x:v>1129</x:v>
      </x:c>
      <x:c r="BB124" s="4" t="n">
        <x:v>50.9</x:v>
      </x:c>
      <x:c r="BC124" s="4" t="n">
        <x:v>2</x:v>
      </x:c>
      <x:c r="BD124" s="10" t="n">
        <x:v>834</x:v>
      </x:c>
      <x:c r="BE124" s="10" t="n">
        <x:v>835</x:v>
      </x:c>
      <x:c r="BF124" s="4" t="n">
        <x:v>50</x:v>
      </x:c>
      <x:c r="BG124" s="4" t="n">
        <x:v>0.1</x:v>
      </x:c>
      <x:c r="BH124" s="4" t="n">
        <x:v>8.1</x:v>
      </x:c>
      <x:c r="BI124" s="4" t="n">
        <x:v>89.8</x:v>
      </x:c>
      <x:c r="BJ124" s="4" t="n">
        <x:v>97.9</x:v>
      </x:c>
      <x:c r="BK124" s="4" t="n">
        <x:v>53.3</x:v>
      </x:c>
      <x:c r="BL124" s="4" t="n">
        <x:v>46.7</x:v>
      </x:c>
      <x:c r="BM124" s="4" t="n">
        <x:v>16.616666666666667</x:v>
      </x:c>
      <x:c r="BN124" s="4" t="n">
        <x:v>14.316666666666666</x:v>
      </x:c>
      <x:c r="BO124" s="10" t="n">
        <x:v>9</x:v>
      </x:c>
      <x:c r="BP124" s="10" t="n">
        <x:v>53</x:v>
      </x:c>
      <x:c r="BQ124" s="4" t="n">
        <x:v>-4.6</x:v>
      </x:c>
      <x:c r="BR124" s="10" t="n">
        <x:v>324</x:v>
      </x:c>
      <x:c r="BS124" s="4" t="n">
        <x:v>53.7</x:v>
      </x:c>
      <x:c r="BT124" s="10" t="n">
        <x:v>82</x:v>
      </x:c>
      <x:c r="BU124" s="4" t="str">
        <x:v>NYI</x:v>
      </x:c>
      <x:c r="BV124" s="10" t="n">
        <x:v>385</x:v>
      </x:c>
      <x:c r="BW124" s="10" t="n">
        <x:v>313</x:v>
      </x:c>
      <x:c r="BX124" s="10" t="n">
        <x:v>401</x:v>
      </x:c>
      <x:c r="BY124" s="4" t="str">
        <x:v>Emil Heineman</x:v>
      </x:c>
      <x:c r="BZ124" s="4" t="str">
        <x:v>Emil Heineman</x:v>
      </x:c>
      <x:c r="CA124" s="4" t="str">
        <x:v>Emil Heineman</x:v>
      </x:c>
      <x:c r="CB124" s="4" t="str">
        <x:v>heineem01</x:v>
      </x:c>
    </x:row>
    <x:row r="125" ht="22" customHeight="1">
      <x:c r="A125" s="4" t="str">
        <x:v>Eric Robinson</x:v>
      </x:c>
      <x:c r="B125" s="4" t="str">
        <x:v>ericrobinson</x:v>
      </x:c>
      <x:c r="C125" s="10" t="n">
        <x:v>1</x:v>
      </x:c>
      <x:c r="D125" s="10" t="n">
        <x:v>1</x:v>
      </x:c>
      <x:c r="E125" s="10" t="n">
        <x:v>1</x:v>
      </x:c>
      <x:c r="F125" s="4" t="n">
        <x:f>IF(COUNT(N125,Q125,T125,W125,Z125,AC125,AF125,AI125)=8,N125*Guide!$E$5+Q125*Guide!$E$6+T125*Guide!$E$7+W125*Guide!$E$8+Z125*Guide!$E$9+AC125*Guide!$E$10+AF125*Guide!$E$11+AI125*Guide!$E$12,"")</x:f>
        <x:v>170.25</x:v>
      </x:c>
      <x:c r="G125" s="4" t="n">
        <x:f>IF(COUNT(O125,R125,U125,X125,AA125,AD125,AG125,AJ125)=8,O125*Guide!$E$5+R125*Guide!$E$6+U125*Guide!$E$7+X125*Guide!$E$8+AA125*Guide!$E$9+AD125*Guide!$E$10+AG125*Guide!$E$11+AJ125*Guide!$E$12,"")</x:f>
        <x:v>129.25</x:v>
      </x:c>
      <x:c r="H125" s="4" t="n">
        <x:f>IF(COUNT(G125,F125)=2,G125-F125,"")</x:f>
        <x:v>-41</x:v>
      </x:c>
      <x:c r="I125" s="4" t="n">
        <x:f>IF(AND(ISNUMBER(F125),K125&gt;0),F125/K125,"")</x:f>
        <x:v>2.1826923076923075</x:v>
      </x:c>
      <x:c r="J125" s="4" t="n">
        <x:f>IF(AND(ISNUMBER(G125),L125&gt;0),G125/L125,"")</x:f>
        <x:v>1.9291044776119404</x:v>
      </x:c>
      <x:c r="K125" s="10" t="n">
        <x:v>78</x:v>
      </x:c>
      <x:c r="L125" s="10" t="n">
        <x:v>67</x:v>
      </x:c>
      <x:c r="M125" s="10" t="n">
        <x:f>IF(COUNT(L125,K125)=2,L125-K125,"")</x:f>
        <x:v>-11</x:v>
      </x:c>
      <x:c r="N125" s="10" t="n">
        <x:v>12</x:v>
      </x:c>
      <x:c r="O125" s="10" t="n">
        <x:v>12</x:v>
      </x:c>
      <x:c r="P125" s="10" t="n">
        <x:f>IF(COUNT(O125,N125)=2,O125-N125,"")</x:f>
        <x:v>0</x:v>
      </x:c>
      <x:c r="Q125" s="10" t="n">
        <x:v>15</x:v>
      </x:c>
      <x:c r="R125" s="10" t="n">
        <x:v>6</x:v>
      </x:c>
      <x:c r="S125" s="10" t="n">
        <x:f>IF(COUNT(R125,Q125)=2,R125-Q125,"")</x:f>
        <x:v>-9</x:v>
      </x:c>
      <x:c r="T125" s="10" t="n">
        <x:v>3</x:v>
      </x:c>
      <x:c r="U125" s="10" t="n">
        <x:v>7</x:v>
      </x:c>
      <x:c r="V125" s="10" t="n">
        <x:f>IF(COUNT(U125,T125)=2,U125-T125,"")</x:f>
        <x:v>4</x:v>
      </x:c>
      <x:c r="W125" s="10" t="n">
        <x:v>0</x:v>
      </x:c>
      <x:c r="X125" s="10" t="n">
        <x:f>IF(COUNT(AV125,AW125)=2,AV125+AW125,"")</x:f>
        <x:v>0</x:v>
      </x:c>
      <x:c r="Y125" s="10" t="n">
        <x:f>IF(COUNT(X125,W125)=2,X125-W125,"")</x:f>
        <x:v>0</x:v>
      </x:c>
      <x:c r="Z125" s="10" t="n">
        <x:v>1</x:v>
      </x:c>
      <x:c r="AA125" s="10" t="n">
        <x:f>IF(COUNT(AX125,AY125)=2,AX125+AY125,"")</x:f>
        <x:v>1</x:v>
      </x:c>
      <x:c r="AB125" s="10" t="n">
        <x:f>IF(COUNT(AA125,Z125)=2,AA125-Z125,"")</x:f>
        <x:v>0</x:v>
      </x:c>
      <x:c r="AC125" s="10" t="n">
        <x:v>99</x:v>
      </x:c>
      <x:c r="AD125" s="10" t="n">
        <x:v>84</x:v>
      </x:c>
      <x:c r="AE125" s="10" t="n">
        <x:f>IF(COUNT(AD125,AC125)=2,AD125-AC125,"")</x:f>
        <x:v>-15</x:v>
      </x:c>
      <x:c r="AF125" s="10" t="n">
        <x:v>123</x:v>
      </x:c>
      <x:c r="AG125" s="10" t="n">
        <x:v>90</x:v>
      </x:c>
      <x:c r="AH125" s="10" t="n">
        <x:f>IF(COUNT(AG125,AF125)=2,AG125-AF125,"")</x:f>
        <x:v>-33</x:v>
      </x:c>
      <x:c r="AI125" s="10" t="n">
        <x:v>21</x:v>
      </x:c>
      <x:c r="AJ125" s="10" t="n">
        <x:v>13</x:v>
      </x:c>
      <x:c r="AK125" s="10" t="n">
        <x:f>IF(COUNT(AJ125,AI125)=2,AJ125-AI125,"")</x:f>
        <x:v>-8</x:v>
      </x:c>
      <x:c r="AL125" s="10" t="n">
        <x:v>30</x:v>
      </x:c>
      <x:c r="AM125" s="10" t="n">
        <x:v>30</x:v>
      </x:c>
      <x:c r="AN125" s="4" t="str">
        <x:v>LW</x:v>
      </x:c>
      <x:c r="AO125" s="4" t="str">
        <x:v>LW</x:v>
      </x:c>
      <x:c r="AP125" s="4" t="str">
        <x:v>CAR</x:v>
      </x:c>
      <x:c r="AQ125" s="4" t="str">
        <x:v>CAR</x:v>
      </x:c>
      <x:c r="AR125" s="4" t="n">
        <x:v>12.230000000000002</x:v>
      </x:c>
      <x:c r="AS125" s="4" t="n">
        <x:v>11.433333333333334</x:v>
      </x:c>
      <x:c r="AT125" s="4" t="n">
        <x:v>0.13</x:v>
      </x:c>
      <x:c r="AU125" s="4" t="n">
        <x:v>14.3</x:v>
      </x:c>
      <x:c r="AV125" s="10" t="n">
        <x:v>0</x:v>
      </x:c>
      <x:c r="AW125" s="10" t="n">
        <x:v>0</x:v>
      </x:c>
      <x:c r="AX125" s="10" t="n">
        <x:v>0</x:v>
      </x:c>
      <x:c r="AY125" s="10" t="n">
        <x:v>1</x:v>
      </x:c>
      <x:c r="AZ125" s="10" t="n">
        <x:v>754</x:v>
      </x:c>
      <x:c r="BA125" s="10" t="n">
        <x:v>564</x:v>
      </x:c>
      <x:c r="BB125" s="4" t="n">
        <x:v>57.2</x:v>
      </x:c>
      <x:c r="BC125" s="4" t="n">
        <x:v>-3.8</x:v>
      </x:c>
      <x:c r="BD125" s="10" t="n">
        <x:v>538</x:v>
      </x:c>
      <x:c r="BE125" s="10" t="n">
        <x:v>405</x:v>
      </x:c>
      <x:c r="BF125" s="4" t="n">
        <x:v>57.1</x:v>
      </x:c>
      <x:c r="BG125" s="4" t="n">
        <x:v>-3.1</x:v>
      </x:c>
      <x:c r="BH125" s="4" t="n">
        <x:v>8.9</x:v>
      </x:c>
      <x:c r="BI125" s="4" t="n">
        <x:v>90.4</x:v>
      </x:c>
      <x:c r="BJ125" s="4" t="n">
        <x:v>99.4</x:v>
      </x:c>
      <x:c r="BK125" s="4" t="n">
        <x:v>59.1</x:v>
      </x:c>
      <x:c r="BL125" s="4" t="n">
        <x:v>40.9</x:v>
      </x:c>
      <x:c r="BM125" s="4" t="n">
        <x:v>11.433333333333334</x:v>
      </x:c>
      <x:c r="BN125" s="4" t="n">
        <x:v>10.35</x:v>
      </x:c>
      <x:c r="BO125" s="10" t="n">
        <x:v>9</x:v>
      </x:c>
      <x:c r="BP125" s="10" t="n">
        <x:v>29</x:v>
      </x:c>
      <x:c r="BQ125" s="4" t="n">
        <x:v>6.1</x:v>
      </x:c>
      <x:c r="BR125" s="10" t="n">
        <x:v>182</x:v>
      </x:c>
      <x:c r="BS125" s="4" t="n">
        <x:v>46.2</x:v>
      </x:c>
      <x:c r="BT125" s="10" t="n">
        <x:v>67</x:v>
      </x:c>
      <x:c r="BU125" s="4" t="str">
        <x:v>CAR</x:v>
      </x:c>
      <x:c r="BV125" s="10" t="n">
        <x:v>411</x:v>
      </x:c>
      <x:c r="BW125" s="10" t="n">
        <x:v>501</x:v>
      </x:c>
      <x:c r="BX125" s="10" t="n">
        <x:v>869</x:v>
      </x:c>
      <x:c r="BY125" s="4" t="str">
        <x:v>Eric Robinson</x:v>
      </x:c>
      <x:c r="BZ125" s="4" t="str">
        <x:v>Eric Robinson</x:v>
      </x:c>
      <x:c r="CA125" s="4" t="str">
        <x:v>Eric Robinson</x:v>
      </x:c>
      <x:c r="CB125" s="4" t="str">
        <x:v>robiner01</x:v>
      </x:c>
    </x:row>
    <x:row r="126" ht="22" customHeight="1">
      <x:c r="A126" s="4" t="str">
        <x:v>Erik Haula</x:v>
      </x:c>
      <x:c r="B126" s="4" t="str">
        <x:v>erikhaula</x:v>
      </x:c>
      <x:c r="C126" s="10" t="n">
        <x:v>1</x:v>
      </x:c>
      <x:c r="D126" s="10" t="n">
        <x:v>1</x:v>
      </x:c>
      <x:c r="E126" s="10" t="n">
        <x:v>1</x:v>
      </x:c>
      <x:c r="F126" s="4" t="n">
        <x:f>IF(COUNT(N126,Q126,T126,W126,Z126,AC126,AF126,AI126)=8,N126*Guide!$E$5+Q126*Guide!$E$6+T126*Guide!$E$7+W126*Guide!$E$8+Z126*Guide!$E$9+AC126*Guide!$E$10+AF126*Guide!$E$11+AI126*Guide!$E$12,"")</x:f>
        <x:v>217.75</x:v>
      </x:c>
      <x:c r="G126" s="4" t="n">
        <x:f>IF(COUNT(O126,R126,U126,X126,AA126,AD126,AG126,AJ126)=8,O126*Guide!$E$5+R126*Guide!$E$6+U126*Guide!$E$7+X126*Guide!$E$8+AA126*Guide!$E$9+AD126*Guide!$E$10+AG126*Guide!$E$11+AJ126*Guide!$E$12,"")</x:f>
        <x:v>230.5</x:v>
      </x:c>
      <x:c r="H126" s="4" t="n">
        <x:f>IF(COUNT(G126,F126)=2,G126-F126,"")</x:f>
        <x:v>12.75</x:v>
      </x:c>
      <x:c r="I126" s="4" t="n">
        <x:f>IF(AND(ISNUMBER(F126),K126&gt;0),F126/K126,"")</x:f>
        <x:v>2.7916666666666665</x:v>
      </x:c>
      <x:c r="J126" s="4" t="n">
        <x:f>IF(AND(ISNUMBER(G126),L126&gt;0),G126/L126,"")</x:f>
        <x:v>2.845679012345679</x:v>
      </x:c>
      <x:c r="K126" s="10" t="n">
        <x:v>78</x:v>
      </x:c>
      <x:c r="L126" s="10" t="n">
        <x:v>81</x:v>
      </x:c>
      <x:c r="M126" s="10" t="n">
        <x:f>IF(COUNT(L126,K126)=2,L126-K126,"")</x:f>
        <x:v>3</x:v>
      </x:c>
      <x:c r="N126" s="10" t="n">
        <x:v>15</x:v>
      </x:c>
      <x:c r="O126" s="10" t="n">
        <x:v>14</x:v>
      </x:c>
      <x:c r="P126" s="10" t="n">
        <x:f>IF(COUNT(O126,N126)=2,O126-N126,"")</x:f>
        <x:v>-1</x:v>
      </x:c>
      <x:c r="Q126" s="10" t="n">
        <x:v>18</x:v>
      </x:c>
      <x:c r="R126" s="10" t="n">
        <x:v>24</x:v>
      </x:c>
      <x:c r="S126" s="10" t="n">
        <x:f>IF(COUNT(R126,Q126)=2,R126-Q126,"")</x:f>
        <x:v>6</x:v>
      </x:c>
      <x:c r="T126" s="10" t="n">
        <x:v>0</x:v>
      </x:c>
      <x:c r="U126" s="10" t="n">
        <x:v>-15</x:v>
      </x:c>
      <x:c r="V126" s="10" t="n">
        <x:f>IF(COUNT(U126,T126)=2,U126-T126,"")</x:f>
        <x:v>-15</x:v>
      </x:c>
      <x:c r="W126" s="10" t="n">
        <x:v>6</x:v>
      </x:c>
      <x:c r="X126" s="10" t="n">
        <x:f>IF(COUNT(AV126,AW126)=2,AV126+AW126,"")</x:f>
        <x:v>12</x:v>
      </x:c>
      <x:c r="Y126" s="10" t="n">
        <x:f>IF(COUNT(X126,W126)=2,X126-W126,"")</x:f>
        <x:v>6</x:v>
      </x:c>
      <x:c r="Z126" s="10" t="n">
        <x:v>1</x:v>
      </x:c>
      <x:c r="AA126" s="10" t="n">
        <x:f>IF(COUNT(AX126,AY126)=2,AX126+AY126,"")</x:f>
        <x:v>2</x:v>
      </x:c>
      <x:c r="AB126" s="10" t="n">
        <x:f>IF(COUNT(AA126,Z126)=2,AA126-Z126,"")</x:f>
        <x:v>1</x:v>
      </x:c>
      <x:c r="AC126" s="10" t="n">
        <x:v>134</x:v>
      </x:c>
      <x:c r="AD126" s="10" t="n">
        <x:v>127</x:v>
      </x:c>
      <x:c r="AE126" s="10" t="n">
        <x:f>IF(COUNT(AD126,AC126)=2,AD126-AC126,"")</x:f>
        <x:v>-7</x:v>
      </x:c>
      <x:c r="AF126" s="10" t="n">
        <x:v>110</x:v>
      </x:c>
      <x:c r="AG126" s="10" t="n">
        <x:v>118</x:v>
      </x:c>
      <x:c r="AH126" s="10" t="n">
        <x:f>IF(COUNT(AG126,AF126)=2,AG126-AF126,"")</x:f>
        <x:v>8</x:v>
      </x:c>
      <x:c r="AI126" s="10" t="n">
        <x:v>45</x:v>
      </x:c>
      <x:c r="AJ126" s="10" t="n">
        <x:v>51</x:v>
      </x:c>
      <x:c r="AK126" s="10" t="n">
        <x:f>IF(COUNT(AJ126,AI126)=2,AJ126-AI126,"")</x:f>
        <x:v>6</x:v>
      </x:c>
      <x:c r="AL126" s="10" t="n">
        <x:v>34</x:v>
      </x:c>
      <x:c r="AM126" s="10" t="n">
        <x:v>34</x:v>
      </x:c>
      <x:c r="AN126" s="4" t="str">
        <x:v>C,LW</x:v>
      </x:c>
      <x:c r="AO126" s="4" t="str">
        <x:v>LW</x:v>
      </x:c>
      <x:c r="AP126" s="4" t="str">
        <x:v>NSH</x:v>
      </x:c>
      <x:c r="AQ126" s="4" t="str">
        <x:v>NSH</x:v>
      </x:c>
      <x:c r="AR126" s="4" t="n">
        <x:v>15.83</x:v>
      </x:c>
      <x:c r="AS126" s="4" t="n">
        <x:v>16.666666666666668</x:v>
      </x:c>
      <x:c r="AT126" s="4" t="n">
        <x:v>1</x:v>
      </x:c>
      <x:c r="AU126" s="4" t="n">
        <x:v>11</x:v>
      </x:c>
      <x:c r="AV126" s="10" t="n">
        <x:v>4</x:v>
      </x:c>
      <x:c r="AW126" s="10" t="n">
        <x:v>8</x:v>
      </x:c>
      <x:c r="AX126" s="10" t="n">
        <x:v>1</x:v>
      </x:c>
      <x:c r="AY126" s="10" t="n">
        <x:v>1</x:v>
      </x:c>
      <x:c r="AZ126" s="10" t="n">
        <x:v>1070</x:v>
      </x:c>
      <x:c r="BA126" s="10" t="n">
        <x:v>1141</x:v>
      </x:c>
      <x:c r="BB126" s="4" t="n">
        <x:v>48.4</x:v>
      </x:c>
      <x:c r="BC126" s="4" t="n">
        <x:v>-2.4</x:v>
      </x:c>
      <x:c r="BD126" s="10" t="n">
        <x:v>760</x:v>
      </x:c>
      <x:c r="BE126" s="10" t="n">
        <x:v>858</x:v>
      </x:c>
      <x:c r="BF126" s="4" t="n">
        <x:v>47</x:v>
      </x:c>
      <x:c r="BG126" s="4" t="n">
        <x:v>-2.3</x:v>
      </x:c>
      <x:c r="BH126" s="4" t="n">
        <x:v>8.8</x:v>
      </x:c>
      <x:c r="BI126" s="4" t="n">
        <x:v>89.3</x:v>
      </x:c>
      <x:c r="BJ126" s="4" t="n">
        <x:v>98.1</x:v>
      </x:c>
      <x:c r="BK126" s="4" t="n">
        <x:v>48.2</x:v>
      </x:c>
      <x:c r="BL126" s="4" t="n">
        <x:v>51.8</x:v>
      </x:c>
      <x:c r="BM126" s="4" t="n">
        <x:v>16.666666666666668</x:v>
      </x:c>
      <x:c r="BN126" s="4" t="n">
        <x:v>13.2</x:v>
      </x:c>
      <x:c r="BO126" s="10" t="n">
        <x:v>15</x:v>
      </x:c>
      <x:c r="BP126" s="10" t="n">
        <x:v>59</x:v>
      </x:c>
      <x:c r="BQ126" s="4" t="n">
        <x:v>-9</x:v>
      </x:c>
      <x:c r="BR126" s="10" t="n">
        <x:v>253</x:v>
      </x:c>
      <x:c r="BS126" s="4" t="n">
        <x:v>50.2</x:v>
      </x:c>
      <x:c r="BT126" s="10" t="n">
        <x:v>81</x:v>
      </x:c>
      <x:c r="BU126" s="4" t="str">
        <x:v>NSH</x:v>
      </x:c>
      <x:c r="BV126" s="10" t="n">
        <x:v>327</x:v>
      </x:c>
      <x:c r="BW126" s="10" t="n">
        <x:v>229</x:v>
      </x:c>
      <x:c r="BX126" s="10" t="n">
        <x:v>394</x:v>
      </x:c>
      <x:c r="BY126" s="4" t="str">
        <x:v>Erik Haula</x:v>
      </x:c>
      <x:c r="BZ126" s="4" t="str">
        <x:v>Erik Haula</x:v>
      </x:c>
      <x:c r="CA126" s="4" t="str">
        <x:v>Erik Haula</x:v>
      </x:c>
      <x:c r="CB126" s="4" t="str">
        <x:v>haulaer01</x:v>
      </x:c>
    </x:row>
    <x:row r="127" ht="22" customHeight="1">
      <x:c r="A127" s="4" t="str">
        <x:v>Erik Karlsson</x:v>
      </x:c>
      <x:c r="B127" s="4" t="str">
        <x:v>erikkarlsson</x:v>
      </x:c>
      <x:c r="C127" s="10" t="n">
        <x:v>1</x:v>
      </x:c>
      <x:c r="D127" s="10" t="n">
        <x:v>1</x:v>
      </x:c>
      <x:c r="E127" s="10" t="n">
        <x:v>1</x:v>
      </x:c>
      <x:c r="F127" s="4" t="n">
        <x:f>IF(COUNT(N127,Q127,T127,W127,Z127,AC127,AF127,AI127)=8,N127*Guide!$E$5+Q127*Guide!$E$6+T127*Guide!$E$7+W127*Guide!$E$8+Z127*Guide!$E$9+AC127*Guide!$E$10+AF127*Guide!$E$11+AI127*Guide!$E$12,"")</x:f>
        <x:v>365.25</x:v>
      </x:c>
      <x:c r="G127" s="4" t="n">
        <x:f>IF(COUNT(O127,R127,U127,X127,AA127,AD127,AG127,AJ127)=8,O127*Guide!$E$5+R127*Guide!$E$6+U127*Guide!$E$7+X127*Guide!$E$8+AA127*Guide!$E$9+AD127*Guide!$E$10+AG127*Guide!$E$11+AJ127*Guide!$E$12,"")</x:f>
        <x:v>344</x:v>
      </x:c>
      <x:c r="H127" s="4" t="n">
        <x:f>IF(COUNT(G127,F127)=2,G127-F127,"")</x:f>
        <x:v>-21.25</x:v>
      </x:c>
      <x:c r="I127" s="4" t="n">
        <x:f>IF(AND(ISNUMBER(F127),K127&gt;0),F127/K127,"")</x:f>
        <x:v>4.454268292682927</x:v>
      </x:c>
      <x:c r="J127" s="4" t="n">
        <x:f>IF(AND(ISNUMBER(G127),L127&gt;0),G127/L127,"")</x:f>
        <x:v>4.586666666666667</x:v>
      </x:c>
      <x:c r="K127" s="10" t="n">
        <x:v>82</x:v>
      </x:c>
      <x:c r="L127" s="10" t="n">
        <x:v>75</x:v>
      </x:c>
      <x:c r="M127" s="10" t="n">
        <x:f>IF(COUNT(L127,K127)=2,L127-K127,"")</x:f>
        <x:v>-7</x:v>
      </x:c>
      <x:c r="N127" s="10" t="n">
        <x:v>14</x:v>
      </x:c>
      <x:c r="O127" s="10" t="n">
        <x:v>15</x:v>
      </x:c>
      <x:c r="P127" s="10" t="n">
        <x:f>IF(COUNT(O127,N127)=2,O127-N127,"")</x:f>
        <x:v>1</x:v>
      </x:c>
      <x:c r="Q127" s="10" t="n">
        <x:v>57</x:v>
      </x:c>
      <x:c r="R127" s="10" t="n">
        <x:v>51</x:v>
      </x:c>
      <x:c r="S127" s="10" t="n">
        <x:f>IF(COUNT(R127,Q127)=2,R127-Q127,"")</x:f>
        <x:v>-6</x:v>
      </x:c>
      <x:c r="T127" s="10" t="n">
        <x:v>-13</x:v>
      </x:c>
      <x:c r="U127" s="10" t="n">
        <x:v>8</x:v>
      </x:c>
      <x:c r="V127" s="10" t="n">
        <x:f>IF(COUNT(U127,T127)=2,U127-T127,"")</x:f>
        <x:v>21</x:v>
      </x:c>
      <x:c r="W127" s="10" t="n">
        <x:v>24</x:v>
      </x:c>
      <x:c r="X127" s="10" t="n">
        <x:f>IF(COUNT(AV127,AW127)=2,AV127+AW127,"")</x:f>
        <x:v>26</x:v>
      </x:c>
      <x:c r="Y127" s="10" t="n">
        <x:f>IF(COUNT(X127,W127)=2,X127-W127,"")</x:f>
        <x:v>2</x:v>
      </x:c>
      <x:c r="Z127" s="10" t="n">
        <x:v>0</x:v>
      </x:c>
      <x:c r="AA127" s="10" t="n">
        <x:f>IF(COUNT(AX127,AY127)=2,AX127+AY127,"")</x:f>
        <x:v>0</x:v>
      </x:c>
      <x:c r="AB127" s="10" t="n">
        <x:f>IF(COUNT(AA127,Z127)=2,AA127-Z127,"")</x:f>
        <x:v>0</x:v>
      </x:c>
      <x:c r="AC127" s="10" t="n">
        <x:v>188</x:v>
      </x:c>
      <x:c r="AD127" s="10" t="n">
        <x:v>176</x:v>
      </x:c>
      <x:c r="AE127" s="10" t="n">
        <x:f>IF(COUNT(AD127,AC127)=2,AD127-AC127,"")</x:f>
        <x:v>-12</x:v>
      </x:c>
      <x:c r="AF127" s="10" t="n">
        <x:v>30</x:v>
      </x:c>
      <x:c r="AG127" s="10" t="n">
        <x:v>20</x:v>
      </x:c>
      <x:c r="AH127" s="10" t="n">
        <x:f>IF(COUNT(AG127,AF127)=2,AG127-AF127,"")</x:f>
        <x:v>-10</x:v>
      </x:c>
      <x:c r="AI127" s="10" t="n">
        <x:v>97</x:v>
      </x:c>
      <x:c r="AJ127" s="10" t="n">
        <x:v>64</x:v>
      </x:c>
      <x:c r="AK127" s="10" t="n">
        <x:f>IF(COUNT(AJ127,AI127)=2,AJ127-AI127,"")</x:f>
        <x:v>-33</x:v>
      </x:c>
      <x:c r="AL127" s="10" t="n">
        <x:v>35</x:v>
      </x:c>
      <x:c r="AM127" s="10" t="n">
        <x:v>35</x:v>
      </x:c>
      <x:c r="AN127" s="4" t="str">
        <x:v>D</x:v>
      </x:c>
      <x:c r="AO127" s="4" t="str">
        <x:v>D</x:v>
      </x:c>
      <x:c r="AP127" s="4" t="str">
        <x:v>PIT</x:v>
      </x:c>
      <x:c r="AQ127" s="4" t="str">
        <x:v>PIT</x:v>
      </x:c>
      <x:c r="AR127" s="4" t="n">
        <x:v>23.610000000000003</x:v>
      </x:c>
      <x:c r="AS127" s="4" t="n">
        <x:v>23.6</x:v>
      </x:c>
      <x:c r="AT127" s="4" t="n">
        <x:v>2.85</x:v>
      </x:c>
      <x:c r="AU127" s="4" t="n">
        <x:v>8.5</x:v>
      </x:c>
      <x:c r="AV127" s="10" t="n">
        <x:v>4</x:v>
      </x:c>
      <x:c r="AW127" s="10" t="n">
        <x:v>22</x:v>
      </x:c>
      <x:c r="AX127" s="10" t="n">
        <x:v>0</x:v>
      </x:c>
      <x:c r="AY127" s="10" t="n">
        <x:v>0</x:v>
      </x:c>
      <x:c r="AZ127" s="10" t="n">
        <x:v>1455</x:v>
      </x:c>
      <x:c r="BA127" s="10" t="n">
        <x:v>1244</x:v>
      </x:c>
      <x:c r="BB127" s="4" t="n">
        <x:v>53.9</x:v>
      </x:c>
      <x:c r="BC127" s="4" t="n">
        <x:v>5.6</x:v>
      </x:c>
      <x:c r="BD127" s="10" t="n">
        <x:v>1048</x:v>
      </x:c>
      <x:c r="BE127" s="10" t="n">
        <x:v>938</x:v>
      </x:c>
      <x:c r="BF127" s="4" t="n">
        <x:v>52.8</x:v>
      </x:c>
      <x:c r="BG127" s="4" t="n">
        <x:v>3.4</x:v>
      </x:c>
      <x:c r="BH127" s="4" t="n">
        <x:v>12</x:v>
      </x:c>
      <x:c r="BI127" s="4" t="n">
        <x:v>88.1</x:v>
      </x:c>
      <x:c r="BJ127" s="4" t="n">
        <x:v>100.1</x:v>
      </x:c>
      <x:c r="BK127" s="4" t="n">
        <x:v>56.7</x:v>
      </x:c>
      <x:c r="BL127" s="4" t="n">
        <x:v>43.3</x:v>
      </x:c>
      <x:c r="BM127" s="4" t="n">
        <x:v>23.6</x:v>
      </x:c>
      <x:c r="BN127" s="4" t="n">
        <x:v>18.383333333333333</x:v>
      </x:c>
      <x:c r="BO127" s="10" t="n">
        <x:v>37</x:v>
      </x:c>
      <x:c r="BP127" s="10" t="n">
        <x:v>102</x:v>
      </x:c>
      <x:c r="BQ127" s="4" t="n">
        <x:v>11.9</x:v>
      </x:c>
      <x:c r="BR127" s="10" t="n">
        <x:v>471</x:v>
      </x:c>
      <x:c r="BS127" s="4" t="n">
        <x:v>37.4</x:v>
      </x:c>
      <x:c r="BT127" s="10" t="n">
        <x:v>75</x:v>
      </x:c>
      <x:c r="BU127" s="4" t="str">
        <x:v>PIT</x:v>
      </x:c>
      <x:c r="BV127" s="10" t="n">
        <x:v>46</x:v>
      </x:c>
      <x:c r="BW127" s="10" t="n">
        <x:v>69</x:v>
      </x:c>
      <x:c r="BX127" s="10" t="n">
        <x:v>499</x:v>
      </x:c>
      <x:c r="BY127" s="4" t="str">
        <x:v>Erik Karlsson</x:v>
      </x:c>
      <x:c r="BZ127" s="4" t="str">
        <x:v>Erik Karlsson</x:v>
      </x:c>
      <x:c r="CA127" s="4" t="str">
        <x:v>Erik Karlsson</x:v>
      </x:c>
      <x:c r="CB127" s="4" t="str">
        <x:v>karlser01</x:v>
      </x:c>
    </x:row>
    <x:row r="128" ht="22" customHeight="1">
      <x:c r="A128" s="4" t="str">
        <x:v>Esa Lindell</x:v>
      </x:c>
      <x:c r="B128" s="4" t="str">
        <x:v>esalindell</x:v>
      </x:c>
      <x:c r="C128" s="10" t="n">
        <x:v>1</x:v>
      </x:c>
      <x:c r="D128" s="10" t="n">
        <x:v>1</x:v>
      </x:c>
      <x:c r="E128" s="10" t="n">
        <x:v>1</x:v>
      </x:c>
      <x:c r="F128" s="4" t="n">
        <x:f>IF(COUNT(N128,Q128,T128,W128,Z128,AC128,AF128,AI128)=8,N128*Guide!$E$5+Q128*Guide!$E$6+T128*Guide!$E$7+W128*Guide!$E$8+Z128*Guide!$E$9+AC128*Guide!$E$10+AF128*Guide!$E$11+AI128*Guide!$E$12,"")</x:f>
        <x:v>262</x:v>
      </x:c>
      <x:c r="G128" s="4" t="n">
        <x:f>IF(COUNT(O128,R128,U128,X128,AA128,AD128,AG128,AJ128)=8,O128*Guide!$E$5+R128*Guide!$E$6+U128*Guide!$E$7+X128*Guide!$E$8+AA128*Guide!$E$9+AD128*Guide!$E$10+AG128*Guide!$E$11+AJ128*Guide!$E$12,"")</x:f>
        <x:v>302.75</x:v>
      </x:c>
      <x:c r="H128" s="4" t="n">
        <x:f>IF(COUNT(G128,F128)=2,G128-F128,"")</x:f>
        <x:v>40.75</x:v>
      </x:c>
      <x:c r="I128" s="4" t="n">
        <x:f>IF(AND(ISNUMBER(F128),K128&gt;0),F128/K128,"")</x:f>
        <x:v>3.275</x:v>
      </x:c>
      <x:c r="J128" s="4" t="n">
        <x:f>IF(AND(ISNUMBER(G128),L128&gt;0),G128/L128,"")</x:f>
        <x:v>3.692073170731707</x:v>
      </x:c>
      <x:c r="K128" s="10" t="n">
        <x:v>80</x:v>
      </x:c>
      <x:c r="L128" s="10" t="n">
        <x:v>82</x:v>
      </x:c>
      <x:c r="M128" s="10" t="n">
        <x:f>IF(COUNT(L128,K128)=2,L128-K128,"")</x:f>
        <x:v>2</x:v>
      </x:c>
      <x:c r="N128" s="10" t="n">
        <x:v>6</x:v>
      </x:c>
      <x:c r="O128" s="10" t="n">
        <x:v>6</x:v>
      </x:c>
      <x:c r="P128" s="10" t="n">
        <x:f>IF(COUNT(O128,N128)=2,O128-N128,"")</x:f>
        <x:v>0</x:v>
      </x:c>
      <x:c r="Q128" s="10" t="n">
        <x:v>21</x:v>
      </x:c>
      <x:c r="R128" s="10" t="n">
        <x:v>26</x:v>
      </x:c>
      <x:c r="S128" s="10" t="n">
        <x:f>IF(COUNT(R128,Q128)=2,R128-Q128,"")</x:f>
        <x:v>5</x:v>
      </x:c>
      <x:c r="T128" s="10" t="n">
        <x:v>12</x:v>
      </x:c>
      <x:c r="U128" s="10" t="n">
        <x:v>30</x:v>
      </x:c>
      <x:c r="V128" s="10" t="n">
        <x:f>IF(COUNT(U128,T128)=2,U128-T128,"")</x:f>
        <x:v>18</x:v>
      </x:c>
      <x:c r="W128" s="10" t="n">
        <x:v>1</x:v>
      </x:c>
      <x:c r="X128" s="10" t="n">
        <x:f>IF(COUNT(AV128,AW128)=2,AV128+AW128,"")</x:f>
        <x:v>2</x:v>
      </x:c>
      <x:c r="Y128" s="10" t="n">
        <x:f>IF(COUNT(X128,W128)=2,X128-W128,"")</x:f>
        <x:v>1</x:v>
      </x:c>
      <x:c r="Z128" s="10" t="n">
        <x:v>1</x:v>
      </x:c>
      <x:c r="AA128" s="10" t="n">
        <x:f>IF(COUNT(AX128,AY128)=2,AX128+AY128,"")</x:f>
        <x:v>2</x:v>
      </x:c>
      <x:c r="AB128" s="10" t="n">
        <x:f>IF(COUNT(AA128,Z128)=2,AA128-Z128,"")</x:f>
        <x:v>1</x:v>
      </x:c>
      <x:c r="AC128" s="10" t="n">
        <x:v>102</x:v>
      </x:c>
      <x:c r="AD128" s="10" t="n">
        <x:v>83</x:v>
      </x:c>
      <x:c r="AE128" s="10" t="n">
        <x:f>IF(COUNT(AD128,AC128)=2,AD128-AC128,"")</x:f>
        <x:v>-19</x:v>
      </x:c>
      <x:c r="AF128" s="10" t="n">
        <x:v>54</x:v>
      </x:c>
      <x:c r="AG128" s="10" t="n">
        <x:v>31</x:v>
      </x:c>
      <x:c r="AH128" s="10" t="n">
        <x:f>IF(COUNT(AG128,AF128)=2,AG128-AF128,"")</x:f>
        <x:v>-23</x:v>
      </x:c>
      <x:c r="AI128" s="10" t="n">
        <x:v>160</x:v>
      </x:c>
      <x:c r="AJ128" s="10" t="n">
        <x:v>179</x:v>
      </x:c>
      <x:c r="AK128" s="10" t="n">
        <x:f>IF(COUNT(AJ128,AI128)=2,AJ128-AI128,"")</x:f>
        <x:v>19</x:v>
      </x:c>
      <x:c r="AL128" s="10" t="n">
        <x:v>31</x:v>
      </x:c>
      <x:c r="AM128" s="10" t="n">
        <x:v>31</x:v>
      </x:c>
      <x:c r="AN128" s="4" t="str">
        <x:v>D</x:v>
      </x:c>
      <x:c r="AO128" s="4" t="str">
        <x:v>D</x:v>
      </x:c>
      <x:c r="AP128" s="4" t="str">
        <x:v>DAL</x:v>
      </x:c>
      <x:c r="AQ128" s="4" t="str">
        <x:v>DAL</x:v>
      </x:c>
      <x:c r="AR128" s="4" t="n">
        <x:v>21.91</x:v>
      </x:c>
      <x:c r="AS128" s="4" t="n">
        <x:v>23.233333333333334</x:v>
      </x:c>
      <x:c r="AT128" s="4" t="n">
        <x:v>0.21</x:v>
      </x:c>
      <x:c r="AU128" s="4" t="n">
        <x:v>7.2</x:v>
      </x:c>
      <x:c r="AV128" s="10" t="n">
        <x:v>1</x:v>
      </x:c>
      <x:c r="AW128" s="10" t="n">
        <x:v>1</x:v>
      </x:c>
      <x:c r="AX128" s="10" t="n">
        <x:v>0</x:v>
      </x:c>
      <x:c r="AY128" s="10" t="n">
        <x:v>2</x:v>
      </x:c>
      <x:c r="AZ128" s="10" t="n">
        <x:v>1239</x:v>
      </x:c>
      <x:c r="BA128" s="10" t="n">
        <x:v>1338</x:v>
      </x:c>
      <x:c r="BB128" s="4" t="n">
        <x:v>48.1</x:v>
      </x:c>
      <x:c r="BC128" s="4" t="n">
        <x:v>0.7</x:v>
      </x:c>
      <x:c r="BD128" s="10" t="n">
        <x:v>902</x:v>
      </x:c>
      <x:c r="BE128" s="10" t="n">
        <x:v>920</x:v>
      </x:c>
      <x:c r="BF128" s="4" t="n">
        <x:v>49.5</x:v>
      </x:c>
      <x:c r="BG128" s="4" t="n">
        <x:v>2.1</x:v>
      </x:c>
      <x:c r="BH128" s="4" t="n">
        <x:v>13.5</x:v>
      </x:c>
      <x:c r="BI128" s="4" t="n">
        <x:v>91</x:v>
      </x:c>
      <x:c r="BJ128" s="4" t="n">
        <x:v>104.5</x:v>
      </x:c>
      <x:c r="BK128" s="4" t="n">
        <x:v>45.8</x:v>
      </x:c>
      <x:c r="BL128" s="4" t="n">
        <x:v>54.2</x:v>
      </x:c>
      <x:c r="BM128" s="4" t="n">
        <x:v>23.233333333333334</x:v>
      </x:c>
      <x:c r="BN128" s="4" t="n">
        <x:v>18.55</x:v>
      </x:c>
      <x:c r="BO128" s="10" t="n">
        <x:v>30</x:v>
      </x:c>
      <x:c r="BP128" s="10" t="n">
        <x:v>112</x:v>
      </x:c>
      <x:c r="BQ128" s="4" t="n">
        <x:v>9.7</x:v>
      </x:c>
      <x:c r="BR128" s="10" t="n">
        <x:v>194</x:v>
      </x:c>
      <x:c r="BS128" s="4" t="n">
        <x:v>42.8</x:v>
      </x:c>
      <x:c r="BT128" s="10" t="n">
        <x:v>82</x:v>
      </x:c>
      <x:c r="BU128" s="4" t="str">
        <x:v>DAL</x:v>
      </x:c>
      <x:c r="BV128" s="10" t="n">
        <x:v>407</x:v>
      </x:c>
      <x:c r="BW128" s="10" t="n">
        <x:v>302</x:v>
      </x:c>
      <x:c r="BX128" s="10" t="n">
        <x:v>598</x:v>
      </x:c>
      <x:c r="BY128" s="4" t="str">
        <x:v>Esa Lindell</x:v>
      </x:c>
      <x:c r="BZ128" s="4" t="str">
        <x:v>Esa Lindell</x:v>
      </x:c>
      <x:c r="CA128" s="4" t="str">
        <x:v>Esa Lindell</x:v>
      </x:c>
      <x:c r="CB128" s="4" t="str">
        <x:v>lindees01</x:v>
      </x:c>
    </x:row>
    <x:row r="129" ht="22" customHeight="1">
      <x:c r="A129" s="4" t="str">
        <x:v>Ethen Frank</x:v>
      </x:c>
      <x:c r="B129" s="4" t="str">
        <x:v>ethenfrank</x:v>
      </x:c>
      <x:c r="C129" s="10" t="n">
        <x:v>1</x:v>
      </x:c>
      <x:c r="D129" s="10" t="n">
        <x:v>1</x:v>
      </x:c>
      <x:c r="E129" s="10" t="n">
        <x:v>1</x:v>
      </x:c>
      <x:c r="F129" s="4" t="n">
        <x:f>IF(COUNT(N129,Q129,T129,W129,Z129,AC129,AF129,AI129)=8,N129*Guide!$E$5+Q129*Guide!$E$6+T129*Guide!$E$7+W129*Guide!$E$8+Z129*Guide!$E$9+AC129*Guide!$E$10+AF129*Guide!$E$11+AI129*Guide!$E$12,"")</x:f>
        <x:v>88.25</x:v>
      </x:c>
      <x:c r="G129" s="4" t="n">
        <x:f>IF(COUNT(O129,R129,U129,X129,AA129,AD129,AG129,AJ129)=8,O129*Guide!$E$5+R129*Guide!$E$6+U129*Guide!$E$7+X129*Guide!$E$8+AA129*Guide!$E$9+AD129*Guide!$E$10+AG129*Guide!$E$11+AJ129*Guide!$E$12,"")</x:f>
        <x:v>165.75</x:v>
      </x:c>
      <x:c r="H129" s="4" t="n">
        <x:f>IF(COUNT(G129,F129)=2,G129-F129,"")</x:f>
        <x:v>77.5</x:v>
      </x:c>
      <x:c r="I129" s="4" t="n">
        <x:f>IF(AND(ISNUMBER(F129),K129&gt;0),F129/K129,"")</x:f>
        <x:v>2.1011904761904763</x:v>
      </x:c>
      <x:c r="J129" s="4" t="n">
        <x:f>IF(AND(ISNUMBER(G129),L129&gt;0),G129/L129,"")</x:f>
        <x:v>2.6733870967741935</x:v>
      </x:c>
      <x:c r="K129" s="10" t="n">
        <x:v>42</x:v>
      </x:c>
      <x:c r="L129" s="10" t="n">
        <x:v>62</x:v>
      </x:c>
      <x:c r="M129" s="10" t="n">
        <x:f>IF(COUNT(L129,K129)=2,L129-K129,"")</x:f>
        <x:v>20</x:v>
      </x:c>
      <x:c r="N129" s="10" t="n">
        <x:v>7</x:v>
      </x:c>
      <x:c r="O129" s="10" t="n">
        <x:v>12</x:v>
      </x:c>
      <x:c r="P129" s="10" t="n">
        <x:f>IF(COUNT(O129,N129)=2,O129-N129,"")</x:f>
        <x:v>5</x:v>
      </x:c>
      <x:c r="Q129" s="10" t="n">
        <x:v>8</x:v>
      </x:c>
      <x:c r="R129" s="10" t="n">
        <x:v>12</x:v>
      </x:c>
      <x:c r="S129" s="10" t="n">
        <x:f>IF(COUNT(R129,Q129)=2,R129-Q129,"")</x:f>
        <x:v>4</x:v>
      </x:c>
      <x:c r="T129" s="10" t="n">
        <x:v>0</x:v>
      </x:c>
      <x:c r="U129" s="10" t="n">
        <x:v>8</x:v>
      </x:c>
      <x:c r="V129" s="10" t="n">
        <x:f>IF(COUNT(U129,T129)=2,U129-T129,"")</x:f>
        <x:v>8</x:v>
      </x:c>
      <x:c r="W129" s="10" t="n">
        <x:v>2</x:v>
      </x:c>
      <x:c r="X129" s="10" t="n">
        <x:f>IF(COUNT(AV129,AW129)=2,AV129+AW129,"")</x:f>
        <x:v>4</x:v>
      </x:c>
      <x:c r="Y129" s="10" t="n">
        <x:f>IF(COUNT(X129,W129)=2,X129-W129,"")</x:f>
        <x:v>2</x:v>
      </x:c>
      <x:c r="Z129" s="10" t="n">
        <x:v>0</x:v>
      </x:c>
      <x:c r="AA129" s="10" t="n">
        <x:f>IF(COUNT(AX129,AY129)=2,AX129+AY129,"")</x:f>
        <x:v>0</x:v>
      </x:c>
      <x:c r="AB129" s="10" t="n">
        <x:f>IF(COUNT(AA129,Z129)=2,AA129-Z129,"")</x:f>
        <x:v>0</x:v>
      </x:c>
      <x:c r="AC129" s="10" t="n">
        <x:v>46</x:v>
      </x:c>
      <x:c r="AD129" s="10" t="n">
        <x:v>91</x:v>
      </x:c>
      <x:c r="AE129" s="10" t="n">
        <x:f>IF(COUNT(AD129,AC129)=2,AD129-AC129,"")</x:f>
        <x:v>45</x:v>
      </x:c>
      <x:c r="AF129" s="10" t="n">
        <x:v>19</x:v>
      </x:c>
      <x:c r="AG129" s="10" t="n">
        <x:v>53</x:v>
      </x:c>
      <x:c r="AH129" s="10" t="n">
        <x:f>IF(COUNT(AG129,AF129)=2,AG129-AF129,"")</x:f>
        <x:v>34</x:v>
      </x:c>
      <x:c r="AI129" s="10" t="n">
        <x:v>24</x:v>
      </x:c>
      <x:c r="AJ129" s="10" t="n">
        <x:v>45</x:v>
      </x:c>
      <x:c r="AK129" s="10" t="n">
        <x:f>IF(COUNT(AJ129,AI129)=2,AJ129-AI129,"")</x:f>
        <x:v>21</x:v>
      </x:c>
      <x:c r="AL129" s="10" t="n">
        <x:v>27</x:v>
      </x:c>
      <x:c r="AM129" s="10" t="n">
        <x:v>27</x:v>
      </x:c>
      <x:c r="AN129" s="4" t="str">
        <x:v>C</x:v>
      </x:c>
      <x:c r="AO129" s="4" t="str">
        <x:v>F</x:v>
      </x:c>
      <x:c r="AP129" s="4" t="str">
        <x:v>WSH</x:v>
      </x:c>
      <x:c r="AQ129" s="4" t="str">
        <x:v>WSH</x:v>
      </x:c>
      <x:c r="AR129" s="4" t="n">
        <x:v>10.850000000000001</x:v>
      </x:c>
      <x:c r="AS129" s="4" t="n">
        <x:v>12.233333333333333</x:v>
      </x:c>
      <x:c r="AT129" s="4" t="n">
        <x:v>0.63</x:v>
      </x:c>
      <x:c r="AU129" s="4" t="n">
        <x:v>13.2</x:v>
      </x:c>
      <x:c r="AV129" s="10" t="n">
        <x:v>2</x:v>
      </x:c>
      <x:c r="AW129" s="10" t="n">
        <x:v>2</x:v>
      </x:c>
      <x:c r="AX129" s="10" t="n">
        <x:v>0</x:v>
      </x:c>
      <x:c r="AY129" s="10" t="n">
        <x:v>0</x:v>
      </x:c>
      <x:c r="AZ129" s="10" t="n">
        <x:v>628</x:v>
      </x:c>
      <x:c r="BA129" s="10" t="n">
        <x:v>697</x:v>
      </x:c>
      <x:c r="BB129" s="4" t="n">
        <x:v>47.4</x:v>
      </x:c>
      <x:c r="BC129" s="4" t="n">
        <x:v>-2.1</x:v>
      </x:c>
      <x:c r="BD129" s="10" t="n">
        <x:v>454</x:v>
      </x:c>
      <x:c r="BE129" s="10" t="n">
        <x:v>473</x:v>
      </x:c>
      <x:c r="BF129" s="4" t="n">
        <x:v>49</x:v>
      </x:c>
      <x:c r="BG129" s="4" t="n">
        <x:v>-2</x:v>
      </x:c>
      <x:c r="BH129" s="4" t="n">
        <x:v>11.3</x:v>
      </x:c>
      <x:c r="BI129" s="4" t="n">
        <x:v>92.3</x:v>
      </x:c>
      <x:c r="BJ129" s="4" t="n">
        <x:v>103.5</x:v>
      </x:c>
      <x:c r="BK129" s="4" t="n">
        <x:v>32.7</x:v>
      </x:c>
      <x:c r="BL129" s="4" t="n">
        <x:v>67.3</x:v>
      </x:c>
      <x:c r="BM129" s="4" t="n">
        <x:v>12.233333333333333</x:v>
      </x:c>
      <x:c r="BN129" s="4" t="n">
        <x:v>10.716666666666667</x:v>
      </x:c>
      <x:c r="BO129" s="10" t="n">
        <x:v>8</x:v>
      </x:c>
      <x:c r="BP129" s="10" t="n">
        <x:v>29</x:v>
      </x:c>
      <x:c r="BQ129" s="4" t="n">
        <x:v>2.8</x:v>
      </x:c>
      <x:c r="BR129" s="10" t="n">
        <x:v>166</x:v>
      </x:c>
      <x:c r="BS129" s="4" t="n">
        <x:v>54.8</x:v>
      </x:c>
      <x:c r="BT129" s="10" t="n">
        <x:v>62</x:v>
      </x:c>
      <x:c r="BU129" s="4" t="str">
        <x:v>WSH</x:v>
      </x:c>
      <x:c r="BV129" s="10" t="n">
        <x:v>640</x:v>
      </x:c>
      <x:c r="BW129" s="10" t="n">
        <x:v>407</x:v>
      </x:c>
      <x:c r="BX129" s="10" t="n">
        <x:v>314</x:v>
      </x:c>
      <x:c r="BY129" s="4" t="str">
        <x:v>Ethen Frank</x:v>
      </x:c>
      <x:c r="BZ129" s="4" t="str">
        <x:v>Ethen Frank</x:v>
      </x:c>
      <x:c r="CA129" s="4" t="str">
        <x:v>Ethen Frank</x:v>
      </x:c>
      <x:c r="CB129" s="4" t="str">
        <x:v>franket01</x:v>
      </x:c>
    </x:row>
    <x:row r="130" ht="22" customHeight="1">
      <x:c r="A130" s="4" t="str">
        <x:v>Evan Bouchard</x:v>
      </x:c>
      <x:c r="B130" s="4" t="str">
        <x:v>evanbouchard</x:v>
      </x:c>
      <x:c r="C130" s="10" t="n">
        <x:v>1</x:v>
      </x:c>
      <x:c r="D130" s="10" t="n">
        <x:v>1</x:v>
      </x:c>
      <x:c r="E130" s="10" t="n">
        <x:v>1</x:v>
      </x:c>
      <x:c r="F130" s="4" t="n">
        <x:f>IF(COUNT(N130,Q130,T130,W130,Z130,AC130,AF130,AI130)=8,N130*Guide!$E$5+Q130*Guide!$E$6+T130*Guide!$E$7+W130*Guide!$E$8+Z130*Guide!$E$9+AC130*Guide!$E$10+AF130*Guide!$E$11+AI130*Guide!$E$12,"")</x:f>
        <x:v>422</x:v>
      </x:c>
      <x:c r="G130" s="4" t="n">
        <x:f>IF(COUNT(O130,R130,U130,X130,AA130,AD130,AG130,AJ130)=8,O130*Guide!$E$5+R130*Guide!$E$6+U130*Guide!$E$7+X130*Guide!$E$8+AA130*Guide!$E$9+AD130*Guide!$E$10+AG130*Guide!$E$11+AJ130*Guide!$E$12,"")</x:f>
        <x:v>508.25</x:v>
      </x:c>
      <x:c r="H130" s="4" t="n">
        <x:f>IF(COUNT(G130,F130)=2,G130-F130,"")</x:f>
        <x:v>86.25</x:v>
      </x:c>
      <x:c r="I130" s="4" t="n">
        <x:f>IF(AND(ISNUMBER(F130),K130&gt;0),F130/K130,"")</x:f>
        <x:v>5.209876543209877</x:v>
      </x:c>
      <x:c r="J130" s="4" t="n">
        <x:f>IF(AND(ISNUMBER(G130),L130&gt;0),G130/L130,"")</x:f>
        <x:v>6.198170731707317</x:v>
      </x:c>
      <x:c r="K130" s="10" t="n">
        <x:v>81</x:v>
      </x:c>
      <x:c r="L130" s="10" t="n">
        <x:v>82</x:v>
      </x:c>
      <x:c r="M130" s="10" t="n">
        <x:f>IF(COUNT(L130,K130)=2,L130-K130,"")</x:f>
        <x:v>1</x:v>
      </x:c>
      <x:c r="N130" s="10" t="n">
        <x:v>15</x:v>
      </x:c>
      <x:c r="O130" s="10" t="n">
        <x:v>21</x:v>
      </x:c>
      <x:c r="P130" s="10" t="n">
        <x:f>IF(COUNT(O130,N130)=2,O130-N130,"")</x:f>
        <x:v>6</x:v>
      </x:c>
      <x:c r="Q130" s="10" t="n">
        <x:v>56</x:v>
      </x:c>
      <x:c r="R130" s="10" t="n">
        <x:v>74</x:v>
      </x:c>
      <x:c r="S130" s="10" t="n">
        <x:f>IF(COUNT(R130,Q130)=2,R130-Q130,"")</x:f>
        <x:v>18</x:v>
      </x:c>
      <x:c r="T130" s="10" t="n">
        <x:v>23</x:v>
      </x:c>
      <x:c r="U130" s="10" t="n">
        <x:v>25</x:v>
      </x:c>
      <x:c r="V130" s="10" t="n">
        <x:f>IF(COUNT(U130,T130)=2,U130-T130,"")</x:f>
        <x:v>2</x:v>
      </x:c>
      <x:c r="W130" s="10" t="n">
        <x:v>27</x:v>
      </x:c>
      <x:c r="X130" s="10" t="n">
        <x:f>IF(COUNT(AV130,AW130)=2,AV130+AW130,"")</x:f>
        <x:v>33</x:v>
      </x:c>
      <x:c r="Y130" s="10" t="n">
        <x:f>IF(COUNT(X130,W130)=2,X130-W130,"")</x:f>
        <x:v>6</x:v>
      </x:c>
      <x:c r="Z130" s="10" t="n">
        <x:v>0</x:v>
      </x:c>
      <x:c r="AA130" s="10" t="n">
        <x:f>IF(COUNT(AX130,AY130)=2,AX130+AY130,"")</x:f>
        <x:v>2</x:v>
      </x:c>
      <x:c r="AB130" s="10" t="n">
        <x:f>IF(COUNT(AA130,Z130)=2,AA130-Z130,"")</x:f>
        <x:v>2</x:v>
      </x:c>
      <x:c r="AC130" s="10" t="n">
        <x:v>215</x:v>
      </x:c>
      <x:c r="AD130" s="10" t="n">
        <x:v>221</x:v>
      </x:c>
      <x:c r="AE130" s="10" t="n">
        <x:f>IF(COUNT(AD130,AC130)=2,AD130-AC130,"")</x:f>
        <x:v>6</x:v>
      </x:c>
      <x:c r="AF130" s="10" t="n">
        <x:v>43</x:v>
      </x:c>
      <x:c r="AG130" s="10" t="n">
        <x:v>29</x:v>
      </x:c>
      <x:c r="AH130" s="10" t="n">
        <x:f>IF(COUNT(AG130,AF130)=2,AG130-AF130,"")</x:f>
        <x:v>-14</x:v>
      </x:c>
      <x:c r="AI130" s="10" t="n">
        <x:v>106</x:v>
      </x:c>
      <x:c r="AJ130" s="10" t="n">
        <x:v>101</x:v>
      </x:c>
      <x:c r="AK130" s="10" t="n">
        <x:f>IF(COUNT(AJ130,AI130)=2,AJ130-AI130,"")</x:f>
        <x:v>-5</x:v>
      </x:c>
      <x:c r="AL130" s="10" t="n">
        <x:v>26</x:v>
      </x:c>
      <x:c r="AM130" s="10" t="n">
        <x:v>26</x:v>
      </x:c>
      <x:c r="AN130" s="4" t="str">
        <x:v>D</x:v>
      </x:c>
      <x:c r="AO130" s="4" t="str">
        <x:v>D</x:v>
      </x:c>
      <x:c r="AP130" s="4" t="str">
        <x:v>EDM</x:v>
      </x:c>
      <x:c r="AQ130" s="4" t="str">
        <x:v>EDM</x:v>
      </x:c>
      <x:c r="AR130" s="4" t="n">
        <x:v>23.43</x:v>
      </x:c>
      <x:c r="AS130" s="4" t="n">
        <x:v>24.683333333333334</x:v>
      </x:c>
      <x:c r="AT130" s="4" t="n">
        <x:v>3.26</x:v>
      </x:c>
      <x:c r="AU130" s="4" t="n">
        <x:v>9.5</x:v>
      </x:c>
      <x:c r="AV130" s="10" t="n">
        <x:v>7</x:v>
      </x:c>
      <x:c r="AW130" s="10" t="n">
        <x:v>26</x:v>
      </x:c>
      <x:c r="AX130" s="10" t="n">
        <x:v>0</x:v>
      </x:c>
      <x:c r="AY130" s="10" t="n">
        <x:v>2</x:v>
      </x:c>
      <x:c r="AZ130" s="10" t="n">
        <x:v>1724</x:v>
      </x:c>
      <x:c r="BA130" s="10" t="n">
        <x:v>1374</x:v>
      </x:c>
      <x:c r="BB130" s="4" t="n">
        <x:v>55.6</x:v>
      </x:c>
      <x:c r="BC130" s="4" t="n">
        <x:v>8.6</x:v>
      </x:c>
      <x:c r="BD130" s="10" t="n">
        <x:v>1294</x:v>
      </x:c>
      <x:c r="BE130" s="10" t="n">
        <x:v>1025</x:v>
      </x:c>
      <x:c r="BF130" s="4" t="n">
        <x:v>55.8</x:v>
      </x:c>
      <x:c r="BG130" s="4" t="n">
        <x:v>7.8</x:v>
      </x:c>
      <x:c r="BH130" s="4" t="n">
        <x:v>12.4</x:v>
      </x:c>
      <x:c r="BI130" s="4" t="n">
        <x:v>88</x:v>
      </x:c>
      <x:c r="BJ130" s="4" t="n">
        <x:v>100.4</x:v>
      </x:c>
      <x:c r="BK130" s="4" t="n">
        <x:v>62.3</x:v>
      </x:c>
      <x:c r="BL130" s="4" t="n">
        <x:v>37.7</x:v>
      </x:c>
      <x:c r="BM130" s="4" t="n">
        <x:v>24.683333333333334</x:v>
      </x:c>
      <x:c r="BN130" s="4" t="n">
        <x:v>19.25</x:v>
      </x:c>
      <x:c r="BO130" s="10" t="n">
        <x:v>33</x:v>
      </x:c>
      <x:c r="BP130" s="10" t="n">
        <x:v>123</x:v>
      </x:c>
      <x:c r="BQ130" s="4" t="n">
        <x:v>25.1</x:v>
      </x:c>
      <x:c r="BR130" s="10" t="n">
        <x:v>468</x:v>
      </x:c>
      <x:c r="BS130" s="4" t="n">
        <x:v>47.2</x:v>
      </x:c>
      <x:c r="BT130" s="10" t="n">
        <x:v>82</x:v>
      </x:c>
      <x:c r="BU130" s="4" t="str">
        <x:v>EDM</x:v>
      </x:c>
      <x:c r="BV130" s="10" t="n">
        <x:v>44</x:v>
      </x:c>
      <x:c r="BW130" s="10" t="n">
        <x:v>13</x:v>
      </x:c>
      <x:c r="BX130" s="10" t="n">
        <x:v>84</x:v>
      </x:c>
      <x:c r="BY130" s="4" t="str">
        <x:v>Evan Bouchard</x:v>
      </x:c>
      <x:c r="BZ130" s="4" t="str">
        <x:v>Evan Bouchard</x:v>
      </x:c>
      <x:c r="CA130" s="4" t="str">
        <x:v>Evan Bouchard</x:v>
      </x:c>
      <x:c r="CB130" s="4" t="str">
        <x:v>bouchev01</x:v>
      </x:c>
    </x:row>
    <x:row r="131" ht="22" customHeight="1">
      <x:c r="A131" s="4" t="str">
        <x:v>Evan Rodrigues</x:v>
      </x:c>
      <x:c r="B131" s="4" t="str">
        <x:v>evanrodrigues</x:v>
      </x:c>
      <x:c r="C131" s="10" t="n">
        <x:v>1</x:v>
      </x:c>
      <x:c r="D131" s="10" t="n">
        <x:v>1</x:v>
      </x:c>
      <x:c r="E131" s="10" t="n">
        <x:v>1</x:v>
      </x:c>
      <x:c r="F131" s="4" t="n">
        <x:f>IF(COUNT(N131,Q131,T131,W131,Z131,AC131,AF131,AI131)=8,N131*Guide!$E$5+Q131*Guide!$E$6+T131*Guide!$E$7+W131*Guide!$E$8+Z131*Guide!$E$9+AC131*Guide!$E$10+AF131*Guide!$E$11+AI131*Guide!$E$12,"")</x:f>
        <x:v>229</x:v>
      </x:c>
      <x:c r="G131" s="4" t="n">
        <x:f>IF(COUNT(O131,R131,U131,X131,AA131,AD131,AG131,AJ131)=8,O131*Guide!$E$5+R131*Guide!$E$6+U131*Guide!$E$7+X131*Guide!$E$8+AA131*Guide!$E$9+AD131*Guide!$E$10+AG131*Guide!$E$11+AJ131*Guide!$E$12,"")</x:f>
        <x:v>171.25</x:v>
      </x:c>
      <x:c r="H131" s="4" t="n">
        <x:f>IF(COUNT(G131,F131)=2,G131-F131,"")</x:f>
        <x:v>-57.75</x:v>
      </x:c>
      <x:c r="I131" s="4" t="n">
        <x:f>IF(AND(ISNUMBER(F131),K131&gt;0),F131/K131,"")</x:f>
        <x:v>2.792682926829268</x:v>
      </x:c>
      <x:c r="J131" s="4" t="n">
        <x:f>IF(AND(ISNUMBER(G131),L131&gt;0),G131/L131,"")</x:f>
        <x:v>2.4818840579710146</x:v>
      </x:c>
      <x:c r="K131" s="10" t="n">
        <x:v>82</x:v>
      </x:c>
      <x:c r="L131" s="10" t="n">
        <x:v>69</x:v>
      </x:c>
      <x:c r="M131" s="10" t="n">
        <x:f>IF(COUNT(L131,K131)=2,L131-K131,"")</x:f>
        <x:v>-13</x:v>
      </x:c>
      <x:c r="N131" s="10" t="n">
        <x:v>15</x:v>
      </x:c>
      <x:c r="O131" s="10" t="n">
        <x:v>11</x:v>
      </x:c>
      <x:c r="P131" s="10" t="n">
        <x:f>IF(COUNT(O131,N131)=2,O131-N131,"")</x:f>
        <x:v>-4</x:v>
      </x:c>
      <x:c r="Q131" s="10" t="n">
        <x:v>21</x:v>
      </x:c>
      <x:c r="R131" s="10" t="n">
        <x:v>20</x:v>
      </x:c>
      <x:c r="S131" s="10" t="n">
        <x:f>IF(COUNT(R131,Q131)=2,R131-Q131,"")</x:f>
        <x:v>-1</x:v>
      </x:c>
      <x:c r="T131" s="10" t="n">
        <x:v>8</x:v>
      </x:c>
      <x:c r="U131" s="10" t="n">
        <x:v>-16</x:v>
      </x:c>
      <x:c r="V131" s="10" t="n">
        <x:f>IF(COUNT(U131,T131)=2,U131-T131,"")</x:f>
        <x:v>-24</x:v>
      </x:c>
      <x:c r="W131" s="10" t="n">
        <x:v>9</x:v>
      </x:c>
      <x:c r="X131" s="10" t="n">
        <x:f>IF(COUNT(AV131,AW131)=2,AV131+AW131,"")</x:f>
        <x:v>5</x:v>
      </x:c>
      <x:c r="Y131" s="10" t="n">
        <x:f>IF(COUNT(X131,W131)=2,X131-W131,"")</x:f>
        <x:v>-4</x:v>
      </x:c>
      <x:c r="Z131" s="10" t="n">
        <x:v>0</x:v>
      </x:c>
      <x:c r="AA131" s="10" t="n">
        <x:f>IF(COUNT(AX131,AY131)=2,AX131+AY131,"")</x:f>
        <x:v>1</x:v>
      </x:c>
      <x:c r="AB131" s="10" t="n">
        <x:f>IF(COUNT(AA131,Z131)=2,AA131-Z131,"")</x:f>
        <x:v>1</x:v>
      </x:c>
      <x:c r="AC131" s="10" t="n">
        <x:v>162</x:v>
      </x:c>
      <x:c r="AD131" s="10" t="n">
        <x:v>160</x:v>
      </x:c>
      <x:c r="AE131" s="10" t="n">
        <x:f>IF(COUNT(AD131,AC131)=2,AD131-AC131,"")</x:f>
        <x:v>-2</x:v>
      </x:c>
      <x:c r="AF131" s="10" t="n">
        <x:v>110</x:v>
      </x:c>
      <x:c r="AG131" s="10" t="n">
        <x:v>63</x:v>
      </x:c>
      <x:c r="AH131" s="10" t="n">
        <x:f>IF(COUNT(AG131,AF131)=2,AG131-AF131,"")</x:f>
        <x:v>-47</x:v>
      </x:c>
      <x:c r="AI131" s="10" t="n">
        <x:v>28</x:v>
      </x:c>
      <x:c r="AJ131" s="10" t="n">
        <x:v>26</x:v>
      </x:c>
      <x:c r="AK131" s="10" t="n">
        <x:f>IF(COUNT(AJ131,AI131)=2,AJ131-AI131,"")</x:f>
        <x:v>-2</x:v>
      </x:c>
      <x:c r="AL131" s="10" t="n">
        <x:v>32</x:v>
      </x:c>
      <x:c r="AM131" s="10" t="n">
        <x:v>32</x:v>
      </x:c>
      <x:c r="AN131" s="4" t="str">
        <x:v>C,LW,RW</x:v>
      </x:c>
      <x:c r="AO131" s="4" t="str">
        <x:v>C</x:v>
      </x:c>
      <x:c r="AP131" s="4" t="str">
        <x:v>FLA</x:v>
      </x:c>
      <x:c r="AQ131" s="4" t="str">
        <x:v>FLA</x:v>
      </x:c>
      <x:c r="AR131" s="4" t="n">
        <x:v>15.139999999999999</x:v>
      </x:c>
      <x:c r="AS131" s="4" t="n">
        <x:v>17</x:v>
      </x:c>
      <x:c r="AT131" s="4" t="n">
        <x:v>1.44</x:v>
      </x:c>
      <x:c r="AU131" s="4" t="n">
        <x:v>6.9</x:v>
      </x:c>
      <x:c r="AV131" s="10" t="n">
        <x:v>1</x:v>
      </x:c>
      <x:c r="AW131" s="10" t="n">
        <x:v>4</x:v>
      </x:c>
      <x:c r="AX131" s="10" t="n">
        <x:v>1</x:v>
      </x:c>
      <x:c r="AY131" s="10" t="n">
        <x:v>0</x:v>
      </x:c>
      <x:c r="AZ131" s="10" t="n">
        <x:v>1021</x:v>
      </x:c>
      <x:c r="BA131" s="10" t="n">
        <x:v>822</x:v>
      </x:c>
      <x:c r="BB131" s="4" t="n">
        <x:v>55.4</x:v>
      </x:c>
      <x:c r="BC131" s="4" t="n">
        <x:v>4.6</x:v>
      </x:c>
      <x:c r="BD131" s="10" t="n">
        <x:v>745</x:v>
      </x:c>
      <x:c r="BE131" s="10" t="n">
        <x:v>610</x:v>
      </x:c>
      <x:c r="BF131" s="4" t="n">
        <x:v>55</x:v>
      </x:c>
      <x:c r="BG131" s="4" t="n">
        <x:v>5.3</x:v>
      </x:c>
      <x:c r="BH131" s="4" t="n">
        <x:v>8</x:v>
      </x:c>
      <x:c r="BI131" s="4" t="n">
        <x:v>86</x:v>
      </x:c>
      <x:c r="BJ131" s="4" t="n">
        <x:v>94.1</x:v>
      </x:c>
      <x:c r="BK131" s="4" t="n">
        <x:v>52.7</x:v>
      </x:c>
      <x:c r="BL131" s="4" t="n">
        <x:v>47.3</x:v>
      </x:c>
      <x:c r="BM131" s="4" t="n">
        <x:v>0.7083333333333334</x:v>
      </x:c>
      <x:c r="BN131" s="4" t="n">
        <x:v>13.816666666666666</x:v>
      </x:c>
      <x:c r="BO131" s="10" t="n">
        <x:v>31</x:v>
      </x:c>
      <x:c r="BP131" s="10" t="n">
        <x:v>47</x:v>
      </x:c>
      <x:c r="BQ131" s="4" t="n">
        <x:v>7.1</x:v>
      </x:c>
      <x:c r="BR131" s="10" t="n">
        <x:v>316</x:v>
      </x:c>
      <x:c r="BS131" s="4" t="n">
        <x:v>50.6</x:v>
      </x:c>
      <x:c r="BT131" s="10" t="n">
        <x:v>69</x:v>
      </x:c>
      <x:c r="BU131" s="4" t="str">
        <x:v>FLA</x:v>
      </x:c>
      <x:c r="BV131" s="10" t="n">
        <x:v>292</x:v>
      </x:c>
      <x:c r="BW131" s="10" t="n">
        <x:v>319</x:v>
      </x:c>
      <x:c r="BX131" s="10" t="n">
        <x:v>870</x:v>
      </x:c>
      <x:c r="BY131" s="4" t="str">
        <x:v>Evan Rodrigues</x:v>
      </x:c>
      <x:c r="BZ131" s="4" t="str">
        <x:v>Evan Rodrigues</x:v>
      </x:c>
      <x:c r="CA131" s="4" t="str">
        <x:v>Evan Rodrigues</x:v>
      </x:c>
      <x:c r="CB131" s="4" t="str">
        <x:v>rodriev01</x:v>
      </x:c>
    </x:row>
    <x:row r="132" ht="22" customHeight="1">
      <x:c r="A132" s="4" t="str">
        <x:v>Evander Kane</x:v>
      </x:c>
      <x:c r="B132" s="4" t="str">
        <x:v>evanderkane</x:v>
      </x:c>
      <x:c r="C132" s="10" t="n">
        <x:v>1</x:v>
      </x:c>
      <x:c r="D132" s="10" t="n">
        <x:v>1</x:v>
      </x:c>
      <x:c r="E132" s="10" t="n">
        <x:v>1</x:v>
      </x:c>
      <x:c r="F132" s="4" t="n">
        <x:f>IF(COUNT(N132,Q132,T132,W132,Z132,AC132,AF132,AI132)=8,N132*Guide!$E$5+Q132*Guide!$E$6+T132*Guide!$E$7+W132*Guide!$E$8+Z132*Guide!$E$9+AC132*Guide!$E$10+AF132*Guide!$E$11+AI132*Guide!$E$12,"")</x:f>
        <x:v>325</x:v>
      </x:c>
      <x:c r="G132" s="4" t="n">
        <x:f>IF(COUNT(O132,R132,U132,X132,AA132,AD132,AG132,AJ132)=8,O132*Guide!$E$5+R132*Guide!$E$6+U132*Guide!$E$7+X132*Guide!$E$8+AA132*Guide!$E$9+AD132*Guide!$E$10+AG132*Guide!$E$11+AJ132*Guide!$E$12,"")</x:f>
        <x:v>183.5</x:v>
      </x:c>
      <x:c r="H132" s="4" t="n">
        <x:f>IF(COUNT(G132,F132)=2,G132-F132,"")</x:f>
        <x:v>-141.5</x:v>
      </x:c>
      <x:c r="I132" s="4" t="n">
        <x:f>IF(AND(ISNUMBER(F132),K132&gt;0),F132/K132,"")</x:f>
        <x:v>4.276315789473684</x:v>
      </x:c>
      <x:c r="J132" s="4" t="n">
        <x:f>IF(AND(ISNUMBER(G132),L132&gt;0),G132/L132,"")</x:f>
        <x:v>2.584507042253521</x:v>
      </x:c>
      <x:c r="K132" s="10" t="n">
        <x:v>76</x:v>
      </x:c>
      <x:c r="L132" s="10" t="n">
        <x:v>71</x:v>
      </x:c>
      <x:c r="M132" s="10" t="n">
        <x:f>IF(COUNT(L132,K132)=2,L132-K132,"")</x:f>
        <x:v>-5</x:v>
      </x:c>
      <x:c r="N132" s="10" t="n">
        <x:v>26</x:v>
      </x:c>
      <x:c r="O132" s="10" t="n">
        <x:v>13</x:v>
      </x:c>
      <x:c r="P132" s="10" t="n">
        <x:f>IF(COUNT(O132,N132)=2,O132-N132,"")</x:f>
        <x:v>-13</x:v>
      </x:c>
      <x:c r="Q132" s="10" t="n">
        <x:v>23</x:v>
      </x:c>
      <x:c r="R132" s="10" t="n">
        <x:v>18</x:v>
      </x:c>
      <x:c r="S132" s="10" t="n">
        <x:f>IF(COUNT(R132,Q132)=2,R132-Q132,"")</x:f>
        <x:v>-5</x:v>
      </x:c>
      <x:c r="T132" s="10" t="n">
        <x:v>-1</x:v>
      </x:c>
      <x:c r="U132" s="10" t="n">
        <x:v>-20</x:v>
      </x:c>
      <x:c r="V132" s="10" t="n">
        <x:f>IF(COUNT(U132,T132)=2,U132-T132,"")</x:f>
        <x:v>-19</x:v>
      </x:c>
      <x:c r="W132" s="10" t="n">
        <x:v>10</x:v>
      </x:c>
      <x:c r="X132" s="10" t="n">
        <x:f>IF(COUNT(AV132,AW132)=2,AV132+AW132,"")</x:f>
        <x:v>6</x:v>
      </x:c>
      <x:c r="Y132" s="10" t="n">
        <x:f>IF(COUNT(X132,W132)=2,X132-W132,"")</x:f>
        <x:v>-4</x:v>
      </x:c>
      <x:c r="Z132" s="10" t="n">
        <x:v>1</x:v>
      </x:c>
      <x:c r="AA132" s="10" t="n">
        <x:f>IF(COUNT(AX132,AY132)=2,AX132+AY132,"")</x:f>
        <x:v>0</x:v>
      </x:c>
      <x:c r="AB132" s="10" t="n">
        <x:f>IF(COUNT(AA132,Z132)=2,AA132-Z132,"")</x:f>
        <x:v>-1</x:v>
      </x:c>
      <x:c r="AC132" s="10" t="n">
        <x:v>217</x:v>
      </x:c>
      <x:c r="AD132" s="10" t="n">
        <x:v>171</x:v>
      </x:c>
      <x:c r="AE132" s="10" t="n">
        <x:f>IF(COUNT(AD132,AC132)=2,AD132-AC132,"")</x:f>
        <x:v>-46</x:v>
      </x:c>
      <x:c r="AF132" s="10" t="n">
        <x:v>247</x:v>
      </x:c>
      <x:c r="AG132" s="10" t="n">
        <x:v>111</x:v>
      </x:c>
      <x:c r="AH132" s="10" t="n">
        <x:f>IF(COUNT(AG132,AF132)=2,AG132-AF132,"")</x:f>
        <x:v>-136</x:v>
      </x:c>
      <x:c r="AI132" s="10" t="n">
        <x:v>32</x:v>
      </x:c>
      <x:c r="AJ132" s="10" t="n">
        <x:v>28</x:v>
      </x:c>
      <x:c r="AK132" s="10" t="n">
        <x:f>IF(COUNT(AJ132,AI132)=2,AJ132-AI132,"")</x:f>
        <x:v>-4</x:v>
      </x:c>
      <x:c r="AL132" s="10" t="n">
        <x:v>34</x:v>
      </x:c>
      <x:c r="AM132" s="10" t="n">
        <x:v>34</x:v>
      </x:c>
      <x:c r="AN132" s="4" t="str">
        <x:v>LW</x:v>
      </x:c>
      <x:c r="AO132" s="4" t="str">
        <x:v>LW</x:v>
      </x:c>
      <x:c r="AP132" s="4" t="str">
        <x:v>VAN</x:v>
      </x:c>
      <x:c r="AQ132" s="4" t="str">
        <x:v>VAN</x:v>
      </x:c>
      <x:c r="AR132" s="4" t="n">
        <x:v>17.939999999999998</x:v>
      </x:c>
      <x:c r="AS132" s="4" t="n">
        <x:v>16.416666666666668</x:v>
      </x:c>
      <x:c r="AT132" s="4" t="n">
        <x:v>2.15</x:v>
      </x:c>
      <x:c r="AU132" s="4" t="n">
        <x:v>7.6</x:v>
      </x:c>
      <x:c r="AV132" s="10" t="n">
        <x:v>2</x:v>
      </x:c>
      <x:c r="AW132" s="10" t="n">
        <x:v>4</x:v>
      </x:c>
      <x:c r="AX132" s="10" t="n">
        <x:v>0</x:v>
      </x:c>
      <x:c r="AY132" s="10" t="n">
        <x:v>0</x:v>
      </x:c>
      <x:c r="AZ132" s="10" t="n">
        <x:v>998</x:v>
      </x:c>
      <x:c r="BA132" s="10" t="n">
        <x:v>1130</x:v>
      </x:c>
      <x:c r="BB132" s="4" t="n">
        <x:v>46.9</x:v>
      </x:c>
      <x:c r="BC132" s="4" t="n">
        <x:v>0</x:v>
      </x:c>
      <x:c r="BD132" s="10" t="n">
        <x:v>726</x:v>
      </x:c>
      <x:c r="BE132" s="10" t="n">
        <x:v>844</x:v>
      </x:c>
      <x:c r="BF132" s="4" t="n">
        <x:v>46.2</x:v>
      </x:c>
      <x:c r="BG132" s="4" t="n">
        <x:v>-0.5</x:v>
      </x:c>
      <x:c r="BH132" s="4" t="n">
        <x:v>9.5</x:v>
      </x:c>
      <x:c r="BI132" s="4" t="n">
        <x:v>89.2</x:v>
      </x:c>
      <x:c r="BJ132" s="4" t="n">
        <x:v>98.6</x:v>
      </x:c>
      <x:c r="BK132" s="4" t="n">
        <x:v>53.7</x:v>
      </x:c>
      <x:c r="BL132" s="4" t="n">
        <x:v>46.3</x:v>
      </x:c>
      <x:c r="BM132" s="4" t="n">
        <x:v>16.416666666666668</x:v>
      </x:c>
      <x:c r="BN132" s="4" t="n">
        <x:v>14.816666666666666</x:v>
      </x:c>
      <x:c r="BO132" s="10" t="n">
        <x:v>17</x:v>
      </x:c>
      <x:c r="BP132" s="10" t="n">
        <x:v>75</x:v>
      </x:c>
      <x:c r="BQ132" s="4" t="n">
        <x:v>-13</x:v>
      </x:c>
      <x:c r="BR132" s="10" t="n">
        <x:v>356</x:v>
      </x:c>
      <x:c r="BS132" s="4" t="n">
        <x:v>48</x:v>
      </x:c>
      <x:c r="BT132" s="10" t="n">
        <x:v>71</x:v>
      </x:c>
      <x:c r="BU132" s="4" t="str">
        <x:v>VAN</x:v>
      </x:c>
      <x:c r="BV132" s="10" t="n">
        <x:v>158</x:v>
      </x:c>
      <x:c r="BW132" s="10" t="n">
        <x:v>314</x:v>
      </x:c>
      <x:c r="BX132" s="10" t="n">
        <x:v>494</x:v>
      </x:c>
      <x:c r="BY132" s="4" t="str">
        <x:v>Evander Kane</x:v>
      </x:c>
      <x:c r="BZ132" s="4" t="str">
        <x:v>Evander Kane</x:v>
      </x:c>
      <x:c r="CA132" s="4" t="str">
        <x:v>Evander Kane</x:v>
      </x:c>
      <x:c r="CB132" s="4" t="str">
        <x:v>kaneev01</x:v>
      </x:c>
    </x:row>
    <x:row r="133" ht="22" customHeight="1">
      <x:c r="A133" s="4" t="str">
        <x:v>Evgeni Malkin</x:v>
      </x:c>
      <x:c r="B133" s="4" t="str">
        <x:v>evgenimalkin</x:v>
      </x:c>
      <x:c r="C133" s="10" t="n">
        <x:v>1</x:v>
      </x:c>
      <x:c r="D133" s="10" t="n">
        <x:v>1</x:v>
      </x:c>
      <x:c r="E133" s="10" t="n">
        <x:v>1</x:v>
      </x:c>
      <x:c r="F133" s="4" t="n">
        <x:f>IF(COUNT(N133,Q133,T133,W133,Z133,AC133,AF133,AI133)=8,N133*Guide!$E$5+Q133*Guide!$E$6+T133*Guide!$E$7+W133*Guide!$E$8+Z133*Guide!$E$9+AC133*Guide!$E$10+AF133*Guide!$E$11+AI133*Guide!$E$12,"")</x:f>
        <x:v>271.25</x:v>
      </x:c>
      <x:c r="G133" s="4" t="n">
        <x:f>IF(COUNT(O133,R133,U133,X133,AA133,AD133,AG133,AJ133)=8,O133*Guide!$E$5+R133*Guide!$E$6+U133*Guide!$E$7+X133*Guide!$E$8+AA133*Guide!$E$9+AD133*Guide!$E$10+AG133*Guide!$E$11+AJ133*Guide!$E$12,"")</x:f>
        <x:v>292.5</x:v>
      </x:c>
      <x:c r="H133" s="4" t="n">
        <x:f>IF(COUNT(G133,F133)=2,G133-F133,"")</x:f>
        <x:v>21.25</x:v>
      </x:c>
      <x:c r="I133" s="4" t="n">
        <x:f>IF(AND(ISNUMBER(F133),K133&gt;0),F133/K133,"")</x:f>
        <x:v>3.6655405405405403</x:v>
      </x:c>
      <x:c r="J133" s="4" t="n">
        <x:f>IF(AND(ISNUMBER(G133),L133&gt;0),G133/L133,"")</x:f>
        <x:v>5.223214285714286</x:v>
      </x:c>
      <x:c r="K133" s="10" t="n">
        <x:v>74</x:v>
      </x:c>
      <x:c r="L133" s="10" t="n">
        <x:v>56</x:v>
      </x:c>
      <x:c r="M133" s="10" t="n">
        <x:f>IF(COUNT(L133,K133)=2,L133-K133,"")</x:f>
        <x:v>-18</x:v>
      </x:c>
      <x:c r="N133" s="10" t="n">
        <x:v>19</x:v>
      </x:c>
      <x:c r="O133" s="10" t="n">
        <x:v>19</x:v>
      </x:c>
      <x:c r="P133" s="10" t="n">
        <x:f>IF(COUNT(O133,N133)=2,O133-N133,"")</x:f>
        <x:v>0</x:v>
      </x:c>
      <x:c r="Q133" s="10" t="n">
        <x:v>38</x:v>
      </x:c>
      <x:c r="R133" s="10" t="n">
        <x:v>42</x:v>
      </x:c>
      <x:c r="S133" s="10" t="n">
        <x:f>IF(COUNT(R133,Q133)=2,R133-Q133,"")</x:f>
        <x:v>4</x:v>
      </x:c>
      <x:c r="T133" s="10" t="n">
        <x:v>-12</x:v>
      </x:c>
      <x:c r="U133" s="10" t="n">
        <x:v>13</x:v>
      </x:c>
      <x:c r="V133" s="10" t="n">
        <x:f>IF(COUNT(U133,T133)=2,U133-T133,"")</x:f>
        <x:v>25</x:v>
      </x:c>
      <x:c r="W133" s="10" t="n">
        <x:v>16</x:v>
      </x:c>
      <x:c r="X133" s="10" t="n">
        <x:f>IF(COUNT(AV133,AW133)=2,AV133+AW133,"")</x:f>
        <x:v>22</x:v>
      </x:c>
      <x:c r="Y133" s="10" t="n">
        <x:f>IF(COUNT(X133,W133)=2,X133-W133,"")</x:f>
        <x:v>6</x:v>
      </x:c>
      <x:c r="Z133" s="10" t="n">
        <x:v>0</x:v>
      </x:c>
      <x:c r="AA133" s="10" t="n">
        <x:f>IF(COUNT(AX133,AY133)=2,AX133+AY133,"")</x:f>
        <x:v>0</x:v>
      </x:c>
      <x:c r="AB133" s="10" t="n">
        <x:f>IF(COUNT(AA133,Z133)=2,AA133-Z133,"")</x:f>
        <x:v>0</x:v>
      </x:c>
      <x:c r="AC133" s="10" t="n">
        <x:v>139</x:v>
      </x:c>
      <x:c r="AD133" s="10" t="n">
        <x:v>147</x:v>
      </x:c>
      <x:c r="AE133" s="10" t="n">
        <x:f>IF(COUNT(AD133,AC133)=2,AD133-AC133,"")</x:f>
        <x:v>8</x:v>
      </x:c>
      <x:c r="AF133" s="10" t="n">
        <x:v>35</x:v>
      </x:c>
      <x:c r="AG133" s="10" t="n">
        <x:v>24</x:v>
      </x:c>
      <x:c r="AH133" s="10" t="n">
        <x:f>IF(COUNT(AG133,AF133)=2,AG133-AF133,"")</x:f>
        <x:v>-11</x:v>
      </x:c>
      <x:c r="AI133" s="10" t="n">
        <x:v>45</x:v>
      </x:c>
      <x:c r="AJ133" s="10" t="n">
        <x:v>17</x:v>
      </x:c>
      <x:c r="AK133" s="10" t="n">
        <x:f>IF(COUNT(AJ133,AI133)=2,AJ133-AI133,"")</x:f>
        <x:v>-28</x:v>
      </x:c>
      <x:c r="AL133" s="10" t="n">
        <x:v>39</x:v>
      </x:c>
      <x:c r="AM133" s="10" t="n">
        <x:v>39</x:v>
      </x:c>
      <x:c r="AN133" s="4" t="str">
        <x:v>C,LW</x:v>
      </x:c>
      <x:c r="AO133" s="4" t="str">
        <x:v>C</x:v>
      </x:c>
      <x:c r="AP133" s="4" t="str">
        <x:v>PIT</x:v>
      </x:c>
      <x:c r="AQ133" s="4" t="str">
        <x:v>PIT</x:v>
      </x:c>
      <x:c r="AR133" s="4" t="n">
        <x:v>17.400000000000002</x:v>
      </x:c>
      <x:c r="AS133" s="4" t="n">
        <x:v>17.6</x:v>
      </x:c>
      <x:c r="AT133" s="4" t="n">
        <x:v>2.45</x:v>
      </x:c>
      <x:c r="AU133" s="4" t="n">
        <x:v>12.9</x:v>
      </x:c>
      <x:c r="AV133" s="10" t="n">
        <x:v>4</x:v>
      </x:c>
      <x:c r="AW133" s="10" t="n">
        <x:v>18</x:v>
      </x:c>
      <x:c r="AX133" s="10" t="n">
        <x:v>0</x:v>
      </x:c>
      <x:c r="AY133" s="10" t="n">
        <x:v>0</x:v>
      </x:c>
      <x:c r="AZ133" s="10" t="n">
        <x:v>794</x:v>
      </x:c>
      <x:c r="BA133" s="10" t="n">
        <x:v>788</x:v>
      </x:c>
      <x:c r="BB133" s="4" t="n">
        <x:v>50.2</x:v>
      </x:c>
      <x:c r="BC133" s="4" t="n">
        <x:v>1.1</x:v>
      </x:c>
      <x:c r="BD133" s="10" t="n">
        <x:v>599</x:v>
      </x:c>
      <x:c r="BE133" s="10" t="n">
        <x:v>588</x:v>
      </x:c>
      <x:c r="BF133" s="4" t="n">
        <x:v>50.5</x:v>
      </x:c>
      <x:c r="BG133" s="4" t="n">
        <x:v>1</x:v>
      </x:c>
      <x:c r="BH133" s="4" t="n">
        <x:v>13.8</x:v>
      </x:c>
      <x:c r="BI133" s="4" t="n">
        <x:v>89.8</x:v>
      </x:c>
      <x:c r="BJ133" s="4" t="n">
        <x:v>103.6</x:v>
      </x:c>
      <x:c r="BK133" s="4" t="n">
        <x:v>69.2</x:v>
      </x:c>
      <x:c r="BL133" s="4" t="n">
        <x:v>30.8</x:v>
      </x:c>
      <x:c r="BM133" s="4" t="n">
        <x:v>17.6</x:v>
      </x:c>
      <x:c r="BN133" s="4" t="n">
        <x:v>14.433333333333334</x:v>
      </x:c>
      <x:c r="BO133" s="10" t="n">
        <x:v>29</x:v>
      </x:c>
      <x:c r="BP133" s="10" t="n">
        <x:v>88</x:v>
      </x:c>
      <x:c r="BQ133" s="4" t="n">
        <x:v>9.5</x:v>
      </x:c>
      <x:c r="BR133" s="10" t="n">
        <x:v>239</x:v>
      </x:c>
      <x:c r="BS133" s="4" t="n">
        <x:v>61.5</x:v>
      </x:c>
      <x:c r="BT133" s="10" t="n">
        <x:v>56</x:v>
      </x:c>
      <x:c r="BU133" s="4" t="str">
        <x:v>PIT</x:v>
      </x:c>
      <x:c r="BV133" s="10" t="n">
        <x:v>104</x:v>
      </x:c>
      <x:c r="BW133" s="10" t="n">
        <x:v>84</x:v>
      </x:c>
      <x:c r="BX133" s="10" t="n">
        <x:v>635</x:v>
      </x:c>
      <x:c r="BY133" s="4" t="str">
        <x:v>Evgeni Malkin</x:v>
      </x:c>
      <x:c r="BZ133" s="4" t="str">
        <x:v>Evgeni Malkin</x:v>
      </x:c>
      <x:c r="CA133" s="4" t="str">
        <x:v>Evgeni Malkin</x:v>
      </x:c>
      <x:c r="CB133" s="4" t="str">
        <x:v>malkiev01</x:v>
      </x:c>
    </x:row>
    <x:row r="134" ht="22" customHeight="1">
      <x:c r="A134" s="4" t="str">
        <x:v>Fabian Zetterlund</x:v>
      </x:c>
      <x:c r="B134" s="4" t="str">
        <x:v>fabianzetterlund</x:v>
      </x:c>
      <x:c r="C134" s="10" t="n">
        <x:v>1</x:v>
      </x:c>
      <x:c r="D134" s="10" t="n">
        <x:v>1</x:v>
      </x:c>
      <x:c r="E134" s="10" t="n">
        <x:v>1</x:v>
      </x:c>
      <x:c r="F134" s="4" t="n">
        <x:f>IF(COUNT(N134,Q134,T134,W134,Z134,AC134,AF134,AI134)=8,N134*Guide!$E$5+Q134*Guide!$E$6+T134*Guide!$E$7+W134*Guide!$E$8+Z134*Guide!$E$9+AC134*Guide!$E$10+AF134*Guide!$E$11+AI134*Guide!$E$12,"")</x:f>
        <x:v>272.5</x:v>
      </x:c>
      <x:c r="G134" s="4" t="n">
        <x:f>IF(COUNT(O134,R134,U134,X134,AA134,AD134,AG134,AJ134)=8,O134*Guide!$E$5+R134*Guide!$E$6+U134*Guide!$E$7+X134*Guide!$E$8+AA134*Guide!$E$9+AD134*Guide!$E$10+AG134*Guide!$E$11+AJ134*Guide!$E$12,"")</x:f>
        <x:v>218.75</x:v>
      </x:c>
      <x:c r="H134" s="4" t="n">
        <x:f>IF(COUNT(G134,F134)=2,G134-F134,"")</x:f>
        <x:v>-53.75</x:v>
      </x:c>
      <x:c r="I134" s="4" t="n">
        <x:f>IF(AND(ISNUMBER(F134),K134&gt;0),F134/K134,"")</x:f>
        <x:v>3.323170731707317</x:v>
      </x:c>
      <x:c r="J134" s="4" t="n">
        <x:f>IF(AND(ISNUMBER(G134),L134&gt;0),G134/L134,"")</x:f>
        <x:v>2.667682926829268</x:v>
      </x:c>
      <x:c r="K134" s="10" t="n">
        <x:v>82</x:v>
      </x:c>
      <x:c r="L134" s="10" t="n">
        <x:v>82</x:v>
      </x:c>
      <x:c r="M134" s="10" t="n">
        <x:f>IF(COUNT(L134,K134)=2,L134-K134,"")</x:f>
        <x:v>0</x:v>
      </x:c>
      <x:c r="N134" s="10" t="n">
        <x:v>20</x:v>
      </x:c>
      <x:c r="O134" s="10" t="n">
        <x:v>17</x:v>
      </x:c>
      <x:c r="P134" s="10" t="n">
        <x:f>IF(COUNT(O134,N134)=2,O134-N134,"")</x:f>
        <x:v>-3</x:v>
      </x:c>
      <x:c r="Q134" s="10" t="n">
        <x:v>21</x:v>
      </x:c>
      <x:c r="R134" s="10" t="n">
        <x:v>16</x:v>
      </x:c>
      <x:c r="S134" s="10" t="n">
        <x:f>IF(COUNT(R134,Q134)=2,R134-Q134,"")</x:f>
        <x:v>-5</x:v>
      </x:c>
      <x:c r="T134" s="10" t="n">
        <x:v>-9</x:v>
      </x:c>
      <x:c r="U134" s="10" t="n">
        <x:v>-1</x:v>
      </x:c>
      <x:c r="V134" s="10" t="n">
        <x:f>IF(COUNT(U134,T134)=2,U134-T134,"")</x:f>
        <x:v>8</x:v>
      </x:c>
      <x:c r="W134" s="10" t="n">
        <x:v>11</x:v>
      </x:c>
      <x:c r="X134" s="10" t="n">
        <x:f>IF(COUNT(AV134,AW134)=2,AV134+AW134,"")</x:f>
        <x:v>8</x:v>
      </x:c>
      <x:c r="Y134" s="10" t="n">
        <x:f>IF(COUNT(X134,W134)=2,X134-W134,"")</x:f>
        <x:v>-3</x:v>
      </x:c>
      <x:c r="Z134" s="10" t="n">
        <x:v>0</x:v>
      </x:c>
      <x:c r="AA134" s="10" t="n">
        <x:f>IF(COUNT(AX134,AY134)=2,AX134+AY134,"")</x:f>
        <x:v>0</x:v>
      </x:c>
      <x:c r="AB134" s="10" t="n">
        <x:f>IF(COUNT(AA134,Z134)=2,AA134-Z134,"")</x:f>
        <x:v>0</x:v>
      </x:c>
      <x:c r="AC134" s="10" t="n">
        <x:v>173</x:v>
      </x:c>
      <x:c r="AD134" s="10" t="n">
        <x:v>132</x:v>
      </x:c>
      <x:c r="AE134" s="10" t="n">
        <x:f>IF(COUNT(AD134,AC134)=2,AD134-AC134,"")</x:f>
        <x:v>-41</x:v>
      </x:c>
      <x:c r="AF134" s="10" t="n">
        <x:v>133</x:v>
      </x:c>
      <x:c r="AG134" s="10" t="n">
        <x:v>155</x:v>
      </x:c>
      <x:c r="AH134" s="10" t="n">
        <x:f>IF(COUNT(AG134,AF134)=2,AG134-AF134,"")</x:f>
        <x:v>22</x:v>
      </x:c>
      <x:c r="AI134" s="10" t="n">
        <x:v>68</x:v>
      </x:c>
      <x:c r="AJ134" s="10" t="n">
        <x:v>32</x:v>
      </x:c>
      <x:c r="AK134" s="10" t="n">
        <x:f>IF(COUNT(AJ134,AI134)=2,AJ134-AI134,"")</x:f>
        <x:v>-36</x:v>
      </x:c>
      <x:c r="AL134" s="10" t="n">
        <x:v>26</x:v>
      </x:c>
      <x:c r="AM134" s="10" t="n">
        <x:v>26</x:v>
      </x:c>
      <x:c r="AN134" s="4" t="str">
        <x:v>LW,RW</x:v>
      </x:c>
      <x:c r="AO134" s="4" t="str">
        <x:v>W</x:v>
      </x:c>
      <x:c r="AP134" s="4" t="str">
        <x:v>OTT</x:v>
      </x:c>
      <x:c r="AQ134" s="4" t="str">
        <x:v>OTT</x:v>
      </x:c>
      <x:c r="AR134" s="4" t="n">
        <x:v>16.62</x:v>
      </x:c>
      <x:c r="AS134" s="4" t="n">
        <x:v>12.916666666666666</x:v>
      </x:c>
      <x:c r="AT134" s="4" t="n">
        <x:v>1.97</x:v>
      </x:c>
      <x:c r="AU134" s="4" t="n">
        <x:v>12.9</x:v>
      </x:c>
      <x:c r="AV134" s="10" t="n">
        <x:v>5</x:v>
      </x:c>
      <x:c r="AW134" s="10" t="n">
        <x:v>3</x:v>
      </x:c>
      <x:c r="AX134" s="10" t="n">
        <x:v>0</x:v>
      </x:c>
      <x:c r="AY134" s="10" t="n">
        <x:v>0</x:v>
      </x:c>
      <x:c r="AZ134" s="10" t="n">
        <x:v>971</x:v>
      </x:c>
      <x:c r="BA134" s="10" t="n">
        <x:v>872</x:v>
      </x:c>
      <x:c r="BB134" s="4" t="n">
        <x:v>52.7</x:v>
      </x:c>
      <x:c r="BC134" s="4" t="n">
        <x:v>0</x:v>
      </x:c>
      <x:c r="BD134" s="10" t="n">
        <x:v>710</x:v>
      </x:c>
      <x:c r="BE134" s="10" t="n">
        <x:v>617</x:v>
      </x:c>
      <x:c r="BF134" s="4" t="n">
        <x:v>53.5</x:v>
      </x:c>
      <x:c r="BG134" s="4" t="n">
        <x:v>0</x:v>
      </x:c>
      <x:c r="BH134" s="4" t="n">
        <x:v>10</x:v>
      </x:c>
      <x:c r="BI134" s="4" t="n">
        <x:v>88.6</x:v>
      </x:c>
      <x:c r="BJ134" s="4" t="n">
        <x:v>98.6</x:v>
      </x:c>
      <x:c r="BK134" s="4" t="n">
        <x:v>57.1</x:v>
      </x:c>
      <x:c r="BL134" s="4" t="n">
        <x:v>42.9</x:v>
      </x:c>
      <x:c r="BM134" s="4" t="n">
        <x:v>12.916666666666666</x:v>
      </x:c>
      <x:c r="BN134" s="4" t="n">
        <x:v>11.7</x:v>
      </x:c>
      <x:c r="BO134" s="10" t="n">
        <x:v>20</x:v>
      </x:c>
      <x:c r="BP134" s="10" t="n">
        <x:v>36</x:v>
      </x:c>
      <x:c r="BQ134" s="4" t="n">
        <x:v>8.9</x:v>
      </x:c>
      <x:c r="BR134" s="10" t="n">
        <x:v>272</x:v>
      </x:c>
      <x:c r="BS134" s="4" t="n">
        <x:v>48.5</x:v>
      </x:c>
      <x:c r="BT134" s="10" t="n">
        <x:v>82</x:v>
      </x:c>
      <x:c r="BU134" s="4" t="str">
        <x:v>OTT</x:v>
      </x:c>
      <x:c r="BV134" s="10" t="n">
        <x:v>233</x:v>
      </x:c>
      <x:c r="BW134" s="10" t="n">
        <x:v>291</x:v>
      </x:c>
      <x:c r="BX134" s="10" t="n">
        <x:v>1101</x:v>
      </x:c>
      <x:c r="BY134" s="4" t="str">
        <x:v>Fabian Zetterlund</x:v>
      </x:c>
      <x:c r="BZ134" s="4" t="str">
        <x:v>Fabian Zetterlund</x:v>
      </x:c>
      <x:c r="CA134" s="4" t="str">
        <x:v>Fabian Zetterlund</x:v>
      </x:c>
      <x:c r="CB134" s="4" t="str">
        <x:v>zettefa01</x:v>
      </x:c>
    </x:row>
    <x:row r="135" ht="22" customHeight="1">
      <x:c r="A135" s="4" t="str">
        <x:v>Filip Forsberg</x:v>
      </x:c>
      <x:c r="B135" s="4" t="str">
        <x:v>filipforsberg</x:v>
      </x:c>
      <x:c r="C135" s="10" t="n">
        <x:v>1</x:v>
      </x:c>
      <x:c r="D135" s="10" t="n">
        <x:v>1</x:v>
      </x:c>
      <x:c r="E135" s="10" t="n">
        <x:v>1</x:v>
      </x:c>
      <x:c r="F135" s="4" t="n">
        <x:f>IF(COUNT(N135,Q135,T135,W135,Z135,AC135,AF135,AI135)=8,N135*Guide!$E$5+Q135*Guide!$E$6+T135*Guide!$E$7+W135*Guide!$E$8+Z135*Guide!$E$9+AC135*Guide!$E$10+AF135*Guide!$E$11+AI135*Guide!$E$12,"")</x:f>
        <x:v>431.25</x:v>
      </x:c>
      <x:c r="G135" s="4" t="n">
        <x:f>IF(COUNT(O135,R135,U135,X135,AA135,AD135,AG135,AJ135)=8,O135*Guide!$E$5+R135*Guide!$E$6+U135*Guide!$E$7+X135*Guide!$E$8+AA135*Guide!$E$9+AD135*Guide!$E$10+AG135*Guide!$E$11+AJ135*Guide!$E$12,"")</x:f>
        <x:v>406.25</x:v>
      </x:c>
      <x:c r="H135" s="4" t="n">
        <x:f>IF(COUNT(G135,F135)=2,G135-F135,"")</x:f>
        <x:v>-25</x:v>
      </x:c>
      <x:c r="I135" s="4" t="n">
        <x:f>IF(AND(ISNUMBER(F135),K135&gt;0),F135/K135,"")</x:f>
        <x:v>5.259146341463414</x:v>
      </x:c>
      <x:c r="J135" s="4" t="n">
        <x:f>IF(AND(ISNUMBER(G135),L135&gt;0),G135/L135,"")</x:f>
        <x:v>4.954268292682927</x:v>
      </x:c>
      <x:c r="K135" s="10" t="n">
        <x:v>82</x:v>
      </x:c>
      <x:c r="L135" s="10" t="n">
        <x:v>82</x:v>
      </x:c>
      <x:c r="M135" s="10" t="n">
        <x:f>IF(COUNT(L135,K135)=2,L135-K135,"")</x:f>
        <x:v>0</x:v>
      </x:c>
      <x:c r="N135" s="10" t="n">
        <x:v>35</x:v>
      </x:c>
      <x:c r="O135" s="10" t="n">
        <x:v>40</x:v>
      </x:c>
      <x:c r="P135" s="10" t="n">
        <x:f>IF(COUNT(O135,N135)=2,O135-N135,"")</x:f>
        <x:v>5</x:v>
      </x:c>
      <x:c r="Q135" s="10" t="n">
        <x:v>43</x:v>
      </x:c>
      <x:c r="R135" s="10" t="n">
        <x:v>35</x:v>
      </x:c>
      <x:c r="S135" s="10" t="n">
        <x:f>IF(COUNT(R135,Q135)=2,R135-Q135,"")</x:f>
        <x:v>-8</x:v>
      </x:c>
      <x:c r="T135" s="10" t="n">
        <x:v>-2</x:v>
      </x:c>
      <x:c r="U135" s="10" t="n">
        <x:v>-2</x:v>
      </x:c>
      <x:c r="V135" s="10" t="n">
        <x:f>IF(COUNT(U135,T135)=2,U135-T135,"")</x:f>
        <x:v>0</x:v>
      </x:c>
      <x:c r="W135" s="10" t="n">
        <x:v>25</x:v>
      </x:c>
      <x:c r="X135" s="10" t="n">
        <x:f>IF(COUNT(AV135,AW135)=2,AV135+AW135,"")</x:f>
        <x:v>26</x:v>
      </x:c>
      <x:c r="Y135" s="10" t="n">
        <x:f>IF(COUNT(X135,W135)=2,X135-W135,"")</x:f>
        <x:v>1</x:v>
      </x:c>
      <x:c r="Z135" s="10" t="n">
        <x:v>0</x:v>
      </x:c>
      <x:c r="AA135" s="10" t="n">
        <x:f>IF(COUNT(AX135,AY135)=2,AX135+AY135,"")</x:f>
        <x:v>0</x:v>
      </x:c>
      <x:c r="AB135" s="10" t="n">
        <x:f>IF(COUNT(AA135,Z135)=2,AA135-Z135,"")</x:f>
        <x:v>0</x:v>
      </x:c>
      <x:c r="AC135" s="10" t="n">
        <x:v>271</x:v>
      </x:c>
      <x:c r="AD135" s="10" t="n">
        <x:v>246</x:v>
      </x:c>
      <x:c r="AE135" s="10" t="n">
        <x:f>IF(COUNT(AD135,AC135)=2,AD135-AC135,"")</x:f>
        <x:v>-25</x:v>
      </x:c>
      <x:c r="AF135" s="10" t="n">
        <x:v>145</x:v>
      </x:c>
      <x:c r="AG135" s="10" t="n">
        <x:v>124</x:v>
      </x:c>
      <x:c r="AH135" s="10" t="n">
        <x:f>IF(COUNT(AG135,AF135)=2,AG135-AF135,"")</x:f>
        <x:v>-21</x:v>
      </x:c>
      <x:c r="AI135" s="10" t="n">
        <x:v>47</x:v>
      </x:c>
      <x:c r="AJ135" s="10" t="n">
        <x:v>33</x:v>
      </x:c>
      <x:c r="AK135" s="10" t="n">
        <x:f>IF(COUNT(AJ135,AI135)=2,AJ135-AI135,"")</x:f>
        <x:v>-14</x:v>
      </x:c>
      <x:c r="AL135" s="10" t="n">
        <x:v>31</x:v>
      </x:c>
      <x:c r="AM135" s="10" t="n">
        <x:v>31</x:v>
      </x:c>
      <x:c r="AN135" s="4" t="str">
        <x:v>LW</x:v>
      </x:c>
      <x:c r="AO135" s="4" t="str">
        <x:v>C</x:v>
      </x:c>
      <x:c r="AP135" s="4" t="str">
        <x:v>NSH</x:v>
      </x:c>
      <x:c r="AQ135" s="4" t="str">
        <x:v>NSH</x:v>
      </x:c>
      <x:c r="AR135" s="4" t="n">
        <x:v>18.19</x:v>
      </x:c>
      <x:c r="AS135" s="4" t="n">
        <x:v>18.883333333333333</x:v>
      </x:c>
      <x:c r="AT135" s="4" t="n">
        <x:v>3.02</x:v>
      </x:c>
      <x:c r="AU135" s="4" t="n">
        <x:v>16.3</x:v>
      </x:c>
      <x:c r="AV135" s="10" t="n">
        <x:v>11</x:v>
      </x:c>
      <x:c r="AW135" s="10" t="n">
        <x:v>15</x:v>
      </x:c>
      <x:c r="AX135" s="10" t="n">
        <x:v>0</x:v>
      </x:c>
      <x:c r="AY135" s="10" t="n">
        <x:v>0</x:v>
      </x:c>
      <x:c r="AZ135" s="10" t="n">
        <x:v>1378</x:v>
      </x:c>
      <x:c r="BA135" s="10" t="n">
        <x:v>1239</x:v>
      </x:c>
      <x:c r="BB135" s="4" t="n">
        <x:v>52.7</x:v>
      </x:c>
      <x:c r="BC135" s="4" t="n">
        <x:v>3.9</x:v>
      </x:c>
      <x:c r="BD135" s="10" t="n">
        <x:v>993</x:v>
      </x:c>
      <x:c r="BE135" s="10" t="n">
        <x:v>956</x:v>
      </x:c>
      <x:c r="BF135" s="4" t="n">
        <x:v>50.9</x:v>
      </x:c>
      <x:c r="BG135" s="4" t="n">
        <x:v>3.6</x:v>
      </x:c>
      <x:c r="BH135" s="4" t="n">
        <x:v>10.1</x:v>
      </x:c>
      <x:c r="BI135" s="4" t="n">
        <x:v>89.6</x:v>
      </x:c>
      <x:c r="BJ135" s="4" t="n">
        <x:v>99.7</x:v>
      </x:c>
      <x:c r="BK135" s="4" t="n">
        <x:v>52.7</x:v>
      </x:c>
      <x:c r="BL135" s="4" t="n">
        <x:v>47.3</x:v>
      </x:c>
      <x:c r="BM135" s="4" t="n">
        <x:v>18.883333333333333</x:v>
      </x:c>
      <x:c r="BN135" s="4" t="n">
        <x:v>15.85</x:v>
      </x:c>
      <x:c r="BO135" s="10" t="n">
        <x:v>48</x:v>
      </x:c>
      <x:c r="BP135" s="10" t="n">
        <x:v>105</x:v>
      </x:c>
      <x:c r="BQ135" s="4" t="n">
        <x:v>2</x:v>
      </x:c>
      <x:c r="BR135" s="10" t="n">
        <x:v>551</x:v>
      </x:c>
      <x:c r="BS135" s="4" t="n">
        <x:v>44.6</x:v>
      </x:c>
      <x:c r="BT135" s="10" t="n">
        <x:v>82</x:v>
      </x:c>
      <x:c r="BU135" s="4" t="str">
        <x:v>NSH</x:v>
      </x:c>
      <x:c r="BV135" s="10" t="n">
        <x:v>24</x:v>
      </x:c>
      <x:c r="BW135" s="10" t="n">
        <x:v>42</x:v>
      </x:c>
      <x:c r="BX135" s="10" t="n">
        <x:v>308</x:v>
      </x:c>
      <x:c r="BY135" s="4" t="str">
        <x:v>Filip Forsberg</x:v>
      </x:c>
      <x:c r="BZ135" s="4" t="str">
        <x:v>Filip Forsberg</x:v>
      </x:c>
      <x:c r="CA135" s="4" t="str">
        <x:v>Filip Forsberg</x:v>
      </x:c>
      <x:c r="CB135" s="4" t="str">
        <x:v>forsbfi01</x:v>
      </x:c>
    </x:row>
    <x:row r="136" ht="22" customHeight="1">
      <x:c r="A136" s="4" t="str">
        <x:v>Filip Hronek</x:v>
      </x:c>
      <x:c r="B136" s="4" t="str">
        <x:v>filiphronek</x:v>
      </x:c>
      <x:c r="C136" s="10" t="n">
        <x:v>1</x:v>
      </x:c>
      <x:c r="D136" s="10" t="n">
        <x:v>1</x:v>
      </x:c>
      <x:c r="E136" s="10" t="n">
        <x:v>1</x:v>
      </x:c>
      <x:c r="F136" s="4" t="n">
        <x:f>IF(COUNT(N136,Q136,T136,W136,Z136,AC136,AF136,AI136)=8,N136*Guide!$E$5+Q136*Guide!$E$6+T136*Guide!$E$7+W136*Guide!$E$8+Z136*Guide!$E$9+AC136*Guide!$E$10+AF136*Guide!$E$11+AI136*Guide!$E$12,"")</x:f>
        <x:v>297.25</x:v>
      </x:c>
      <x:c r="G136" s="4" t="n">
        <x:f>IF(COUNT(O136,R136,U136,X136,AA136,AD136,AG136,AJ136)=8,O136*Guide!$E$5+R136*Guide!$E$6+U136*Guide!$E$7+X136*Guide!$E$8+AA136*Guide!$E$9+AD136*Guide!$E$10+AG136*Guide!$E$11+AJ136*Guide!$E$12,"")</x:f>
        <x:v>301.5</x:v>
      </x:c>
      <x:c r="H136" s="4" t="n">
        <x:f>IF(COUNT(G136,F136)=2,G136-F136,"")</x:f>
        <x:v>4.25</x:v>
      </x:c>
      <x:c r="I136" s="4" t="n">
        <x:f>IF(AND(ISNUMBER(F136),K136&gt;0),F136/K136,"")</x:f>
        <x:v>3.715625</x:v>
      </x:c>
      <x:c r="J136" s="4" t="n">
        <x:f>IF(AND(ISNUMBER(G136),L136&gt;0),G136/L136,"")</x:f>
        <x:v>3.676829268292683</x:v>
      </x:c>
      <x:c r="K136" s="10" t="n">
        <x:v>80</x:v>
      </x:c>
      <x:c r="L136" s="10" t="n">
        <x:v>82</x:v>
      </x:c>
      <x:c r="M136" s="10" t="n">
        <x:f>IF(COUNT(L136,K136)=2,L136-K136,"")</x:f>
        <x:v>2</x:v>
      </x:c>
      <x:c r="N136" s="10" t="n">
        <x:v>8</x:v>
      </x:c>
      <x:c r="O136" s="10" t="n">
        <x:v>8</x:v>
      </x:c>
      <x:c r="P136" s="10" t="n">
        <x:f>IF(COUNT(O136,N136)=2,O136-N136,"")</x:f>
        <x:v>0</x:v>
      </x:c>
      <x:c r="Q136" s="10" t="n">
        <x:v>38</x:v>
      </x:c>
      <x:c r="R136" s="10" t="n">
        <x:v>41</x:v>
      </x:c>
      <x:c r="S136" s="10" t="n">
        <x:f>IF(COUNT(R136,Q136)=2,R136-Q136,"")</x:f>
        <x:v>3</x:v>
      </x:c>
      <x:c r="T136" s="10" t="n">
        <x:v>7</x:v>
      </x:c>
      <x:c r="U136" s="10" t="n">
        <x:v>-23</x:v>
      </x:c>
      <x:c r="V136" s="10" t="n">
        <x:f>IF(COUNT(U136,T136)=2,U136-T136,"")</x:f>
        <x:v>-30</x:v>
      </x:c>
      <x:c r="W136" s="10" t="n">
        <x:v>13</x:v>
      </x:c>
      <x:c r="X136" s="10" t="n">
        <x:f>IF(COUNT(AV136,AW136)=2,AV136+AW136,"")</x:f>
        <x:v>21</x:v>
      </x:c>
      <x:c r="Y136" s="10" t="n">
        <x:f>IF(COUNT(X136,W136)=2,X136-W136,"")</x:f>
        <x:v>8</x:v>
      </x:c>
      <x:c r="Z136" s="10" t="n">
        <x:v>0</x:v>
      </x:c>
      <x:c r="AA136" s="10" t="n">
        <x:f>IF(COUNT(AX136,AY136)=2,AX136+AY136,"")</x:f>
        <x:v>2</x:v>
      </x:c>
      <x:c r="AB136" s="10" t="n">
        <x:f>IF(COUNT(AA136,Z136)=2,AA136-Z136,"")</x:f>
        <x:v>2</x:v>
      </x:c>
      <x:c r="AC136" s="10" t="n">
        <x:v>130</x:v>
      </x:c>
      <x:c r="AD136" s="10" t="n">
        <x:v>137</x:v>
      </x:c>
      <x:c r="AE136" s="10" t="n">
        <x:f>IF(COUNT(AD136,AC136)=2,AD136-AC136,"")</x:f>
        <x:v>7</x:v>
      </x:c>
      <x:c r="AF136" s="10" t="n">
        <x:v>107</x:v>
      </x:c>
      <x:c r="AG136" s="10" t="n">
        <x:v>133</x:v>
      </x:c>
      <x:c r="AH136" s="10" t="n">
        <x:f>IF(COUNT(AG136,AF136)=2,AG136-AF136,"")</x:f>
        <x:v>26</x:v>
      </x:c>
      <x:c r="AI136" s="10" t="n">
        <x:v>96</x:v>
      </x:c>
      <x:c r="AJ136" s="10" t="n">
        <x:v>100</x:v>
      </x:c>
      <x:c r="AK136" s="10" t="n">
        <x:f>IF(COUNT(AJ136,AI136)=2,AJ136-AI136,"")</x:f>
        <x:v>4</x:v>
      </x:c>
      <x:c r="AL136" s="10" t="n">
        <x:v>28</x:v>
      </x:c>
      <x:c r="AM136" s="10" t="n">
        <x:v>28</x:v>
      </x:c>
      <x:c r="AN136" s="4" t="str">
        <x:v>D</x:v>
      </x:c>
      <x:c r="AO136" s="4" t="str">
        <x:v>D</x:v>
      </x:c>
      <x:c r="AP136" s="4" t="str">
        <x:v>VAN</x:v>
      </x:c>
      <x:c r="AQ136" s="4" t="str">
        <x:v>VAN</x:v>
      </x:c>
      <x:c r="AR136" s="4" t="n">
        <x:v>23.73</x:v>
      </x:c>
      <x:c r="AS136" s="4" t="n">
        <x:v>25</x:v>
      </x:c>
      <x:c r="AT136" s="4" t="n">
        <x:v>1.76</x:v>
      </x:c>
      <x:c r="AU136" s="4" t="n">
        <x:v>5.8</x:v>
      </x:c>
      <x:c r="AV136" s="10" t="n">
        <x:v>4</x:v>
      </x:c>
      <x:c r="AW136" s="10" t="n">
        <x:v>17</x:v>
      </x:c>
      <x:c r="AX136" s="10" t="n">
        <x:v>0</x:v>
      </x:c>
      <x:c r="AY136" s="10" t="n">
        <x:v>2</x:v>
      </x:c>
      <x:c r="AZ136" s="10" t="n">
        <x:v>1646</x:v>
      </x:c>
      <x:c r="BA136" s="10" t="n">
        <x:v>1650</x:v>
      </x:c>
      <x:c r="BB136" s="4" t="n">
        <x:v>49.9</x:v>
      </x:c>
      <x:c r="BC136" s="4" t="n">
        <x:v>5.5</x:v>
      </x:c>
      <x:c r="BD136" s="10" t="n">
        <x:v>1202</x:v>
      </x:c>
      <x:c r="BE136" s="10" t="n">
        <x:v>1251</x:v>
      </x:c>
      <x:c r="BF136" s="4" t="n">
        <x:v>49</x:v>
      </x:c>
      <x:c r="BG136" s="4" t="n">
        <x:v>4.7</x:v>
      </x:c>
      <x:c r="BH136" s="4" t="n">
        <x:v>8.7</x:v>
      </x:c>
      <x:c r="BI136" s="4" t="n">
        <x:v>88.9</x:v>
      </x:c>
      <x:c r="BJ136" s="4" t="n">
        <x:v>97.5</x:v>
      </x:c>
      <x:c r="BK136" s="4" t="n">
        <x:v>54.1</x:v>
      </x:c>
      <x:c r="BL136" s="4" t="n">
        <x:v>45.9</x:v>
      </x:c>
      <x:c r="BM136" s="4" t="n">
        <x:v>25</x:v>
      </x:c>
      <x:c r="BN136" s="4" t="n">
        <x:v>20.783333333333335</x:v>
      </x:c>
      <x:c r="BO136" s="10" t="n">
        <x:v>34</x:v>
      </x:c>
      <x:c r="BP136" s="10" t="n">
        <x:v>108</x:v>
      </x:c>
      <x:c r="BQ136" s="4" t="n">
        <x:v>-9.4</x:v>
      </x:c>
      <x:c r="BR136" s="10" t="n">
        <x:v>317</x:v>
      </x:c>
      <x:c r="BS136" s="4" t="n">
        <x:v>43.2</x:v>
      </x:c>
      <x:c r="BT136" s="10" t="n">
        <x:v>82</x:v>
      </x:c>
      <x:c r="BU136" s="4" t="str">
        <x:v>VAN</x:v>
      </x:c>
      <x:c r="BV136" s="10" t="n">
        <x:v>185</x:v>
      </x:c>
      <x:c r="BW136" s="10" t="n">
        <x:v>149</x:v>
      </x:c>
      <x:c r="BX136" s="10" t="n">
        <x:v>430</x:v>
      </x:c>
      <x:c r="BY136" s="4" t="str">
        <x:v>Filip Hronek</x:v>
      </x:c>
      <x:c r="BZ136" s="4" t="str">
        <x:v>Filip Hronek</x:v>
      </x:c>
      <x:c r="CA136" s="4" t="str">
        <x:v>Filip Hronek</x:v>
      </x:c>
      <x:c r="CB136" s="4" t="str">
        <x:v>hronefi01</x:v>
      </x:c>
    </x:row>
    <x:row r="137" ht="22" customHeight="1">
      <x:c r="A137" s="4" t="str">
        <x:v>Frank Nazar</x:v>
      </x:c>
      <x:c r="B137" s="4" t="str">
        <x:v>franknazar</x:v>
      </x:c>
      <x:c r="C137" s="10" t="n">
        <x:v>1</x:v>
      </x:c>
      <x:c r="D137" s="10" t="n">
        <x:v>1</x:v>
      </x:c>
      <x:c r="E137" s="10" t="n">
        <x:v>1</x:v>
      </x:c>
      <x:c r="F137" s="4" t="n">
        <x:f>IF(COUNT(N137,Q137,T137,W137,Z137,AC137,AF137,AI137)=8,N137*Guide!$E$5+Q137*Guide!$E$6+T137*Guide!$E$7+W137*Guide!$E$8+Z137*Guide!$E$9+AC137*Guide!$E$10+AF137*Guide!$E$11+AI137*Guide!$E$12,"")</x:f>
        <x:v>291</x:v>
      </x:c>
      <x:c r="G137" s="4" t="n">
        <x:f>IF(COUNT(O137,R137,U137,X137,AA137,AD137,AG137,AJ137)=8,O137*Guide!$E$5+R137*Guide!$E$6+U137*Guide!$E$7+X137*Guide!$E$8+AA137*Guide!$E$9+AD137*Guide!$E$10+AG137*Guide!$E$11+AJ137*Guide!$E$12,"")</x:f>
        <x:v>208</x:v>
      </x:c>
      <x:c r="H137" s="4" t="n">
        <x:f>IF(COUNT(G137,F137)=2,G137-F137,"")</x:f>
        <x:v>-83</x:v>
      </x:c>
      <x:c r="I137" s="4" t="n">
        <x:f>IF(AND(ISNUMBER(F137),K137&gt;0),F137/K137,"")</x:f>
        <x:v>3.730769230769231</x:v>
      </x:c>
      <x:c r="J137" s="4" t="n">
        <x:f>IF(AND(ISNUMBER(G137),L137&gt;0),G137/L137,"")</x:f>
        <x:v>3.1515151515151514</x:v>
      </x:c>
      <x:c r="K137" s="10" t="n">
        <x:v>78</x:v>
      </x:c>
      <x:c r="L137" s="10" t="n">
        <x:v>66</x:v>
      </x:c>
      <x:c r="M137" s="10" t="n">
        <x:f>IF(COUNT(L137,K137)=2,L137-K137,"")</x:f>
        <x:v>-12</x:v>
      </x:c>
      <x:c r="N137" s="10" t="n">
        <x:v>26</x:v>
      </x:c>
      <x:c r="O137" s="10" t="n">
        <x:v>15</x:v>
      </x:c>
      <x:c r="P137" s="10" t="n">
        <x:f>IF(COUNT(O137,N137)=2,O137-N137,"")</x:f>
        <x:v>-11</x:v>
      </x:c>
      <x:c r="Q137" s="10" t="n">
        <x:v>27</x:v>
      </x:c>
      <x:c r="R137" s="10" t="n">
        <x:v>26</x:v>
      </x:c>
      <x:c r="S137" s="10" t="n">
        <x:f>IF(COUNT(R137,Q137)=2,R137-Q137,"")</x:f>
        <x:v>-1</x:v>
      </x:c>
      <x:c r="T137" s="10" t="n">
        <x:v>-11</x:v>
      </x:c>
      <x:c r="U137" s="10" t="n">
        <x:v>-21</x:v>
      </x:c>
      <x:c r="V137" s="10" t="n">
        <x:f>IF(COUNT(U137,T137)=2,U137-T137,"")</x:f>
        <x:v>-10</x:v>
      </x:c>
      <x:c r="W137" s="10" t="n">
        <x:v>16</x:v>
      </x:c>
      <x:c r="X137" s="10" t="n">
        <x:f>IF(COUNT(AV137,AW137)=2,AV137+AW137,"")</x:f>
        <x:v>12</x:v>
      </x:c>
      <x:c r="Y137" s="10" t="n">
        <x:f>IF(COUNT(X137,W137)=2,X137-W137,"")</x:f>
        <x:v>-4</x:v>
      </x:c>
      <x:c r="Z137" s="10" t="n">
        <x:v>2</x:v>
      </x:c>
      <x:c r="AA137" s="10" t="n">
        <x:f>IF(COUNT(AX137,AY137)=2,AX137+AY137,"")</x:f>
        <x:v>1</x:v>
      </x:c>
      <x:c r="AB137" s="10" t="n">
        <x:f>IF(COUNT(AA137,Z137)=2,AA137-Z137,"")</x:f>
        <x:v>-1</x:v>
      </x:c>
      <x:c r="AC137" s="10" t="n">
        <x:v>162</x:v>
      </x:c>
      <x:c r="AD137" s="10" t="n">
        <x:v>138</x:v>
      </x:c>
      <x:c r="AE137" s="10" t="n">
        <x:f>IF(COUNT(AD137,AC137)=2,AD137-AC137,"")</x:f>
        <x:v>-24</x:v>
      </x:c>
      <x:c r="AF137" s="10" t="n">
        <x:v>50</x:v>
      </x:c>
      <x:c r="AG137" s="10" t="n">
        <x:v>37</x:v>
      </x:c>
      <x:c r="AH137" s="10" t="n">
        <x:f>IF(COUNT(AG137,AF137)=2,AG137-AF137,"")</x:f>
        <x:v>-13</x:v>
      </x:c>
      <x:c r="AI137" s="10" t="n">
        <x:v>56</x:v>
      </x:c>
      <x:c r="AJ137" s="10" t="n">
        <x:v>43</x:v>
      </x:c>
      <x:c r="AK137" s="10" t="n">
        <x:f>IF(COUNT(AJ137,AI137)=2,AJ137-AI137,"")</x:f>
        <x:v>-13</x:v>
      </x:c>
      <x:c r="AL137" s="10" t="n">
        <x:v>22</x:v>
      </x:c>
      <x:c r="AM137" s="10" t="n">
        <x:v>22</x:v>
      </x:c>
      <x:c r="AN137" s="4" t="str">
        <x:v>C</x:v>
      </x:c>
      <x:c r="AO137" s="4" t="str">
        <x:v>C</x:v>
      </x:c>
      <x:c r="AP137" s="4" t="str">
        <x:v>CHI</x:v>
      </x:c>
      <x:c r="AQ137" s="4" t="str">
        <x:v>CHI</x:v>
      </x:c>
      <x:c r="AR137" s="4" t="n">
        <x:v>18.47</x:v>
      </x:c>
      <x:c r="AS137" s="4" t="n">
        <x:v>18.316666666666666</x:v>
      </x:c>
      <x:c r="AT137" s="4" t="n">
        <x:v>2.75</x:v>
      </x:c>
      <x:c r="AU137" s="4" t="n">
        <x:v>10.9</x:v>
      </x:c>
      <x:c r="AV137" s="10" t="n">
        <x:v>4</x:v>
      </x:c>
      <x:c r="AW137" s="10" t="n">
        <x:v>8</x:v>
      </x:c>
      <x:c r="AX137" s="10" t="n">
        <x:v>1</x:v>
      </x:c>
      <x:c r="AY137" s="10" t="n">
        <x:v>0</x:v>
      </x:c>
      <x:c r="AZ137" s="10" t="n">
        <x:v>803</x:v>
      </x:c>
      <x:c r="BA137" s="10" t="n">
        <x:v>963</x:v>
      </x:c>
      <x:c r="BB137" s="4" t="n">
        <x:v>45.5</x:v>
      </x:c>
      <x:c r="BC137" s="4" t="n">
        <x:v>0.2</x:v>
      </x:c>
      <x:c r="BD137" s="10" t="n">
        <x:v>595</x:v>
      </x:c>
      <x:c r="BE137" s="10" t="n">
        <x:v>722</x:v>
      </x:c>
      <x:c r="BF137" s="4" t="n">
        <x:v>45.2</x:v>
      </x:c>
      <x:c r="BG137" s="4" t="n">
        <x:v>0.3</x:v>
      </x:c>
      <x:c r="BH137" s="4" t="n">
        <x:v>10.1</x:v>
      </x:c>
      <x:c r="BI137" s="4" t="n">
        <x:v>87.4</x:v>
      </x:c>
      <x:c r="BJ137" s="4" t="n">
        <x:v>97.4</x:v>
      </x:c>
      <x:c r="BK137" s="4" t="n">
        <x:v>49</x:v>
      </x:c>
      <x:c r="BL137" s="4" t="n">
        <x:v>51</x:v>
      </x:c>
      <x:c r="BM137" s="4" t="n">
        <x:v>18.316666666666666</x:v>
      </x:c>
      <x:c r="BN137" s="4" t="n">
        <x:v>14.05</x:v>
      </x:c>
      <x:c r="BO137" s="10" t="n">
        <x:v>27</x:v>
      </x:c>
      <x:c r="BP137" s="10" t="n">
        <x:v>74</x:v>
      </x:c>
      <x:c r="BQ137" s="4" t="n">
        <x:v>-15</x:v>
      </x:c>
      <x:c r="BR137" s="10" t="n">
        <x:v>267</x:v>
      </x:c>
      <x:c r="BS137" s="4" t="n">
        <x:v>51.7</x:v>
      </x:c>
      <x:c r="BT137" s="10" t="n">
        <x:v>66</x:v>
      </x:c>
      <x:c r="BU137" s="4" t="str">
        <x:v>CHI</x:v>
      </x:c>
      <x:c r="BV137" s="10" t="n">
        <x:v>136</x:v>
      </x:c>
      <x:c r="BW137" s="10" t="n">
        <x:v>209</x:v>
      </x:c>
      <x:c r="BX137" s="10" t="n">
        <x:v>731</x:v>
      </x:c>
      <x:c r="BY137" s="4" t="str">
        <x:v>Frank Nazar</x:v>
      </x:c>
      <x:c r="BZ137" s="4" t="str">
        <x:v>Frank Nazar</x:v>
      </x:c>
      <x:c r="CA137" s="4" t="str">
        <x:v>Frank Nazar</x:v>
      </x:c>
      <x:c r="CB137" s="4" t="str">
        <x:v>nazarfr01</x:v>
      </x:c>
    </x:row>
    <x:row r="138" ht="22" customHeight="1">
      <x:c r="A138" s="4" t="str">
        <x:v>Fraser Minten</x:v>
      </x:c>
      <x:c r="B138" s="4" t="str">
        <x:v>fraserminten</x:v>
      </x:c>
      <x:c r="C138" s="10" t="n">
        <x:v>1</x:v>
      </x:c>
      <x:c r="D138" s="10" t="n">
        <x:v>1</x:v>
      </x:c>
      <x:c r="E138" s="10" t="n">
        <x:v>1</x:v>
      </x:c>
      <x:c r="F138" s="4" t="n">
        <x:f>IF(COUNT(N138,Q138,T138,W138,Z138,AC138,AF138,AI138)=8,N138*Guide!$E$5+Q138*Guide!$E$6+T138*Guide!$E$7+W138*Guide!$E$8+Z138*Guide!$E$9+AC138*Guide!$E$10+AF138*Guide!$E$11+AI138*Guide!$E$12,"")</x:f>
        <x:v>181.5</x:v>
      </x:c>
      <x:c r="G138" s="4" t="n">
        <x:f>IF(COUNT(O138,R138,U138,X138,AA138,AD138,AG138,AJ138)=8,O138*Guide!$E$5+R138*Guide!$E$6+U138*Guide!$E$7+X138*Guide!$E$8+AA138*Guide!$E$9+AD138*Guide!$E$10+AG138*Guide!$E$11+AJ138*Guide!$E$12,"")</x:f>
        <x:v>252</x:v>
      </x:c>
      <x:c r="H138" s="4" t="n">
        <x:f>IF(COUNT(G138,F138)=2,G138-F138,"")</x:f>
        <x:v>70.5</x:v>
      </x:c>
      <x:c r="I138" s="4" t="n">
        <x:f>IF(AND(ISNUMBER(F138),K138&gt;0),F138/K138,"")</x:f>
        <x:v>2.592857142857143</x:v>
      </x:c>
      <x:c r="J138" s="4" t="n">
        <x:f>IF(AND(ISNUMBER(G138),L138&gt;0),G138/L138,"")</x:f>
        <x:v>3.073170731707317</x:v>
      </x:c>
      <x:c r="K138" s="10" t="n">
        <x:v>70</x:v>
      </x:c>
      <x:c r="L138" s="10" t="n">
        <x:v>82</x:v>
      </x:c>
      <x:c r="M138" s="10" t="n">
        <x:f>IF(COUNT(L138,K138)=2,L138-K138,"")</x:f>
        <x:v>12</x:v>
      </x:c>
      <x:c r="N138" s="10" t="n">
        <x:v>14</x:v>
      </x:c>
      <x:c r="O138" s="10" t="n">
        <x:v>17</x:v>
      </x:c>
      <x:c r="P138" s="10" t="n">
        <x:f>IF(COUNT(O138,N138)=2,O138-N138,"")</x:f>
        <x:v>3</x:v>
      </x:c>
      <x:c r="Q138" s="10" t="n">
        <x:v>13</x:v>
      </x:c>
      <x:c r="R138" s="10" t="n">
        <x:v>18</x:v>
      </x:c>
      <x:c r="S138" s="10" t="n">
        <x:f>IF(COUNT(R138,Q138)=2,R138-Q138,"")</x:f>
        <x:v>5</x:v>
      </x:c>
      <x:c r="T138" s="10" t="n">
        <x:v>-3</x:v>
      </x:c>
      <x:c r="U138" s="10" t="n">
        <x:v>21</x:v>
      </x:c>
      <x:c r="V138" s="10" t="n">
        <x:f>IF(COUNT(U138,T138)=2,U138-T138,"")</x:f>
        <x:v>24</x:v>
      </x:c>
      <x:c r="W138" s="10" t="n">
        <x:v>2</x:v>
      </x:c>
      <x:c r="X138" s="10" t="n">
        <x:f>IF(COUNT(AV138,AW138)=2,AV138+AW138,"")</x:f>
        <x:v>3</x:v>
      </x:c>
      <x:c r="Y138" s="10" t="n">
        <x:f>IF(COUNT(X138,W138)=2,X138-W138,"")</x:f>
        <x:v>1</x:v>
      </x:c>
      <x:c r="Z138" s="10" t="n">
        <x:v>0</x:v>
      </x:c>
      <x:c r="AA138" s="10" t="n">
        <x:f>IF(COUNT(AX138,AY138)=2,AX138+AY138,"")</x:f>
        <x:v>1</x:v>
      </x:c>
      <x:c r="AB138" s="10" t="n">
        <x:f>IF(COUNT(AA138,Z138)=2,AA138-Z138,"")</x:f>
        <x:v>1</x:v>
      </x:c>
      <x:c r="AC138" s="10" t="n">
        <x:v>90</x:v>
      </x:c>
      <x:c r="AD138" s="10" t="n">
        <x:v>117</x:v>
      </x:c>
      <x:c r="AE138" s="10" t="n">
        <x:f>IF(COUNT(AD138,AC138)=2,AD138-AC138,"")</x:f>
        <x:v>27</x:v>
      </x:c>
      <x:c r="AF138" s="10" t="n">
        <x:v>152</x:v>
      </x:c>
      <x:c r="AG138" s="10" t="n">
        <x:v>142</x:v>
      </x:c>
      <x:c r="AH138" s="10" t="n">
        <x:f>IF(COUNT(AG138,AF138)=2,AG138-AF138,"")</x:f>
        <x:v>-10</x:v>
      </x:c>
      <x:c r="AI138" s="10" t="n">
        <x:v>36</x:v>
      </x:c>
      <x:c r="AJ138" s="10" t="n">
        <x:v>51</x:v>
      </x:c>
      <x:c r="AK138" s="10" t="n">
        <x:f>IF(COUNT(AJ138,AI138)=2,AJ138-AI138,"")</x:f>
        <x:v>15</x:v>
      </x:c>
      <x:c r="AL138" s="10" t="n">
        <x:v>21</x:v>
      </x:c>
      <x:c r="AM138" s="10" t="n">
        <x:v>21</x:v>
      </x:c>
      <x:c r="AN138" s="4" t="str">
        <x:v>C</x:v>
      </x:c>
      <x:c r="AO138" s="4" t="str">
        <x:v>C</x:v>
      </x:c>
      <x:c r="AP138" s="4" t="str">
        <x:v>TOR</x:v>
      </x:c>
      <x:c r="AQ138" s="4" t="str">
        <x:v>BOS</x:v>
      </x:c>
      <x:c r="AR138" s="4" t="n">
        <x:v>12.999999999999998</x:v>
      </x:c>
      <x:c r="AS138" s="4" t="n">
        <x:v>15.55</x:v>
      </x:c>
      <x:c r="AT138" s="4" t="n">
        <x:v>0.35</x:v>
      </x:c>
      <x:c r="AU138" s="4" t="n">
        <x:v>14.5</x:v>
      </x:c>
      <x:c r="AV138" s="10" t="n">
        <x:v>1</x:v>
      </x:c>
      <x:c r="AW138" s="10" t="n">
        <x:v>2</x:v>
      </x:c>
      <x:c r="AX138" s="10" t="n">
        <x:v>0</x:v>
      </x:c>
      <x:c r="AY138" s="10" t="n">
        <x:v>1</x:v>
      </x:c>
      <x:c r="AZ138" s="10" t="n">
        <x:v>1027</x:v>
      </x:c>
      <x:c r="BA138" s="10" t="n">
        <x:v>1023</x:v>
      </x:c>
      <x:c r="BB138" s="4" t="n">
        <x:v>50.1</x:v>
      </x:c>
      <x:c r="BC138" s="4" t="n">
        <x:v>1.9</x:v>
      </x:c>
      <x:c r="BD138" s="10" t="n">
        <x:v>754</x:v>
      </x:c>
      <x:c r="BE138" s="10" t="n">
        <x:v>729</x:v>
      </x:c>
      <x:c r="BF138" s="4" t="n">
        <x:v>50.8</x:v>
      </x:c>
      <x:c r="BG138" s="4" t="n">
        <x:v>2.7</x:v>
      </x:c>
      <x:c r="BH138" s="4" t="n">
        <x:v>10.7</x:v>
      </x:c>
      <x:c r="BI138" s="4" t="n">
        <x:v>93.7</x:v>
      </x:c>
      <x:c r="BJ138" s="4" t="n">
        <x:v>104.5</x:v>
      </x:c>
      <x:c r="BK138" s="4" t="n">
        <x:v>54.5</x:v>
      </x:c>
      <x:c r="BL138" s="4" t="n">
        <x:v>45.5</x:v>
      </x:c>
      <x:c r="BM138" s="4" t="n">
        <x:v>15.55</x:v>
      </x:c>
      <x:c r="BN138" s="4" t="n">
        <x:v>13.033333333333333</x:v>
      </x:c>
      <x:c r="BO138" s="10" t="n">
        <x:v>27</x:v>
      </x:c>
      <x:c r="BP138" s="10" t="n">
        <x:v>40</x:v>
      </x:c>
      <x:c r="BQ138" s="4" t="n">
        <x:v>-2.4</x:v>
      </x:c>
      <x:c r="BR138" s="10" t="n">
        <x:v>231</x:v>
      </x:c>
      <x:c r="BS138" s="4" t="n">
        <x:v>50.6</x:v>
      </x:c>
      <x:c r="BT138" s="10" t="n">
        <x:v>82</x:v>
      </x:c>
      <x:c r="BU138" s="4" t="str">
        <x:v>BOS</x:v>
      </x:c>
      <x:c r="BV138" s="10" t="n">
        <x:v>410</x:v>
      </x:c>
      <x:c r="BW138" s="10" t="n">
        <x:v>269</x:v>
      </x:c>
      <x:c r="BX138" s="10" t="n">
        <x:v>701</x:v>
      </x:c>
      <x:c r="BY138" s="4" t="str">
        <x:v>Fraser Minten</x:v>
      </x:c>
      <x:c r="BZ138" s="4" t="str">
        <x:v>Fraser Minten</x:v>
      </x:c>
      <x:c r="CA138" s="4" t="str">
        <x:v>Fraser Minten</x:v>
      </x:c>
      <x:c r="CB138" s="4" t="str">
        <x:v>mintefr01</x:v>
      </x:c>
    </x:row>
    <x:row r="139" ht="22" customHeight="1">
      <x:c r="A139" s="4" t="str">
        <x:v>Frédérick Gaudreau</x:v>
      </x:c>
      <x:c r="B139" s="4" t="str">
        <x:v>frederickgaudreau</x:v>
      </x:c>
      <x:c r="C139" s="10" t="n">
        <x:v>1</x:v>
      </x:c>
      <x:c r="D139" s="10" t="n">
        <x:v>1</x:v>
      </x:c>
      <x:c r="E139" s="10" t="n">
        <x:v>1</x:v>
      </x:c>
      <x:c r="F139" s="4" t="n">
        <x:f>IF(COUNT(N139,Q139,T139,W139,Z139,AC139,AF139,AI139)=8,N139*Guide!$E$5+Q139*Guide!$E$6+T139*Guide!$E$7+W139*Guide!$E$8+Z139*Guide!$E$9+AC139*Guide!$E$10+AF139*Guide!$E$11+AI139*Guide!$E$12,"")</x:f>
        <x:v>190.5</x:v>
      </x:c>
      <x:c r="G139" s="4" t="n">
        <x:f>IF(COUNT(O139,R139,U139,X139,AA139,AD139,AG139,AJ139)=8,O139*Guide!$E$5+R139*Guide!$E$6+U139*Guide!$E$7+X139*Guide!$E$8+AA139*Guide!$E$9+AD139*Guide!$E$10+AG139*Guide!$E$11+AJ139*Guide!$E$12,"")</x:f>
        <x:v>146.25</x:v>
      </x:c>
      <x:c r="H139" s="4" t="n">
        <x:f>IF(COUNT(G139,F139)=2,G139-F139,"")</x:f>
        <x:v>-44.25</x:v>
      </x:c>
      <x:c r="I139" s="4" t="n">
        <x:f>IF(AND(ISNUMBER(F139),K139&gt;0),F139/K139,"")</x:f>
        <x:v>2.38125</x:v>
      </x:c>
      <x:c r="J139" s="4" t="n">
        <x:f>IF(AND(ISNUMBER(G139),L139&gt;0),G139/L139,"")</x:f>
        <x:v>2.150735294117647</x:v>
      </x:c>
      <x:c r="K139" s="10" t="n">
        <x:v>80</x:v>
      </x:c>
      <x:c r="L139" s="10" t="n">
        <x:v>68</x:v>
      </x:c>
      <x:c r="M139" s="10" t="n">
        <x:f>IF(COUNT(L139,K139)=2,L139-K139,"")</x:f>
        <x:v>-12</x:v>
      </x:c>
      <x:c r="N139" s="10" t="n">
        <x:v>13</x:v>
      </x:c>
      <x:c r="O139" s="10" t="n">
        <x:v>7</x:v>
      </x:c>
      <x:c r="P139" s="10" t="n">
        <x:f>IF(COUNT(O139,N139)=2,O139-N139,"")</x:f>
        <x:v>-6</x:v>
      </x:c>
      <x:c r="Q139" s="10" t="n">
        <x:v>18</x:v>
      </x:c>
      <x:c r="R139" s="10" t="n">
        <x:v>17</x:v>
      </x:c>
      <x:c r="S139" s="10" t="n">
        <x:f>IF(COUNT(R139,Q139)=2,R139-Q139,"")</x:f>
        <x:v>-1</x:v>
      </x:c>
      <x:c r="T139" s="10" t="n">
        <x:v>-5</x:v>
      </x:c>
      <x:c r="U139" s="10" t="n">
        <x:v>-1</x:v>
      </x:c>
      <x:c r="V139" s="10" t="n">
        <x:f>IF(COUNT(U139,T139)=2,U139-T139,"")</x:f>
        <x:v>4</x:v>
      </x:c>
      <x:c r="W139" s="10" t="n">
        <x:v>6</x:v>
      </x:c>
      <x:c r="X139" s="10" t="n">
        <x:f>IF(COUNT(AV139,AW139)=2,AV139+AW139,"")</x:f>
        <x:v>3</x:v>
      </x:c>
      <x:c r="Y139" s="10" t="n">
        <x:f>IF(COUNT(X139,W139)=2,X139-W139,"")</x:f>
        <x:v>-3</x:v>
      </x:c>
      <x:c r="Z139" s="10" t="n">
        <x:v>1</x:v>
      </x:c>
      <x:c r="AA139" s="10" t="n">
        <x:f>IF(COUNT(AX139,AY139)=2,AX139+AY139,"")</x:f>
        <x:v>0</x:v>
      </x:c>
      <x:c r="AB139" s="10" t="n">
        <x:f>IF(COUNT(AA139,Z139)=2,AA139-Z139,"")</x:f>
        <x:v>-1</x:v>
      </x:c>
      <x:c r="AC139" s="10" t="n">
        <x:v>109</x:v>
      </x:c>
      <x:c r="AD139" s="10" t="n">
        <x:v>70</x:v>
      </x:c>
      <x:c r="AE139" s="10" t="n">
        <x:f>IF(COUNT(AD139,AC139)=2,AD139-AC139,"")</x:f>
        <x:v>-39</x:v>
      </x:c>
      <x:c r="AF139" s="10" t="n">
        <x:v>42</x:v>
      </x:c>
      <x:c r="AG139" s="10" t="n">
        <x:v>35</x:v>
      </x:c>
      <x:c r="AH139" s="10" t="n">
        <x:f>IF(COUNT(AG139,AF139)=2,AG139-AF139,"")</x:f>
        <x:v>-7</x:v>
      </x:c>
      <x:c r="AI139" s="10" t="n">
        <x:v>57</x:v>
      </x:c>
      <x:c r="AJ139" s="10" t="n">
        <x:v>52</x:v>
      </x:c>
      <x:c r="AK139" s="10" t="n">
        <x:f>IF(COUNT(AJ139,AI139)=2,AJ139-AI139,"")</x:f>
        <x:v>-5</x:v>
      </x:c>
      <x:c r="AL139" s="10" t="n">
        <x:v>32</x:v>
      </x:c>
      <x:c r="AM139" s="10" t="n">
        <x:v>32</x:v>
      </x:c>
      <x:c r="AN139" s="4" t="str">
        <x:v>C</x:v>
      </x:c>
      <x:c r="AO139" s="4" t="str">
        <x:v>C</x:v>
      </x:c>
      <x:c r="AP139" s="4" t="str">
        <x:v>SEA</x:v>
      </x:c>
      <x:c r="AQ139" s="4" t="str">
        <x:v>SEA</x:v>
      </x:c>
      <x:c r="AR139" s="4" t="n">
        <x:v>15.23</x:v>
      </x:c>
      <x:c r="AS139" s="4" t="n">
        <x:v>16.15</x:v>
      </x:c>
      <x:c r="AT139" s="4" t="n">
        <x:v>1.17</x:v>
      </x:c>
      <x:c r="AU139" s="4" t="n">
        <x:v>10</x:v>
      </x:c>
      <x:c r="AV139" s="10" t="n">
        <x:v>1</x:v>
      </x:c>
      <x:c r="AW139" s="10" t="n">
        <x:v>2</x:v>
      </x:c>
      <x:c r="AX139" s="10" t="n">
        <x:v>0</x:v>
      </x:c>
      <x:c r="AY139" s="10" t="n">
        <x:v>0</x:v>
      </x:c>
      <x:c r="AZ139" s="10" t="n">
        <x:v>731</x:v>
      </x:c>
      <x:c r="BA139" s="10" t="n">
        <x:v>1056</x:v>
      </x:c>
      <x:c r="BB139" s="4" t="n">
        <x:v>40.9</x:v>
      </x:c>
      <x:c r="BC139" s="4" t="n">
        <x:v>-5.8</x:v>
      </x:c>
      <x:c r="BD139" s="10" t="n">
        <x:v>525</x:v>
      </x:c>
      <x:c r="BE139" s="10" t="n">
        <x:v>738</x:v>
      </x:c>
      <x:c r="BF139" s="4" t="n">
        <x:v>41.6</x:v>
      </x:c>
      <x:c r="BG139" s="4" t="n">
        <x:v>-5.8</x:v>
      </x:c>
      <x:c r="BH139" s="4" t="n">
        <x:v>10.7</x:v>
      </x:c>
      <x:c r="BI139" s="4" t="n">
        <x:v>92</x:v>
      </x:c>
      <x:c r="BJ139" s="4" t="n">
        <x:v>102.7</x:v>
      </x:c>
      <x:c r="BK139" s="4" t="n">
        <x:v>25.3</x:v>
      </x:c>
      <x:c r="BL139" s="4" t="n">
        <x:v>74.7</x:v>
      </x:c>
      <x:c r="BM139" s="4" t="n">
        <x:v>16.15</x:v>
      </x:c>
      <x:c r="BN139" s="4" t="n">
        <x:v>13.85</x:v>
      </x:c>
      <x:c r="BO139" s="10" t="n">
        <x:v>25</x:v>
      </x:c>
      <x:c r="BP139" s="10" t="n">
        <x:v>36</x:v>
      </x:c>
      <x:c r="BQ139" s="4" t="n">
        <x:v>-11.2</x:v>
      </x:c>
      <x:c r="BR139" s="10" t="n">
        <x:v>157</x:v>
      </x:c>
      <x:c r="BS139" s="4" t="n">
        <x:v>44.6</x:v>
      </x:c>
      <x:c r="BT139" s="10" t="n">
        <x:v>68</x:v>
      </x:c>
      <x:c r="BU139" s="4" t="str">
        <x:v>SEA</x:v>
      </x:c>
      <x:c r="BV139" s="10" t="n">
        <x:v>366</x:v>
      </x:c>
      <x:c r="BW139" s="10" t="n">
        <x:v>408</x:v>
      </x:c>
      <x:c r="BX139" s="10" t="n">
        <x:v>327</x:v>
      </x:c>
      <x:c r="BY139" s="4" t="str">
        <x:v>Frederick Gaudreau</x:v>
      </x:c>
      <x:c r="BZ139" s="4" t="str">
        <x:v>Frédérick Gaudreau</x:v>
      </x:c>
      <x:c r="CA139" s="4" t="str">
        <x:v>Frédérick Gaudreau</x:v>
      </x:c>
      <x:c r="CB139" s="4" t="str">
        <x:v>gaudrfr01</x:v>
      </x:c>
    </x:row>
    <x:row r="140" ht="22" customHeight="1">
      <x:c r="A140" s="4" t="str">
        <x:v>Gabriel Landeskog</x:v>
      </x:c>
      <x:c r="B140" s="4" t="str">
        <x:v>gabriellandeskog</x:v>
      </x:c>
      <x:c r="C140" s="10" t="n">
        <x:v>1</x:v>
      </x:c>
      <x:c r="D140" s="10" t="n">
        <x:v>1</x:v>
      </x:c>
      <x:c r="E140" s="10" t="n">
        <x:v>1</x:v>
      </x:c>
      <x:c r="F140" s="4" t="n">
        <x:f>IF(COUNT(N140,Q140,T140,W140,Z140,AC140,AF140,AI140)=8,N140*Guide!$E$5+Q140*Guide!$E$6+T140*Guide!$E$7+W140*Guide!$E$8+Z140*Guide!$E$9+AC140*Guide!$E$10+AF140*Guide!$E$11+AI140*Guide!$E$12,"")</x:f>
        <x:v>344</x:v>
      </x:c>
      <x:c r="G140" s="4" t="n">
        <x:f>IF(COUNT(O140,R140,U140,X140,AA140,AD140,AG140,AJ140)=8,O140*Guide!$E$5+R140*Guide!$E$6+U140*Guide!$E$7+X140*Guide!$E$8+AA140*Guide!$E$9+AD140*Guide!$E$10+AG140*Guide!$E$11+AJ140*Guide!$E$12,"")</x:f>
        <x:v>231.5</x:v>
      </x:c>
      <x:c r="H140" s="4" t="n">
        <x:f>IF(COUNT(G140,F140)=2,G140-F140,"")</x:f>
        <x:v>-112.5</x:v>
      </x:c>
      <x:c r="I140" s="4" t="n">
        <x:f>IF(AND(ISNUMBER(F140),K140&gt;0),F140/K140,"")</x:f>
        <x:v>4.845070422535211</x:v>
      </x:c>
      <x:c r="J140" s="4" t="n">
        <x:f>IF(AND(ISNUMBER(G140),L140&gt;0),G140/L140,"")</x:f>
        <x:v>3.8583333333333334</x:v>
      </x:c>
      <x:c r="K140" s="10" t="n">
        <x:v>71</x:v>
      </x:c>
      <x:c r="L140" s="10" t="n">
        <x:v>60</x:v>
      </x:c>
      <x:c r="M140" s="10" t="n">
        <x:f>IF(COUNT(L140,K140)=2,L140-K140,"")</x:f>
        <x:v>-11</x:v>
      </x:c>
      <x:c r="N140" s="10" t="n">
        <x:v>27</x:v>
      </x:c>
      <x:c r="O140" s="10" t="n">
        <x:v>14</x:v>
      </x:c>
      <x:c r="P140" s="10" t="n">
        <x:f>IF(COUNT(O140,N140)=2,O140-N140,"")</x:f>
        <x:v>-13</x:v>
      </x:c>
      <x:c r="Q140" s="10" t="n">
        <x:v>33</x:v>
      </x:c>
      <x:c r="R140" s="10" t="n">
        <x:v>21</x:v>
      </x:c>
      <x:c r="S140" s="10" t="n">
        <x:f>IF(COUNT(R140,Q140)=2,R140-Q140,"")</x:f>
        <x:v>-12</x:v>
      </x:c>
      <x:c r="T140" s="10" t="n">
        <x:v>11</x:v>
      </x:c>
      <x:c r="U140" s="10" t="n">
        <x:v>29</x:v>
      </x:c>
      <x:c r="V140" s="10" t="n">
        <x:f>IF(COUNT(U140,T140)=2,U140-T140,"")</x:f>
        <x:v>18</x:v>
      </x:c>
      <x:c r="W140" s="10" t="n">
        <x:v>20</x:v>
      </x:c>
      <x:c r="X140" s="10" t="n">
        <x:f>IF(COUNT(AV140,AW140)=2,AV140+AW140,"")</x:f>
        <x:v>5</x:v>
      </x:c>
      <x:c r="Y140" s="10" t="n">
        <x:f>IF(COUNT(X140,W140)=2,X140-W140,"")</x:f>
        <x:v>-15</x:v>
      </x:c>
      <x:c r="Z140" s="10" t="n">
        <x:v>0</x:v>
      </x:c>
      <x:c r="AA140" s="10" t="n">
        <x:f>IF(COUNT(AX140,AY140)=2,AX140+AY140,"")</x:f>
        <x:v>0</x:v>
      </x:c>
      <x:c r="AB140" s="10" t="n">
        <x:f>IF(COUNT(AA140,Z140)=2,AA140-Z140,"")</x:f>
        <x:v>0</x:v>
      </x:c>
      <x:c r="AC140" s="10" t="n">
        <x:v>187</x:v>
      </x:c>
      <x:c r="AD140" s="10" t="n">
        <x:v>132</x:v>
      </x:c>
      <x:c r="AE140" s="10" t="n">
        <x:f>IF(COUNT(AD140,AC140)=2,AD140-AC140,"")</x:f>
        <x:v>-55</x:v>
      </x:c>
      <x:c r="AF140" s="10" t="n">
        <x:v>111</x:v>
      </x:c>
      <x:c r="AG140" s="10" t="n">
        <x:v>86</x:v>
      </x:c>
      <x:c r="AH140" s="10" t="n">
        <x:f>IF(COUNT(AG140,AF140)=2,AG140-AF140,"")</x:f>
        <x:v>-25</x:v>
      </x:c>
      <x:c r="AI140" s="10" t="n">
        <x:v>42</x:v>
      </x:c>
      <x:c r="AJ140" s="10" t="n">
        <x:v>32</x:v>
      </x:c>
      <x:c r="AK140" s="10" t="n">
        <x:f>IF(COUNT(AJ140,AI140)=2,AJ140-AI140,"")</x:f>
        <x:v>-10</x:v>
      </x:c>
      <x:c r="AL140" s="10" t="n">
        <x:v>33</x:v>
      </x:c>
      <x:c r="AM140" s="10" t="n">
        <x:v>33</x:v>
      </x:c>
      <x:c r="AN140" s="4" t="str">
        <x:v>LW</x:v>
      </x:c>
      <x:c r="AO140" s="4" t="str">
        <x:v>LW</x:v>
      </x:c>
      <x:c r="AP140" s="4" t="str">
        <x:v>COL</x:v>
      </x:c>
      <x:c r="AQ140" s="4" t="str">
        <x:v>COL</x:v>
      </x:c>
      <x:c r="AR140" s="4" t="n">
        <x:v>17.25</x:v>
      </x:c>
      <x:c r="AS140" s="4" t="n">
        <x:v>16.416666666666668</x:v>
      </x:c>
      <x:c r="AT140" s="4" t="n">
        <x:v>3.25</x:v>
      </x:c>
      <x:c r="AU140" s="4" t="n">
        <x:v>10.6</x:v>
      </x:c>
      <x:c r="AV140" s="10" t="n">
        <x:v>2</x:v>
      </x:c>
      <x:c r="AW140" s="10" t="n">
        <x:v>3</x:v>
      </x:c>
      <x:c r="AX140" s="10" t="n">
        <x:v>0</x:v>
      </x:c>
      <x:c r="AY140" s="10" t="n">
        <x:v>0</x:v>
      </x:c>
      <x:c r="AZ140" s="10" t="n">
        <x:v>978</x:v>
      </x:c>
      <x:c r="BA140" s="10" t="n">
        <x:v>804</x:v>
      </x:c>
      <x:c r="BB140" s="4" t="n">
        <x:v>54.9</x:v>
      </x:c>
      <x:c r="BC140" s="4" t="n">
        <x:v>-1.4</x:v>
      </x:c>
      <x:c r="BD140" s="10" t="n">
        <x:v>714</x:v>
      </x:c>
      <x:c r="BE140" s="10" t="n">
        <x:v>581</x:v>
      </x:c>
      <x:c r="BF140" s="4" t="n">
        <x:v>55.1</x:v>
      </x:c>
      <x:c r="BG140" s="4" t="n">
        <x:v>-0.7</x:v>
      </x:c>
      <x:c r="BH140" s="4" t="n">
        <x:v>12.5</x:v>
      </x:c>
      <x:c r="BI140" s="4" t="n">
        <x:v>92.7</x:v>
      </x:c>
      <x:c r="BJ140" s="4" t="n">
        <x:v>105.2</x:v>
      </x:c>
      <x:c r="BK140" s="4" t="n">
        <x:v>51.2</x:v>
      </x:c>
      <x:c r="BL140" s="4" t="n">
        <x:v>48.8</x:v>
      </x:c>
      <x:c r="BM140" s="4" t="n">
        <x:v>16.416666666666668</x:v>
      </x:c>
      <x:c r="BN140" s="4" t="n">
        <x:v>13.866666666666667</x:v>
      </x:c>
      <x:c r="BO140" s="10" t="n">
        <x:v>15</x:v>
      </x:c>
      <x:c r="BP140" s="10" t="n">
        <x:v>41</x:v>
      </x:c>
      <x:c r="BQ140" s="4" t="n">
        <x:v>9.4</x:v>
      </x:c>
      <x:c r="BR140" s="10" t="n">
        <x:v>250</x:v>
      </x:c>
      <x:c r="BS140" s="4" t="n">
        <x:v>52.8</x:v>
      </x:c>
      <x:c r="BT140" s="10" t="n">
        <x:v>60</x:v>
      </x:c>
      <x:c r="BU140" s="4" t="str">
        <x:v>COL</x:v>
      </x:c>
      <x:c r="BV140" s="10" t="n">
        <x:v>93</x:v>
      </x:c>
      <x:c r="BW140" s="10" t="n">
        <x:v>268</x:v>
      </x:c>
      <x:c r="BX140" s="10" t="n">
        <x:v>572</x:v>
      </x:c>
      <x:c r="BY140" s="4" t="str">
        <x:v>Gabriel Landeskog</x:v>
      </x:c>
      <x:c r="BZ140" s="4" t="str">
        <x:v>Gabriel Landeskog</x:v>
      </x:c>
      <x:c r="CA140" s="4" t="str">
        <x:v>Gabriel Landeskog</x:v>
      </x:c>
      <x:c r="CB140" s="4" t="str">
        <x:v>landega01</x:v>
      </x:c>
    </x:row>
    <x:row r="141" ht="22" customHeight="1">
      <x:c r="A141" s="4" t="str">
        <x:v>Gabriel Perreault</x:v>
      </x:c>
      <x:c r="B141" s="4" t="str">
        <x:v>gabeperreault</x:v>
      </x:c>
      <x:c r="C141" s="10" t="n">
        <x:v>1</x:v>
      </x:c>
      <x:c r="D141" s="10" t="n">
        <x:v>1</x:v>
      </x:c>
      <x:c r="E141" s="10" t="n">
        <x:v>1</x:v>
      </x:c>
      <x:c r="F141" s="4" t="n">
        <x:f>IF(COUNT(N141,Q141,T141,W141,Z141,AC141,AF141,AI141)=8,N141*Guide!$E$5+Q141*Guide!$E$6+T141*Guide!$E$7+W141*Guide!$E$8+Z141*Guide!$E$9+AC141*Guide!$E$10+AF141*Guide!$E$11+AI141*Guide!$E$12,"")</x:f>
        <x:v>218.25</x:v>
      </x:c>
      <x:c r="G141" s="4" t="n">
        <x:f>IF(COUNT(O141,R141,U141,X141,AA141,AD141,AG141,AJ141)=8,O141*Guide!$E$5+R141*Guide!$E$6+U141*Guide!$E$7+X141*Guide!$E$8+AA141*Guide!$E$9+AD141*Guide!$E$10+AG141*Guide!$E$11+AJ141*Guide!$E$12,"")</x:f>
        <x:v>140</x:v>
      </x:c>
      <x:c r="H141" s="4" t="n">
        <x:f>IF(COUNT(G141,F141)=2,G141-F141,"")</x:f>
        <x:v>-78.25</x:v>
      </x:c>
      <x:c r="I141" s="4" t="n">
        <x:f>IF(AND(ISNUMBER(F141),K141&gt;0),F141/K141,"")</x:f>
        <x:v>2.91</x:v>
      </x:c>
      <x:c r="J141" s="4" t="n">
        <x:f>IF(AND(ISNUMBER(G141),L141&gt;0),G141/L141,"")</x:f>
        <x:v>2.857142857142857</x:v>
      </x:c>
      <x:c r="K141" s="10" t="n">
        <x:v>75</x:v>
      </x:c>
      <x:c r="L141" s="10" t="n">
        <x:v>49</x:v>
      </x:c>
      <x:c r="M141" s="10" t="n">
        <x:f>IF(COUNT(L141,K141)=2,L141-K141,"")</x:f>
        <x:v>-26</x:v>
      </x:c>
      <x:c r="N141" s="10" t="n">
        <x:v>17</x:v>
      </x:c>
      <x:c r="O141" s="10" t="n">
        <x:v>12</x:v>
      </x:c>
      <x:c r="P141" s="10" t="n">
        <x:f>IF(COUNT(O141,N141)=2,O141-N141,"")</x:f>
        <x:v>-5</x:v>
      </x:c>
      <x:c r="Q141" s="10" t="n">
        <x:v>25</x:v>
      </x:c>
      <x:c r="R141" s="10" t="n">
        <x:v>15</x:v>
      </x:c>
      <x:c r="S141" s="10" t="n">
        <x:f>IF(COUNT(R141,Q141)=2,R141-Q141,"")</x:f>
        <x:v>-10</x:v>
      </x:c>
      <x:c r="T141" s="10" t="n">
        <x:v>3</x:v>
      </x:c>
      <x:c r="U141" s="10" t="n">
        <x:v>0</x:v>
      </x:c>
      <x:c r="V141" s="10" t="n">
        <x:f>IF(COUNT(U141,T141)=2,U141-T141,"")</x:f>
        <x:v>-3</x:v>
      </x:c>
      <x:c r="W141" s="10" t="n">
        <x:v>12</x:v>
      </x:c>
      <x:c r="X141" s="10" t="n">
        <x:f>IF(COUNT(AV141,AW141)=2,AV141+AW141,"")</x:f>
        <x:v>6</x:v>
      </x:c>
      <x:c r="Y141" s="10" t="n">
        <x:f>IF(COUNT(X141,W141)=2,X141-W141,"")</x:f>
        <x:v>-6</x:v>
      </x:c>
      <x:c r="Z141" s="10" t="n">
        <x:v>0</x:v>
      </x:c>
      <x:c r="AA141" s="10" t="n">
        <x:f>IF(COUNT(AX141,AY141)=2,AX141+AY141,"")</x:f>
        <x:v>0</x:v>
      </x:c>
      <x:c r="AB141" s="10" t="n">
        <x:f>IF(COUNT(AA141,Z141)=2,AA141-Z141,"")</x:f>
        <x:v>0</x:v>
      </x:c>
      <x:c r="AC141" s="10" t="n">
        <x:v>144</x:v>
      </x:c>
      <x:c r="AD141" s="10" t="n">
        <x:v>73</x:v>
      </x:c>
      <x:c r="AE141" s="10" t="n">
        <x:f>IF(COUNT(AD141,AC141)=2,AD141-AC141,"")</x:f>
        <x:v>-71</x:v>
      </x:c>
      <x:c r="AF141" s="10" t="n">
        <x:v>28</x:v>
      </x:c>
      <x:c r="AG141" s="10" t="n">
        <x:v>25</x:v>
      </x:c>
      <x:c r="AH141" s="10" t="n">
        <x:f>IF(COUNT(AG141,AF141)=2,AG141-AF141,"")</x:f>
        <x:v>-3</x:v>
      </x:c>
      <x:c r="AI141" s="10" t="n">
        <x:v>23</x:v>
      </x:c>
      <x:c r="AJ141" s="10" t="n">
        <x:v>22</x:v>
      </x:c>
      <x:c r="AK141" s="10" t="n">
        <x:f>IF(COUNT(AJ141,AI141)=2,AJ141-AI141,"")</x:f>
        <x:v>-1</x:v>
      </x:c>
      <x:c r="AL141" s="10" t="n">
        <x:v>20</x:v>
      </x:c>
      <x:c r="AM141" s="10" t="n">
        <x:v>20</x:v>
      </x:c>
      <x:c r="AN141" s="4" t="str">
        <x:v>RW</x:v>
      </x:c>
      <x:c r="AO141" s="4" t="str">
        <x:v>RW</x:v>
      </x:c>
      <x:c r="AP141" s="4" t="str">
        <x:v>NYR</x:v>
      </x:c>
      <x:c r="AQ141" s="4" t="str">
        <x:v>NYR</x:v>
      </x:c>
      <x:c r="AR141" s="4" t="n">
        <x:v>15.46</x:v>
      </x:c>
      <x:c r="AS141" s="4" t="n">
        <x:v>15.983333333333333</x:v>
      </x:c>
      <x:c r="AT141" s="4" t="n">
        <x:v>1.96</x:v>
      </x:c>
      <x:c r="AU141" s="4" t="n">
        <x:v>16.4</x:v>
      </x:c>
      <x:c r="AV141" s="10" t="n">
        <x:v>3</x:v>
      </x:c>
      <x:c r="AW141" s="10" t="n">
        <x:v>3</x:v>
      </x:c>
      <x:c r="AX141" s="10" t="n">
        <x:v>0</x:v>
      </x:c>
      <x:c r="AY141" s="10" t="n">
        <x:v>0</x:v>
      </x:c>
      <x:c r="AZ141" s="10" t="n">
        <x:v>633</x:v>
      </x:c>
      <x:c r="BA141" s="10" t="n">
        <x:v>682</x:v>
      </x:c>
      <x:c r="BB141" s="4" t="n">
        <x:v>48.1</x:v>
      </x:c>
      <x:c r="BC141" s="4" t="n">
        <x:v>-0.1</x:v>
      </x:c>
      <x:c r="BD141" s="10" t="n">
        <x:v>457</x:v>
      </x:c>
      <x:c r="BE141" s="10" t="n">
        <x:v>528</x:v>
      </x:c>
      <x:c r="BF141" s="4" t="n">
        <x:v>46.4</x:v>
      </x:c>
      <x:c r="BG141" s="4" t="n">
        <x:v>-0.8</x:v>
      </x:c>
      <x:c r="BH141" s="4" t="n">
        <x:v>10.4</x:v>
      </x:c>
      <x:c r="BI141" s="4" t="n">
        <x:v>90.5</x:v>
      </x:c>
      <x:c r="BJ141" s="4" t="n">
        <x:v>100.9</x:v>
      </x:c>
      <x:c r="BK141" s="4" t="n">
        <x:v>52.7</x:v>
      </x:c>
      <x:c r="BL141" s="4" t="n">
        <x:v>47.3</x:v>
      </x:c>
      <x:c r="BM141" s="4" t="n">
        <x:v>15.983333333333333</x:v>
      </x:c>
      <x:c r="BN141" s="4" t="n">
        <x:v>14.666666666666666</x:v>
      </x:c>
      <x:c r="BO141" s="10" t="n">
        <x:v>10</x:v>
      </x:c>
      <x:c r="BP141" s="10" t="n">
        <x:v>36</x:v>
      </x:c>
      <x:c r="BQ141" s="4" t="n">
        <x:v>3.1</x:v>
      </x:c>
      <x:c r="BR141" s="10" t="n">
        <x:v>140</x:v>
      </x:c>
      <x:c r="BS141" s="4" t="n">
        <x:v>52.1</x:v>
      </x:c>
      <x:c r="BT141" s="10" t="n">
        <x:v>49</x:v>
      </x:c>
      <x:c r="BU141" s="4" t="str">
        <x:v>NYR</x:v>
      </x:c>
      <x:c r="BV141" s="10" t="n">
        <x:v>229</x:v>
      </x:c>
      <x:c r="BW141" s="10" t="n">
        <x:v>368</x:v>
      </x:c>
      <x:c r="BX141" s="10" t="n">
        <x:v>797</x:v>
      </x:c>
      <x:c r="BY141" s="4" t="str">
        <x:v>Gabe Perreault</x:v>
      </x:c>
      <x:c r="BZ141" s="4" t="str">
        <x:v>Gabriel Perreault</x:v>
      </x:c>
      <x:c r="CA141" s="4" t="str">
        <x:v>Gabriel Perreault</x:v>
      </x:c>
      <x:c r="CB141" s="4" t="str">
        <x:v>perrega01</x:v>
      </x:c>
    </x:row>
    <x:row r="142" ht="22" customHeight="1">
      <x:c r="A142" s="4" t="str">
        <x:v>Gabriel Vilardi</x:v>
      </x:c>
      <x:c r="B142" s="4" t="str">
        <x:v>gabrielvilardi</x:v>
      </x:c>
      <x:c r="C142" s="10" t="n">
        <x:v>1</x:v>
      </x:c>
      <x:c r="D142" s="10" t="n">
        <x:v>1</x:v>
      </x:c>
      <x:c r="E142" s="10" t="n">
        <x:v>1</x:v>
      </x:c>
      <x:c r="F142" s="4" t="n">
        <x:f>IF(COUNT(N142,Q142,T142,W142,Z142,AC142,AF142,AI142)=8,N142*Guide!$E$5+Q142*Guide!$E$6+T142*Guide!$E$7+W142*Guide!$E$8+Z142*Guide!$E$9+AC142*Guide!$E$10+AF142*Guide!$E$11+AI142*Guide!$E$12,"")</x:f>
        <x:v>320.25</x:v>
      </x:c>
      <x:c r="G142" s="4" t="n">
        <x:f>IF(COUNT(O142,R142,U142,X142,AA142,AD142,AG142,AJ142)=8,O142*Guide!$E$5+R142*Guide!$E$6+U142*Guide!$E$7+X142*Guide!$E$8+AA142*Guide!$E$9+AD142*Guide!$E$10+AG142*Guide!$E$11+AJ142*Guide!$E$12,"")</x:f>
        <x:v>317.75</x:v>
      </x:c>
      <x:c r="H142" s="4" t="n">
        <x:f>IF(COUNT(G142,F142)=2,G142-F142,"")</x:f>
        <x:v>-2.5</x:v>
      </x:c>
      <x:c r="I142" s="4" t="n">
        <x:f>IF(AND(ISNUMBER(F142),K142&gt;0),F142/K142,"")</x:f>
        <x:v>4.05379746835443</x:v>
      </x:c>
      <x:c r="J142" s="4" t="n">
        <x:f>IF(AND(ISNUMBER(G142),L142&gt;0),G142/L142,"")</x:f>
        <x:v>3.875</x:v>
      </x:c>
      <x:c r="K142" s="10" t="n">
        <x:v>79</x:v>
      </x:c>
      <x:c r="L142" s="10" t="n">
        <x:v>82</x:v>
      </x:c>
      <x:c r="M142" s="10" t="n">
        <x:f>IF(COUNT(L142,K142)=2,L142-K142,"")</x:f>
        <x:v>3</x:v>
      </x:c>
      <x:c r="N142" s="10" t="n">
        <x:v>30</x:v>
      </x:c>
      <x:c r="O142" s="10" t="n">
        <x:v>30</x:v>
      </x:c>
      <x:c r="P142" s="10" t="n">
        <x:f>IF(COUNT(O142,N142)=2,O142-N142,"")</x:f>
        <x:v>0</x:v>
      </x:c>
      <x:c r="Q142" s="10" t="n">
        <x:v>31</x:v>
      </x:c>
      <x:c r="R142" s="10" t="n">
        <x:v>39</x:v>
      </x:c>
      <x:c r="S142" s="10" t="n">
        <x:f>IF(COUNT(R142,Q142)=2,R142-Q142,"")</x:f>
        <x:v>8</x:v>
      </x:c>
      <x:c r="T142" s="10" t="n">
        <x:v>2</x:v>
      </x:c>
      <x:c r="U142" s="10" t="n">
        <x:v>-12</x:v>
      </x:c>
      <x:c r="V142" s="10" t="n">
        <x:f>IF(COUNT(U142,T142)=2,U142-T142,"")</x:f>
        <x:v>-14</x:v>
      </x:c>
      <x:c r="W142" s="10" t="n">
        <x:v>20</x:v>
      </x:c>
      <x:c r="X142" s="10" t="n">
        <x:f>IF(COUNT(AV142,AW142)=2,AV142+AW142,"")</x:f>
        <x:v>24</x:v>
      </x:c>
      <x:c r="Y142" s="10" t="n">
        <x:f>IF(COUNT(X142,W142)=2,X142-W142,"")</x:f>
        <x:v>4</x:v>
      </x:c>
      <x:c r="Z142" s="10" t="n">
        <x:v>0</x:v>
      </x:c>
      <x:c r="AA142" s="10" t="n">
        <x:f>IF(COUNT(AX142,AY142)=2,AX142+AY142,"")</x:f>
        <x:v>0</x:v>
      </x:c>
      <x:c r="AB142" s="10" t="n">
        <x:f>IF(COUNT(AA142,Z142)=2,AA142-Z142,"")</x:f>
        <x:v>0</x:v>
      </x:c>
      <x:c r="AC142" s="10" t="n">
        <x:v>155</x:v>
      </x:c>
      <x:c r="AD142" s="10" t="n">
        <x:v>150</x:v>
      </x:c>
      <x:c r="AE142" s="10" t="n">
        <x:f>IF(COUNT(AD142,AC142)=2,AD142-AC142,"")</x:f>
        <x:v>-5</x:v>
      </x:c>
      <x:c r="AF142" s="10" t="n">
        <x:v>30</x:v>
      </x:c>
      <x:c r="AG142" s="10" t="n">
        <x:v>20</x:v>
      </x:c>
      <x:c r="AH142" s="10" t="n">
        <x:f>IF(COUNT(AG142,AF142)=2,AG142-AF142,"")</x:f>
        <x:v>-10</x:v>
      </x:c>
      <x:c r="AI142" s="10" t="n">
        <x:v>52</x:v>
      </x:c>
      <x:c r="AJ142" s="10" t="n">
        <x:v>35</x:v>
      </x:c>
      <x:c r="AK142" s="10" t="n">
        <x:f>IF(COUNT(AJ142,AI142)=2,AJ142-AI142,"")</x:f>
        <x:v>-17</x:v>
      </x:c>
      <x:c r="AL142" s="10" t="n">
        <x:v>26</x:v>
      </x:c>
      <x:c r="AM142" s="10" t="n">
        <x:v>26</x:v>
      </x:c>
      <x:c r="AN142" s="4" t="str">
        <x:v>C,RW</x:v>
      </x:c>
      <x:c r="AO142" s="4" t="str">
        <x:v>C</x:v>
      </x:c>
      <x:c r="AP142" s="4" t="str">
        <x:v>WPG</x:v>
      </x:c>
      <x:c r="AQ142" s="4" t="str">
        <x:v>WPG</x:v>
      </x:c>
      <x:c r="AR142" s="4" t="n">
        <x:v>17.89</x:v>
      </x:c>
      <x:c r="AS142" s="4" t="n">
        <x:v>18.733333333333334</x:v>
      </x:c>
      <x:c r="AT142" s="4" t="n">
        <x:v>2.84</x:v>
      </x:c>
      <x:c r="AU142" s="4" t="n">
        <x:v>20</x:v>
      </x:c>
      <x:c r="AV142" s="10" t="n">
        <x:v>13</x:v>
      </x:c>
      <x:c r="AW142" s="10" t="n">
        <x:v>11</x:v>
      </x:c>
      <x:c r="AX142" s="10" t="n">
        <x:v>0</x:v>
      </x:c>
      <x:c r="AY142" s="10" t="n">
        <x:v>0</x:v>
      </x:c>
      <x:c r="AZ142" s="10" t="n">
        <x:v>1233</x:v>
      </x:c>
      <x:c r="BA142" s="10" t="n">
        <x:v>1252</x:v>
      </x:c>
      <x:c r="BB142" s="4" t="n">
        <x:v>49.6</x:v>
      </x:c>
      <x:c r="BC142" s="4" t="n">
        <x:v>1.1</x:v>
      </x:c>
      <x:c r="BD142" s="10" t="n">
        <x:v>935</x:v>
      </x:c>
      <x:c r="BE142" s="10" t="n">
        <x:v>950</x:v>
      </x:c>
      <x:c r="BF142" s="4" t="n">
        <x:v>49.6</x:v>
      </x:c>
      <x:c r="BG142" s="4" t="n">
        <x:v>1.3</x:v>
      </x:c>
      <x:c r="BH142" s="4" t="n">
        <x:v>12.2</x:v>
      </x:c>
      <x:c r="BI142" s="4" t="n">
        <x:v>87.9</x:v>
      </x:c>
      <x:c r="BJ142" s="4" t="n">
        <x:v>100.1</x:v>
      </x:c>
      <x:c r="BK142" s="4" t="n">
        <x:v>65.4</x:v>
      </x:c>
      <x:c r="BL142" s="4" t="n">
        <x:v>34.6</x:v>
      </x:c>
      <x:c r="BM142" s="4" t="n">
        <x:v>18.733333333333334</x:v>
      </x:c>
      <x:c r="BN142" s="4" t="n">
        <x:v>15.633333333333333</x:v>
      </x:c>
      <x:c r="BO142" s="10" t="n">
        <x:v>14</x:v>
      </x:c>
      <x:c r="BP142" s="10" t="n">
        <x:v>63</x:v>
      </x:c>
      <x:c r="BQ142" s="4" t="n">
        <x:v>-0.6</x:v>
      </x:c>
      <x:c r="BR142" s="10" t="n">
        <x:v>299</x:v>
      </x:c>
      <x:c r="BS142" s="4" t="n">
        <x:v>50.2</x:v>
      </x:c>
      <x:c r="BT142" s="10" t="n">
        <x:v>82</x:v>
      </x:c>
      <x:c r="BU142" s="4" t="str">
        <x:v>WPG</x:v>
      </x:c>
      <x:c r="BV142" s="10" t="n">
        <x:v>90</x:v>
      </x:c>
      <x:c r="BW142" s="10" t="n">
        <x:v>60</x:v>
      </x:c>
      <x:c r="BX142" s="10" t="n">
        <x:v>1053</x:v>
      </x:c>
      <x:c r="BY142" s="4" t="str">
        <x:v>Gabriel Vilardi</x:v>
      </x:c>
      <x:c r="BZ142" s="4" t="str">
        <x:v>Gabriel Vilardi</x:v>
      </x:c>
      <x:c r="CA142" s="4" t="str">
        <x:v>Gabriel Vilardi</x:v>
      </x:c>
      <x:c r="CB142" s="4" t="str">
        <x:v>vilarga01</x:v>
      </x:c>
    </x:row>
    <x:row r="143" ht="22" customHeight="1">
      <x:c r="A143" s="4" t="str">
        <x:v>Gage Goncalves</x:v>
      </x:c>
      <x:c r="B143" s="4" t="str">
        <x:v>gagegoncalves</x:v>
      </x:c>
      <x:c r="C143" s="10" t="n">
        <x:v>1</x:v>
      </x:c>
      <x:c r="D143" s="10" t="n">
        <x:v>1</x:v>
      </x:c>
      <x:c r="E143" s="10" t="n">
        <x:v>1</x:v>
      </x:c>
      <x:c r="F143" s="4" t="n">
        <x:f>IF(COUNT(N143,Q143,T143,W143,Z143,AC143,AF143,AI143)=8,N143*Guide!$E$5+Q143*Guide!$E$6+T143*Guide!$E$7+W143*Guide!$E$8+Z143*Guide!$E$9+AC143*Guide!$E$10+AF143*Guide!$E$11+AI143*Guide!$E$12,"")</x:f>
        <x:v>155</x:v>
      </x:c>
      <x:c r="G143" s="4" t="n">
        <x:f>IF(COUNT(O143,R143,U143,X143,AA143,AD143,AG143,AJ143)=8,O143*Guide!$E$5+R143*Guide!$E$6+U143*Guide!$E$7+X143*Guide!$E$8+AA143*Guide!$E$9+AD143*Guide!$E$10+AG143*Guide!$E$11+AJ143*Guide!$E$12,"")</x:f>
        <x:v>200.25</x:v>
      </x:c>
      <x:c r="H143" s="4" t="n">
        <x:f>IF(COUNT(G143,F143)=2,G143-F143,"")</x:f>
        <x:v>45.25</x:v>
      </x:c>
      <x:c r="I143" s="4" t="n">
        <x:f>IF(AND(ISNUMBER(F143),K143&gt;0),F143/K143,"")</x:f>
        <x:v>2.1527777777777777</x:v>
      </x:c>
      <x:c r="J143" s="4" t="n">
        <x:f>IF(AND(ISNUMBER(G143),L143&gt;0),G143/L143,"")</x:f>
        <x:v>2.706081081081081</x:v>
      </x:c>
      <x:c r="K143" s="10" t="n">
        <x:v>72</x:v>
      </x:c>
      <x:c r="L143" s="10" t="n">
        <x:v>74</x:v>
      </x:c>
      <x:c r="M143" s="10" t="n">
        <x:f>IF(COUNT(L143,K143)=2,L143-K143,"")</x:f>
        <x:v>2</x:v>
      </x:c>
      <x:c r="N143" s="10" t="n">
        <x:v>11</x:v>
      </x:c>
      <x:c r="O143" s="10" t="n">
        <x:v>11</x:v>
      </x:c>
      <x:c r="P143" s="10" t="n">
        <x:f>IF(COUNT(O143,N143)=2,O143-N143,"")</x:f>
        <x:v>0</x:v>
      </x:c>
      <x:c r="Q143" s="10" t="n">
        <x:v>16</x:v>
      </x:c>
      <x:c r="R143" s="10" t="n">
        <x:v>22</x:v>
      </x:c>
      <x:c r="S143" s="10" t="n">
        <x:f>IF(COUNT(R143,Q143)=2,R143-Q143,"")</x:f>
        <x:v>6</x:v>
      </x:c>
      <x:c r="T143" s="10" t="n">
        <x:v>1</x:v>
      </x:c>
      <x:c r="U143" s="10" t="n">
        <x:v>26</x:v>
      </x:c>
      <x:c r="V143" s="10" t="n">
        <x:f>IF(COUNT(U143,T143)=2,U143-T143,"")</x:f>
        <x:v>25</x:v>
      </x:c>
      <x:c r="W143" s="10" t="n">
        <x:v>3</x:v>
      </x:c>
      <x:c r="X143" s="10" t="n">
        <x:f>IF(COUNT(AV143,AW143)=2,AV143+AW143,"")</x:f>
        <x:v>2</x:v>
      </x:c>
      <x:c r="Y143" s="10" t="n">
        <x:f>IF(COUNT(X143,W143)=2,X143-W143,"")</x:f>
        <x:v>-1</x:v>
      </x:c>
      <x:c r="Z143" s="10" t="n">
        <x:v>0</x:v>
      </x:c>
      <x:c r="AA143" s="10" t="n">
        <x:f>IF(COUNT(AX143,AY143)=2,AX143+AY143,"")</x:f>
        <x:v>0</x:v>
      </x:c>
      <x:c r="AB143" s="10" t="n">
        <x:f>IF(COUNT(AA143,Z143)=2,AA143-Z143,"")</x:f>
        <x:v>0</x:v>
      </x:c>
      <x:c r="AC143" s="10" t="n">
        <x:v>76</x:v>
      </x:c>
      <x:c r="AD143" s="10" t="n">
        <x:v>77</x:v>
      </x:c>
      <x:c r="AE143" s="10" t="n">
        <x:f>IF(COUNT(AD143,AC143)=2,AD143-AC143,"")</x:f>
        <x:v>1</x:v>
      </x:c>
      <x:c r="AF143" s="10" t="n">
        <x:v>85</x:v>
      </x:c>
      <x:c r="AG143" s="10" t="n">
        <x:v>85</x:v>
      </x:c>
      <x:c r="AH143" s="10" t="n">
        <x:f>IF(COUNT(AG143,AF143)=2,AG143-AF143,"")</x:f>
        <x:v>0</x:v>
      </x:c>
      <x:c r="AI143" s="10" t="n">
        <x:v>25</x:v>
      </x:c>
      <x:c r="AJ143" s="10" t="n">
        <x:v>29</x:v>
      </x:c>
      <x:c r="AK143" s="10" t="n">
        <x:f>IF(COUNT(AJ143,AI143)=2,AJ143-AI143,"")</x:f>
        <x:v>4</x:v>
      </x:c>
      <x:c r="AL143" s="10" t="n">
        <x:v>25</x:v>
      </x:c>
      <x:c r="AM143" s="10" t="n">
        <x:v>25</x:v>
      </x:c>
      <x:c r="AN143" s="4" t="str">
        <x:v>C</x:v>
      </x:c>
      <x:c r="AO143" s="4" t="str">
        <x:v>C</x:v>
      </x:c>
      <x:c r="AP143" s="4" t="str">
        <x:v>TB</x:v>
      </x:c>
      <x:c r="AQ143" s="4" t="str">
        <x:v>TBL</x:v>
      </x:c>
      <x:c r="AR143" s="4" t="n">
        <x:v>13.02</x:v>
      </x:c>
      <x:c r="AS143" s="4" t="n">
        <x:v>13.083333333333334</x:v>
      </x:c>
      <x:c r="AT143" s="4" t="n">
        <x:v>0.53</x:v>
      </x:c>
      <x:c r="AU143" s="4" t="n">
        <x:v>14.3</x:v>
      </x:c>
      <x:c r="AV143" s="10" t="n">
        <x:v>0</x:v>
      </x:c>
      <x:c r="AW143" s="10" t="n">
        <x:v>2</x:v>
      </x:c>
      <x:c r="AX143" s="10" t="n">
        <x:v>0</x:v>
      </x:c>
      <x:c r="AY143" s="10" t="n">
        <x:v>0</x:v>
      </x:c>
      <x:c r="AZ143" s="10" t="n">
        <x:v>821</x:v>
      </x:c>
      <x:c r="BA143" s="10" t="n">
        <x:v>728</x:v>
      </x:c>
      <x:c r="BB143" s="4" t="n">
        <x:v>53</x:v>
      </x:c>
      <x:c r="BC143" s="4" t="n">
        <x:v>0</x:v>
      </x:c>
      <x:c r="BD143" s="10" t="n">
        <x:v>594</x:v>
      </x:c>
      <x:c r="BE143" s="10" t="n">
        <x:v>538</x:v>
      </x:c>
      <x:c r="BF143" s="4" t="n">
        <x:v>52.5</x:v>
      </x:c>
      <x:c r="BG143" s="4" t="n">
        <x:v>0.1</x:v>
      </x:c>
      <x:c r="BH143" s="4" t="n">
        <x:v>16.1</x:v>
      </x:c>
      <x:c r="BI143" s="4" t="n">
        <x:v>90</x:v>
      </x:c>
      <x:c r="BJ143" s="4" t="n">
        <x:v>106.1</x:v>
      </x:c>
      <x:c r="BK143" s="4" t="n">
        <x:v>58.9</x:v>
      </x:c>
      <x:c r="BL143" s="4" t="n">
        <x:v>41.1</x:v>
      </x:c>
      <x:c r="BM143" s="4" t="n">
        <x:v>13.083333333333334</x:v>
      </x:c>
      <x:c r="BN143" s="4" t="n">
        <x:v>11.883333333333333</x:v>
      </x:c>
      <x:c r="BO143" s="10" t="n">
        <x:v>18</x:v>
      </x:c>
      <x:c r="BP143" s="10" t="n">
        <x:v>58</x:v>
      </x:c>
      <x:c r="BQ143" s="4" t="n">
        <x:v>7.6</x:v>
      </x:c>
      <x:c r="BR143" s="10" t="n">
        <x:v>145</x:v>
      </x:c>
      <x:c r="BS143" s="4" t="n">
        <x:v>53.1</x:v>
      </x:c>
      <x:c r="BT143" s="10" t="n">
        <x:v>74</x:v>
      </x:c>
      <x:c r="BU143" s="4" t="str">
        <x:v>TBL</x:v>
      </x:c>
      <x:c r="BV143" s="10" t="n">
        <x:v>415</x:v>
      </x:c>
      <x:c r="BW143" s="10" t="n">
        <x:v>284</x:v>
      </x:c>
      <x:c r="BX143" s="10" t="n">
        <x:v>347</x:v>
      </x:c>
      <x:c r="BY143" s="4" t="str">
        <x:v>Gage Goncalves</x:v>
      </x:c>
      <x:c r="BZ143" s="4" t="str">
        <x:v>Gage Goncalves</x:v>
      </x:c>
      <x:c r="CA143" s="4" t="str">
        <x:v>Gage Goncalves</x:v>
      </x:c>
      <x:c r="CB143" s="4" t="str">
        <x:v>goncaga01</x:v>
      </x:c>
    </x:row>
    <x:row r="144" ht="22" customHeight="1">
      <x:c r="A144" s="4" t="str">
        <x:v>Gustav Forsling</x:v>
      </x:c>
      <x:c r="B144" s="4" t="str">
        <x:v>gustavforsling</x:v>
      </x:c>
      <x:c r="C144" s="10" t="n">
        <x:v>1</x:v>
      </x:c>
      <x:c r="D144" s="10" t="n">
        <x:v>1</x:v>
      </x:c>
      <x:c r="E144" s="10" t="n">
        <x:v>1</x:v>
      </x:c>
      <x:c r="F144" s="4" t="n">
        <x:f>IF(COUNT(N144,Q144,T144,W144,Z144,AC144,AF144,AI144)=8,N144*Guide!$E$5+Q144*Guide!$E$6+T144*Guide!$E$7+W144*Guide!$E$8+Z144*Guide!$E$9+AC144*Guide!$E$10+AF144*Guide!$E$11+AI144*Guide!$E$12,"")</x:f>
        <x:v>280.25</x:v>
      </x:c>
      <x:c r="G144" s="4" t="n">
        <x:f>IF(COUNT(O144,R144,U144,X144,AA144,AD144,AG144,AJ144)=8,O144*Guide!$E$5+R144*Guide!$E$6+U144*Guide!$E$7+X144*Guide!$E$8+AA144*Guide!$E$9+AD144*Guide!$E$10+AG144*Guide!$E$11+AJ144*Guide!$E$12,"")</x:f>
        <x:v>197.5</x:v>
      </x:c>
      <x:c r="H144" s="4" t="n">
        <x:f>IF(COUNT(G144,F144)=2,G144-F144,"")</x:f>
        <x:v>-82.75</x:v>
      </x:c>
      <x:c r="I144" s="4" t="n">
        <x:f>IF(AND(ISNUMBER(F144),K144&gt;0),F144/K144,"")</x:f>
        <x:v>3.503125</x:v>
      </x:c>
      <x:c r="J144" s="4" t="n">
        <x:f>IF(AND(ISNUMBER(G144),L144&gt;0),G144/L144,"")</x:f>
        <x:v>2.46875</x:v>
      </x:c>
      <x:c r="K144" s="10" t="n">
        <x:v>80</x:v>
      </x:c>
      <x:c r="L144" s="10" t="n">
        <x:v>80</x:v>
      </x:c>
      <x:c r="M144" s="10" t="n">
        <x:f>IF(COUNT(L144,K144)=2,L144-K144,"")</x:f>
        <x:v>0</x:v>
      </x:c>
      <x:c r="N144" s="10" t="n">
        <x:v>10</x:v>
      </x:c>
      <x:c r="O144" s="10" t="n">
        <x:v>2</x:v>
      </x:c>
      <x:c r="P144" s="10" t="n">
        <x:f>IF(COUNT(O144,N144)=2,O144-N144,"")</x:f>
        <x:v>-8</x:v>
      </x:c>
      <x:c r="Q144" s="10" t="n">
        <x:v>26</x:v>
      </x:c>
      <x:c r="R144" s="10" t="n">
        <x:v>26</x:v>
      </x:c>
      <x:c r="S144" s="10" t="n">
        <x:f>IF(COUNT(R144,Q144)=2,R144-Q144,"")</x:f>
        <x:v>0</x:v>
      </x:c>
      <x:c r="T144" s="10" t="n">
        <x:v>23</x:v>
      </x:c>
      <x:c r="U144" s="10" t="n">
        <x:v>-5</x:v>
      </x:c>
      <x:c r="V144" s="10" t="n">
        <x:f>IF(COUNT(U144,T144)=2,U144-T144,"")</x:f>
        <x:v>-28</x:v>
      </x:c>
      <x:c r="W144" s="10" t="n">
        <x:v>2</x:v>
      </x:c>
      <x:c r="X144" s="10" t="n">
        <x:f>IF(COUNT(AV144,AW144)=2,AV144+AW144,"")</x:f>
        <x:v>2</x:v>
      </x:c>
      <x:c r="Y144" s="10" t="n">
        <x:f>IF(COUNT(X144,W144)=2,X144-W144,"")</x:f>
        <x:v>0</x:v>
      </x:c>
      <x:c r="Z144" s="10" t="n">
        <x:v>1</x:v>
      </x:c>
      <x:c r="AA144" s="10" t="n">
        <x:f>IF(COUNT(AX144,AY144)=2,AX144+AY144,"")</x:f>
        <x:v>0</x:v>
      </x:c>
      <x:c r="AB144" s="10" t="n">
        <x:f>IF(COUNT(AA144,Z144)=2,AA144-Z144,"")</x:f>
        <x:v>-1</x:v>
      </x:c>
      <x:c r="AC144" s="10" t="n">
        <x:v>176</x:v>
      </x:c>
      <x:c r="AD144" s="10" t="n">
        <x:v>112</x:v>
      </x:c>
      <x:c r="AE144" s="10" t="n">
        <x:f>IF(COUNT(AD144,AC144)=2,AD144-AC144,"")</x:f>
        <x:v>-64</x:v>
      </x:c>
      <x:c r="AF144" s="10" t="n">
        <x:v>79</x:v>
      </x:c>
      <x:c r="AG144" s="10" t="n">
        <x:v>52</x:v>
      </x:c>
      <x:c r="AH144" s="10" t="n">
        <x:f>IF(COUNT(AG144,AF144)=2,AG144-AF144,"")</x:f>
        <x:v>-27</x:v>
      </x:c>
      <x:c r="AI144" s="10" t="n">
        <x:v>94</x:v>
      </x:c>
      <x:c r="AJ144" s="10" t="n">
        <x:v>98</x:v>
      </x:c>
      <x:c r="AK144" s="10" t="n">
        <x:f>IF(COUNT(AJ144,AI144)=2,AJ144-AI144,"")</x:f>
        <x:v>4</x:v>
      </x:c>
      <x:c r="AL144" s="10" t="n">
        <x:v>29</x:v>
      </x:c>
      <x:c r="AM144" s="10" t="n">
        <x:v>29</x:v>
      </x:c>
      <x:c r="AN144" s="4" t="str">
        <x:v>D</x:v>
      </x:c>
      <x:c r="AO144" s="4" t="str">
        <x:v>D</x:v>
      </x:c>
      <x:c r="AP144" s="4" t="str">
        <x:v>FLA</x:v>
      </x:c>
      <x:c r="AQ144" s="4" t="str">
        <x:v>FLA</x:v>
      </x:c>
      <x:c r="AR144" s="4" t="n">
        <x:v>22.86</x:v>
      </x:c>
      <x:c r="AS144" s="4" t="n">
        <x:v>22.633333333333333</x:v>
      </x:c>
      <x:c r="AT144" s="4" t="n">
        <x:v>0.35</x:v>
      </x:c>
      <x:c r="AU144" s="4" t="n">
        <x:v>1.8</x:v>
      </x:c>
      <x:c r="AV144" s="10" t="n">
        <x:v>0</x:v>
      </x:c>
      <x:c r="AW144" s="10" t="n">
        <x:v>2</x:v>
      </x:c>
      <x:c r="AX144" s="10" t="n">
        <x:v>0</x:v>
      </x:c>
      <x:c r="AY144" s="10" t="n">
        <x:v>0</x:v>
      </x:c>
      <x:c r="AZ144" s="10" t="n">
        <x:v>1537</x:v>
      </x:c>
      <x:c r="BA144" s="10" t="n">
        <x:v>1360</x:v>
      </x:c>
      <x:c r="BB144" s="4" t="n">
        <x:v>53.1</x:v>
      </x:c>
      <x:c r="BC144" s="4" t="n">
        <x:v>1.7</x:v>
      </x:c>
      <x:c r="BD144" s="10" t="n">
        <x:v>1116</x:v>
      </x:c>
      <x:c r="BE144" s="10" t="n">
        <x:v>1017</x:v>
      </x:c>
      <x:c r="BF144" s="4" t="n">
        <x:v>52.3</x:v>
      </x:c>
      <x:c r="BG144" s="4" t="n">
        <x:v>1.9</x:v>
      </x:c>
      <x:c r="BH144" s="4" t="n">
        <x:v>10.6</x:v>
      </x:c>
      <x:c r="BI144" s="4" t="n">
        <x:v>87.2</x:v>
      </x:c>
      <x:c r="BJ144" s="4" t="n">
        <x:v>97.9</x:v>
      </x:c>
      <x:c r="BK144" s="4" t="n">
        <x:v>52.1</x:v>
      </x:c>
      <x:c r="BL144" s="4" t="n">
        <x:v>47.9</x:v>
      </x:c>
      <x:c r="BM144" s="4" t="n">
        <x:v>22.633333333333333</x:v>
      </x:c>
      <x:c r="BN144" s="4" t="n">
        <x:v>18.983333333333334</x:v>
      </x:c>
      <x:c r="BO144" s="10" t="n">
        <x:v>29</x:v>
      </x:c>
      <x:c r="BP144" s="10" t="n">
        <x:v>59</x:v>
      </x:c>
      <x:c r="BQ144" s="4" t="n">
        <x:v>-1.6</x:v>
      </x:c>
      <x:c r="BR144" s="10" t="n">
        <x:v>278</x:v>
      </x:c>
      <x:c r="BS144" s="4" t="n">
        <x:v>40.3</x:v>
      </x:c>
      <x:c r="BT144" s="10" t="n">
        <x:v>80</x:v>
      </x:c>
      <x:c r="BU144" s="4" t="str">
        <x:v>FLA</x:v>
      </x:c>
      <x:c r="BV144" s="10" t="n">
        <x:v>290</x:v>
      </x:c>
      <x:c r="BW144" s="10" t="n">
        <x:v>353</x:v>
      </x:c>
      <x:c r="BX144" s="10" t="n">
        <x:v>309</x:v>
      </x:c>
      <x:c r="BY144" s="4" t="str">
        <x:v>Gustav Forsling</x:v>
      </x:c>
      <x:c r="BZ144" s="4" t="str">
        <x:v>Gustav Forsling</x:v>
      </x:c>
      <x:c r="CA144" s="4" t="str">
        <x:v>Gustav Forsling</x:v>
      </x:c>
      <x:c r="CB144" s="4" t="str">
        <x:v>forslgu02</x:v>
      </x:c>
    </x:row>
    <x:row r="145" ht="22" customHeight="1">
      <x:c r="A145" s="4" t="str">
        <x:v>Hampus Lindholm</x:v>
      </x:c>
      <x:c r="B145" s="4" t="str">
        <x:v>hampuslindholm</x:v>
      </x:c>
      <x:c r="C145" s="10" t="n">
        <x:v>1</x:v>
      </x:c>
      <x:c r="D145" s="10" t="n">
        <x:v>1</x:v>
      </x:c>
      <x:c r="E145" s="10" t="n">
        <x:v>1</x:v>
      </x:c>
      <x:c r="F145" s="4" t="n">
        <x:f>IF(COUNT(N145,Q145,T145,W145,Z145,AC145,AF145,AI145)=8,N145*Guide!$E$5+Q145*Guide!$E$6+T145*Guide!$E$7+W145*Guide!$E$8+Z145*Guide!$E$9+AC145*Guide!$E$10+AF145*Guide!$E$11+AI145*Guide!$E$12,"")</x:f>
        <x:v>276</x:v>
      </x:c>
      <x:c r="G145" s="4" t="n">
        <x:f>IF(COUNT(O145,R145,U145,X145,AA145,AD145,AG145,AJ145)=8,O145*Guide!$E$5+R145*Guide!$E$6+U145*Guide!$E$7+X145*Guide!$E$8+AA145*Guide!$E$9+AD145*Guide!$E$10+AG145*Guide!$E$11+AJ145*Guide!$E$12,"")</x:f>
        <x:v>195.25</x:v>
      </x:c>
      <x:c r="H145" s="4" t="n">
        <x:f>IF(COUNT(G145,F145)=2,G145-F145,"")</x:f>
        <x:v>-80.75</x:v>
      </x:c>
      <x:c r="I145" s="4" t="n">
        <x:f>IF(AND(ISNUMBER(F145),K145&gt;0),F145/K145,"")</x:f>
        <x:v>3.45</x:v>
      </x:c>
      <x:c r="J145" s="4" t="n">
        <x:f>IF(AND(ISNUMBER(G145),L145&gt;0),G145/L145,"")</x:f>
        <x:v>2.9141791044776117</x:v>
      </x:c>
      <x:c r="K145" s="10" t="n">
        <x:v>80</x:v>
      </x:c>
      <x:c r="L145" s="10" t="n">
        <x:v>67</x:v>
      </x:c>
      <x:c r="M145" s="10" t="n">
        <x:f>IF(COUNT(L145,K145)=2,L145-K145,"")</x:f>
        <x:v>-13</x:v>
      </x:c>
      <x:c r="N145" s="10" t="n">
        <x:v>9</x:v>
      </x:c>
      <x:c r="O145" s="10" t="n">
        <x:v>5</x:v>
      </x:c>
      <x:c r="P145" s="10" t="n">
        <x:f>IF(COUNT(O145,N145)=2,O145-N145,"")</x:f>
        <x:v>-4</x:v>
      </x:c>
      <x:c r="Q145" s="10" t="n">
        <x:v>31</x:v>
      </x:c>
      <x:c r="R145" s="10" t="n">
        <x:v>21</x:v>
      </x:c>
      <x:c r="S145" s="10" t="n">
        <x:f>IF(COUNT(R145,Q145)=2,R145-Q145,"")</x:f>
        <x:v>-10</x:v>
      </x:c>
      <x:c r="T145" s="10" t="n">
        <x:v>5</x:v>
      </x:c>
      <x:c r="U145" s="10" t="n">
        <x:v>3</x:v>
      </x:c>
      <x:c r="V145" s="10" t="n">
        <x:f>IF(COUNT(U145,T145)=2,U145-T145,"")</x:f>
        <x:v>-2</x:v>
      </x:c>
      <x:c r="W145" s="10" t="n">
        <x:v>13</x:v>
      </x:c>
      <x:c r="X145" s="10" t="n">
        <x:f>IF(COUNT(AV145,AW145)=2,AV145+AW145,"")</x:f>
        <x:v>4</x:v>
      </x:c>
      <x:c r="Y145" s="10" t="n">
        <x:f>IF(COUNT(X145,W145)=2,X145-W145,"")</x:f>
        <x:v>-9</x:v>
      </x:c>
      <x:c r="Z145" s="10" t="n">
        <x:v>1</x:v>
      </x:c>
      <x:c r="AA145" s="10" t="n">
        <x:f>IF(COUNT(AX145,AY145)=2,AX145+AY145,"")</x:f>
        <x:v>0</x:v>
      </x:c>
      <x:c r="AB145" s="10" t="n">
        <x:f>IF(COUNT(AA145,Z145)=2,AA145-Z145,"")</x:f>
        <x:v>-1</x:v>
      </x:c>
      <x:c r="AC145" s="10" t="n">
        <x:v>140</x:v>
      </x:c>
      <x:c r="AD145" s="10" t="n">
        <x:v>100</x:v>
      </x:c>
      <x:c r="AE145" s="10" t="n">
        <x:f>IF(COUNT(AD145,AC145)=2,AD145-AC145,"")</x:f>
        <x:v>-40</x:v>
      </x:c>
      <x:c r="AF145" s="10" t="n">
        <x:v>37</x:v>
      </x:c>
      <x:c r="AG145" s="10" t="n">
        <x:v>12</x:v>
      </x:c>
      <x:c r="AH145" s="10" t="n">
        <x:f>IF(COUNT(AG145,AF145)=2,AG145-AF145,"")</x:f>
        <x:v>-25</x:v>
      </x:c>
      <x:c r="AI145" s="10" t="n">
        <x:v>109</x:v>
      </x:c>
      <x:c r="AJ145" s="10" t="n">
        <x:v>103</x:v>
      </x:c>
      <x:c r="AK145" s="10" t="n">
        <x:f>IF(COUNT(AJ145,AI145)=2,AJ145-AI145,"")</x:f>
        <x:v>-6</x:v>
      </x:c>
      <x:c r="AL145" s="10" t="n">
        <x:v>32</x:v>
      </x:c>
      <x:c r="AM145" s="10" t="n">
        <x:v>32</x:v>
      </x:c>
      <x:c r="AN145" s="4" t="str">
        <x:v>D</x:v>
      </x:c>
      <x:c r="AO145" s="4" t="str">
        <x:v>D</x:v>
      </x:c>
      <x:c r="AP145" s="4" t="str">
        <x:v>BOS</x:v>
      </x:c>
      <x:c r="AQ145" s="4" t="str">
        <x:v>BOS</x:v>
      </x:c>
      <x:c r="AR145" s="4" t="n">
        <x:v>23.55</x:v>
      </x:c>
      <x:c r="AS145" s="4" t="n">
        <x:v>21.616666666666667</x:v>
      </x:c>
      <x:c r="AT145" s="4" t="n">
        <x:v>2.05</x:v>
      </x:c>
      <x:c r="AU145" s="4" t="n">
        <x:v>5</x:v>
      </x:c>
      <x:c r="AV145" s="10" t="n">
        <x:v>1</x:v>
      </x:c>
      <x:c r="AW145" s="10" t="n">
        <x:v>3</x:v>
      </x:c>
      <x:c r="AX145" s="10" t="n">
        <x:v>0</x:v>
      </x:c>
      <x:c r="AY145" s="10" t="n">
        <x:v>0</x:v>
      </x:c>
      <x:c r="AZ145" s="10" t="n">
        <x:v>1133</x:v>
      </x:c>
      <x:c r="BA145" s="10" t="n">
        <x:v>1155</x:v>
      </x:c>
      <x:c r="BB145" s="4" t="n">
        <x:v>49.5</x:v>
      </x:c>
      <x:c r="BC145" s="4" t="n">
        <x:v>2.2</x:v>
      </x:c>
      <x:c r="BD145" s="10" t="n">
        <x:v>808</x:v>
      </x:c>
      <x:c r="BE145" s="10" t="n">
        <x:v>822</x:v>
      </x:c>
      <x:c r="BF145" s="4" t="n">
        <x:v>49.6</x:v>
      </x:c>
      <x:c r="BG145" s="4" t="n">
        <x:v>2.3</x:v>
      </x:c>
      <x:c r="BH145" s="4" t="n">
        <x:v>11</x:v>
      </x:c>
      <x:c r="BI145" s="4" t="n">
        <x:v>90.3</x:v>
      </x:c>
      <x:c r="BJ145" s="4" t="n">
        <x:v>101.3</x:v>
      </x:c>
      <x:c r="BK145" s="4" t="n">
        <x:v>45.9</x:v>
      </x:c>
      <x:c r="BL145" s="4" t="n">
        <x:v>54.1</x:v>
      </x:c>
      <x:c r="BM145" s="4" t="n">
        <x:v>21.616666666666667</x:v>
      </x:c>
      <x:c r="BN145" s="4" t="n">
        <x:v>17.483333333333334</x:v>
      </x:c>
      <x:c r="BO145" s="10" t="n">
        <x:v>25</x:v>
      </x:c>
      <x:c r="BP145" s="10" t="n">
        <x:v>80</x:v>
      </x:c>
      <x:c r="BQ145" s="4" t="n">
        <x:v>-6</x:v>
      </x:c>
      <x:c r="BR145" s="10" t="n">
        <x:v>248</x:v>
      </x:c>
      <x:c r="BS145" s="4" t="n">
        <x:v>40.3</x:v>
      </x:c>
      <x:c r="BT145" s="10" t="n">
        <x:v>67</x:v>
      </x:c>
      <x:c r="BU145" s="4" t="str">
        <x:v>BOS</x:v>
      </x:c>
      <x:c r="BV145" s="10" t="n">
        <x:v>242</x:v>
      </x:c>
      <x:c r="BW145" s="10" t="n">
        <x:v>375</x:v>
      </x:c>
      <x:c r="BX145" s="10" t="n">
        <x:v>601</x:v>
      </x:c>
      <x:c r="BY145" s="4" t="str">
        <x:v>Hampus Lindholm</x:v>
      </x:c>
      <x:c r="BZ145" s="4" t="str">
        <x:v>Hampus Lindholm</x:v>
      </x:c>
      <x:c r="CA145" s="4" t="str">
        <x:v>Hampus Lindholm</x:v>
      </x:c>
      <x:c r="CB145" s="4" t="str">
        <x:v>lindhha01</x:v>
      </x:c>
    </x:row>
    <x:row r="146" ht="22" customHeight="1">
      <x:c r="A146" s="4" t="str">
        <x:v>Ian Cole</x:v>
      </x:c>
      <x:c r="B146" s="4" t="str">
        <x:v>iancole</x:v>
      </x:c>
      <x:c r="C146" s="10" t="n">
        <x:v>1</x:v>
      </x:c>
      <x:c r="D146" s="10" t="n">
        <x:v>1</x:v>
      </x:c>
      <x:c r="E146" s="10" t="n">
        <x:v>1</x:v>
      </x:c>
      <x:c r="F146" s="4" t="n">
        <x:f>IF(COUNT(N146,Q146,T146,W146,Z146,AC146,AF146,AI146)=8,N146*Guide!$E$5+Q146*Guide!$E$6+T146*Guide!$E$7+W146*Guide!$E$8+Z146*Guide!$E$9+AC146*Guide!$E$10+AF146*Guide!$E$11+AI146*Guide!$E$12,"")</x:f>
        <x:v>236.25</x:v>
      </x:c>
      <x:c r="G146" s="4" t="n">
        <x:f>IF(COUNT(O146,R146,U146,X146,AA146,AD146,AG146,AJ146)=8,O146*Guide!$E$5+R146*Guide!$E$6+U146*Guide!$E$7+X146*Guide!$E$8+AA146*Guide!$E$9+AD146*Guide!$E$10+AG146*Guide!$E$11+AJ146*Guide!$E$12,"")</x:f>
        <x:v>238</x:v>
      </x:c>
      <x:c r="H146" s="4" t="n">
        <x:f>IF(COUNT(G146,F146)=2,G146-F146,"")</x:f>
        <x:v>1.75</x:v>
      </x:c>
      <x:c r="I146" s="4" t="n">
        <x:f>IF(AND(ISNUMBER(F146),K146&gt;0),F146/K146,"")</x:f>
        <x:v>2.9166666666666665</x:v>
      </x:c>
      <x:c r="J146" s="4" t="n">
        <x:f>IF(AND(ISNUMBER(G146),L146&gt;0),G146/L146,"")</x:f>
        <x:v>2.902439024390244</x:v>
      </x:c>
      <x:c r="K146" s="10" t="n">
        <x:v>81</x:v>
      </x:c>
      <x:c r="L146" s="10" t="n">
        <x:v>82</x:v>
      </x:c>
      <x:c r="M146" s="10" t="n">
        <x:f>IF(COUNT(L146,K146)=2,L146-K146,"")</x:f>
        <x:v>1</x:v>
      </x:c>
      <x:c r="N146" s="10" t="n">
        <x:v>3</x:v>
      </x:c>
      <x:c r="O146" s="10" t="n">
        <x:v>3</x:v>
      </x:c>
      <x:c r="P146" s="10" t="n">
        <x:f>IF(COUNT(O146,N146)=2,O146-N146,"")</x:f>
        <x:v>0</x:v>
      </x:c>
      <x:c r="Q146" s="10" t="n">
        <x:v>15</x:v>
      </x:c>
      <x:c r="R146" s="10" t="n">
        <x:v>20</x:v>
      </x:c>
      <x:c r="S146" s="10" t="n">
        <x:f>IF(COUNT(R146,Q146)=2,R146-Q146,"")</x:f>
        <x:v>5</x:v>
      </x:c>
      <x:c r="T146" s="10" t="n">
        <x:v>5</x:v>
      </x:c>
      <x:c r="U146" s="10" t="n">
        <x:v>16</x:v>
      </x:c>
      <x:c r="V146" s="10" t="n">
        <x:f>IF(COUNT(U146,T146)=2,U146-T146,"")</x:f>
        <x:v>11</x:v>
      </x:c>
      <x:c r="W146" s="10" t="n">
        <x:v>0</x:v>
      </x:c>
      <x:c r="X146" s="10" t="n">
        <x:f>IF(COUNT(AV146,AW146)=2,AV146+AW146,"")</x:f>
        <x:v>0</x:v>
      </x:c>
      <x:c r="Y146" s="10" t="n">
        <x:f>IF(COUNT(X146,W146)=2,X146-W146,"")</x:f>
        <x:v>0</x:v>
      </x:c>
      <x:c r="Z146" s="10" t="n">
        <x:v>1</x:v>
      </x:c>
      <x:c r="AA146" s="10" t="n">
        <x:f>IF(COUNT(AX146,AY146)=2,AX146+AY146,"")</x:f>
        <x:v>1</x:v>
      </x:c>
      <x:c r="AB146" s="10" t="n">
        <x:f>IF(COUNT(AA146,Z146)=2,AA146-Z146,"")</x:f>
        <x:v>0</x:v>
      </x:c>
      <x:c r="AC146" s="10" t="n">
        <x:v>70</x:v>
      </x:c>
      <x:c r="AD146" s="10" t="n">
        <x:v>62</x:v>
      </x:c>
      <x:c r="AE146" s="10" t="n">
        <x:f>IF(COUNT(AD146,AC146)=2,AD146-AC146,"")</x:f>
        <x:v>-8</x:v>
      </x:c>
      <x:c r="AF146" s="10" t="n">
        <x:v>93</x:v>
      </x:c>
      <x:c r="AG146" s="10" t="n">
        <x:v>73</x:v>
      </x:c>
      <x:c r="AH146" s="10" t="n">
        <x:f>IF(COUNT(AG146,AF146)=2,AG146-AF146,"")</x:f>
        <x:v>-20</x:v>
      </x:c>
      <x:c r="AI146" s="10" t="n">
        <x:v>174</x:v>
      </x:c>
      <x:c r="AJ146" s="10" t="n">
        <x:v>151</x:v>
      </x:c>
      <x:c r="AK146" s="10" t="n">
        <x:f>IF(COUNT(AJ146,AI146)=2,AJ146-AI146,"")</x:f>
        <x:v>-23</x:v>
      </x:c>
      <x:c r="AL146" s="10" t="n">
        <x:v>36</x:v>
      </x:c>
      <x:c r="AM146" s="10" t="n">
        <x:v>36</x:v>
      </x:c>
      <x:c r="AN146" s="4" t="str">
        <x:v>D</x:v>
      </x:c>
      <x:c r="AO146" s="4" t="str">
        <x:v>D</x:v>
      </x:c>
      <x:c r="AP146" s="4" t="str">
        <x:v>UTA</x:v>
      </x:c>
      <x:c r="AQ146" s="4" t="str">
        <x:v>UTA</x:v>
      </x:c>
      <x:c r="AR146" s="4" t="n">
        <x:v>20.04</x:v>
      </x:c>
      <x:c r="AS146" s="4" t="n">
        <x:v>18.266666666666666</x:v>
      </x:c>
      <x:c r="AT146" s="4" t="n">
        <x:v>0.06</x:v>
      </x:c>
      <x:c r="AU146" s="4" t="n">
        <x:v>4.8</x:v>
      </x:c>
      <x:c r="AV146" s="10" t="n">
        <x:v>0</x:v>
      </x:c>
      <x:c r="AW146" s="10" t="n">
        <x:v>0</x:v>
      </x:c>
      <x:c r="AX146" s="10" t="n">
        <x:v>0</x:v>
      </x:c>
      <x:c r="AY146" s="10" t="n">
        <x:v>1</x:v>
      </x:c>
      <x:c r="AZ146" s="10" t="n">
        <x:v>1168</x:v>
      </x:c>
      <x:c r="BA146" s="10" t="n">
        <x:v>1162</x:v>
      </x:c>
      <x:c r="BB146" s="4" t="n">
        <x:v>50.1</x:v>
      </x:c>
      <x:c r="BC146" s="4" t="n">
        <x:v>-4.4</x:v>
      </x:c>
      <x:c r="BD146" s="10" t="n">
        <x:v>852</x:v>
      </x:c>
      <x:c r="BE146" s="10" t="n">
        <x:v>784</x:v>
      </x:c>
      <x:c r="BF146" s="4" t="n">
        <x:v>52.1</x:v>
      </x:c>
      <x:c r="BG146" s="4" t="n">
        <x:v>-1.4</x:v>
      </x:c>
      <x:c r="BH146" s="4" t="n">
        <x:v>12.6</x:v>
      </x:c>
      <x:c r="BI146" s="4" t="n">
        <x:v>89.3</x:v>
      </x:c>
      <x:c r="BJ146" s="4" t="n">
        <x:v>101.9</x:v>
      </x:c>
      <x:c r="BK146" s="4" t="n">
        <x:v>45</x:v>
      </x:c>
      <x:c r="BL146" s="4" t="n">
        <x:v>55</x:v>
      </x:c>
      <x:c r="BM146" s="4" t="n">
        <x:v>18.266666666666666</x:v>
      </x:c>
      <x:c r="BN146" s="4" t="n">
        <x:v>15.216666666666667</x:v>
      </x:c>
      <x:c r="BO146" s="10" t="n">
        <x:v>15</x:v>
      </x:c>
      <x:c r="BP146" s="10" t="n">
        <x:v>95</x:v>
      </x:c>
      <x:c r="BQ146" s="4" t="n">
        <x:v>4.1</x:v>
      </x:c>
      <x:c r="BR146" s="10" t="n">
        <x:v>175</x:v>
      </x:c>
      <x:c r="BS146" s="4" t="n">
        <x:v>35.4</x:v>
      </x:c>
      <x:c r="BT146" s="10" t="n">
        <x:v>82</x:v>
      </x:c>
      <x:c r="BU146" s="4" t="str">
        <x:v>UTA</x:v>
      </x:c>
      <x:c r="BV146" s="10" t="n">
        <x:v>558</x:v>
      </x:c>
      <x:c r="BW146" s="10" t="n">
        <x:v>421</x:v>
      </x:c>
      <x:c r="BX146" s="10" t="n">
        <x:v>165</x:v>
      </x:c>
      <x:c r="BY146" s="4" t="str">
        <x:v>Ian Cole</x:v>
      </x:c>
      <x:c r="BZ146" s="4" t="str">
        <x:v>Ian Cole</x:v>
      </x:c>
      <x:c r="CA146" s="4" t="str">
        <x:v>Ian Cole</x:v>
      </x:c>
      <x:c r="CB146" s="4" t="str">
        <x:v>coleia01</x:v>
      </x:c>
    </x:row>
    <x:row r="147" ht="22" customHeight="1">
      <x:c r="A147" s="4" t="str">
        <x:v>Ilya Mikheyev</x:v>
      </x:c>
      <x:c r="B147" s="4" t="str">
        <x:v>ilyamikheyev</x:v>
      </x:c>
      <x:c r="C147" s="10" t="n">
        <x:v>1</x:v>
      </x:c>
      <x:c r="D147" s="10" t="n">
        <x:v>1</x:v>
      </x:c>
      <x:c r="E147" s="10" t="n">
        <x:v>1</x:v>
      </x:c>
      <x:c r="F147" s="4" t="n">
        <x:f>IF(COUNT(N147,Q147,T147,W147,Z147,AC147,AF147,AI147)=8,N147*Guide!$E$5+Q147*Guide!$E$6+T147*Guide!$E$7+W147*Guide!$E$8+Z147*Guide!$E$9+AC147*Guide!$E$10+AF147*Guide!$E$11+AI147*Guide!$E$12,"")</x:f>
        <x:v>186.5</x:v>
      </x:c>
      <x:c r="G147" s="4" t="n">
        <x:f>IF(COUNT(O147,R147,U147,X147,AA147,AD147,AG147,AJ147)=8,O147*Guide!$E$5+R147*Guide!$E$6+U147*Guide!$E$7+X147*Guide!$E$8+AA147*Guide!$E$9+AD147*Guide!$E$10+AG147*Guide!$E$11+AJ147*Guide!$E$12,"")</x:f>
        <x:v>192.75</x:v>
      </x:c>
      <x:c r="H147" s="4" t="n">
        <x:f>IF(COUNT(G147,F147)=2,G147-F147,"")</x:f>
        <x:v>6.25</x:v>
      </x:c>
      <x:c r="I147" s="4" t="n">
        <x:f>IF(AND(ISNUMBER(F147),K147&gt;0),F147/K147,"")</x:f>
        <x:v>2.33125</x:v>
      </x:c>
      <x:c r="J147" s="4" t="n">
        <x:f>IF(AND(ISNUMBER(G147),L147&gt;0),G147/L147,"")</x:f>
        <x:v>2.5032467532467533</x:v>
      </x:c>
      <x:c r="K147" s="10" t="n">
        <x:v>80</x:v>
      </x:c>
      <x:c r="L147" s="10" t="n">
        <x:v>77</x:v>
      </x:c>
      <x:c r="M147" s="10" t="n">
        <x:f>IF(COUNT(L147,K147)=2,L147-K147,"")</x:f>
        <x:v>-3</x:v>
      </x:c>
      <x:c r="N147" s="10" t="n">
        <x:v>17</x:v>
      </x:c>
      <x:c r="O147" s="10" t="n">
        <x:v>18</x:v>
      </x:c>
      <x:c r="P147" s="10" t="n">
        <x:f>IF(COUNT(O147,N147)=2,O147-N147,"")</x:f>
        <x:v>1</x:v>
      </x:c>
      <x:c r="Q147" s="10" t="n">
        <x:v>17</x:v>
      </x:c>
      <x:c r="R147" s="10" t="n">
        <x:v>18</x:v>
      </x:c>
      <x:c r="S147" s="10" t="n">
        <x:f>IF(COUNT(R147,Q147)=2,R147-Q147,"")</x:f>
        <x:v>1</x:v>
      </x:c>
      <x:c r="T147" s="10" t="n">
        <x:v>5</x:v>
      </x:c>
      <x:c r="U147" s="10" t="n">
        <x:v>2</x:v>
      </x:c>
      <x:c r="V147" s="10" t="n">
        <x:f>IF(COUNT(U147,T147)=2,U147-T147,"")</x:f>
        <x:v>-3</x:v>
      </x:c>
      <x:c r="W147" s="10" t="n">
        <x:v>2</x:v>
      </x:c>
      <x:c r="X147" s="10" t="n">
        <x:f>IF(COUNT(AV147,AW147)=2,AV147+AW147,"")</x:f>
        <x:v>0</x:v>
      </x:c>
      <x:c r="Y147" s="10" t="n">
        <x:f>IF(COUNT(X147,W147)=2,X147-W147,"")</x:f>
        <x:v>-2</x:v>
      </x:c>
      <x:c r="Z147" s="10" t="n">
        <x:v>1</x:v>
      </x:c>
      <x:c r="AA147" s="10" t="n">
        <x:f>IF(COUNT(AX147,AY147)=2,AX147+AY147,"")</x:f>
        <x:v>3</x:v>
      </x:c>
      <x:c r="AB147" s="10" t="n">
        <x:f>IF(COUNT(AA147,Z147)=2,AA147-Z147,"")</x:f>
        <x:v>2</x:v>
      </x:c>
      <x:c r="AC147" s="10" t="n">
        <x:v>130</x:v>
      </x:c>
      <x:c r="AD147" s="10" t="n">
        <x:v>123</x:v>
      </x:c>
      <x:c r="AE147" s="10" t="n">
        <x:f>IF(COUNT(AD147,AC147)=2,AD147-AC147,"")</x:f>
        <x:v>-7</x:v>
      </x:c>
      <x:c r="AF147" s="10" t="n">
        <x:v>34</x:v>
      </x:c>
      <x:c r="AG147" s="10" t="n">
        <x:v>31</x:v>
      </x:c>
      <x:c r="AH147" s="10" t="n">
        <x:f>IF(COUNT(AG147,AF147)=2,AG147-AF147,"")</x:f>
        <x:v>-3</x:v>
      </x:c>
      <x:c r="AI147" s="10" t="n">
        <x:v>22</x:v>
      </x:c>
      <x:c r="AJ147" s="10" t="n">
        <x:v>23</x:v>
      </x:c>
      <x:c r="AK147" s="10" t="n">
        <x:f>IF(COUNT(AJ147,AI147)=2,AJ147-AI147,"")</x:f>
        <x:v>1</x:v>
      </x:c>
      <x:c r="AL147" s="10" t="n">
        <x:v>31</x:v>
      </x:c>
      <x:c r="AM147" s="10" t="n">
        <x:v>31</x:v>
      </x:c>
      <x:c r="AN147" s="4" t="str">
        <x:v>RW</x:v>
      </x:c>
      <x:c r="AO147" s="4" t="str">
        <x:v>F</x:v>
      </x:c>
      <x:c r="AP147" s="4" t="str">
        <x:v>CHI</x:v>
      </x:c>
      <x:c r="AQ147" s="4" t="str">
        <x:v>CHI</x:v>
      </x:c>
      <x:c r="AR147" s="4" t="n">
        <x:v>15.28</x:v>
      </x:c>
      <x:c r="AS147" s="4" t="n">
        <x:v>17.433333333333334</x:v>
      </x:c>
      <x:c r="AT147" s="4" t="n">
        <x:v>0.34</x:v>
      </x:c>
      <x:c r="AU147" s="4" t="n">
        <x:v>14.6</x:v>
      </x:c>
      <x:c r="AV147" s="10" t="n">
        <x:v>0</x:v>
      </x:c>
      <x:c r="AW147" s="10" t="n">
        <x:v>0</x:v>
      </x:c>
      <x:c r="AX147" s="10" t="n">
        <x:v>1</x:v>
      </x:c>
      <x:c r="AY147" s="10" t="n">
        <x:v>2</x:v>
      </x:c>
      <x:c r="AZ147" s="10" t="n">
        <x:v>913</x:v>
      </x:c>
      <x:c r="BA147" s="10" t="n">
        <x:v>1146</x:v>
      </x:c>
      <x:c r="BB147" s="4" t="n">
        <x:v>44.3</x:v>
      </x:c>
      <x:c r="BC147" s="4" t="n">
        <x:v>-1.4</x:v>
      </x:c>
      <x:c r="BD147" s="10" t="n">
        <x:v>689</x:v>
      </x:c>
      <x:c r="BE147" s="10" t="n">
        <x:v>873</x:v>
      </x:c>
      <x:c r="BF147" s="4" t="n">
        <x:v>44.1</x:v>
      </x:c>
      <x:c r="BG147" s="4" t="n">
        <x:v>-1.1</x:v>
      </x:c>
      <x:c r="BH147" s="4" t="n">
        <x:v>10.6</x:v>
      </x:c>
      <x:c r="BI147" s="4" t="n">
        <x:v>91.6</x:v>
      </x:c>
      <x:c r="BJ147" s="4" t="n">
        <x:v>102.1</x:v>
      </x:c>
      <x:c r="BK147" s="4" t="n">
        <x:v>30.1</x:v>
      </x:c>
      <x:c r="BL147" s="4" t="n">
        <x:v>69.9</x:v>
      </x:c>
      <x:c r="BM147" s="4" t="n">
        <x:v>17.433333333333334</x:v>
      </x:c>
      <x:c r="BN147" s="4" t="n">
        <x:v>14.75</x:v>
      </x:c>
      <x:c r="BO147" s="10" t="n">
        <x:v>22</x:v>
      </x:c>
      <x:c r="BP147" s="10" t="n">
        <x:v>63</x:v>
      </x:c>
      <x:c r="BQ147" s="4" t="n">
        <x:v>-18.5</x:v>
      </x:c>
      <x:c r="BR147" s="10" t="n">
        <x:v>213</x:v>
      </x:c>
      <x:c r="BS147" s="4" t="n">
        <x:v>57.7</x:v>
      </x:c>
      <x:c r="BT147" s="10" t="n">
        <x:v>77</x:v>
      </x:c>
      <x:c r="BU147" s="4" t="str">
        <x:v>CHI</x:v>
      </x:c>
      <x:c r="BV147" s="10" t="n">
        <x:v>322</x:v>
      </x:c>
      <x:c r="BW147" s="10" t="n">
        <x:v>247</x:v>
      </x:c>
      <x:c r="BX147" s="10" t="n">
        <x:v>695</x:v>
      </x:c>
      <x:c r="BY147" s="4" t="str">
        <x:v>Ilya Mikheyev</x:v>
      </x:c>
      <x:c r="BZ147" s="4" t="str">
        <x:v>Ilya Mikheyev</x:v>
      </x:c>
      <x:c r="CA147" s="4" t="str">
        <x:v>Ilya Mikheyev</x:v>
      </x:c>
      <x:c r="CB147" s="4" t="str">
        <x:v>mikheil01</x:v>
      </x:c>
    </x:row>
    <x:row r="148" ht="22" customHeight="1">
      <x:c r="A148" s="4" t="str">
        <x:v>Ivan Barbashev</x:v>
      </x:c>
      <x:c r="B148" s="4" t="str">
        <x:v>ivanbarbashev</x:v>
      </x:c>
      <x:c r="C148" s="10" t="n">
        <x:v>1</x:v>
      </x:c>
      <x:c r="D148" s="10" t="n">
        <x:v>1</x:v>
      </x:c>
      <x:c r="E148" s="10" t="n">
        <x:v>1</x:v>
      </x:c>
      <x:c r="F148" s="4" t="n">
        <x:f>IF(COUNT(N148,Q148,T148,W148,Z148,AC148,AF148,AI148)=8,N148*Guide!$E$5+Q148*Guide!$E$6+T148*Guide!$E$7+W148*Guide!$E$8+Z148*Guide!$E$9+AC148*Guide!$E$10+AF148*Guide!$E$11+AI148*Guide!$E$12,"")</x:f>
        <x:v>264.25</x:v>
      </x:c>
      <x:c r="G148" s="4" t="n">
        <x:f>IF(COUNT(O148,R148,U148,X148,AA148,AD148,AG148,AJ148)=8,O148*Guide!$E$5+R148*Guide!$E$6+U148*Guide!$E$7+X148*Guide!$E$8+AA148*Guide!$E$9+AD148*Guide!$E$10+AG148*Guide!$E$11+AJ148*Guide!$E$12,"")</x:f>
        <x:v>327.25</x:v>
      </x:c>
      <x:c r="H148" s="4" t="n">
        <x:f>IF(COUNT(G148,F148)=2,G148-F148,"")</x:f>
        <x:v>63</x:v>
      </x:c>
      <x:c r="I148" s="4" t="n">
        <x:f>IF(AND(ISNUMBER(F148),K148&gt;0),F148/K148,"")</x:f>
        <x:v>3.4318181818181817</x:v>
      </x:c>
      <x:c r="J148" s="4" t="n">
        <x:f>IF(AND(ISNUMBER(G148),L148&gt;0),G148/L148,"")</x:f>
        <x:v>3.9908536585365852</x:v>
      </x:c>
      <x:c r="K148" s="10" t="n">
        <x:v>77</x:v>
      </x:c>
      <x:c r="L148" s="10" t="n">
        <x:v>82</x:v>
      </x:c>
      <x:c r="M148" s="10" t="n">
        <x:f>IF(COUNT(L148,K148)=2,L148-K148,"")</x:f>
        <x:v>5</x:v>
      </x:c>
      <x:c r="N148" s="10" t="n">
        <x:v>20</x:v>
      </x:c>
      <x:c r="O148" s="10" t="n">
        <x:v>23</x:v>
      </x:c>
      <x:c r="P148" s="10" t="n">
        <x:f>IF(COUNT(O148,N148)=2,O148-N148,"")</x:f>
        <x:v>3</x:v>
      </x:c>
      <x:c r="Q148" s="10" t="n">
        <x:v>26</x:v>
      </x:c>
      <x:c r="R148" s="10" t="n">
        <x:v>38</x:v>
      </x:c>
      <x:c r="S148" s="10" t="n">
        <x:f>IF(COUNT(R148,Q148)=2,R148-Q148,"")</x:f>
        <x:v>12</x:v>
      </x:c>
      <x:c r="T148" s="10" t="n">
        <x:v>10</x:v>
      </x:c>
      <x:c r="U148" s="10" t="n">
        <x:v>20</x:v>
      </x:c>
      <x:c r="V148" s="10" t="n">
        <x:f>IF(COUNT(U148,T148)=2,U148-T148,"")</x:f>
        <x:v>10</x:v>
      </x:c>
      <x:c r="W148" s="10" t="n">
        <x:v>4</x:v>
      </x:c>
      <x:c r="X148" s="10" t="n">
        <x:f>IF(COUNT(AV148,AW148)=2,AV148+AW148,"")</x:f>
        <x:v>6</x:v>
      </x:c>
      <x:c r="Y148" s="10" t="n">
        <x:f>IF(COUNT(X148,W148)=2,X148-W148,"")</x:f>
        <x:v>2</x:v>
      </x:c>
      <x:c r="Z148" s="10" t="n">
        <x:v>0</x:v>
      </x:c>
      <x:c r="AA148" s="10" t="n">
        <x:f>IF(COUNT(AX148,AY148)=2,AX148+AY148,"")</x:f>
        <x:v>0</x:v>
      </x:c>
      <x:c r="AB148" s="10" t="n">
        <x:f>IF(COUNT(AA148,Z148)=2,AA148-Z148,"")</x:f>
        <x:v>0</x:v>
      </x:c>
      <x:c r="AC148" s="10" t="n">
        <x:v>114</x:v>
      </x:c>
      <x:c r="AD148" s="10" t="n">
        <x:v>133</x:v>
      </x:c>
      <x:c r="AE148" s="10" t="n">
        <x:f>IF(COUNT(AD148,AC148)=2,AD148-AC148,"")</x:f>
        <x:v>19</x:v>
      </x:c>
      <x:c r="AF148" s="10" t="n">
        <x:v>132</x:v>
      </x:c>
      <x:c r="AG148" s="10" t="n">
        <x:v>137</x:v>
      </x:c>
      <x:c r="AH148" s="10" t="n">
        <x:f>IF(COUNT(AG148,AF148)=2,AG148-AF148,"")</x:f>
        <x:v>5</x:v>
      </x:c>
      <x:c r="AI148" s="10" t="n">
        <x:v>41</x:v>
      </x:c>
      <x:c r="AJ148" s="10" t="n">
        <x:v>37</x:v>
      </x:c>
      <x:c r="AK148" s="10" t="n">
        <x:f>IF(COUNT(AJ148,AI148)=2,AJ148-AI148,"")</x:f>
        <x:v>-4</x:v>
      </x:c>
      <x:c r="AL148" s="10" t="n">
        <x:v>30</x:v>
      </x:c>
      <x:c r="AM148" s="10" t="n">
        <x:v>30</x:v>
      </x:c>
      <x:c r="AN148" s="4" t="str">
        <x:v>LW</x:v>
      </x:c>
      <x:c r="AO148" s="4" t="str">
        <x:v>C</x:v>
      </x:c>
      <x:c r="AP148" s="4" t="str">
        <x:v>VGK</x:v>
      </x:c>
      <x:c r="AQ148" s="4" t="str">
        <x:v>VEG</x:v>
      </x:c>
      <x:c r="AR148" s="4" t="n">
        <x:v>16.55</x:v>
      </x:c>
      <x:c r="AS148" s="4" t="n">
        <x:v>16.25</x:v>
      </x:c>
      <x:c r="AT148" s="4" t="n">
        <x:v>1.06</x:v>
      </x:c>
      <x:c r="AU148" s="4" t="n">
        <x:v>17.3</x:v>
      </x:c>
      <x:c r="AV148" s="10" t="n">
        <x:v>2</x:v>
      </x:c>
      <x:c r="AW148" s="10" t="n">
        <x:v>4</x:v>
      </x:c>
      <x:c r="AX148" s="10" t="n">
        <x:v>0</x:v>
      </x:c>
      <x:c r="AY148" s="10" t="n">
        <x:v>0</x:v>
      </x:c>
      <x:c r="AZ148" s="10" t="n">
        <x:v>1290</x:v>
      </x:c>
      <x:c r="BA148" s="10" t="n">
        <x:v>1198</x:v>
      </x:c>
      <x:c r="BB148" s="4" t="n">
        <x:v>51.8</x:v>
      </x:c>
      <x:c r="BC148" s="4" t="n">
        <x:v>-0.5</x:v>
      </x:c>
      <x:c r="BD148" s="10" t="n">
        <x:v>967</x:v>
      </x:c>
      <x:c r="BE148" s="10" t="n">
        <x:v>847</x:v>
      </x:c>
      <x:c r="BF148" s="4" t="n">
        <x:v>53.3</x:v>
      </x:c>
      <x:c r="BG148" s="4" t="n">
        <x:v>1.2</x:v>
      </x:c>
      <x:c r="BH148" s="4" t="n">
        <x:v>12</x:v>
      </x:c>
      <x:c r="BI148" s="4" t="n">
        <x:v>89.1</x:v>
      </x:c>
      <x:c r="BJ148" s="4" t="n">
        <x:v>101.1</x:v>
      </x:c>
      <x:c r="BK148" s="4" t="n">
        <x:v>61</x:v>
      </x:c>
      <x:c r="BL148" s="4" t="n">
        <x:v>39</x:v>
      </x:c>
      <x:c r="BM148" s="4" t="n">
        <x:v>16.25</x:v>
      </x:c>
      <x:c r="BN148" s="4" t="n">
        <x:v>15.383333333333333</x:v>
      </x:c>
      <x:c r="BO148" s="10" t="n">
        <x:v>15</x:v>
      </x:c>
      <x:c r="BP148" s="10" t="n">
        <x:v>90</x:v>
      </x:c>
      <x:c r="BQ148" s="4" t="n">
        <x:v>13.8</x:v>
      </x:c>
      <x:c r="BR148" s="10" t="n">
        <x:v>243</x:v>
      </x:c>
      <x:c r="BS148" s="4" t="n">
        <x:v>54.7</x:v>
      </x:c>
      <x:c r="BT148" s="10" t="n">
        <x:v>82</x:v>
      </x:c>
      <x:c r="BU148" s="4" t="str">
        <x:v>VEG</x:v>
      </x:c>
      <x:c r="BV148" s="10" t="n">
        <x:v>191</x:v>
      </x:c>
      <x:c r="BW148" s="10" t="n">
        <x:v>83</x:v>
      </x:c>
      <x:c r="BX148" s="10" t="n">
        <x:v>28</x:v>
      </x:c>
      <x:c r="BY148" s="4" t="str">
        <x:v>Ivan Barbashev</x:v>
      </x:c>
      <x:c r="BZ148" s="4" t="str">
        <x:v>Ivan Barbashev</x:v>
      </x:c>
      <x:c r="CA148" s="4" t="str">
        <x:v>Ivan Barbashev</x:v>
      </x:c>
      <x:c r="CB148" s="4" t="str">
        <x:v>barbaiv01</x:v>
      </x:c>
    </x:row>
    <x:row r="149" ht="22" customHeight="1">
      <x:c r="A149" s="4" t="str">
        <x:v>Ivan Demidov</x:v>
      </x:c>
      <x:c r="B149" s="4" t="str">
        <x:v>ivandemidov</x:v>
      </x:c>
      <x:c r="C149" s="10" t="n">
        <x:v>1</x:v>
      </x:c>
      <x:c r="D149" s="10" t="n">
        <x:v>1</x:v>
      </x:c>
      <x:c r="E149" s="10" t="n">
        <x:v>1</x:v>
      </x:c>
      <x:c r="F149" s="4" t="n">
        <x:f>IF(COUNT(N149,Q149,T149,W149,Z149,AC149,AF149,AI149)=8,N149*Guide!$E$5+Q149*Guide!$E$6+T149*Guide!$E$7+W149*Guide!$E$8+Z149*Guide!$E$9+AC149*Guide!$E$10+AF149*Guide!$E$11+AI149*Guide!$E$12,"")</x:f>
        <x:v>309.25</x:v>
      </x:c>
      <x:c r="G149" s="4" t="n">
        <x:f>IF(COUNT(O149,R149,U149,X149,AA149,AD149,AG149,AJ149)=8,O149*Guide!$E$5+R149*Guide!$E$6+U149*Guide!$E$7+X149*Guide!$E$8+AA149*Guide!$E$9+AD149*Guide!$E$10+AG149*Guide!$E$11+AJ149*Guide!$E$12,"")</x:f>
        <x:v>286.25</x:v>
      </x:c>
      <x:c r="H149" s="4" t="n">
        <x:f>IF(COUNT(G149,F149)=2,G149-F149,"")</x:f>
        <x:v>-23</x:v>
      </x:c>
      <x:c r="I149" s="4" t="n">
        <x:f>IF(AND(ISNUMBER(F149),K149&gt;0),F149/K149,"")</x:f>
        <x:v>4.069078947368421</x:v>
      </x:c>
      <x:c r="J149" s="4" t="n">
        <x:f>IF(AND(ISNUMBER(G149),L149&gt;0),G149/L149,"")</x:f>
        <x:v>3.4908536585365852</x:v>
      </x:c>
      <x:c r="K149" s="10" t="n">
        <x:v>76</x:v>
      </x:c>
      <x:c r="L149" s="10" t="n">
        <x:v>82</x:v>
      </x:c>
      <x:c r="M149" s="10" t="n">
        <x:f>IF(COUNT(L149,K149)=2,L149-K149,"")</x:f>
        <x:v>6</x:v>
      </x:c>
      <x:c r="N149" s="10" t="n">
        <x:v>26</x:v>
      </x:c>
      <x:c r="O149" s="10" t="n">
        <x:v>19</x:v>
      </x:c>
      <x:c r="P149" s="10" t="n">
        <x:f>IF(COUNT(O149,N149)=2,O149-N149,"")</x:f>
        <x:v>-7</x:v>
      </x:c>
      <x:c r="Q149" s="10" t="n">
        <x:v>37</x:v>
      </x:c>
      <x:c r="R149" s="10" t="n">
        <x:v>43</x:v>
      </x:c>
      <x:c r="S149" s="10" t="n">
        <x:f>IF(COUNT(R149,Q149)=2,R149-Q149,"")</x:f>
        <x:v>6</x:v>
      </x:c>
      <x:c r="T149" s="10" t="n">
        <x:v>3</x:v>
      </x:c>
      <x:c r="U149" s="10" t="n">
        <x:v>3</x:v>
      </x:c>
      <x:c r="V149" s="10" t="n">
        <x:f>IF(COUNT(U149,T149)=2,U149-T149,"")</x:f>
        <x:v>0</x:v>
      </x:c>
      <x:c r="W149" s="10" t="n">
        <x:v>19</x:v>
      </x:c>
      <x:c r="X149" s="10" t="n">
        <x:f>IF(COUNT(AV149,AW149)=2,AV149+AW149,"")</x:f>
        <x:v>20</x:v>
      </x:c>
      <x:c r="Y149" s="10" t="n">
        <x:f>IF(COUNT(X149,W149)=2,X149-W149,"")</x:f>
        <x:v>1</x:v>
      </x:c>
      <x:c r="Z149" s="10" t="n">
        <x:v>0</x:v>
      </x:c>
      <x:c r="AA149" s="10" t="n">
        <x:f>IF(COUNT(AX149,AY149)=2,AX149+AY149,"")</x:f>
        <x:v>0</x:v>
      </x:c>
      <x:c r="AB149" s="10" t="n">
        <x:f>IF(COUNT(AA149,Z149)=2,AA149-Z149,"")</x:f>
        <x:v>0</x:v>
      </x:c>
      <x:c r="AC149" s="10" t="n">
        <x:v>177</x:v>
      </x:c>
      <x:c r="AD149" s="10" t="n">
        <x:v>127</x:v>
      </x:c>
      <x:c r="AE149" s="10" t="n">
        <x:f>IF(COUNT(AD149,AC149)=2,AD149-AC149,"")</x:f>
        <x:v>-50</x:v>
      </x:c>
      <x:c r="AF149" s="10" t="n">
        <x:v>37</x:v>
      </x:c>
      <x:c r="AG149" s="10" t="n">
        <x:v>28</x:v>
      </x:c>
      <x:c r="AH149" s="10" t="n">
        <x:f>IF(COUNT(AG149,AF149)=2,AG149-AF149,"")</x:f>
        <x:v>-9</x:v>
      </x:c>
      <x:c r="AI149" s="10" t="n">
        <x:v>25</x:v>
      </x:c>
      <x:c r="AJ149" s="10" t="n">
        <x:v>26</x:v>
      </x:c>
      <x:c r="AK149" s="10" t="n">
        <x:f>IF(COUNT(AJ149,AI149)=2,AJ149-AI149,"")</x:f>
        <x:v>1</x:v>
      </x:c>
      <x:c r="AL149" s="10" t="n">
        <x:v>20</x:v>
      </x:c>
      <x:c r="AM149" s="10" t="n">
        <x:v>20</x:v>
      </x:c>
      <x:c r="AN149" s="4" t="str">
        <x:v>RW</x:v>
      </x:c>
      <x:c r="AO149" s="4" t="str">
        <x:v>RW</x:v>
      </x:c>
      <x:c r="AP149" s="4" t="str">
        <x:v>MTL</x:v>
      </x:c>
      <x:c r="AQ149" s="4" t="str">
        <x:v>MTL</x:v>
      </x:c>
      <x:c r="AR149" s="4" t="n">
        <x:v>17.5</x:v>
      </x:c>
      <x:c r="AS149" s="4" t="n">
        <x:v>15.5</x:v>
      </x:c>
      <x:c r="AT149" s="4" t="n">
        <x:v>3</x:v>
      </x:c>
      <x:c r="AU149" s="4" t="n">
        <x:v>15</x:v>
      </x:c>
      <x:c r="AV149" s="10" t="n">
        <x:v>7</x:v>
      </x:c>
      <x:c r="AW149" s="10" t="n">
        <x:v>13</x:v>
      </x:c>
      <x:c r="AX149" s="10" t="n">
        <x:v>0</x:v>
      </x:c>
      <x:c r="AY149" s="10" t="n">
        <x:v>0</x:v>
      </x:c>
      <x:c r="AZ149" s="10" t="n">
        <x:v>930</x:v>
      </x:c>
      <x:c r="BA149" s="10" t="n">
        <x:v>1032</x:v>
      </x:c>
      <x:c r="BB149" s="4" t="n">
        <x:v>47.4</x:v>
      </x:c>
      <x:c r="BC149" s="4" t="n">
        <x:v>-1.6</x:v>
      </x:c>
      <x:c r="BD149" s="10" t="n">
        <x:v>701</x:v>
      </x:c>
      <x:c r="BE149" s="10" t="n">
        <x:v>724</x:v>
      </x:c>
      <x:c r="BF149" s="4" t="n">
        <x:v>49.2</x:v>
      </x:c>
      <x:c r="BG149" s="4" t="n">
        <x:v>-0.5</x:v>
      </x:c>
      <x:c r="BH149" s="4" t="n">
        <x:v>14.4</x:v>
      </x:c>
      <x:c r="BI149" s="4" t="n">
        <x:v>87.7</x:v>
      </x:c>
      <x:c r="BJ149" s="4" t="n">
        <x:v>102.2</x:v>
      </x:c>
      <x:c r="BK149" s="4" t="n">
        <x:v>64.6</x:v>
      </x:c>
      <x:c r="BL149" s="4" t="n">
        <x:v>35.4</x:v>
      </x:c>
      <x:c r="BM149" s="4" t="n">
        <x:v>15.5</x:v>
      </x:c>
      <x:c r="BN149" s="4" t="n">
        <x:v>12.466666666666667</x:v>
      </x:c>
      <x:c r="BO149" s="10" t="n">
        <x:v>22</x:v>
      </x:c>
      <x:c r="BP149" s="10" t="n">
        <x:v>72</x:v>
      </x:c>
      <x:c r="BQ149" s="4" t="n">
        <x:v>2.6</x:v>
      </x:c>
      <x:c r="BR149" s="10" t="n">
        <x:v>282</x:v>
      </x:c>
      <x:c r="BS149" s="4" t="n">
        <x:v>45</x:v>
      </x:c>
      <x:c r="BT149" s="10" t="n">
        <x:v>82</x:v>
      </x:c>
      <x:c r="BU149" s="4" t="str">
        <x:v>MTL</x:v>
      </x:c>
      <x:c r="BV149" s="10" t="n">
        <x:v>81</x:v>
      </x:c>
      <x:c r="BW149" s="10" t="n">
        <x:v>81</x:v>
      </x:c>
      <x:c r="BX149" s="10" t="n">
        <x:v>208</x:v>
      </x:c>
      <x:c r="BY149" s="4" t="str">
        <x:v>Ivan Demidov</x:v>
      </x:c>
      <x:c r="BZ149" s="4" t="str">
        <x:v>Ivan Demidov</x:v>
      </x:c>
      <x:c r="CA149" s="4" t="str">
        <x:v>Ivan Demidov</x:v>
      </x:c>
      <x:c r="CB149" s="4" t="str">
        <x:v>demidiv01</x:v>
      </x:c>
    </x:row>
    <x:row r="150" ht="22" customHeight="1">
      <x:c r="A150" s="4" t="str">
        <x:v>Ivan Provorov</x:v>
      </x:c>
      <x:c r="B150" s="4" t="str">
        <x:v>ivanprovorov</x:v>
      </x:c>
      <x:c r="C150" s="10" t="n">
        <x:v>1</x:v>
      </x:c>
      <x:c r="D150" s="10" t="n">
        <x:v>1</x:v>
      </x:c>
      <x:c r="E150" s="10" t="n">
        <x:v>1</x:v>
      </x:c>
      <x:c r="F150" s="4" t="n">
        <x:f>IF(COUNT(N150,Q150,T150,W150,Z150,AC150,AF150,AI150)=8,N150*Guide!$E$5+Q150*Guide!$E$6+T150*Guide!$E$7+W150*Guide!$E$8+Z150*Guide!$E$9+AC150*Guide!$E$10+AF150*Guide!$E$11+AI150*Guide!$E$12,"")</x:f>
        <x:v>243.75</x:v>
      </x:c>
      <x:c r="G150" s="4" t="n">
        <x:f>IF(COUNT(O150,R150,U150,X150,AA150,AD150,AG150,AJ150)=8,O150*Guide!$E$5+R150*Guide!$E$6+U150*Guide!$E$7+X150*Guide!$E$8+AA150*Guide!$E$9+AD150*Guide!$E$10+AG150*Guide!$E$11+AJ150*Guide!$E$12,"")</x:f>
        <x:v>268</x:v>
      </x:c>
      <x:c r="H150" s="4" t="n">
        <x:f>IF(COUNT(G150,F150)=2,G150-F150,"")</x:f>
        <x:v>24.25</x:v>
      </x:c>
      <x:c r="I150" s="4" t="n">
        <x:f>IF(AND(ISNUMBER(F150),K150&gt;0),F150/K150,"")</x:f>
        <x:v>2.972560975609756</x:v>
      </x:c>
      <x:c r="J150" s="4" t="n">
        <x:f>IF(AND(ISNUMBER(G150),L150&gt;0),G150/L150,"")</x:f>
        <x:v>3.268292682926829</x:v>
      </x:c>
      <x:c r="K150" s="10" t="n">
        <x:v>82</x:v>
      </x:c>
      <x:c r="L150" s="10" t="n">
        <x:v>82</x:v>
      </x:c>
      <x:c r="M150" s="10" t="n">
        <x:f>IF(COUNT(L150,K150)=2,L150-K150,"")</x:f>
        <x:v>0</x:v>
      </x:c>
      <x:c r="N150" s="10" t="n">
        <x:v>6</x:v>
      </x:c>
      <x:c r="O150" s="10" t="n">
        <x:v>9</x:v>
      </x:c>
      <x:c r="P150" s="10" t="n">
        <x:f>IF(COUNT(O150,N150)=2,O150-N150,"")</x:f>
        <x:v>3</x:v>
      </x:c>
      <x:c r="Q150" s="10" t="n">
        <x:v>26</x:v>
      </x:c>
      <x:c r="R150" s="10" t="n">
        <x:v>22</x:v>
      </x:c>
      <x:c r="S150" s="10" t="n">
        <x:f>IF(COUNT(R150,Q150)=2,R150-Q150,"")</x:f>
        <x:v>-4</x:v>
      </x:c>
      <x:c r="T150" s="10" t="n">
        <x:v>-6</x:v>
      </x:c>
      <x:c r="U150" s="10" t="n">
        <x:v>14</x:v>
      </x:c>
      <x:c r="V150" s="10" t="n">
        <x:f>IF(COUNT(U150,T150)=2,U150-T150,"")</x:f>
        <x:v>20</x:v>
      </x:c>
      <x:c r="W150" s="10" t="n">
        <x:v>6</x:v>
      </x:c>
      <x:c r="X150" s="10" t="n">
        <x:f>IF(COUNT(AV150,AW150)=2,AV150+AW150,"")</x:f>
        <x:v>5</x:v>
      </x:c>
      <x:c r="Y150" s="10" t="n">
        <x:f>IF(COUNT(X150,W150)=2,X150-W150,"")</x:f>
        <x:v>-1</x:v>
      </x:c>
      <x:c r="Z150" s="10" t="n">
        <x:v>1</x:v>
      </x:c>
      <x:c r="AA150" s="10" t="n">
        <x:f>IF(COUNT(AX150,AY150)=2,AX150+AY150,"")</x:f>
        <x:v>0</x:v>
      </x:c>
      <x:c r="AB150" s="10" t="n">
        <x:f>IF(COUNT(AA150,Z150)=2,AA150-Z150,"")</x:f>
        <x:v>-1</x:v>
      </x:c>
      <x:c r="AC150" s="10" t="n">
        <x:v>99</x:v>
      </x:c>
      <x:c r="AD150" s="10" t="n">
        <x:v>158</x:v>
      </x:c>
      <x:c r="AE150" s="10" t="n">
        <x:f>IF(COUNT(AD150,AC150)=2,AD150-AC150,"")</x:f>
        <x:v>59</x:v>
      </x:c>
      <x:c r="AF150" s="10" t="n">
        <x:v>39</x:v>
      </x:c>
      <x:c r="AG150" s="10" t="n">
        <x:v>28</x:v>
      </x:c>
      <x:c r="AH150" s="10" t="n">
        <x:f>IF(COUNT(AG150,AF150)=2,AG150-AF150,"")</x:f>
        <x:v>-11</x:v>
      </x:c>
      <x:c r="AI150" s="10" t="n">
        <x:v>139</x:v>
      </x:c>
      <x:c r="AJ150" s="10" t="n">
        <x:v>134</x:v>
      </x:c>
      <x:c r="AK150" s="10" t="n">
        <x:f>IF(COUNT(AJ150,AI150)=2,AJ150-AI150,"")</x:f>
        <x:v>-5</x:v>
      </x:c>
      <x:c r="AL150" s="10" t="n">
        <x:v>29</x:v>
      </x:c>
      <x:c r="AM150" s="10" t="n">
        <x:v>29</x:v>
      </x:c>
      <x:c r="AN150" s="4" t="str">
        <x:v>D</x:v>
      </x:c>
      <x:c r="AO150" s="4" t="str">
        <x:v>D</x:v>
      </x:c>
      <x:c r="AP150" s="4" t="str">
        <x:v>CBJ</x:v>
      </x:c>
      <x:c r="AQ150" s="4" t="str">
        <x:v>CBJ</x:v>
      </x:c>
      <x:c r="AR150" s="4" t="n">
        <x:v>23.22</x:v>
      </x:c>
      <x:c r="AS150" s="4" t="n">
        <x:v>24.816666666666666</x:v>
      </x:c>
      <x:c r="AT150" s="4" t="n">
        <x:v>1.05</x:v>
      </x:c>
      <x:c r="AU150" s="4" t="n">
        <x:v>5.7</x:v>
      </x:c>
      <x:c r="AV150" s="10" t="n">
        <x:v>1</x:v>
      </x:c>
      <x:c r="AW150" s="10" t="n">
        <x:v>4</x:v>
      </x:c>
      <x:c r="AX150" s="10" t="n">
        <x:v>0</x:v>
      </x:c>
      <x:c r="AY150" s="10" t="n">
        <x:v>0</x:v>
      </x:c>
      <x:c r="AZ150" s="10" t="n">
        <x:v>1680</x:v>
      </x:c>
      <x:c r="BA150" s="10" t="n">
        <x:v>1715</x:v>
      </x:c>
      <x:c r="BB150" s="4" t="n">
        <x:v>49.5</x:v>
      </x:c>
      <x:c r="BC150" s="4" t="n">
        <x:v>-1.7</x:v>
      </x:c>
      <x:c r="BD150" s="10" t="n">
        <x:v>1194</x:v>
      </x:c>
      <x:c r="BE150" s="10" t="n">
        <x:v>1253</x:v>
      </x:c>
      <x:c r="BF150" s="4" t="n">
        <x:v>48.8</x:v>
      </x:c>
      <x:c r="BG150" s="4" t="n">
        <x:v>-2.5</x:v>
      </x:c>
      <x:c r="BH150" s="4" t="n">
        <x:v>10.6</x:v>
      </x:c>
      <x:c r="BI150" s="4" t="n">
        <x:v>90.7</x:v>
      </x:c>
      <x:c r="BJ150" s="4" t="n">
        <x:v>101.3</x:v>
      </x:c>
      <x:c r="BK150" s="4" t="n">
        <x:v>46.4</x:v>
      </x:c>
      <x:c r="BL150" s="4" t="n">
        <x:v>53.6</x:v>
      </x:c>
      <x:c r="BM150" s="4" t="n">
        <x:v>24.816666666666666</x:v>
      </x:c>
      <x:c r="BN150" s="4" t="n">
        <x:v>20.683333333333334</x:v>
      </x:c>
      <x:c r="BO150" s="10" t="n">
        <x:v>29</x:v>
      </x:c>
      <x:c r="BP150" s="10" t="n">
        <x:v>112</x:v>
      </x:c>
      <x:c r="BQ150" s="4" t="n">
        <x:v>-4.4</x:v>
      </x:c>
      <x:c r="BR150" s="10" t="n">
        <x:v>347</x:v>
      </x:c>
      <x:c r="BS150" s="4" t="n">
        <x:v>45.5</x:v>
      </x:c>
      <x:c r="BT150" s="10" t="n">
        <x:v>82</x:v>
      </x:c>
      <x:c r="BU150" s="4" t="str">
        <x:v>CBJ</x:v>
      </x:c>
      <x:c r="BV150" s="10" t="n">
        <x:v>340</x:v>
      </x:c>
      <x:c r="BW150" s="10" t="n">
        <x:v>318</x:v>
      </x:c>
      <x:c r="BX150" s="10" t="n">
        <x:v>833</x:v>
      </x:c>
      <x:c r="BY150" s="4" t="str">
        <x:v>Ivan Provorov</x:v>
      </x:c>
      <x:c r="BZ150" s="4" t="str">
        <x:v>Ivan Provorov</x:v>
      </x:c>
      <x:c r="CA150" s="4" t="str">
        <x:v>Ivan Provorov</x:v>
      </x:c>
      <x:c r="CB150" s="4" t="str">
        <x:v>provoiv01</x:v>
      </x:c>
    </x:row>
    <x:row r="151" ht="22" customHeight="1">
      <x:c r="A151" s="4" t="str">
        <x:v>J.J. Moser</x:v>
      </x:c>
      <x:c r="B151" s="4" t="str">
        <x:v>jjmoser</x:v>
      </x:c>
      <x:c r="C151" s="10" t="n">
        <x:v>1</x:v>
      </x:c>
      <x:c r="D151" s="10" t="n">
        <x:v>1</x:v>
      </x:c>
      <x:c r="E151" s="10" t="n">
        <x:v>1</x:v>
      </x:c>
      <x:c r="F151" s="4" t="n">
        <x:f>IF(COUNT(N151,Q151,T151,W151,Z151,AC151,AF151,AI151)=8,N151*Guide!$E$5+Q151*Guide!$E$6+T151*Guide!$E$7+W151*Guide!$E$8+Z151*Guide!$E$9+AC151*Guide!$E$10+AF151*Guide!$E$11+AI151*Guide!$E$12,"")</x:f>
        <x:v>205</x:v>
      </x:c>
      <x:c r="G151" s="4" t="n">
        <x:f>IF(COUNT(O151,R151,U151,X151,AA151,AD151,AG151,AJ151)=8,O151*Guide!$E$5+R151*Guide!$E$6+U151*Guide!$E$7+X151*Guide!$E$8+AA151*Guide!$E$9+AD151*Guide!$E$10+AG151*Guide!$E$11+AJ151*Guide!$E$12,"")</x:f>
        <x:v>253.25</x:v>
      </x:c>
      <x:c r="H151" s="4" t="n">
        <x:f>IF(COUNT(G151,F151)=2,G151-F151,"")</x:f>
        <x:v>48.25</x:v>
      </x:c>
      <x:c r="I151" s="4" t="n">
        <x:f>IF(AND(ISNUMBER(F151),K151&gt;0),F151/K151,"")</x:f>
        <x:v>2.5625</x:v>
      </x:c>
      <x:c r="J151" s="4" t="n">
        <x:f>IF(AND(ISNUMBER(G151),L151&gt;0),G151/L151,"")</x:f>
        <x:v>3.2056962025316458</x:v>
      </x:c>
      <x:c r="K151" s="10" t="n">
        <x:v>80</x:v>
      </x:c>
      <x:c r="L151" s="10" t="n">
        <x:v>79</x:v>
      </x:c>
      <x:c r="M151" s="10" t="n">
        <x:f>IF(COUNT(L151,K151)=2,L151-K151,"")</x:f>
        <x:v>-1</x:v>
      </x:c>
      <x:c r="N151" s="10" t="n">
        <x:v>5</x:v>
      </x:c>
      <x:c r="O151" s="10" t="n">
        <x:v>7</x:v>
      </x:c>
      <x:c r="P151" s="10" t="n">
        <x:f>IF(COUNT(O151,N151)=2,O151-N151,"")</x:f>
        <x:v>2</x:v>
      </x:c>
      <x:c r="Q151" s="10" t="n">
        <x:v>20</x:v>
      </x:c>
      <x:c r="R151" s="10" t="n">
        <x:v>22</x:v>
      </x:c>
      <x:c r="S151" s="10" t="n">
        <x:f>IF(COUNT(R151,Q151)=2,R151-Q151,"")</x:f>
        <x:v>2</x:v>
      </x:c>
      <x:c r="T151" s="10" t="n">
        <x:v>8</x:v>
      </x:c>
      <x:c r="U151" s="10" t="n">
        <x:v>41</x:v>
      </x:c>
      <x:c r="V151" s="10" t="n">
        <x:f>IF(COUNT(U151,T151)=2,U151-T151,"")</x:f>
        <x:v>33</x:v>
      </x:c>
      <x:c r="W151" s="10" t="n">
        <x:v>2</x:v>
      </x:c>
      <x:c r="X151" s="10" t="n">
        <x:f>IF(COUNT(AV151,AW151)=2,AV151+AW151,"")</x:f>
        <x:v>1</x:v>
      </x:c>
      <x:c r="Y151" s="10" t="n">
        <x:f>IF(COUNT(X151,W151)=2,X151-W151,"")</x:f>
        <x:v>-1</x:v>
      </x:c>
      <x:c r="Z151" s="10" t="n">
        <x:v>1</x:v>
      </x:c>
      <x:c r="AA151" s="10" t="n">
        <x:f>IF(COUNT(AX151,AY151)=2,AX151+AY151,"")</x:f>
        <x:v>2</x:v>
      </x:c>
      <x:c r="AB151" s="10" t="n">
        <x:f>IF(COUNT(AA151,Z151)=2,AA151-Z151,"")</x:f>
        <x:v>1</x:v>
      </x:c>
      <x:c r="AC151" s="10" t="n">
        <x:v>77</x:v>
      </x:c>
      <x:c r="AD151" s="10" t="n">
        <x:v>111</x:v>
      </x:c>
      <x:c r="AE151" s="10" t="n">
        <x:f>IF(COUNT(AD151,AC151)=2,AD151-AC151,"")</x:f>
        <x:v>34</x:v>
      </x:c>
      <x:c r="AF151" s="10" t="n">
        <x:v>56</x:v>
      </x:c>
      <x:c r="AG151" s="10" t="n">
        <x:v>61</x:v>
      </x:c>
      <x:c r="AH151" s="10" t="n">
        <x:f>IF(COUNT(AG151,AF151)=2,AG151-AF151,"")</x:f>
        <x:v>5</x:v>
      </x:c>
      <x:c r="AI151" s="10" t="n">
        <x:v>105</x:v>
      </x:c>
      <x:c r="AJ151" s="10" t="n">
        <x:v>91</x:v>
      </x:c>
      <x:c r="AK151" s="10" t="n">
        <x:f>IF(COUNT(AJ151,AI151)=2,AJ151-AI151,"")</x:f>
        <x:v>-14</x:v>
      </x:c>
      <x:c r="AL151" s="10" t="n">
        <x:v>25</x:v>
      </x:c>
      <x:c r="AM151" s="10" t="n">
        <x:v>25</x:v>
      </x:c>
      <x:c r="AN151" s="4" t="str">
        <x:v>D</x:v>
      </x:c>
      <x:c r="AO151" s="4" t="str">
        <x:v>D</x:v>
      </x:c>
      <x:c r="AP151" s="4" t="str">
        <x:v>TB</x:v>
      </x:c>
      <x:c r="AQ151" s="4" t="str">
        <x:v>TBL</x:v>
      </x:c>
      <x:c r="AR151" s="4" t="n">
        <x:v>19.23</x:v>
      </x:c>
      <x:c r="AS151" s="4" t="n">
        <x:v>21.566666666666666</x:v>
      </x:c>
      <x:c r="AT151" s="4" t="n">
        <x:v>0.49</x:v>
      </x:c>
      <x:c r="AU151" s="4" t="n">
        <x:v>6.3</x:v>
      </x:c>
      <x:c r="AV151" s="10" t="n">
        <x:v>0</x:v>
      </x:c>
      <x:c r="AW151" s="10" t="n">
        <x:v>1</x:v>
      </x:c>
      <x:c r="AX151" s="10" t="n">
        <x:v>0</x:v>
      </x:c>
      <x:c r="AY151" s="10" t="n">
        <x:v>2</x:v>
      </x:c>
      <x:c r="AZ151" s="10" t="n">
        <x:v>1644</x:v>
      </x:c>
      <x:c r="BA151" s="10" t="n">
        <x:v>1271</x:v>
      </x:c>
      <x:c r="BB151" s="4" t="n">
        <x:v>56.4</x:v>
      </x:c>
      <x:c r="BC151" s="4" t="n">
        <x:v>5</x:v>
      </x:c>
      <x:c r="BD151" s="10" t="n">
        <x:v>1219</x:v>
      </x:c>
      <x:c r="BE151" s="10" t="n">
        <x:v>983</x:v>
      </x:c>
      <x:c r="BF151" s="4" t="n">
        <x:v>55.4</x:v>
      </x:c>
      <x:c r="BG151" s="4" t="n">
        <x:v>4.6</x:v>
      </x:c>
      <x:c r="BH151" s="4" t="n">
        <x:v>12.2</x:v>
      </x:c>
      <x:c r="BI151" s="4" t="n">
        <x:v>91.5</x:v>
      </x:c>
      <x:c r="BJ151" s="4" t="n">
        <x:v>103.7</x:v>
      </x:c>
      <x:c r="BK151" s="4" t="n">
        <x:v>52.6</x:v>
      </x:c>
      <x:c r="BL151" s="4" t="n">
        <x:v>47.4</x:v>
      </x:c>
      <x:c r="BM151" s="4" t="n">
        <x:v>21.566666666666666</x:v>
      </x:c>
      <x:c r="BN151" s="4" t="n">
        <x:v>18.916666666666668</x:v>
      </x:c>
      <x:c r="BO151" s="10" t="n">
        <x:v>22</x:v>
      </x:c>
      <x:c r="BP151" s="10" t="n">
        <x:v>80</x:v>
      </x:c>
      <x:c r="BQ151" s="4" t="n">
        <x:v>10.2</x:v>
      </x:c>
      <x:c r="BR151" s="10" t="n">
        <x:v>249</x:v>
      </x:c>
      <x:c r="BS151" s="4" t="n">
        <x:v>44.6</x:v>
      </x:c>
      <x:c r="BT151" s="10" t="n">
        <x:v>79</x:v>
      </x:c>
      <x:c r="BU151" s="4" t="str">
        <x:v>TBL</x:v>
      </x:c>
      <x:c r="BV151" s="10" t="n">
        <x:v>434</x:v>
      </x:c>
      <x:c r="BW151" s="10" t="n">
        <x:v>344</x:v>
      </x:c>
      <x:c r="BX151" s="10" t="n">
        <x:v>717</x:v>
      </x:c>
      <x:c r="BY151" s="4" t="str">
        <x:v>J.J. Moser</x:v>
      </x:c>
      <x:c r="BZ151" s="4" t="str">
        <x:v>J.J. Moser</x:v>
      </x:c>
      <x:c r="CA151" s="4" t="str">
        <x:v>J.J. Moser</x:v>
      </x:c>
      <x:c r="CB151" s="4" t="str">
        <x:v>moserja01</x:v>
      </x:c>
    </x:row>
    <x:row r="152" ht="22" customHeight="1">
      <x:c r="A152" s="4" t="str">
        <x:v>J.T. Compher</x:v>
      </x:c>
      <x:c r="B152" s="4" t="str">
        <x:v>jtcompher</x:v>
      </x:c>
      <x:c r="C152" s="10" t="n">
        <x:v>1</x:v>
      </x:c>
      <x:c r="D152" s="10" t="n">
        <x:v>1</x:v>
      </x:c>
      <x:c r="E152" s="10" t="n">
        <x:v>1</x:v>
      </x:c>
      <x:c r="F152" s="4" t="n">
        <x:f>IF(COUNT(N152,Q152,T152,W152,Z152,AC152,AF152,AI152)=8,N152*Guide!$E$5+Q152*Guide!$E$6+T152*Guide!$E$7+W152*Guide!$E$8+Z152*Guide!$E$9+AC152*Guide!$E$10+AF152*Guide!$E$11+AI152*Guide!$E$12,"")</x:f>
        <x:v>206.5</x:v>
      </x:c>
      <x:c r="G152" s="4" t="n">
        <x:f>IF(COUNT(O152,R152,U152,X152,AA152,AD152,AG152,AJ152)=8,O152*Guide!$E$5+R152*Guide!$E$6+U152*Guide!$E$7+X152*Guide!$E$8+AA152*Guide!$E$9+AD152*Guide!$E$10+AG152*Guide!$E$11+AJ152*Guide!$E$12,"")</x:f>
        <x:v>152.75</x:v>
      </x:c>
      <x:c r="H152" s="4" t="n">
        <x:f>IF(COUNT(G152,F152)=2,G152-F152,"")</x:f>
        <x:v>-53.75</x:v>
      </x:c>
      <x:c r="I152" s="4" t="n">
        <x:f>IF(AND(ISNUMBER(F152),K152&gt;0),F152/K152,"")</x:f>
        <x:v>2.6818181818181817</x:v>
      </x:c>
      <x:c r="J152" s="4" t="n">
        <x:f>IF(AND(ISNUMBER(G152),L152&gt;0),G152/L152,"")</x:f>
        <x:v>1.8628048780487805</x:v>
      </x:c>
      <x:c r="K152" s="10" t="n">
        <x:v>77</x:v>
      </x:c>
      <x:c r="L152" s="10" t="n">
        <x:v>82</x:v>
      </x:c>
      <x:c r="M152" s="10" t="n">
        <x:f>IF(COUNT(L152,K152)=2,L152-K152,"")</x:f>
        <x:v>5</x:v>
      </x:c>
      <x:c r="N152" s="10" t="n">
        <x:v>14</x:v>
      </x:c>
      <x:c r="O152" s="10" t="n">
        <x:v>11</x:v>
      </x:c>
      <x:c r="P152" s="10" t="n">
        <x:f>IF(COUNT(O152,N152)=2,O152-N152,"")</x:f>
        <x:v>-3</x:v>
      </x:c>
      <x:c r="Q152" s="10" t="n">
        <x:v>22</x:v>
      </x:c>
      <x:c r="R152" s="10" t="n">
        <x:v>17</x:v>
      </x:c>
      <x:c r="S152" s="10" t="n">
        <x:f>IF(COUNT(R152,Q152)=2,R152-Q152,"")</x:f>
        <x:v>-5</x:v>
      </x:c>
      <x:c r="T152" s="10" t="n">
        <x:v>-6</x:v>
      </x:c>
      <x:c r="U152" s="10" t="n">
        <x:v>-13</x:v>
      </x:c>
      <x:c r="V152" s="10" t="n">
        <x:f>IF(COUNT(U152,T152)=2,U152-T152,"")</x:f>
        <x:v>-7</x:v>
      </x:c>
      <x:c r="W152" s="10" t="n">
        <x:v>8</x:v>
      </x:c>
      <x:c r="X152" s="10" t="n">
        <x:f>IF(COUNT(AV152,AW152)=2,AV152+AW152,"")</x:f>
        <x:v>1</x:v>
      </x:c>
      <x:c r="Y152" s="10" t="n">
        <x:f>IF(COUNT(X152,W152)=2,X152-W152,"")</x:f>
        <x:v>-7</x:v>
      </x:c>
      <x:c r="Z152" s="10" t="n">
        <x:v>1</x:v>
      </x:c>
      <x:c r="AA152" s="10" t="n">
        <x:f>IF(COUNT(AX152,AY152)=2,AX152+AY152,"")</x:f>
        <x:v>0</x:v>
      </x:c>
      <x:c r="AB152" s="10" t="n">
        <x:f>IF(COUNT(AA152,Z152)=2,AA152-Z152,"")</x:f>
        <x:v>-1</x:v>
      </x:c>
      <x:c r="AC152" s="10" t="n">
        <x:v>96</x:v>
      </x:c>
      <x:c r="AD152" s="10" t="n">
        <x:v>95</x:v>
      </x:c>
      <x:c r="AE152" s="10" t="n">
        <x:f>IF(COUNT(AD152,AC152)=2,AD152-AC152,"")</x:f>
        <x:v>-1</x:v>
      </x:c>
      <x:c r="AF152" s="10" t="n">
        <x:v>33</x:v>
      </x:c>
      <x:c r="AG152" s="10" t="n">
        <x:v>22</x:v>
      </x:c>
      <x:c r="AH152" s="10" t="n">
        <x:f>IF(COUNT(AG152,AF152)=2,AG152-AF152,"")</x:f>
        <x:v>-11</x:v>
      </x:c>
      <x:c r="AI152" s="10" t="n">
        <x:v>63</x:v>
      </x:c>
      <x:c r="AJ152" s="10" t="n">
        <x:v>54</x:v>
      </x:c>
      <x:c r="AK152" s="10" t="n">
        <x:f>IF(COUNT(AJ152,AI152)=2,AJ152-AI152,"")</x:f>
        <x:v>-9</x:v>
      </x:c>
      <x:c r="AL152" s="10" t="n">
        <x:v>30</x:v>
      </x:c>
      <x:c r="AM152" s="10" t="n">
        <x:v>30</x:v>
      </x:c>
      <x:c r="AN152" s="4" t="str">
        <x:v>C</x:v>
      </x:c>
      <x:c r="AO152" s="4" t="str">
        <x:v>LW</x:v>
      </x:c>
      <x:c r="AP152" s="4" t="str">
        <x:v>DET</x:v>
      </x:c>
      <x:c r="AQ152" s="4" t="str">
        <x:v>DET</x:v>
      </x:c>
      <x:c r="AR152" s="4" t="n">
        <x:v>17.09</x:v>
      </x:c>
      <x:c r="AS152" s="4" t="n">
        <x:v>15.666666666666666</x:v>
      </x:c>
      <x:c r="AT152" s="4" t="n">
        <x:v>1.55</x:v>
      </x:c>
      <x:c r="AU152" s="4" t="n">
        <x:v>11.6</x:v>
      </x:c>
      <x:c r="AV152" s="10" t="n">
        <x:v>0</x:v>
      </x:c>
      <x:c r="AW152" s="10" t="n">
        <x:v>1</x:v>
      </x:c>
      <x:c r="AX152" s="10" t="n">
        <x:v>0</x:v>
      </x:c>
      <x:c r="AY152" s="10" t="n">
        <x:v>0</x:v>
      </x:c>
      <x:c r="AZ152" s="10" t="n">
        <x:v>1003</x:v>
      </x:c>
      <x:c r="BA152" s="10" t="n">
        <x:v>1197</x:v>
      </x:c>
      <x:c r="BB152" s="4" t="n">
        <x:v>45.6</x:v>
      </x:c>
      <x:c r="BC152" s="4" t="n">
        <x:v>-4.6</x:v>
      </x:c>
      <x:c r="BD152" s="10" t="n">
        <x:v>730</x:v>
      </x:c>
      <x:c r="BE152" s="10" t="n">
        <x:v>841</x:v>
      </x:c>
      <x:c r="BF152" s="4" t="n">
        <x:v>46.5</x:v>
      </x:c>
      <x:c r="BG152" s="4" t="n">
        <x:v>-4.6</x:v>
      </x:c>
      <x:c r="BH152" s="4" t="n">
        <x:v>9.6</x:v>
      </x:c>
      <x:c r="BI152" s="4" t="n">
        <x:v>88.7</x:v>
      </x:c>
      <x:c r="BJ152" s="4" t="n">
        <x:v>98.3</x:v>
      </x:c>
      <x:c r="BK152" s="4" t="n">
        <x:v>42.5</x:v>
      </x:c>
      <x:c r="BL152" s="4" t="n">
        <x:v>57.5</x:v>
      </x:c>
      <x:c r="BM152" s="4" t="n">
        <x:v>15.666666666666666</x:v>
      </x:c>
      <x:c r="BN152" s="4" t="n">
        <x:v>13.466666666666667</x:v>
      </x:c>
      <x:c r="BO152" s="10" t="n">
        <x:v>11</x:v>
      </x:c>
      <x:c r="BP152" s="10" t="n">
        <x:v>44</x:v>
      </x:c>
      <x:c r="BQ152" s="4" t="n">
        <x:v>-5</x:v>
      </x:c>
      <x:c r="BR152" s="10" t="n">
        <x:v>178</x:v>
      </x:c>
      <x:c r="BS152" s="4" t="n">
        <x:v>53.4</x:v>
      </x:c>
      <x:c r="BT152" s="10" t="n">
        <x:v>82</x:v>
      </x:c>
      <x:c r="BU152" s="4" t="str">
        <x:v>DET</x:v>
      </x:c>
      <x:c r="BV152" s="10" t="n">
        <x:v>298</x:v>
      </x:c>
      <x:c r="BW152" s="10" t="n">
        <x:v>352</x:v>
      </x:c>
      <x:c r="BX152" s="10" t="n">
        <x:v>168</x:v>
      </x:c>
      <x:c r="BY152" s="4" t="str">
        <x:v>J.T. Compher</x:v>
      </x:c>
      <x:c r="BZ152" s="4" t="str">
        <x:v>J.T. Compher</x:v>
      </x:c>
      <x:c r="CA152" s="4" t="str">
        <x:v>J.T. Compher</x:v>
      </x:c>
      <x:c r="CB152" s="4" t="str">
        <x:v>comphj.01</x:v>
      </x:c>
    </x:row>
    <x:row r="153" ht="22" customHeight="1">
      <x:c r="A153" s="4" t="str">
        <x:v>J.T. Miller</x:v>
      </x:c>
      <x:c r="B153" s="4" t="str">
        <x:v>jtmiller</x:v>
      </x:c>
      <x:c r="C153" s="10" t="n">
        <x:v>1</x:v>
      </x:c>
      <x:c r="D153" s="10" t="n">
        <x:v>1</x:v>
      </x:c>
      <x:c r="E153" s="10" t="n">
        <x:v>1</x:v>
      </x:c>
      <x:c r="F153" s="4" t="n">
        <x:f>IF(COUNT(N153,Q153,T153,W153,Z153,AC153,AF153,AI153)=8,N153*Guide!$E$5+Q153*Guide!$E$6+T153*Guide!$E$7+W153*Guide!$E$8+Z153*Guide!$E$9+AC153*Guide!$E$10+AF153*Guide!$E$11+AI153*Guide!$E$12,"")</x:f>
        <x:v>386.25</x:v>
      </x:c>
      <x:c r="G153" s="4" t="n">
        <x:f>IF(COUNT(O153,R153,U153,X153,AA153,AD153,AG153,AJ153)=8,O153*Guide!$E$5+R153*Guide!$E$6+U153*Guide!$E$7+X153*Guide!$E$8+AA153*Guide!$E$9+AD153*Guide!$E$10+AG153*Guide!$E$11+AJ153*Guide!$E$12,"")</x:f>
        <x:v>260.25</x:v>
      </x:c>
      <x:c r="H153" s="4" t="n">
        <x:f>IF(COUNT(G153,F153)=2,G153-F153,"")</x:f>
        <x:v>-126</x:v>
      </x:c>
      <x:c r="I153" s="4" t="n">
        <x:f>IF(AND(ISNUMBER(F153),K153&gt;0),F153/K153,"")</x:f>
        <x:v>5.016233766233766</x:v>
      </x:c>
      <x:c r="J153" s="4" t="n">
        <x:f>IF(AND(ISNUMBER(G153),L153&gt;0),G153/L153,"")</x:f>
        <x:v>3.827205882352941</x:v>
      </x:c>
      <x:c r="K153" s="10" t="n">
        <x:v>77</x:v>
      </x:c>
      <x:c r="L153" s="10" t="n">
        <x:v>68</x:v>
      </x:c>
      <x:c r="M153" s="10" t="n">
        <x:f>IF(COUNT(L153,K153)=2,L153-K153,"")</x:f>
        <x:v>-9</x:v>
      </x:c>
      <x:c r="N153" s="10" t="n">
        <x:v>24</x:v>
      </x:c>
      <x:c r="O153" s="10" t="n">
        <x:v>17</x:v>
      </x:c>
      <x:c r="P153" s="10" t="n">
        <x:f>IF(COUNT(O153,N153)=2,O153-N153,"")</x:f>
        <x:v>-7</x:v>
      </x:c>
      <x:c r="Q153" s="10" t="n">
        <x:v>46</x:v>
      </x:c>
      <x:c r="R153" s="10" t="n">
        <x:v>36</x:v>
      </x:c>
      <x:c r="S153" s="10" t="n">
        <x:f>IF(COUNT(R153,Q153)=2,R153-Q153,"")</x:f>
        <x:v>-10</x:v>
      </x:c>
      <x:c r="T153" s="10" t="n">
        <x:v>2</x:v>
      </x:c>
      <x:c r="U153" s="10" t="n">
        <x:v>-30</x:v>
      </x:c>
      <x:c r="V153" s="10" t="n">
        <x:f>IF(COUNT(U153,T153)=2,U153-T153,"")</x:f>
        <x:v>-32</x:v>
      </x:c>
      <x:c r="W153" s="10" t="n">
        <x:v>24</x:v>
      </x:c>
      <x:c r="X153" s="10" t="n">
        <x:f>IF(COUNT(AV153,AW153)=2,AV153+AW153,"")</x:f>
        <x:v>19</x:v>
      </x:c>
      <x:c r="Y153" s="10" t="n">
        <x:f>IF(COUNT(X153,W153)=2,X153-W153,"")</x:f>
        <x:v>-5</x:v>
      </x:c>
      <x:c r="Z153" s="10" t="n">
        <x:v>2</x:v>
      </x:c>
      <x:c r="AA153" s="10" t="n">
        <x:f>IF(COUNT(AX153,AY153)=2,AX153+AY153,"")</x:f>
        <x:v>1</x:v>
      </x:c>
      <x:c r="AB153" s="10" t="n">
        <x:f>IF(COUNT(AA153,Z153)=2,AA153-Z153,"")</x:f>
        <x:v>-1</x:v>
      </x:c>
      <x:c r="AC153" s="10" t="n">
        <x:v>146</x:v>
      </x:c>
      <x:c r="AD153" s="10" t="n">
        <x:v>144</x:v>
      </x:c>
      <x:c r="AE153" s="10" t="n">
        <x:f>IF(COUNT(AD153,AC153)=2,AD153-AC153,"")</x:f>
        <x:v>-2</x:v>
      </x:c>
      <x:c r="AF153" s="10" t="n">
        <x:v>179</x:v>
      </x:c>
      <x:c r="AG153" s="10" t="n">
        <x:v>123</x:v>
      </x:c>
      <x:c r="AH153" s="10" t="n">
        <x:f>IF(COUNT(AG153,AF153)=2,AG153-AF153,"")</x:f>
        <x:v>-56</x:v>
      </x:c>
      <x:c r="AI153" s="10" t="n">
        <x:v>52</x:v>
      </x:c>
      <x:c r="AJ153" s="10" t="n">
        <x:v>34</x:v>
      </x:c>
      <x:c r="AK153" s="10" t="n">
        <x:f>IF(COUNT(AJ153,AI153)=2,AJ153-AI153,"")</x:f>
        <x:v>-18</x:v>
      </x:c>
      <x:c r="AL153" s="10" t="n">
        <x:v>32</x:v>
      </x:c>
      <x:c r="AM153" s="10" t="n">
        <x:v>32</x:v>
      </x:c>
      <x:c r="AN153" s="4" t="str">
        <x:v>C,RW</x:v>
      </x:c>
      <x:c r="AO153" s="4" t="str">
        <x:v>C</x:v>
      </x:c>
      <x:c r="AP153" s="4" t="str">
        <x:v>NYR</x:v>
      </x:c>
      <x:c r="AQ153" s="4" t="str">
        <x:v>NYR</x:v>
      </x:c>
      <x:c r="AR153" s="4" t="n">
        <x:v>18.05</x:v>
      </x:c>
      <x:c r="AS153" s="4" t="n">
        <x:v>20.15</x:v>
      </x:c>
      <x:c r="AT153" s="4" t="n">
        <x:v>2.9</x:v>
      </x:c>
      <x:c r="AU153" s="4" t="n">
        <x:v>11.8</x:v>
      </x:c>
      <x:c r="AV153" s="10" t="n">
        <x:v>6</x:v>
      </x:c>
      <x:c r="AW153" s="10" t="n">
        <x:v>13</x:v>
      </x:c>
      <x:c r="AX153" s="10" t="n">
        <x:v>0</x:v>
      </x:c>
      <x:c r="AY153" s="10" t="n">
        <x:v>1</x:v>
      </x:c>
      <x:c r="AZ153" s="10" t="n">
        <x:v>1052</x:v>
      </x:c>
      <x:c r="BA153" s="10" t="n">
        <x:v>1018</x:v>
      </x:c>
      <x:c r="BB153" s="4" t="n">
        <x:v>50.8</x:v>
      </x:c>
      <x:c r="BC153" s="4" t="n">
        <x:v>1.4</x:v>
      </x:c>
      <x:c r="BD153" s="10" t="n">
        <x:v>747</x:v>
      </x:c>
      <x:c r="BE153" s="10" t="n">
        <x:v>747</x:v>
      </x:c>
      <x:c r="BF153" s="4" t="n">
        <x:v>50</x:v>
      </x:c>
      <x:c r="BG153" s="4" t="n">
        <x:v>1.3</x:v>
      </x:c>
      <x:c r="BH153" s="4" t="n">
        <x:v>10.5</x:v>
      </x:c>
      <x:c r="BI153" s="4" t="n">
        <x:v>84.5</x:v>
      </x:c>
      <x:c r="BJ153" s="4" t="n">
        <x:v>95</x:v>
      </x:c>
      <x:c r="BK153" s="4" t="n">
        <x:v>51.8</x:v>
      </x:c>
      <x:c r="BL153" s="4" t="n">
        <x:v>48.2</x:v>
      </x:c>
      <x:c r="BM153" s="4" t="n">
        <x:v>20.15</x:v>
      </x:c>
      <x:c r="BN153" s="4" t="n">
        <x:v>15.183333333333334</x:v>
      </x:c>
      <x:c r="BO153" s="10" t="n">
        <x:v>15</x:v>
      </x:c>
      <x:c r="BP153" s="10" t="n">
        <x:v>84</x:v>
      </x:c>
      <x:c r="BQ153" s="4" t="n">
        <x:v>2.7</x:v>
      </x:c>
      <x:c r="BR153" s="10" t="n">
        <x:v>279</x:v>
      </x:c>
      <x:c r="BS153" s="4" t="n">
        <x:v>51.6</x:v>
      </x:c>
      <x:c r="BT153" s="10" t="n">
        <x:v>68</x:v>
      </x:c>
      <x:c r="BU153" s="4" t="str">
        <x:v>NYR</x:v>
      </x:c>
      <x:c r="BV153" s="10" t="n">
        <x:v>47</x:v>
      </x:c>
      <x:c r="BW153" s="10" t="n">
        <x:v>125</x:v>
      </x:c>
      <x:c r="BX153" s="10" t="n">
        <x:v>699</x:v>
      </x:c>
      <x:c r="BY153" s="4" t="str">
        <x:v>J.T. Miller</x:v>
      </x:c>
      <x:c r="BZ153" s="4" t="str">
        <x:v>J.T. Miller</x:v>
      </x:c>
      <x:c r="CA153" s="4" t="str">
        <x:v>J.T. Miller</x:v>
      </x:c>
      <x:c r="CB153" s="4" t="str">
        <x:v>millejt01</x:v>
      </x:c>
    </x:row>
    <x:row r="154" ht="22" customHeight="1">
      <x:c r="A154" s="4" t="str">
        <x:v>Jack Drury</x:v>
      </x:c>
      <x:c r="B154" s="4" t="str">
        <x:v>jackdrury</x:v>
      </x:c>
      <x:c r="C154" s="10" t="n">
        <x:v>1</x:v>
      </x:c>
      <x:c r="D154" s="10" t="n">
        <x:v>1</x:v>
      </x:c>
      <x:c r="E154" s="10" t="n">
        <x:v>1</x:v>
      </x:c>
      <x:c r="F154" s="4" t="n">
        <x:f>IF(COUNT(N154,Q154,T154,W154,Z154,AC154,AF154,AI154)=8,N154*Guide!$E$5+Q154*Guide!$E$6+T154*Guide!$E$7+W154*Guide!$E$8+Z154*Guide!$E$9+AC154*Guide!$E$10+AF154*Guide!$E$11+AI154*Guide!$E$12,"")</x:f>
        <x:v>182.5</x:v>
      </x:c>
      <x:c r="G154" s="4" t="n">
        <x:f>IF(COUNT(O154,R154,U154,X154,AA154,AD154,AG154,AJ154)=8,O154*Guide!$E$5+R154*Guide!$E$6+U154*Guide!$E$7+X154*Guide!$E$8+AA154*Guide!$E$9+AD154*Guide!$E$10+AG154*Guide!$E$11+AJ154*Guide!$E$12,"")</x:f>
        <x:v>184.25</x:v>
      </x:c>
      <x:c r="H154" s="4" t="n">
        <x:f>IF(COUNT(G154,F154)=2,G154-F154,"")</x:f>
        <x:v>1.75</x:v>
      </x:c>
      <x:c r="I154" s="4" t="n">
        <x:f>IF(AND(ISNUMBER(F154),K154&gt;0),F154/K154,"")</x:f>
        <x:v>2.33974358974359</x:v>
      </x:c>
      <x:c r="J154" s="4" t="n">
        <x:f>IF(AND(ISNUMBER(G154),L154&gt;0),G154/L154,"")</x:f>
        <x:v>2.2469512195121952</x:v>
      </x:c>
      <x:c r="K154" s="10" t="n">
        <x:v>78</x:v>
      </x:c>
      <x:c r="L154" s="10" t="n">
        <x:v>82</x:v>
      </x:c>
      <x:c r="M154" s="10" t="n">
        <x:f>IF(COUNT(L154,K154)=2,L154-K154,"")</x:f>
        <x:v>4</x:v>
      </x:c>
      <x:c r="N154" s="10" t="n">
        <x:v>11</x:v>
      </x:c>
      <x:c r="O154" s="10" t="n">
        <x:v>10</x:v>
      </x:c>
      <x:c r="P154" s="10" t="n">
        <x:f>IF(COUNT(O154,N154)=2,O154-N154,"")</x:f>
        <x:v>-1</x:v>
      </x:c>
      <x:c r="Q154" s="10" t="n">
        <x:v>17</x:v>
      </x:c>
      <x:c r="R154" s="10" t="n">
        <x:v>17</x:v>
      </x:c>
      <x:c r="S154" s="10" t="n">
        <x:f>IF(COUNT(R154,Q154)=2,R154-Q154,"")</x:f>
        <x:v>0</x:v>
      </x:c>
      <x:c r="T154" s="10" t="n">
        <x:v>4</x:v>
      </x:c>
      <x:c r="U154" s="10" t="n">
        <x:v>15</x:v>
      </x:c>
      <x:c r="V154" s="10" t="n">
        <x:f>IF(COUNT(U154,T154)=2,U154-T154,"")</x:f>
        <x:v>11</x:v>
      </x:c>
      <x:c r="W154" s="10" t="n">
        <x:v>6</x:v>
      </x:c>
      <x:c r="X154" s="10" t="n">
        <x:f>IF(COUNT(AV154,AW154)=2,AV154+AW154,"")</x:f>
        <x:v>0</x:v>
      </x:c>
      <x:c r="Y154" s="10" t="n">
        <x:f>IF(COUNT(X154,W154)=2,X154-W154,"")</x:f>
        <x:v>-6</x:v>
      </x:c>
      <x:c r="Z154" s="10" t="n">
        <x:v>1</x:v>
      </x:c>
      <x:c r="AA154" s="10" t="n">
        <x:f>IF(COUNT(AX154,AY154)=2,AX154+AY154,"")</x:f>
        <x:v>0</x:v>
      </x:c>
      <x:c r="AB154" s="10" t="n">
        <x:f>IF(COUNT(AA154,Z154)=2,AA154-Z154,"")</x:f>
        <x:v>-1</x:v>
      </x:c>
      <x:c r="AC154" s="10" t="n">
        <x:v>115</x:v>
      </x:c>
      <x:c r="AD154" s="10" t="n">
        <x:v>99</x:v>
      </x:c>
      <x:c r="AE154" s="10" t="n">
        <x:f>IF(COUNT(AD154,AC154)=2,AD154-AC154,"")</x:f>
        <x:v>-16</x:v>
      </x:c>
      <x:c r="AF154" s="10" t="n">
        <x:v>45</x:v>
      </x:c>
      <x:c r="AG154" s="10" t="n">
        <x:v>46</x:v>
      </x:c>
      <x:c r="AH154" s="10" t="n">
        <x:f>IF(COUNT(AG154,AF154)=2,AG154-AF154,"")</x:f>
        <x:v>1</x:v>
      </x:c>
      <x:c r="AI154" s="10" t="n">
        <x:v>46</x:v>
      </x:c>
      <x:c r="AJ154" s="10" t="n">
        <x:v>56</x:v>
      </x:c>
      <x:c r="AK154" s="10" t="n">
        <x:f>IF(COUNT(AJ154,AI154)=2,AJ154-AI154,"")</x:f>
        <x:v>10</x:v>
      </x:c>
      <x:c r="AL154" s="10" t="n">
        <x:v>25</x:v>
      </x:c>
      <x:c r="AM154" s="10" t="n">
        <x:v>25</x:v>
      </x:c>
      <x:c r="AN154" s="4" t="str">
        <x:v>C</x:v>
      </x:c>
      <x:c r="AO154" s="4" t="str">
        <x:v>C</x:v>
      </x:c>
      <x:c r="AP154" s="4" t="str">
        <x:v>COL</x:v>
      </x:c>
      <x:c r="AQ154" s="4" t="str">
        <x:v>COL</x:v>
      </x:c>
      <x:c r="AR154" s="4" t="n">
        <x:v>12.879999999999999</x:v>
      </x:c>
      <x:c r="AS154" s="4" t="n">
        <x:v>14.483333333333333</x:v>
      </x:c>
      <x:c r="AT154" s="4" t="n">
        <x:v>1.01</x:v>
      </x:c>
      <x:c r="AU154" s="4" t="n">
        <x:v>10.1</x:v>
      </x:c>
      <x:c r="AV154" s="10" t="n">
        <x:v>0</x:v>
      </x:c>
      <x:c r="AW154" s="10" t="n">
        <x:v>0</x:v>
      </x:c>
      <x:c r="AX154" s="10" t="n">
        <x:v>0</x:v>
      </x:c>
      <x:c r="AY154" s="10" t="n">
        <x:v>0</x:v>
      </x:c>
      <x:c r="AZ154" s="10" t="n">
        <x:v>1132</x:v>
      </x:c>
      <x:c r="BA154" s="10" t="n">
        <x:v>831</x:v>
      </x:c>
      <x:c r="BB154" s="4" t="n">
        <x:v>57.7</x:v>
      </x:c>
      <x:c r="BC154" s="4" t="n">
        <x:v>1.8</x:v>
      </x:c>
      <x:c r="BD154" s="10" t="n">
        <x:v>787</x:v>
      </x:c>
      <x:c r="BE154" s="10" t="n">
        <x:v>594</x:v>
      </x:c>
      <x:c r="BF154" s="4" t="n">
        <x:v>57</x:v>
      </x:c>
      <x:c r="BG154" s="4" t="n">
        <x:v>1.7</x:v>
      </x:c>
      <x:c r="BH154" s="4" t="n">
        <x:v>8.8</x:v>
      </x:c>
      <x:c r="BI154" s="4" t="n">
        <x:v>91.7</x:v>
      </x:c>
      <x:c r="BJ154" s="4" t="n">
        <x:v>100.5</x:v>
      </x:c>
      <x:c r="BK154" s="4" t="n">
        <x:v>44.2</x:v>
      </x:c>
      <x:c r="BL154" s="4" t="n">
        <x:v>55.8</x:v>
      </x:c>
      <x:c r="BM154" s="4" t="n">
        <x:v>14.483333333333333</x:v>
      </x:c>
      <x:c r="BN154" s="4" t="n">
        <x:v>12.25</x:v>
      </x:c>
      <x:c r="BO154" s="10" t="n">
        <x:v>23</x:v>
      </x:c>
      <x:c r="BP154" s="10" t="n">
        <x:v>44</x:v>
      </x:c>
      <x:c r="BQ154" s="4" t="n">
        <x:v>13.2</x:v>
      </x:c>
      <x:c r="BR154" s="10" t="n">
        <x:v>198</x:v>
      </x:c>
      <x:c r="BS154" s="4" t="n">
        <x:v>50</x:v>
      </x:c>
      <x:c r="BT154" s="10" t="n">
        <x:v>82</x:v>
      </x:c>
      <x:c r="BU154" s="4" t="str">
        <x:v>COL</x:v>
      </x:c>
      <x:c r="BV154" s="10" t="n">
        <x:v>401</x:v>
      </x:c>
      <x:c r="BW154" s="10" t="n">
        <x:v>362</x:v>
      </x:c>
      <x:c r="BX154" s="10" t="n">
        <x:v>240</x:v>
      </x:c>
      <x:c r="BY154" s="4" t="str">
        <x:v>Jack Drury</x:v>
      </x:c>
      <x:c r="BZ154" s="4" t="str">
        <x:v>Jack Drury</x:v>
      </x:c>
      <x:c r="CA154" s="4" t="str">
        <x:v>Jack Drury</x:v>
      </x:c>
      <x:c r="CB154" s="4" t="str">
        <x:v>druryja01</x:v>
      </x:c>
    </x:row>
    <x:row r="155" ht="22" customHeight="1">
      <x:c r="A155" s="4" t="str">
        <x:v>Jack Eichel</x:v>
      </x:c>
      <x:c r="B155" s="4" t="str">
        <x:v>jackeichel</x:v>
      </x:c>
      <x:c r="C155" s="10" t="n">
        <x:v>1</x:v>
      </x:c>
      <x:c r="D155" s="10" t="n">
        <x:v>1</x:v>
      </x:c>
      <x:c r="E155" s="10" t="n">
        <x:v>1</x:v>
      </x:c>
      <x:c r="F155" s="4" t="n">
        <x:f>IF(COUNT(N155,Q155,T155,W155,Z155,AC155,AF155,AI155)=8,N155*Guide!$E$5+Q155*Guide!$E$6+T155*Guide!$E$7+W155*Guide!$E$8+Z155*Guide!$E$9+AC155*Guide!$E$10+AF155*Guide!$E$11+AI155*Guide!$E$12,"")</x:f>
        <x:v>421.25</x:v>
      </x:c>
      <x:c r="G155" s="4" t="n">
        <x:f>IF(COUNT(O155,R155,U155,X155,AA155,AD155,AG155,AJ155)=8,O155*Guide!$E$5+R155*Guide!$E$6+U155*Guide!$E$7+X155*Guide!$E$8+AA155*Guide!$E$9+AD155*Guide!$E$10+AG155*Guide!$E$11+AJ155*Guide!$E$12,"")</x:f>
        <x:v>460.75</x:v>
      </x:c>
      <x:c r="H155" s="4" t="n">
        <x:f>IF(COUNT(G155,F155)=2,G155-F155,"")</x:f>
        <x:v>39.5</x:v>
      </x:c>
      <x:c r="I155" s="4" t="n">
        <x:f>IF(AND(ISNUMBER(F155),K155&gt;0),F155/K155,"")</x:f>
        <x:v>5.470779220779221</x:v>
      </x:c>
      <x:c r="J155" s="4" t="n">
        <x:f>IF(AND(ISNUMBER(G155),L155&gt;0),G155/L155,"")</x:f>
        <x:v>6.226351351351352</x:v>
      </x:c>
      <x:c r="K155" s="10" t="n">
        <x:v>77</x:v>
      </x:c>
      <x:c r="L155" s="10" t="n">
        <x:v>74</x:v>
      </x:c>
      <x:c r="M155" s="10" t="n">
        <x:f>IF(COUNT(L155,K155)=2,L155-K155,"")</x:f>
        <x:v>-3</x:v>
      </x:c>
      <x:c r="N155" s="10" t="n">
        <x:v>30</x:v>
      </x:c>
      <x:c r="O155" s="10" t="n">
        <x:v>27</x:v>
      </x:c>
      <x:c r="P155" s="10" t="n">
        <x:f>IF(COUNT(O155,N155)=2,O155-N155,"")</x:f>
        <x:v>-3</x:v>
      </x:c>
      <x:c r="Q155" s="10" t="n">
        <x:v>48</x:v>
      </x:c>
      <x:c r="R155" s="10" t="n">
        <x:v>63</x:v>
      </x:c>
      <x:c r="S155" s="10" t="n">
        <x:f>IF(COUNT(R155,Q155)=2,R155-Q155,"")</x:f>
        <x:v>15</x:v>
      </x:c>
      <x:c r="T155" s="10" t="n">
        <x:v>13</x:v>
      </x:c>
      <x:c r="U155" s="10" t="n">
        <x:v>23</x:v>
      </x:c>
      <x:c r="V155" s="10" t="n">
        <x:f>IF(COUNT(U155,T155)=2,U155-T155,"")</x:f>
        <x:v>10</x:v>
      </x:c>
      <x:c r="W155" s="10" t="n">
        <x:v>23</x:v>
      </x:c>
      <x:c r="X155" s="10" t="n">
        <x:f>IF(COUNT(AV155,AW155)=2,AV155+AW155,"")</x:f>
        <x:v>28</x:v>
      </x:c>
      <x:c r="Y155" s="10" t="n">
        <x:f>IF(COUNT(X155,W155)=2,X155-W155,"")</x:f>
        <x:v>5</x:v>
      </x:c>
      <x:c r="Z155" s="10" t="n">
        <x:v>2</x:v>
      </x:c>
      <x:c r="AA155" s="10" t="n">
        <x:f>IF(COUNT(AX155,AY155)=2,AX155+AY155,"")</x:f>
        <x:v>3</x:v>
      </x:c>
      <x:c r="AB155" s="10" t="n">
        <x:f>IF(COUNT(AA155,Z155)=2,AA155-Z155,"")</x:f>
        <x:v>1</x:v>
      </x:c>
      <x:c r="AC155" s="10" t="n">
        <x:v>238</x:v>
      </x:c>
      <x:c r="AD155" s="10" t="n">
        <x:v>260</x:v>
      </x:c>
      <x:c r="AE155" s="10" t="n">
        <x:f>IF(COUNT(AD155,AC155)=2,AD155-AC155,"")</x:f>
        <x:v>22</x:v>
      </x:c>
      <x:c r="AF155" s="10" t="n">
        <x:v>31</x:v>
      </x:c>
      <x:c r="AG155" s="10" t="n">
        <x:v>35</x:v>
      </x:c>
      <x:c r="AH155" s="10" t="n">
        <x:f>IF(COUNT(AG155,AF155)=2,AG155-AF155,"")</x:f>
        <x:v>4</x:v>
      </x:c>
      <x:c r="AI155" s="10" t="n">
        <x:v>64</x:v>
      </x:c>
      <x:c r="AJ155" s="10" t="n">
        <x:v>40</x:v>
      </x:c>
      <x:c r="AK155" s="10" t="n">
        <x:f>IF(COUNT(AJ155,AI155)=2,AJ155-AI155,"")</x:f>
        <x:v>-24</x:v>
      </x:c>
      <x:c r="AL155" s="10" t="n">
        <x:v>29</x:v>
      </x:c>
      <x:c r="AM155" s="10" t="n">
        <x:v>29</x:v>
      </x:c>
      <x:c r="AN155" s="4" t="str">
        <x:v>C</x:v>
      </x:c>
      <x:c r="AO155" s="4" t="str">
        <x:v>C</x:v>
      </x:c>
      <x:c r="AP155" s="4" t="str">
        <x:v>VGK</x:v>
      </x:c>
      <x:c r="AQ155" s="4" t="str">
        <x:v>VEG</x:v>
      </x:c>
      <x:c r="AR155" s="4" t="n">
        <x:v>20.25</x:v>
      </x:c>
      <x:c r="AS155" s="4" t="n">
        <x:v>21.2</x:v>
      </x:c>
      <x:c r="AT155" s="4" t="n">
        <x:v>2.79</x:v>
      </x:c>
      <x:c r="AU155" s="4" t="n">
        <x:v>10.4</x:v>
      </x:c>
      <x:c r="AV155" s="10" t="n">
        <x:v>1</x:v>
      </x:c>
      <x:c r="AW155" s="10" t="n">
        <x:v>27</x:v>
      </x:c>
      <x:c r="AX155" s="10" t="n">
        <x:v>1</x:v>
      </x:c>
      <x:c r="AY155" s="10" t="n">
        <x:v>2</x:v>
      </x:c>
      <x:c r="AZ155" s="10" t="n">
        <x:v>1298</x:v>
      </x:c>
      <x:c r="BA155" s="10" t="n">
        <x:v>1109</x:v>
      </x:c>
      <x:c r="BB155" s="4" t="n">
        <x:v>53.9</x:v>
      </x:c>
      <x:c r="BC155" s="4" t="n">
        <x:v>1.9</x:v>
      </x:c>
      <x:c r="BD155" s="10" t="n">
        <x:v>958</x:v>
      </x:c>
      <x:c r="BE155" s="10" t="n">
        <x:v>803</x:v>
      </x:c>
      <x:c r="BF155" s="4" t="n">
        <x:v>54.4</x:v>
      </x:c>
      <x:c r="BG155" s="4" t="n">
        <x:v>2.5</x:v>
      </x:c>
      <x:c r="BH155" s="4" t="n">
        <x:v>13.4</x:v>
      </x:c>
      <x:c r="BI155" s="4" t="n">
        <x:v>87.3</x:v>
      </x:c>
      <x:c r="BJ155" s="4" t="n">
        <x:v>100.8</x:v>
      </x:c>
      <x:c r="BK155" s="4" t="n">
        <x:v>62</x:v>
      </x:c>
      <x:c r="BL155" s="4" t="n">
        <x:v>38</x:v>
      </x:c>
      <x:c r="BM155" s="4" t="n">
        <x:v>21.2</x:v>
      </x:c>
      <x:c r="BN155" s="4" t="n">
        <x:v>16.216666666666665</x:v>
      </x:c>
      <x:c r="BO155" s="10" t="n">
        <x:v>28</x:v>
      </x:c>
      <x:c r="BP155" s="10" t="n">
        <x:v>120</x:v>
      </x:c>
      <x:c r="BQ155" s="4" t="n">
        <x:v>20</x:v>
      </x:c>
      <x:c r="BR155" s="10" t="n">
        <x:v>471</x:v>
      </x:c>
      <x:c r="BS155" s="4" t="n">
        <x:v>55.2</x:v>
      </x:c>
      <x:c r="BT155" s="10" t="n">
        <x:v>74</x:v>
      </x:c>
      <x:c r="BU155" s="4" t="str">
        <x:v>VEG</x:v>
      </x:c>
      <x:c r="BV155" s="10" t="n">
        <x:v>26</x:v>
      </x:c>
      <x:c r="BW155" s="10" t="n">
        <x:v>15</x:v>
      </x:c>
      <x:c r="BX155" s="10" t="n">
        <x:v>260</x:v>
      </x:c>
      <x:c r="BY155" s="4" t="str">
        <x:v>Jack Eichel</x:v>
      </x:c>
      <x:c r="BZ155" s="4" t="str">
        <x:v>Jack Eichel</x:v>
      </x:c>
      <x:c r="CA155" s="4" t="str">
        <x:v>Jack Eichel</x:v>
      </x:c>
      <x:c r="CB155" s="4" t="str">
        <x:v>eicheja01</x:v>
      </x:c>
    </x:row>
    <x:row r="156" ht="22" customHeight="1">
      <x:c r="A156" s="4" t="str">
        <x:v>Jack Hughes</x:v>
      </x:c>
      <x:c r="B156" s="4" t="str">
        <x:v>jackhughes</x:v>
      </x:c>
      <x:c r="C156" s="10" t="n">
        <x:v>1</x:v>
      </x:c>
      <x:c r="D156" s="10" t="n">
        <x:v>1</x:v>
      </x:c>
      <x:c r="E156" s="10" t="n">
        <x:v>1</x:v>
      </x:c>
      <x:c r="F156" s="4" t="n">
        <x:f>IF(COUNT(N156,Q156,T156,W156,Z156,AC156,AF156,AI156)=8,N156*Guide!$E$5+Q156*Guide!$E$6+T156*Guide!$E$7+W156*Guide!$E$8+Z156*Guide!$E$9+AC156*Guide!$E$10+AF156*Guide!$E$11+AI156*Guide!$E$12,"")</x:f>
        <x:v>475.75</x:v>
      </x:c>
      <x:c r="G156" s="4" t="n">
        <x:f>IF(COUNT(O156,R156,U156,X156,AA156,AD156,AG156,AJ156)=8,O156*Guide!$E$5+R156*Guide!$E$6+U156*Guide!$E$7+X156*Guide!$E$8+AA156*Guide!$E$9+AD156*Guide!$E$10+AG156*Guide!$E$11+AJ156*Guide!$E$12,"")</x:f>
        <x:v>369.25</x:v>
      </x:c>
      <x:c r="H156" s="4" t="n">
        <x:f>IF(COUNT(G156,F156)=2,G156-F156,"")</x:f>
        <x:v>-106.5</x:v>
      </x:c>
      <x:c r="I156" s="4" t="n">
        <x:f>IF(AND(ISNUMBER(F156),K156&gt;0),F156/K156,"")</x:f>
        <x:v>6.178571428571429</x:v>
      </x:c>
      <x:c r="J156" s="4" t="n">
        <x:f>IF(AND(ISNUMBER(G156),L156&gt;0),G156/L156,"")</x:f>
        <x:v>6.05327868852459</x:v>
      </x:c>
      <x:c r="K156" s="10" t="n">
        <x:v>77</x:v>
      </x:c>
      <x:c r="L156" s="10" t="n">
        <x:v>61</x:v>
      </x:c>
      <x:c r="M156" s="10" t="n">
        <x:f>IF(COUNT(L156,K156)=2,L156-K156,"")</x:f>
        <x:v>-16</x:v>
      </x:c>
      <x:c r="N156" s="10" t="n">
        <x:v>36</x:v>
      </x:c>
      <x:c r="O156" s="10" t="n">
        <x:v>27</x:v>
      </x:c>
      <x:c r="P156" s="10" t="n">
        <x:f>IF(COUNT(O156,N156)=2,O156-N156,"")</x:f>
        <x:v>-9</x:v>
      </x:c>
      <x:c r="Q156" s="10" t="n">
        <x:v>60</x:v>
      </x:c>
      <x:c r="R156" s="10" t="n">
        <x:v>50</x:v>
      </x:c>
      <x:c r="S156" s="10" t="n">
        <x:f>IF(COUNT(R156,Q156)=2,R156-Q156,"")</x:f>
        <x:v>-10</x:v>
      </x:c>
      <x:c r="T156" s="10" t="n">
        <x:v>10</x:v>
      </x:c>
      <x:c r="U156" s="10" t="n">
        <x:v>0</x:v>
      </x:c>
      <x:c r="V156" s="10" t="n">
        <x:f>IF(COUNT(U156,T156)=2,U156-T156,"")</x:f>
        <x:v>-10</x:v>
      </x:c>
      <x:c r="W156" s="10" t="n">
        <x:v>36</x:v>
      </x:c>
      <x:c r="X156" s="10" t="n">
        <x:f>IF(COUNT(AV156,AW156)=2,AV156+AW156,"")</x:f>
        <x:v>23</x:v>
      </x:c>
      <x:c r="Y156" s="10" t="n">
        <x:f>IF(COUNT(X156,W156)=2,X156-W156,"")</x:f>
        <x:v>-13</x:v>
      </x:c>
      <x:c r="Z156" s="10" t="n">
        <x:v>1</x:v>
      </x:c>
      <x:c r="AA156" s="10" t="n">
        <x:f>IF(COUNT(AX156,AY156)=2,AX156+AY156,"")</x:f>
        <x:v>2</x:v>
      </x:c>
      <x:c r="AB156" s="10" t="n">
        <x:f>IF(COUNT(AA156,Z156)=2,AA156-Z156,"")</x:f>
        <x:v>1</x:v>
      </x:c>
      <x:c r="AC156" s="10" t="n">
        <x:v>285</x:v>
      </x:c>
      <x:c r="AD156" s="10" t="n">
        <x:v>229</x:v>
      </x:c>
      <x:c r="AE156" s="10" t="n">
        <x:f>IF(COUNT(AD156,AC156)=2,AD156-AC156,"")</x:f>
        <x:v>-56</x:v>
      </x:c>
      <x:c r="AF156" s="10" t="n">
        <x:v>12</x:v>
      </x:c>
      <x:c r="AG156" s="10" t="n">
        <x:v>4</x:v>
      </x:c>
      <x:c r="AH156" s="10" t="n">
        <x:f>IF(COUNT(AG156,AF156)=2,AG156-AF156,"")</x:f>
        <x:v>-8</x:v>
      </x:c>
      <x:c r="AI156" s="10" t="n">
        <x:v>38</x:v>
      </x:c>
      <x:c r="AJ156" s="10" t="n">
        <x:v>32</x:v>
      </x:c>
      <x:c r="AK156" s="10" t="n">
        <x:f>IF(COUNT(AJ156,AI156)=2,AJ156-AI156,"")</x:f>
        <x:v>-6</x:v>
      </x:c>
      <x:c r="AL156" s="10" t="n">
        <x:v>24</x:v>
      </x:c>
      <x:c r="AM156" s="10" t="n">
        <x:v>24</x:v>
      </x:c>
      <x:c r="AN156" s="4" t="str">
        <x:v>C,LW</x:v>
      </x:c>
      <x:c r="AO156" s="4" t="str">
        <x:v>C</x:v>
      </x:c>
      <x:c r="AP156" s="4" t="str">
        <x:v>NJ</x:v>
      </x:c>
      <x:c r="AQ156" s="4" t="str">
        <x:v>NJD</x:v>
      </x:c>
      <x:c r="AR156" s="4" t="n">
        <x:v>21.05</x:v>
      </x:c>
      <x:c r="AS156" s="4" t="n">
        <x:v>21.316666666666666</x:v>
      </x:c>
      <x:c r="AT156" s="4" t="n">
        <x:v>3.22</x:v>
      </x:c>
      <x:c r="AU156" s="4" t="n">
        <x:v>11.8</x:v>
      </x:c>
      <x:c r="AV156" s="10" t="n">
        <x:v>4</x:v>
      </x:c>
      <x:c r="AW156" s="10" t="n">
        <x:v>19</x:v>
      </x:c>
      <x:c r="AX156" s="10" t="n">
        <x:v>1</x:v>
      </x:c>
      <x:c r="AY156" s="10" t="n">
        <x:v>1</x:v>
      </x:c>
      <x:c r="AZ156" s="10" t="n">
        <x:v>1244</x:v>
      </x:c>
      <x:c r="BA156" s="10" t="n">
        <x:v>924</x:v>
      </x:c>
      <x:c r="BB156" s="4" t="n">
        <x:v>57.4</x:v>
      </x:c>
      <x:c r="BC156" s="4" t="n">
        <x:v>7.9</x:v>
      </x:c>
      <x:c r="BD156" s="10" t="n">
        <x:v>905</x:v>
      </x:c>
      <x:c r="BE156" s="10" t="n">
        <x:v>688</x:v>
      </x:c>
      <x:c r="BF156" s="4" t="n">
        <x:v>56.8</x:v>
      </x:c>
      <x:c r="BG156" s="4" t="n">
        <x:v>6.9</x:v>
      </x:c>
      <x:c r="BH156" s="4" t="n">
        <x:v>10.6</x:v>
      </x:c>
      <x:c r="BI156" s="4" t="n">
        <x:v>86.2</x:v>
      </x:c>
      <x:c r="BJ156" s="4" t="n">
        <x:v>96.8</x:v>
      </x:c>
      <x:c r="BK156" s="4" t="n">
        <x:v>72</x:v>
      </x:c>
      <x:c r="BL156" s="4" t="n">
        <x:v>28</x:v>
      </x:c>
      <x:c r="BM156" s="4" t="n">
        <x:v>21.316666666666666</x:v>
      </x:c>
      <x:c r="BN156" s="4" t="n">
        <x:v>17.966666666666665</x:v>
      </x:c>
      <x:c r="BO156" s="10" t="n">
        <x:v>37</x:v>
      </x:c>
      <x:c r="BP156" s="10" t="n">
        <x:v>126</x:v>
      </x:c>
      <x:c r="BQ156" s="4" t="n">
        <x:v>15.3</x:v>
      </x:c>
      <x:c r="BR156" s="10" t="n">
        <x:v>431</x:v>
      </x:c>
      <x:c r="BS156" s="4" t="n">
        <x:v>53.1</x:v>
      </x:c>
      <x:c r="BT156" s="10" t="n">
        <x:v>61</x:v>
      </x:c>
      <x:c r="BU156" s="4" t="str">
        <x:v>NJD</x:v>
      </x:c>
      <x:c r="BV156" s="10" t="n">
        <x:v>8</x:v>
      </x:c>
      <x:c r="BW156" s="10" t="n">
        <x:v>35</x:v>
      </x:c>
      <x:c r="BX156" s="10" t="n">
        <x:v>434</x:v>
      </x:c>
      <x:c r="BY156" s="4" t="str">
        <x:v>Jack Hughes</x:v>
      </x:c>
      <x:c r="BZ156" s="4" t="str">
        <x:v>Jack Hughes</x:v>
      </x:c>
      <x:c r="CA156" s="4" t="str">
        <x:v>Jack Hughes</x:v>
      </x:c>
      <x:c r="CB156" s="4" t="str">
        <x:v>hugheja03</x:v>
      </x:c>
    </x:row>
    <x:row r="157" ht="22" customHeight="1">
      <x:c r="A157" s="4" t="str">
        <x:v>Jack McBain</x:v>
      </x:c>
      <x:c r="B157" s="4" t="str">
        <x:v>jackmcbain</x:v>
      </x:c>
      <x:c r="C157" s="10" t="n">
        <x:v>1</x:v>
      </x:c>
      <x:c r="D157" s="10" t="n">
        <x:v>1</x:v>
      </x:c>
      <x:c r="E157" s="10" t="n">
        <x:v>1</x:v>
      </x:c>
      <x:c r="F157" s="4" t="n">
        <x:f>IF(COUNT(N157,Q157,T157,W157,Z157,AC157,AF157,AI157)=8,N157*Guide!$E$5+Q157*Guide!$E$6+T157*Guide!$E$7+W157*Guide!$E$8+Z157*Guide!$E$9+AC157*Guide!$E$10+AF157*Guide!$E$11+AI157*Guide!$E$12,"")</x:f>
        <x:v>253</x:v>
      </x:c>
      <x:c r="G157" s="4" t="n">
        <x:f>IF(COUNT(O157,R157,U157,X157,AA157,AD157,AG157,AJ157)=8,O157*Guide!$E$5+R157*Guide!$E$6+U157*Guide!$E$7+X157*Guide!$E$8+AA157*Guide!$E$9+AD157*Guide!$E$10+AG157*Guide!$E$11+AJ157*Guide!$E$12,"")</x:f>
        <x:v>227.5</x:v>
      </x:c>
      <x:c r="H157" s="4" t="n">
        <x:f>IF(COUNT(G157,F157)=2,G157-F157,"")</x:f>
        <x:v>-25.5</x:v>
      </x:c>
      <x:c r="I157" s="4" t="n">
        <x:f>IF(AND(ISNUMBER(F157),K157&gt;0),F157/K157,"")</x:f>
        <x:v>3.0853658536585367</x:v>
      </x:c>
      <x:c r="J157" s="4" t="n">
        <x:f>IF(AND(ISNUMBER(G157),L157&gt;0),G157/L157,"")</x:f>
        <x:v>3.033333333333333</x:v>
      </x:c>
      <x:c r="K157" s="10" t="n">
        <x:v>82</x:v>
      </x:c>
      <x:c r="L157" s="10" t="n">
        <x:v>75</x:v>
      </x:c>
      <x:c r="M157" s="10" t="n">
        <x:f>IF(COUNT(L157,K157)=2,L157-K157,"")</x:f>
        <x:v>-7</x:v>
      </x:c>
      <x:c r="N157" s="10" t="n">
        <x:v>14</x:v>
      </x:c>
      <x:c r="O157" s="10" t="n">
        <x:v>9</x:v>
      </x:c>
      <x:c r="P157" s="10" t="n">
        <x:f>IF(COUNT(O157,N157)=2,O157-N157,"")</x:f>
        <x:v>-5</x:v>
      </x:c>
      <x:c r="Q157" s="10" t="n">
        <x:v>19</x:v>
      </x:c>
      <x:c r="R157" s="10" t="n">
        <x:v>16</x:v>
      </x:c>
      <x:c r="S157" s="10" t="n">
        <x:f>IF(COUNT(R157,Q157)=2,R157-Q157,"")</x:f>
        <x:v>-3</x:v>
      </x:c>
      <x:c r="T157" s="10" t="n">
        <x:v>1</x:v>
      </x:c>
      <x:c r="U157" s="10" t="n">
        <x:v>11</x:v>
      </x:c>
      <x:c r="V157" s="10" t="n">
        <x:f>IF(COUNT(U157,T157)=2,U157-T157,"")</x:f>
        <x:v>10</x:v>
      </x:c>
      <x:c r="W157" s="10" t="n">
        <x:v>3</x:v>
      </x:c>
      <x:c r="X157" s="10" t="n">
        <x:f>IF(COUNT(AV157,AW157)=2,AV157+AW157,"")</x:f>
        <x:v>0</x:v>
      </x:c>
      <x:c r="Y157" s="10" t="n">
        <x:f>IF(COUNT(X157,W157)=2,X157-W157,"")</x:f>
        <x:v>-3</x:v>
      </x:c>
      <x:c r="Z157" s="10" t="n">
        <x:v>1</x:v>
      </x:c>
      <x:c r="AA157" s="10" t="n">
        <x:f>IF(COUNT(AX157,AY157)=2,AX157+AY157,"")</x:f>
        <x:v>2</x:v>
      </x:c>
      <x:c r="AB157" s="10" t="n">
        <x:f>IF(COUNT(AA157,Z157)=2,AA157-Z157,"")</x:f>
        <x:v>1</x:v>
      </x:c>
      <x:c r="AC157" s="10" t="n">
        <x:v>89</x:v>
      </x:c>
      <x:c r="AD157" s="10" t="n">
        <x:v>106</x:v>
      </x:c>
      <x:c r="AE157" s="10" t="n">
        <x:f>IF(COUNT(AD157,AC157)=2,AD157-AC157,"")</x:f>
        <x:v>17</x:v>
      </x:c>
      <x:c r="AF157" s="10" t="n">
        <x:v>287</x:v>
      </x:c>
      <x:c r="AG157" s="10" t="n">
        <x:v>271</x:v>
      </x:c>
      <x:c r="AH157" s="10" t="n">
        <x:f>IF(COUNT(AG157,AF157)=2,AG157-AF157,"")</x:f>
        <x:v>-16</x:v>
      </x:c>
      <x:c r="AI157" s="10" t="n">
        <x:v>52</x:v>
      </x:c>
      <x:c r="AJ157" s="10" t="n">
        <x:v>43</x:v>
      </x:c>
      <x:c r="AK157" s="10" t="n">
        <x:f>IF(COUNT(AJ157,AI157)=2,AJ157-AI157,"")</x:f>
        <x:v>-9</x:v>
      </x:c>
      <x:c r="AL157" s="10" t="n">
        <x:v>26</x:v>
      </x:c>
      <x:c r="AM157" s="10" t="n">
        <x:v>26</x:v>
      </x:c>
      <x:c r="AN157" s="4" t="str">
        <x:v>C,LW</x:v>
      </x:c>
      <x:c r="AO157" s="4" t="str">
        <x:v>C</x:v>
      </x:c>
      <x:c r="AP157" s="4" t="str">
        <x:v>UTA</x:v>
      </x:c>
      <x:c r="AQ157" s="4" t="str">
        <x:v>UTA</x:v>
      </x:c>
      <x:c r="AR157" s="4" t="n">
        <x:v>13.799999999999999</x:v>
      </x:c>
      <x:c r="AS157" s="4" t="n">
        <x:v>13.85</x:v>
      </x:c>
      <x:c r="AT157" s="4" t="n">
        <x:v>0.44</x:v>
      </x:c>
      <x:c r="AU157" s="4" t="n">
        <x:v>8.5</x:v>
      </x:c>
      <x:c r="AV157" s="10" t="n">
        <x:v>0</x:v>
      </x:c>
      <x:c r="AW157" s="10" t="n">
        <x:v>0</x:v>
      </x:c>
      <x:c r="AX157" s="10" t="n">
        <x:v>1</x:v>
      </x:c>
      <x:c r="AY157" s="10" t="n">
        <x:v>1</x:v>
      </x:c>
      <x:c r="AZ157" s="10" t="n">
        <x:v>990</x:v>
      </x:c>
      <x:c r="BA157" s="10" t="n">
        <x:v>855</x:v>
      </x:c>
      <x:c r="BB157" s="4" t="n">
        <x:v>53.7</x:v>
      </x:c>
      <x:c r="BC157" s="4" t="n">
        <x:v>0.9</x:v>
      </x:c>
      <x:c r="BD157" s="10" t="n">
        <x:v>673</x:v>
      </x:c>
      <x:c r="BE157" s="10" t="n">
        <x:v>620</x:v>
      </x:c>
      <x:c r="BF157" s="4" t="n">
        <x:v>52</x:v>
      </x:c>
      <x:c r="BG157" s="4" t="n">
        <x:v>-0.9</x:v>
      </x:c>
      <x:c r="BH157" s="4" t="n">
        <x:v>11.2</x:v>
      </x:c>
      <x:c r="BI157" s="4" t="n">
        <x:v>90.5</x:v>
      </x:c>
      <x:c r="BJ157" s="4" t="n">
        <x:v>101.7</x:v>
      </x:c>
      <x:c r="BK157" s="4" t="n">
        <x:v>45.6</x:v>
      </x:c>
      <x:c r="BL157" s="4" t="n">
        <x:v>54.4</x:v>
      </x:c>
      <x:c r="BM157" s="4" t="n">
        <x:v>13.85</x:v>
      </x:c>
      <x:c r="BN157" s="4" t="n">
        <x:v>12.033333333333333</x:v>
      </x:c>
      <x:c r="BO157" s="10" t="n">
        <x:v>9</x:v>
      </x:c>
      <x:c r="BP157" s="10" t="n">
        <x:v>51</x:v>
      </x:c>
      <x:c r="BQ157" s="4" t="n">
        <x:v>4.5</x:v>
      </x:c>
      <x:c r="BR157" s="10" t="n">
        <x:v>215</x:v>
      </x:c>
      <x:c r="BS157" s="4" t="n">
        <x:v>49.3</x:v>
      </x:c>
      <x:c r="BT157" s="10" t="n">
        <x:v>75</x:v>
      </x:c>
      <x:c r="BU157" s="4" t="str">
        <x:v>UTA</x:v>
      </x:c>
      <x:c r="BV157" s="10" t="n">
        <x:v>323</x:v>
      </x:c>
      <x:c r="BW157" s="10" t="n">
        <x:v>398</x:v>
      </x:c>
      <x:c r="BX157" s="10" t="n">
        <x:v>663</x:v>
      </x:c>
      <x:c r="BY157" s="4" t="str">
        <x:v>Jack McBain</x:v>
      </x:c>
      <x:c r="BZ157" s="4" t="str">
        <x:v>Jack McBain</x:v>
      </x:c>
      <x:c r="CA157" s="4" t="str">
        <x:v>Jack McBain</x:v>
      </x:c>
      <x:c r="CB157" s="4" t="str">
        <x:v>mcbaija03</x:v>
      </x:c>
    </x:row>
    <x:row r="158" ht="22" customHeight="1">
      <x:c r="A158" s="4" t="str">
        <x:v>Jack Quinn</x:v>
      </x:c>
      <x:c r="B158" s="4" t="str">
        <x:v>jackquinn</x:v>
      </x:c>
      <x:c r="C158" s="10" t="n">
        <x:v>1</x:v>
      </x:c>
      <x:c r="D158" s="10" t="n">
        <x:v>1</x:v>
      </x:c>
      <x:c r="E158" s="10" t="n">
        <x:v>1</x:v>
      </x:c>
      <x:c r="F158" s="4" t="n">
        <x:f>IF(COUNT(N158,Q158,T158,W158,Z158,AC158,AF158,AI158)=8,N158*Guide!$E$5+Q158*Guide!$E$6+T158*Guide!$E$7+W158*Guide!$E$8+Z158*Guide!$E$9+AC158*Guide!$E$10+AF158*Guide!$E$11+AI158*Guide!$E$12,"")</x:f>
        <x:v>236.75</x:v>
      </x:c>
      <x:c r="G158" s="4" t="n">
        <x:f>IF(COUNT(O158,R158,U158,X158,AA158,AD158,AG158,AJ158)=8,O158*Guide!$E$5+R158*Guide!$E$6+U158*Guide!$E$7+X158*Guide!$E$8+AA158*Guide!$E$9+AD158*Guide!$E$10+AG158*Guide!$E$11+AJ158*Guide!$E$12,"")</x:f>
        <x:v>267.5</x:v>
      </x:c>
      <x:c r="H158" s="4" t="n">
        <x:f>IF(COUNT(G158,F158)=2,G158-F158,"")</x:f>
        <x:v>30.75</x:v>
      </x:c>
      <x:c r="I158" s="4" t="n">
        <x:f>IF(AND(ISNUMBER(F158),K158&gt;0),F158/K158,"")</x:f>
        <x:v>3.1151315789473686</x:v>
      </x:c>
      <x:c r="J158" s="4" t="n">
        <x:f>IF(AND(ISNUMBER(G158),L158&gt;0),G158/L158,"")</x:f>
        <x:v>3.2621951219512195</x:v>
      </x:c>
      <x:c r="K158" s="10" t="n">
        <x:v>76</x:v>
      </x:c>
      <x:c r="L158" s="10" t="n">
        <x:v>82</x:v>
      </x:c>
      <x:c r="M158" s="10" t="n">
        <x:f>IF(COUNT(L158,K158)=2,L158-K158,"")</x:f>
        <x:v>6</x:v>
      </x:c>
      <x:c r="N158" s="10" t="n">
        <x:v>20</x:v>
      </x:c>
      <x:c r="O158" s="10" t="n">
        <x:v>20</x:v>
      </x:c>
      <x:c r="P158" s="10" t="n">
        <x:f>IF(COUNT(O158,N158)=2,O158-N158,"")</x:f>
        <x:v>0</x:v>
      </x:c>
      <x:c r="Q158" s="10" t="n">
        <x:v>27</x:v>
      </x:c>
      <x:c r="R158" s="10" t="n">
        <x:v>31</x:v>
      </x:c>
      <x:c r="S158" s="10" t="n">
        <x:f>IF(COUNT(R158,Q158)=2,R158-Q158,"")</x:f>
        <x:v>4</x:v>
      </x:c>
      <x:c r="T158" s="10" t="n">
        <x:v>-5</x:v>
      </x:c>
      <x:c r="U158" s="10" t="n">
        <x:v>4</x:v>
      </x:c>
      <x:c r="V158" s="10" t="n">
        <x:f>IF(COUNT(U158,T158)=2,U158-T158,"")</x:f>
        <x:v>9</x:v>
      </x:c>
      <x:c r="W158" s="10" t="n">
        <x:v>12</x:v>
      </x:c>
      <x:c r="X158" s="10" t="n">
        <x:f>IF(COUNT(AV158,AW158)=2,AV158+AW158,"")</x:f>
        <x:v>11</x:v>
      </x:c>
      <x:c r="Y158" s="10" t="n">
        <x:f>IF(COUNT(X158,W158)=2,X158-W158,"")</x:f>
        <x:v>-1</x:v>
      </x:c>
      <x:c r="Z158" s="10" t="n">
        <x:v>0</x:v>
      </x:c>
      <x:c r="AA158" s="10" t="n">
        <x:f>IF(COUNT(AX158,AY158)=2,AX158+AY158,"")</x:f>
        <x:v>0</x:v>
      </x:c>
      <x:c r="AB158" s="10" t="n">
        <x:f>IF(COUNT(AA158,Z158)=2,AA158-Z158,"")</x:f>
        <x:v>0</x:v>
      </x:c>
      <x:c r="AC158" s="10" t="n">
        <x:v>140</x:v>
      </x:c>
      <x:c r="AD158" s="10" t="n">
        <x:v>191</x:v>
      </x:c>
      <x:c r="AE158" s="10" t="n">
        <x:f>IF(COUNT(AD158,AC158)=2,AD158-AC158,"")</x:f>
        <x:v>51</x:v>
      </x:c>
      <x:c r="AF158" s="10" t="n">
        <x:v>51</x:v>
      </x:c>
      <x:c r="AG158" s="10" t="n">
        <x:v>52</x:v>
      </x:c>
      <x:c r="AH158" s="10" t="n">
        <x:f>IF(COUNT(AG158,AF158)=2,AG158-AF158,"")</x:f>
        <x:v>1</x:v>
      </x:c>
      <x:c r="AI158" s="10" t="n">
        <x:v>28</x:v>
      </x:c>
      <x:c r="AJ158" s="10" t="n">
        <x:v>25</x:v>
      </x:c>
      <x:c r="AK158" s="10" t="n">
        <x:f>IF(COUNT(AJ158,AI158)=2,AJ158-AI158,"")</x:f>
        <x:v>-3</x:v>
      </x:c>
      <x:c r="AL158" s="10" t="n">
        <x:v>24</x:v>
      </x:c>
      <x:c r="AM158" s="10" t="n">
        <x:v>24</x:v>
      </x:c>
      <x:c r="AN158" s="4" t="str">
        <x:v>RW</x:v>
      </x:c>
      <x:c r="AO158" s="4" t="str">
        <x:v>RW</x:v>
      </x:c>
      <x:c r="AP158" s="4" t="str">
        <x:v>BUF</x:v>
      </x:c>
      <x:c r="AQ158" s="4" t="str">
        <x:v>BUF</x:v>
      </x:c>
      <x:c r="AR158" s="4" t="n">
        <x:v>15.33</x:v>
      </x:c>
      <x:c r="AS158" s="4" t="n">
        <x:v>15.65</x:v>
      </x:c>
      <x:c r="AT158" s="4" t="n">
        <x:v>2.23</x:v>
      </x:c>
      <x:c r="AU158" s="4" t="n">
        <x:v>10.5</x:v>
      </x:c>
      <x:c r="AV158" s="10" t="n">
        <x:v>4</x:v>
      </x:c>
      <x:c r="AW158" s="10" t="n">
        <x:v>7</x:v>
      </x:c>
      <x:c r="AX158" s="10" t="n">
        <x:v>0</x:v>
      </x:c>
      <x:c r="AY158" s="10" t="n">
        <x:v>0</x:v>
      </x:c>
      <x:c r="AZ158" s="10" t="n">
        <x:v>1012</x:v>
      </x:c>
      <x:c r="BA158" s="10" t="n">
        <x:v>1092</x:v>
      </x:c>
      <x:c r="BB158" s="4" t="n">
        <x:v>48.1</x:v>
      </x:c>
      <x:c r="BC158" s="4" t="n">
        <x:v>-1.2</x:v>
      </x:c>
      <x:c r="BD158" s="10" t="n">
        <x:v>764</x:v>
      </x:c>
      <x:c r="BE158" s="10" t="n">
        <x:v>828</x:v>
      </x:c>
      <x:c r="BF158" s="4" t="n">
        <x:v>48</x:v>
      </x:c>
      <x:c r="BG158" s="4" t="n">
        <x:v>-1.9</x:v>
      </x:c>
      <x:c r="BH158" s="4" t="n">
        <x:v>11.9</x:v>
      </x:c>
      <x:c r="BI158" s="4" t="n">
        <x:v>90.8</x:v>
      </x:c>
      <x:c r="BJ158" s="4" t="n">
        <x:v>102.7</x:v>
      </x:c>
      <x:c r="BK158" s="4" t="n">
        <x:v>50.2</x:v>
      </x:c>
      <x:c r="BL158" s="4" t="n">
        <x:v>49.8</x:v>
      </x:c>
      <x:c r="BM158" s="4" t="n">
        <x:v>15.65</x:v>
      </x:c>
      <x:c r="BN158" s="4" t="n">
        <x:v>13.283333333333333</x:v>
      </x:c>
      <x:c r="BO158" s="10" t="n">
        <x:v>14</x:v>
      </x:c>
      <x:c r="BP158" s="10" t="n">
        <x:v>72</x:v>
      </x:c>
      <x:c r="BQ158" s="4" t="n">
        <x:v>-0.7</x:v>
      </x:c>
      <x:c r="BR158" s="10" t="n">
        <x:v>376</x:v>
      </x:c>
      <x:c r="BS158" s="4" t="n">
        <x:v>50.8</x:v>
      </x:c>
      <x:c r="BT158" s="10" t="n">
        <x:v>82</x:v>
      </x:c>
      <x:c r="BU158" s="4" t="str">
        <x:v>BUF</x:v>
      </x:c>
      <x:c r="BV158" s="10" t="n">
        <x:v>180</x:v>
      </x:c>
      <x:c r="BW158" s="10" t="n">
        <x:v>137</x:v>
      </x:c>
      <x:c r="BX158" s="10" t="n">
        <x:v>837</x:v>
      </x:c>
      <x:c r="BY158" s="4" t="str">
        <x:v>Jack Quinn</x:v>
      </x:c>
      <x:c r="BZ158" s="4" t="str">
        <x:v>Jack Quinn</x:v>
      </x:c>
      <x:c r="CA158" s="4" t="str">
        <x:v>Jack Quinn</x:v>
      </x:c>
      <x:c r="CB158" s="4" t="str">
        <x:v>quinnja01</x:v>
      </x:c>
    </x:row>
    <x:row r="159" ht="22" customHeight="1">
      <x:c r="A159" s="4" t="str">
        <x:v>Jack Roslovic</x:v>
      </x:c>
      <x:c r="B159" s="4" t="str">
        <x:v>jackroslovic</x:v>
      </x:c>
      <x:c r="C159" s="10" t="n">
        <x:v>1</x:v>
      </x:c>
      <x:c r="D159" s="10" t="n">
        <x:v>1</x:v>
      </x:c>
      <x:c r="E159" s="10" t="n">
        <x:v>1</x:v>
      </x:c>
      <x:c r="F159" s="4" t="n">
        <x:f>IF(COUNT(N159,Q159,T159,W159,Z159,AC159,AF159,AI159)=8,N159*Guide!$E$5+Q159*Guide!$E$6+T159*Guide!$E$7+W159*Guide!$E$8+Z159*Guide!$E$9+AC159*Guide!$E$10+AF159*Guide!$E$11+AI159*Guide!$E$12,"")</x:f>
        <x:v>207.25</x:v>
      </x:c>
      <x:c r="G159" s="4" t="n">
        <x:f>IF(COUNT(O159,R159,U159,X159,AA159,AD159,AG159,AJ159)=8,O159*Guide!$E$5+R159*Guide!$E$6+U159*Guide!$E$7+X159*Guide!$E$8+AA159*Guide!$E$9+AD159*Guide!$E$10+AG159*Guide!$E$11+AJ159*Guide!$E$12,"")</x:f>
        <x:v>193</x:v>
      </x:c>
      <x:c r="H159" s="4" t="n">
        <x:f>IF(COUNT(G159,F159)=2,G159-F159,"")</x:f>
        <x:v>-14.25</x:v>
      </x:c>
      <x:c r="I159" s="4" t="n">
        <x:f>IF(AND(ISNUMBER(F159),K159&gt;0),F159/K159,"")</x:f>
        <x:v>2.6234177215189876</x:v>
      </x:c>
      <x:c r="J159" s="4" t="n">
        <x:f>IF(AND(ISNUMBER(G159),L159&gt;0),G159/L159,"")</x:f>
        <x:v>2.7971014492753623</x:v>
      </x:c>
      <x:c r="K159" s="10" t="n">
        <x:v>79</x:v>
      </x:c>
      <x:c r="L159" s="10" t="n">
        <x:v>69</x:v>
      </x:c>
      <x:c r="M159" s="10" t="n">
        <x:f>IF(COUNT(L159,K159)=2,L159-K159,"")</x:f>
        <x:v>-10</x:v>
      </x:c>
      <x:c r="N159" s="10" t="n">
        <x:v>17</x:v>
      </x:c>
      <x:c r="O159" s="10" t="n">
        <x:v>21</x:v>
      </x:c>
      <x:c r="P159" s="10" t="n">
        <x:f>IF(COUNT(O159,N159)=2,O159-N159,"")</x:f>
        <x:v>4</x:v>
      </x:c>
      <x:c r="Q159" s="10" t="n">
        <x:v>24</x:v>
      </x:c>
      <x:c r="R159" s="10" t="n">
        <x:v>15</x:v>
      </x:c>
      <x:c r="S159" s="10" t="n">
        <x:f>IF(COUNT(R159,Q159)=2,R159-Q159,"")</x:f>
        <x:v>-9</x:v>
      </x:c>
      <x:c r="T159" s="10" t="n">
        <x:v>0</x:v>
      </x:c>
      <x:c r="U159" s="10" t="n">
        <x:v>-9</x:v>
      </x:c>
      <x:c r="V159" s="10" t="n">
        <x:f>IF(COUNT(U159,T159)=2,U159-T159,"")</x:f>
        <x:v>-9</x:v>
      </x:c>
      <x:c r="W159" s="10" t="n">
        <x:v>7</x:v>
      </x:c>
      <x:c r="X159" s="10" t="n">
        <x:f>IF(COUNT(AV159,AW159)=2,AV159+AW159,"")</x:f>
        <x:v>6</x:v>
      </x:c>
      <x:c r="Y159" s="10" t="n">
        <x:f>IF(COUNT(X159,W159)=2,X159-W159,"")</x:f>
        <x:v>-1</x:v>
      </x:c>
      <x:c r="Z159" s="10" t="n">
        <x:v>0</x:v>
      </x:c>
      <x:c r="AA159" s="10" t="n">
        <x:f>IF(COUNT(AX159,AY159)=2,AX159+AY159,"")</x:f>
        <x:v>0</x:v>
      </x:c>
      <x:c r="AB159" s="10" t="n">
        <x:f>IF(COUNT(AA159,Z159)=2,AA159-Z159,"")</x:f>
        <x:v>0</x:v>
      </x:c>
      <x:c r="AC159" s="10" t="n">
        <x:v>129</x:v>
      </x:c>
      <x:c r="AD159" s="10" t="n">
        <x:v>141</x:v>
      </x:c>
      <x:c r="AE159" s="10" t="n">
        <x:f>IF(COUNT(AD159,AC159)=2,AD159-AC159,"")</x:f>
        <x:v>12</x:v>
      </x:c>
      <x:c r="AF159" s="10" t="n">
        <x:v>22</x:v>
      </x:c>
      <x:c r="AG159" s="10" t="n">
        <x:v>46</x:v>
      </x:c>
      <x:c r="AH159" s="10" t="n">
        <x:f>IF(COUNT(AG159,AF159)=2,AG159-AF159,"")</x:f>
        <x:v>24</x:v>
      </x:c>
      <x:c r="AI159" s="10" t="n">
        <x:v>30</x:v>
      </x:c>
      <x:c r="AJ159" s="10" t="n">
        <x:v>27</x:v>
      </x:c>
      <x:c r="AK159" s="10" t="n">
        <x:f>IF(COUNT(AJ159,AI159)=2,AJ159-AI159,"")</x:f>
        <x:v>-3</x:v>
      </x:c>
      <x:c r="AL159" s="10" t="n">
        <x:v>29</x:v>
      </x:c>
      <x:c r="AM159" s="10" t="n">
        <x:v>29</x:v>
      </x:c>
      <x:c r="AN159" s="4" t="str">
        <x:v>C,RW</x:v>
      </x:c>
      <x:c r="AO159" s="4" t="str">
        <x:v>C</x:v>
      </x:c>
      <x:c r="AP159" s="4" t="str">
        <x:v>CAR</x:v>
      </x:c>
      <x:c r="AQ159" s="4" t="str">
        <x:v>EDM</x:v>
      </x:c>
      <x:c r="AR159" s="4" t="n">
        <x:v>14.1</x:v>
      </x:c>
      <x:c r="AS159" s="4" t="n">
        <x:v>15.766666666666667</x:v>
      </x:c>
      <x:c r="AT159" s="4" t="n">
        <x:v>1.36</x:v>
      </x:c>
      <x:c r="AU159" s="4" t="n">
        <x:v>14.9</x:v>
      </x:c>
      <x:c r="AV159" s="10" t="n">
        <x:v>4</x:v>
      </x:c>
      <x:c r="AW159" s="10" t="n">
        <x:v>2</x:v>
      </x:c>
      <x:c r="AX159" s="10" t="n">
        <x:v>0</x:v>
      </x:c>
      <x:c r="AY159" s="10" t="n">
        <x:v>0</x:v>
      </x:c>
      <x:c r="AZ159" s="10" t="n">
        <x:v>1065</x:v>
      </x:c>
      <x:c r="BA159" s="10" t="n">
        <x:v>961</x:v>
      </x:c>
      <x:c r="BB159" s="4" t="n">
        <x:v>52.6</x:v>
      </x:c>
      <x:c r="BC159" s="4" t="n">
        <x:v>3.2</x:v>
      </x:c>
      <x:c r="BD159" s="10" t="n">
        <x:v>778</x:v>
      </x:c>
      <x:c r="BE159" s="10" t="n">
        <x:v>712</x:v>
      </x:c>
      <x:c r="BF159" s="4" t="n">
        <x:v>52.2</x:v>
      </x:c>
      <x:c r="BG159" s="4" t="n">
        <x:v>1.9</x:v>
      </x:c>
      <x:c r="BH159" s="4" t="n">
        <x:v>8.8</x:v>
      </x:c>
      <x:c r="BI159" s="4" t="n">
        <x:v>87.1</x:v>
      </x:c>
      <x:c r="BJ159" s="4" t="n">
        <x:v>95.9</x:v>
      </x:c>
      <x:c r="BK159" s="4" t="n">
        <x:v>60.4</x:v>
      </x:c>
      <x:c r="BL159" s="4" t="n">
        <x:v>39.6</x:v>
      </x:c>
      <x:c r="BM159" s="4" t="n">
        <x:v>15.766666666666667</x:v>
      </x:c>
      <x:c r="BN159" s="4" t="n">
        <x:v>14.616666666666667</x:v>
      </x:c>
      <x:c r="BO159" s="10" t="n">
        <x:v>13</x:v>
      </x:c>
      <x:c r="BP159" s="10" t="n">
        <x:v>64</x:v>
      </x:c>
      <x:c r="BQ159" s="4" t="n">
        <x:v>8.2</x:v>
      </x:c>
      <x:c r="BR159" s="10" t="n">
        <x:v>268</x:v>
      </x:c>
      <x:c r="BS159" s="4" t="n">
        <x:v>52.6</x:v>
      </x:c>
      <x:c r="BT159" s="10" t="n">
        <x:v>69</x:v>
      </x:c>
      <x:c r="BU159" s="4" t="str">
        <x:v>EDM</x:v>
      </x:c>
      <x:c r="BV159" s="10" t="n">
        <x:v>240</x:v>
      </x:c>
      <x:c r="BW159" s="10" t="n">
        <x:v>252</x:v>
      </x:c>
      <x:c r="BX159" s="10" t="n">
        <x:v>876</x:v>
      </x:c>
      <x:c r="BY159" s="4" t="str">
        <x:v>Jack Roslovic</x:v>
      </x:c>
      <x:c r="BZ159" s="4" t="str">
        <x:v>Jack Roslovic</x:v>
      </x:c>
      <x:c r="CA159" s="4" t="str">
        <x:v>Jack Roslovic</x:v>
      </x:c>
      <x:c r="CB159" s="4" t="str">
        <x:v>rosloja01</x:v>
      </x:c>
    </x:row>
    <x:row r="160" ht="22" customHeight="1">
      <x:c r="A160" s="4" t="str">
        <x:v>Jackson Blake</x:v>
      </x:c>
      <x:c r="B160" s="4" t="str">
        <x:v>jacksonblake</x:v>
      </x:c>
      <x:c r="C160" s="10" t="n">
        <x:v>1</x:v>
      </x:c>
      <x:c r="D160" s="10" t="n">
        <x:v>1</x:v>
      </x:c>
      <x:c r="E160" s="10" t="n">
        <x:v>1</x:v>
      </x:c>
      <x:c r="F160" s="4" t="n">
        <x:f>IF(COUNT(N160,Q160,T160,W160,Z160,AC160,AF160,AI160)=8,N160*Guide!$E$5+Q160*Guide!$E$6+T160*Guide!$E$7+W160*Guide!$E$8+Z160*Guide!$E$9+AC160*Guide!$E$10+AF160*Guide!$E$11+AI160*Guide!$E$12,"")</x:f>
        <x:v>251.25</x:v>
      </x:c>
      <x:c r="G160" s="4" t="n">
        <x:f>IF(COUNT(O160,R160,U160,X160,AA160,AD160,AG160,AJ160)=8,O160*Guide!$E$5+R160*Guide!$E$6+U160*Guide!$E$7+X160*Guide!$E$8+AA160*Guide!$E$9+AD160*Guide!$E$10+AG160*Guide!$E$11+AJ160*Guide!$E$12,"")</x:f>
        <x:v>269.25</x:v>
      </x:c>
      <x:c r="H160" s="4" t="n">
        <x:f>IF(COUNT(G160,F160)=2,G160-F160,"")</x:f>
        <x:v>18</x:v>
      </x:c>
      <x:c r="I160" s="4" t="n">
        <x:f>IF(AND(ISNUMBER(F160),K160&gt;0),F160/K160,"")</x:f>
        <x:v>3.140625</x:v>
      </x:c>
      <x:c r="J160" s="4" t="n">
        <x:f>IF(AND(ISNUMBER(G160),L160&gt;0),G160/L160,"")</x:f>
        <x:v>3.324074074074074</x:v>
      </x:c>
      <x:c r="K160" s="10" t="n">
        <x:v>80</x:v>
      </x:c>
      <x:c r="L160" s="10" t="n">
        <x:v>81</x:v>
      </x:c>
      <x:c r="M160" s="10" t="n">
        <x:f>IF(COUNT(L160,K160)=2,L160-K160,"")</x:f>
        <x:v>1</x:v>
      </x:c>
      <x:c r="N160" s="10" t="n">
        <x:v>24</x:v>
      </x:c>
      <x:c r="O160" s="10" t="n">
        <x:v>22</x:v>
      </x:c>
      <x:c r="P160" s="10" t="n">
        <x:f>IF(COUNT(O160,N160)=2,O160-N160,"")</x:f>
        <x:v>-2</x:v>
      </x:c>
      <x:c r="Q160" s="10" t="n">
        <x:v>23</x:v>
      </x:c>
      <x:c r="R160" s="10" t="n">
        <x:v>31</x:v>
      </x:c>
      <x:c r="S160" s="10" t="n">
        <x:f>IF(COUNT(R160,Q160)=2,R160-Q160,"")</x:f>
        <x:v>8</x:v>
      </x:c>
      <x:c r="T160" s="10" t="n">
        <x:v>8</x:v>
      </x:c>
      <x:c r="U160" s="10" t="n">
        <x:v>4</x:v>
      </x:c>
      <x:c r="V160" s="10" t="n">
        <x:f>IF(COUNT(U160,T160)=2,U160-T160,"")</x:f>
        <x:v>-4</x:v>
      </x:c>
      <x:c r="W160" s="10" t="n">
        <x:v>13</x:v>
      </x:c>
      <x:c r="X160" s="10" t="n">
        <x:f>IF(COUNT(AV160,AW160)=2,AV160+AW160,"")</x:f>
        <x:v>12</x:v>
      </x:c>
      <x:c r="Y160" s="10" t="n">
        <x:f>IF(COUNT(X160,W160)=2,X160-W160,"")</x:f>
        <x:v>-1</x:v>
      </x:c>
      <x:c r="Z160" s="10" t="n">
        <x:v>0</x:v>
      </x:c>
      <x:c r="AA160" s="10" t="n">
        <x:f>IF(COUNT(AX160,AY160)=2,AX160+AY160,"")</x:f>
        <x:v>0</x:v>
      </x:c>
      <x:c r="AB160" s="10" t="n">
        <x:f>IF(COUNT(AA160,Z160)=2,AA160-Z160,"")</x:f>
        <x:v>0</x:v>
      </x:c>
      <x:c r="AC160" s="10" t="n">
        <x:v>148</x:v>
      </x:c>
      <x:c r="AD160" s="10" t="n">
        <x:v>174</x:v>
      </x:c>
      <x:c r="AE160" s="10" t="n">
        <x:f>IF(COUNT(AD160,AC160)=2,AD160-AC160,"")</x:f>
        <x:v>26</x:v>
      </x:c>
      <x:c r="AF160" s="10" t="n">
        <x:v>20</x:v>
      </x:c>
      <x:c r="AG160" s="10" t="n">
        <x:v>13</x:v>
      </x:c>
      <x:c r="AH160" s="10" t="n">
        <x:f>IF(COUNT(AG160,AF160)=2,AG160-AF160,"")</x:f>
        <x:v>-7</x:v>
      </x:c>
      <x:c r="AI160" s="10" t="n">
        <x:v>31</x:v>
      </x:c>
      <x:c r="AJ160" s="10" t="n">
        <x:v>34</x:v>
      </x:c>
      <x:c r="AK160" s="10" t="n">
        <x:f>IF(COUNT(AJ160,AI160)=2,AJ160-AI160,"")</x:f>
        <x:v>3</x:v>
      </x:c>
      <x:c r="AL160" s="10" t="n">
        <x:v>22</x:v>
      </x:c>
      <x:c r="AM160" s="10" t="n">
        <x:v>22</x:v>
      </x:c>
      <x:c r="AN160" s="4" t="str">
        <x:v>RW</x:v>
      </x:c>
      <x:c r="AO160" s="4" t="str">
        <x:v>RW</x:v>
      </x:c>
      <x:c r="AP160" s="4" t="str">
        <x:v>CAR</x:v>
      </x:c>
      <x:c r="AQ160" s="4" t="str">
        <x:v>CAR</x:v>
      </x:c>
      <x:c r="AR160" s="4" t="n">
        <x:v>14.38</x:v>
      </x:c>
      <x:c r="AS160" s="4" t="n">
        <x:v>16.5</x:v>
      </x:c>
      <x:c r="AT160" s="4" t="n">
        <x:v>2.2</x:v>
      </x:c>
      <x:c r="AU160" s="4" t="n">
        <x:v>12.6</x:v>
      </x:c>
      <x:c r="AV160" s="10" t="n">
        <x:v>3</x:v>
      </x:c>
      <x:c r="AW160" s="10" t="n">
        <x:v>9</x:v>
      </x:c>
      <x:c r="AX160" s="10" t="n">
        <x:v>0</x:v>
      </x:c>
      <x:c r="AY160" s="10" t="n">
        <x:v>0</x:v>
      </x:c>
      <x:c r="AZ160" s="10" t="n">
        <x:v>1368</x:v>
      </x:c>
      <x:c r="BA160" s="10" t="n">
        <x:v>878</x:v>
      </x:c>
      <x:c r="BB160" s="4" t="n">
        <x:v>60.9</x:v>
      </x:c>
      <x:c r="BC160" s="4" t="n">
        <x:v>1.7</x:v>
      </x:c>
      <x:c r="BD160" s="10" t="n">
        <x:v>972</x:v>
      </x:c>
      <x:c r="BE160" s="10" t="n">
        <x:v>663</x:v>
      </x:c>
      <x:c r="BF160" s="4" t="n">
        <x:v>59.4</x:v>
      </x:c>
      <x:c r="BG160" s="4" t="n">
        <x:v>1</x:v>
      </x:c>
      <x:c r="BH160" s="4" t="n">
        <x:v>10</x:v>
      </x:c>
      <x:c r="BI160" s="4" t="n">
        <x:v>88</x:v>
      </x:c>
      <x:c r="BJ160" s="4" t="n">
        <x:v>98</x:v>
      </x:c>
      <x:c r="BK160" s="4" t="n">
        <x:v>68.4</x:v>
      </x:c>
      <x:c r="BL160" s="4" t="n">
        <x:v>31.6</x:v>
      </x:c>
      <x:c r="BM160" s="4" t="n">
        <x:v>16.5</x:v>
      </x:c>
      <x:c r="BN160" s="4" t="n">
        <x:v>14.3</x:v>
      </x:c>
      <x:c r="BO160" s="10" t="n">
        <x:v>30</x:v>
      </x:c>
      <x:c r="BP160" s="10" t="n">
        <x:v>92</x:v>
      </x:c>
      <x:c r="BQ160" s="4" t="n">
        <x:v>13.1</x:v>
      </x:c>
      <x:c r="BR160" s="10" t="n">
        <x:v>347</x:v>
      </x:c>
      <x:c r="BS160" s="4" t="n">
        <x:v>50.1</x:v>
      </x:c>
      <x:c r="BT160" s="10" t="n">
        <x:v>81</x:v>
      </x:c>
      <x:c r="BU160" s="4" t="str">
        <x:v>CAR</x:v>
      </x:c>
      <x:c r="BV160" s="10" t="n">
        <x:v>179</x:v>
      </x:c>
      <x:c r="BW160" s="10" t="n">
        <x:v>121</x:v>
      </x:c>
      <x:c r="BX160" s="10" t="n">
        <x:v>67</x:v>
      </x:c>
      <x:c r="BY160" s="4" t="str">
        <x:v>Jackson Blake</x:v>
      </x:c>
      <x:c r="BZ160" s="4" t="str">
        <x:v>Jackson Blake</x:v>
      </x:c>
      <x:c r="CA160" s="4" t="str">
        <x:v>Jackson Blake</x:v>
      </x:c>
      <x:c r="CB160" s="4" t="str">
        <x:v>blakeja02</x:v>
      </x:c>
    </x:row>
    <x:row r="161" ht="22" customHeight="1">
      <x:c r="A161" s="4" t="str">
        <x:v>Jackson LaCombe</x:v>
      </x:c>
      <x:c r="B161" s="4" t="str">
        <x:v>jacksonlacombe</x:v>
      </x:c>
      <x:c r="C161" s="10" t="n">
        <x:v>1</x:v>
      </x:c>
      <x:c r="D161" s="10" t="n">
        <x:v>1</x:v>
      </x:c>
      <x:c r="E161" s="10" t="n">
        <x:v>1</x:v>
      </x:c>
      <x:c r="F161" s="4" t="n">
        <x:f>IF(COUNT(N161,Q161,T161,W161,Z161,AC161,AF161,AI161)=8,N161*Guide!$E$5+Q161*Guide!$E$6+T161*Guide!$E$7+W161*Guide!$E$8+Z161*Guide!$E$9+AC161*Guide!$E$10+AF161*Guide!$E$11+AI161*Guide!$E$12,"")</x:f>
        <x:v>259.75</x:v>
      </x:c>
      <x:c r="G161" s="4" t="n">
        <x:f>IF(COUNT(O161,R161,U161,X161,AA161,AD161,AG161,AJ161)=8,O161*Guide!$E$5+R161*Guide!$E$6+U161*Guide!$E$7+X161*Guide!$E$8+AA161*Guide!$E$9+AD161*Guide!$E$10+AG161*Guide!$E$11+AJ161*Guide!$E$12,"")</x:f>
        <x:v>358.5</x:v>
      </x:c>
      <x:c r="H161" s="4" t="n">
        <x:f>IF(COUNT(G161,F161)=2,G161-F161,"")</x:f>
        <x:v>98.75</x:v>
      </x:c>
      <x:c r="I161" s="4" t="n">
        <x:f>IF(AND(ISNUMBER(F161),K161&gt;0),F161/K161,"")</x:f>
        <x:v>3.4177631578947367</x:v>
      </x:c>
      <x:c r="J161" s="4" t="n">
        <x:f>IF(AND(ISNUMBER(G161),L161&gt;0),G161/L161,"")</x:f>
        <x:v>4.371951219512195</x:v>
      </x:c>
      <x:c r="K161" s="10" t="n">
        <x:v>76</x:v>
      </x:c>
      <x:c r="L161" s="10" t="n">
        <x:v>82</x:v>
      </x:c>
      <x:c r="M161" s="10" t="n">
        <x:f>IF(COUNT(L161,K161)=2,L161-K161,"")</x:f>
        <x:v>6</x:v>
      </x:c>
      <x:c r="N161" s="10" t="n">
        <x:v>9</x:v>
      </x:c>
      <x:c r="O161" s="10" t="n">
        <x:v>10</x:v>
      </x:c>
      <x:c r="P161" s="10" t="n">
        <x:f>IF(COUNT(O161,N161)=2,O161-N161,"")</x:f>
        <x:v>1</x:v>
      </x:c>
      <x:c r="Q161" s="10" t="n">
        <x:v>27</x:v>
      </x:c>
      <x:c r="R161" s="10" t="n">
        <x:v>48</x:v>
      </x:c>
      <x:c r="S161" s="10" t="n">
        <x:f>IF(COUNT(R161,Q161)=2,R161-Q161,"")</x:f>
        <x:v>21</x:v>
      </x:c>
      <x:c r="T161" s="10" t="n">
        <x:v>-12</x:v>
      </x:c>
      <x:c r="U161" s="10" t="n">
        <x:v>-2</x:v>
      </x:c>
      <x:c r="V161" s="10" t="n">
        <x:f>IF(COUNT(U161,T161)=2,U161-T161,"")</x:f>
        <x:v>10</x:v>
      </x:c>
      <x:c r="W161" s="10" t="n">
        <x:v>9</x:v>
      </x:c>
      <x:c r="X161" s="10" t="n">
        <x:f>IF(COUNT(AV161,AW161)=2,AV161+AW161,"")</x:f>
        <x:v>17</x:v>
      </x:c>
      <x:c r="Y161" s="10" t="n">
        <x:f>IF(COUNT(X161,W161)=2,X161-W161,"")</x:f>
        <x:v>8</x:v>
      </x:c>
      <x:c r="Z161" s="10" t="n">
        <x:v>1</x:v>
      </x:c>
      <x:c r="AA161" s="10" t="n">
        <x:f>IF(COUNT(AX161,AY161)=2,AX161+AY161,"")</x:f>
        <x:v>2</x:v>
      </x:c>
      <x:c r="AB161" s="10" t="n">
        <x:f>IF(COUNT(AA161,Z161)=2,AA161-Z161,"")</x:f>
        <x:v>1</x:v>
      </x:c>
      <x:c r="AC161" s="10" t="n">
        <x:v>111</x:v>
      </x:c>
      <x:c r="AD161" s="10" t="n">
        <x:v>156</x:v>
      </x:c>
      <x:c r="AE161" s="10" t="n">
        <x:f>IF(COUNT(AD161,AC161)=2,AD161-AC161,"")</x:f>
        <x:v>45</x:v>
      </x:c>
      <x:c r="AF161" s="10" t="n">
        <x:v>64</x:v>
      </x:c>
      <x:c r="AG161" s="10" t="n">
        <x:v>74</x:v>
      </x:c>
      <x:c r="AH161" s="10" t="n">
        <x:f>IF(COUNT(AG161,AF161)=2,AG161-AF161,"")</x:f>
        <x:v>10</x:v>
      </x:c>
      <x:c r="AI161" s="10" t="n">
        <x:v>132</x:v>
      </x:c>
      <x:c r="AJ161" s="10" t="n">
        <x:v>128</x:v>
      </x:c>
      <x:c r="AK161" s="10" t="n">
        <x:f>IF(COUNT(AJ161,AI161)=2,AJ161-AI161,"")</x:f>
        <x:v>-4</x:v>
      </x:c>
      <x:c r="AL161" s="10" t="n">
        <x:v>25</x:v>
      </x:c>
      <x:c r="AM161" s="10" t="n">
        <x:v>25</x:v>
      </x:c>
      <x:c r="AN161" s="4" t="str">
        <x:v>D</x:v>
      </x:c>
      <x:c r="AO161" s="4" t="str">
        <x:v>D</x:v>
      </x:c>
      <x:c r="AP161" s="4" t="str">
        <x:v>ANA</x:v>
      </x:c>
      <x:c r="AQ161" s="4" t="str">
        <x:v>ANA</x:v>
      </x:c>
      <x:c r="AR161" s="4" t="n">
        <x:v>21.89</x:v>
      </x:c>
      <x:c r="AS161" s="4" t="n">
        <x:v>24.25</x:v>
      </x:c>
      <x:c r="AT161" s="4" t="n">
        <x:v>1.89</x:v>
      </x:c>
      <x:c r="AU161" s="4" t="n">
        <x:v>6.4</x:v>
      </x:c>
      <x:c r="AV161" s="10" t="n">
        <x:v>3</x:v>
      </x:c>
      <x:c r="AW161" s="10" t="n">
        <x:v>14</x:v>
      </x:c>
      <x:c r="AX161" s="10" t="n">
        <x:v>1</x:v>
      </x:c>
      <x:c r="AY161" s="10" t="n">
        <x:v>1</x:v>
      </x:c>
      <x:c r="AZ161" s="10" t="n">
        <x:v>1734</x:v>
      </x:c>
      <x:c r="BA161" s="10" t="n">
        <x:v>1483</x:v>
      </x:c>
      <x:c r="BB161" s="4" t="n">
        <x:v>53.9</x:v>
      </x:c>
      <x:c r="BC161" s="4" t="n">
        <x:v>2.2</x:v>
      </x:c>
      <x:c r="BD161" s="10" t="n">
        <x:v>1274</x:v>
      </x:c>
      <x:c r="BE161" s="10" t="n">
        <x:v>1092</x:v>
      </x:c>
      <x:c r="BF161" s="4" t="n">
        <x:v>53.8</x:v>
      </x:c>
      <x:c r="BG161" s="4" t="n">
        <x:v>2</x:v>
      </x:c>
      <x:c r="BH161" s="4" t="n">
        <x:v>10.7</x:v>
      </x:c>
      <x:c r="BI161" s="4" t="n">
        <x:v>86.9</x:v>
      </x:c>
      <x:c r="BJ161" s="4" t="n">
        <x:v>97.5</x:v>
      </x:c>
      <x:c r="BK161" s="4" t="n">
        <x:v>49.4</x:v>
      </x:c>
      <x:c r="BL161" s="4" t="n">
        <x:v>50.6</x:v>
      </x:c>
      <x:c r="BM161" s="4" t="n">
        <x:v>24.25</x:v>
      </x:c>
      <x:c r="BN161" s="4" t="n">
        <x:v>19.366666666666667</x:v>
      </x:c>
      <x:c r="BO161" s="10" t="n">
        <x:v>52</x:v>
      </x:c>
      <x:c r="BP161" s="10" t="n">
        <x:v>110</x:v>
      </x:c>
      <x:c r="BQ161" s="4" t="n">
        <x:v>9.1</x:v>
      </x:c>
      <x:c r="BR161" s="10" t="n">
        <x:v>349</x:v>
      </x:c>
      <x:c r="BS161" s="4" t="n">
        <x:v>44.7</x:v>
      </x:c>
      <x:c r="BT161" s="10" t="n">
        <x:v>82</x:v>
      </x:c>
      <x:c r="BU161" s="4" t="str">
        <x:v>ANA</x:v>
      </x:c>
      <x:c r="BV161" s="10" t="n">
        <x:v>289</x:v>
      </x:c>
      <x:c r="BW161" s="10" t="n">
        <x:v>103</x:v>
      </x:c>
      <x:c r="BX161" s="10" t="n">
        <x:v>562</x:v>
      </x:c>
      <x:c r="BY161" s="4" t="str">
        <x:v>Jackson LaCombe</x:v>
      </x:c>
      <x:c r="BZ161" s="4" t="str">
        <x:v>Jackson LaCombe</x:v>
      </x:c>
      <x:c r="CA161" s="4" t="str">
        <x:v>Jackson LaCombe</x:v>
      </x:c>
      <x:c r="CB161" s="4" t="str">
        <x:v>lacomja01</x:v>
      </x:c>
    </x:row>
    <x:row r="162" ht="22" customHeight="1">
      <x:c r="A162" s="4" t="str">
        <x:v>Jacob Trouba</x:v>
      </x:c>
      <x:c r="B162" s="4" t="str">
        <x:v>jacobtrouba</x:v>
      </x:c>
      <x:c r="C162" s="10" t="n">
        <x:v>1</x:v>
      </x:c>
      <x:c r="D162" s="10" t="n">
        <x:v>1</x:v>
      </x:c>
      <x:c r="E162" s="10" t="n">
        <x:v>1</x:v>
      </x:c>
      <x:c r="F162" s="4" t="n">
        <x:f>IF(COUNT(N162,Q162,T162,W162,Z162,AC162,AF162,AI162)=8,N162*Guide!$E$5+Q162*Guide!$E$6+T162*Guide!$E$7+W162*Guide!$E$8+Z162*Guide!$E$9+AC162*Guide!$E$10+AF162*Guide!$E$11+AI162*Guide!$E$12,"")</x:f>
        <x:v>268.75</x:v>
      </x:c>
      <x:c r="G162" s="4" t="n">
        <x:f>IF(COUNT(O162,R162,U162,X162,AA162,AD162,AG162,AJ162)=8,O162*Guide!$E$5+R162*Guide!$E$6+U162*Guide!$E$7+X162*Guide!$E$8+AA162*Guide!$E$9+AD162*Guide!$E$10+AG162*Guide!$E$11+AJ162*Guide!$E$12,"")</x:f>
        <x:v>307</x:v>
      </x:c>
      <x:c r="H162" s="4" t="n">
        <x:f>IF(COUNT(G162,F162)=2,G162-F162,"")</x:f>
        <x:v>38.25</x:v>
      </x:c>
      <x:c r="I162" s="4" t="n">
        <x:f>IF(AND(ISNUMBER(F162),K162&gt;0),F162/K162,"")</x:f>
        <x:v>3.6317567567567566</x:v>
      </x:c>
      <x:c r="J162" s="4" t="n">
        <x:f>IF(AND(ISNUMBER(G162),L162&gt;0),G162/L162,"")</x:f>
        <x:v>3.7901234567901234</x:v>
      </x:c>
      <x:c r="K162" s="10" t="n">
        <x:v>74</x:v>
      </x:c>
      <x:c r="L162" s="10" t="n">
        <x:v>81</x:v>
      </x:c>
      <x:c r="M162" s="10" t="n">
        <x:f>IF(COUNT(L162,K162)=2,L162-K162,"")</x:f>
        <x:v>7</x:v>
      </x:c>
      <x:c r="N162" s="10" t="n">
        <x:v>4</x:v>
      </x:c>
      <x:c r="O162" s="10" t="n">
        <x:v>10</x:v>
      </x:c>
      <x:c r="P162" s="10" t="n">
        <x:f>IF(COUNT(O162,N162)=2,O162-N162,"")</x:f>
        <x:v>6</x:v>
      </x:c>
      <x:c r="Q162" s="10" t="n">
        <x:v>17</x:v>
      </x:c>
      <x:c r="R162" s="10" t="n">
        <x:v>25</x:v>
      </x:c>
      <x:c r="S162" s="10" t="n">
        <x:f>IF(COUNT(R162,Q162)=2,R162-Q162,"")</x:f>
        <x:v>8</x:v>
      </x:c>
      <x:c r="T162" s="10" t="n">
        <x:v>-7</x:v>
      </x:c>
      <x:c r="U162" s="10" t="n">
        <x:v>-1</x:v>
      </x:c>
      <x:c r="V162" s="10" t="n">
        <x:f>IF(COUNT(U162,T162)=2,U162-T162,"")</x:f>
        <x:v>6</x:v>
      </x:c>
      <x:c r="W162" s="10" t="n">
        <x:v>1</x:v>
      </x:c>
      <x:c r="X162" s="10" t="n">
        <x:f>IF(COUNT(AV162,AW162)=2,AV162+AW162,"")</x:f>
        <x:v>1</x:v>
      </x:c>
      <x:c r="Y162" s="10" t="n">
        <x:f>IF(COUNT(X162,W162)=2,X162-W162,"")</x:f>
        <x:v>0</x:v>
      </x:c>
      <x:c r="Z162" s="10" t="n">
        <x:v>1</x:v>
      </x:c>
      <x:c r="AA162" s="10" t="n">
        <x:f>IF(COUNT(AX162,AY162)=2,AX162+AY162,"")</x:f>
        <x:v>1</x:v>
      </x:c>
      <x:c r="AB162" s="10" t="n">
        <x:f>IF(COUNT(AA162,Z162)=2,AA162-Z162,"")</x:f>
        <x:v>0</x:v>
      </x:c>
      <x:c r="AC162" s="10" t="n">
        <x:v>114</x:v>
      </x:c>
      <x:c r="AD162" s="10" t="n">
        <x:v>166</x:v>
      </x:c>
      <x:c r="AE162" s="10" t="n">
        <x:f>IF(COUNT(AD162,AC162)=2,AD162-AC162,"")</x:f>
        <x:v>52</x:v>
      </x:c>
      <x:c r="AF162" s="10" t="n">
        <x:v>153</x:v>
      </x:c>
      <x:c r="AG162" s="10" t="n">
        <x:v>143</x:v>
      </x:c>
      <x:c r="AH162" s="10" t="n">
        <x:f>IF(COUNT(AG162,AF162)=2,AG162-AF162,"")</x:f>
        <x:v>-10</x:v>
      </x:c>
      <x:c r="AI162" s="10" t="n">
        <x:v>184</x:v>
      </x:c>
      <x:c r="AJ162" s="10" t="n">
        <x:v>149</x:v>
      </x:c>
      <x:c r="AK162" s="10" t="n">
        <x:f>IF(COUNT(AJ162,AI162)=2,AJ162-AI162,"")</x:f>
        <x:v>-35</x:v>
      </x:c>
      <x:c r="AL162" s="10" t="n">
        <x:v>31</x:v>
      </x:c>
      <x:c r="AM162" s="10" t="n">
        <x:v>31</x:v>
      </x:c>
      <x:c r="AN162" s="4" t="str">
        <x:v>D</x:v>
      </x:c>
      <x:c r="AO162" s="4" t="str">
        <x:v>D</x:v>
      </x:c>
      <x:c r="AP162" s="4" t="str">
        <x:v>ANA</x:v>
      </x:c>
      <x:c r="AQ162" s="4" t="str">
        <x:v>ANA</x:v>
      </x:c>
      <x:c r="AR162" s="4" t="n">
        <x:v>20.59</x:v>
      </x:c>
      <x:c r="AS162" s="4" t="n">
        <x:v>22.833333333333332</x:v>
      </x:c>
      <x:c r="AT162" s="4" t="n">
        <x:v>0.18</x:v>
      </x:c>
      <x:c r="AU162" s="4" t="n">
        <x:v>6</x:v>
      </x:c>
      <x:c r="AV162" s="10" t="n">
        <x:v>0</x:v>
      </x:c>
      <x:c r="AW162" s="10" t="n">
        <x:v>1</x:v>
      </x:c>
      <x:c r="AX162" s="10" t="n">
        <x:v>0</x:v>
      </x:c>
      <x:c r="AY162" s="10" t="n">
        <x:v>1</x:v>
      </x:c>
      <x:c r="AZ162" s="10" t="n">
        <x:v>1672</x:v>
      </x:c>
      <x:c r="BA162" s="10" t="n">
        <x:v>1554</x:v>
      </x:c>
      <x:c r="BB162" s="4" t="n">
        <x:v>51.8</x:v>
      </x:c>
      <x:c r="BC162" s="4" t="n">
        <x:v>-1</x:v>
      </x:c>
      <x:c r="BD162" s="10" t="n">
        <x:v>1224</x:v>
      </x:c>
      <x:c r="BE162" s="10" t="n">
        <x:v>1125</x:v>
      </x:c>
      <x:c r="BF162" s="4" t="n">
        <x:v>52.1</x:v>
      </x:c>
      <x:c r="BG162" s="4" t="n">
        <x:v>-0.7</x:v>
      </x:c>
      <x:c r="BH162" s="4" t="n">
        <x:v>9.4</x:v>
      </x:c>
      <x:c r="BI162" s="4" t="n">
        <x:v>89.2</x:v>
      </x:c>
      <x:c r="BJ162" s="4" t="n">
        <x:v>98.6</x:v>
      </x:c>
      <x:c r="BK162" s="4" t="n">
        <x:v>48.9</x:v>
      </x:c>
      <x:c r="BL162" s="4" t="n">
        <x:v>51.1</x:v>
      </x:c>
      <x:c r="BM162" s="4" t="n">
        <x:v>22.833333333333332</x:v>
      </x:c>
      <x:c r="BN162" s="4" t="n">
        <x:v>19.066666666666666</x:v>
      </x:c>
      <x:c r="BO162" s="10" t="n">
        <x:v>22</x:v>
      </x:c>
      <x:c r="BP162" s="10" t="n">
        <x:v>89</x:v>
      </x:c>
      <x:c r="BQ162" s="4" t="n">
        <x:v>-3.1</x:v>
      </x:c>
      <x:c r="BR162" s="10" t="n">
        <x:v>345</x:v>
      </x:c>
      <x:c r="BS162" s="4" t="n">
        <x:v>48.1</x:v>
      </x:c>
      <x:c r="BT162" s="10" t="n">
        <x:v>81</x:v>
      </x:c>
      <x:c r="BU162" s="4" t="str">
        <x:v>ANA</x:v>
      </x:c>
      <x:c r="BV162" s="10" t="n">
        <x:v>491</x:v>
      </x:c>
      <x:c r="BW162" s="10" t="n">
        <x:v>274</x:v>
      </x:c>
      <x:c r="BX162" s="10" t="n">
        <x:v>1031</x:v>
      </x:c>
      <x:c r="BY162" s="4" t="str">
        <x:v>Jacob Trouba</x:v>
      </x:c>
      <x:c r="BZ162" s="4" t="str">
        <x:v>Jacob Trouba</x:v>
      </x:c>
      <x:c r="CA162" s="4" t="str">
        <x:v>Jacob Trouba</x:v>
      </x:c>
      <x:c r="CB162" s="4" t="str">
        <x:v>troubja01</x:v>
      </x:c>
    </x:row>
    <x:row r="163" ht="22" customHeight="1">
      <x:c r="A163" s="4" t="str">
        <x:v>Jaden Schwartz</x:v>
      </x:c>
      <x:c r="B163" s="4" t="str">
        <x:v>jadenschwartz</x:v>
      </x:c>
      <x:c r="C163" s="10" t="n">
        <x:v>1</x:v>
      </x:c>
      <x:c r="D163" s="10" t="n">
        <x:v>1</x:v>
      </x:c>
      <x:c r="E163" s="10" t="n">
        <x:v>1</x:v>
      </x:c>
      <x:c r="F163" s="4" t="n">
        <x:f>IF(COUNT(N163,Q163,T163,W163,Z163,AC163,AF163,AI163)=8,N163*Guide!$E$5+Q163*Guide!$E$6+T163*Guide!$E$7+W163*Guide!$E$8+Z163*Guide!$E$9+AC163*Guide!$E$10+AF163*Guide!$E$11+AI163*Guide!$E$12,"")</x:f>
        <x:v>237.25</x:v>
      </x:c>
      <x:c r="G163" s="4" t="n">
        <x:f>IF(COUNT(O163,R163,U163,X163,AA163,AD163,AG163,AJ163)=8,O163*Guide!$E$5+R163*Guide!$E$6+U163*Guide!$E$7+X163*Guide!$E$8+AA163*Guide!$E$9+AD163*Guide!$E$10+AG163*Guide!$E$11+AJ163*Guide!$E$12,"")</x:f>
        <x:v>160</x:v>
      </x:c>
      <x:c r="H163" s="4" t="n">
        <x:f>IF(COUNT(G163,F163)=2,G163-F163,"")</x:f>
        <x:v>-77.25</x:v>
      </x:c>
      <x:c r="I163" s="4" t="n">
        <x:f>IF(AND(ISNUMBER(F163),K163&gt;0),F163/K163,"")</x:f>
        <x:v>2.965625</x:v>
      </x:c>
      <x:c r="J163" s="4" t="n">
        <x:f>IF(AND(ISNUMBER(G163),L163&gt;0),G163/L163,"")</x:f>
        <x:v>3.2</x:v>
      </x:c>
      <x:c r="K163" s="10" t="n">
        <x:v>80</x:v>
      </x:c>
      <x:c r="L163" s="10" t="n">
        <x:v>50</x:v>
      </x:c>
      <x:c r="M163" s="10" t="n">
        <x:f>IF(COUNT(L163,K163)=2,L163-K163,"")</x:f>
        <x:v>-30</x:v>
      </x:c>
      <x:c r="N163" s="10" t="n">
        <x:v>22</x:v>
      </x:c>
      <x:c r="O163" s="10" t="n">
        <x:v>11</x:v>
      </x:c>
      <x:c r="P163" s="10" t="n">
        <x:f>IF(COUNT(O163,N163)=2,O163-N163,"")</x:f>
        <x:v>-11</x:v>
      </x:c>
      <x:c r="Q163" s="10" t="n">
        <x:v>22</x:v>
      </x:c>
      <x:c r="R163" s="10" t="n">
        <x:v>15</x:v>
      </x:c>
      <x:c r="S163" s="10" t="n">
        <x:f>IF(COUNT(R163,Q163)=2,R163-Q163,"")</x:f>
        <x:v>-7</x:v>
      </x:c>
      <x:c r="T163" s="10" t="n">
        <x:v>-11</x:v>
      </x:c>
      <x:c r="U163" s="10" t="n">
        <x:v>5</x:v>
      </x:c>
      <x:c r="V163" s="10" t="n">
        <x:f>IF(COUNT(U163,T163)=2,U163-T163,"")</x:f>
        <x:v>16</x:v>
      </x:c>
      <x:c r="W163" s="10" t="n">
        <x:v>11</x:v>
      </x:c>
      <x:c r="X163" s="10" t="n">
        <x:f>IF(COUNT(AV163,AW163)=2,AV163+AW163,"")</x:f>
        <x:v>3</x:v>
      </x:c>
      <x:c r="Y163" s="10" t="n">
        <x:f>IF(COUNT(X163,W163)=2,X163-W163,"")</x:f>
        <x:v>-8</x:v>
      </x:c>
      <x:c r="Z163" s="10" t="n">
        <x:v>0</x:v>
      </x:c>
      <x:c r="AA163" s="10" t="n">
        <x:f>IF(COUNT(AX163,AY163)=2,AX163+AY163,"")</x:f>
        <x:v>1</x:v>
      </x:c>
      <x:c r="AB163" s="10" t="n">
        <x:f>IF(COUNT(AA163,Z163)=2,AA163-Z163,"")</x:f>
        <x:v>1</x:v>
      </x:c>
      <x:c r="AC163" s="10" t="n">
        <x:v>167</x:v>
      </x:c>
      <x:c r="AD163" s="10" t="n">
        <x:v>82</x:v>
      </x:c>
      <x:c r="AE163" s="10" t="n">
        <x:f>IF(COUNT(AD163,AC163)=2,AD163-AC163,"")</x:f>
        <x:v>-85</x:v>
      </x:c>
      <x:c r="AF163" s="10" t="n">
        <x:v>49</x:v>
      </x:c>
      <x:c r="AG163" s="10" t="n">
        <x:v>32</x:v>
      </x:c>
      <x:c r="AH163" s="10" t="n">
        <x:f>IF(COUNT(AG163,AF163)=2,AG163-AF163,"")</x:f>
        <x:v>-17</x:v>
      </x:c>
      <x:c r="AI163" s="10" t="n">
        <x:v>39</x:v>
      </x:c>
      <x:c r="AJ163" s="10" t="n">
        <x:v>42</x:v>
      </x:c>
      <x:c r="AK163" s="10" t="n">
        <x:f>IF(COUNT(AJ163,AI163)=2,AJ163-AI163,"")</x:f>
        <x:v>3</x:v>
      </x:c>
      <x:c r="AL163" s="10" t="n">
        <x:v>33</x:v>
      </x:c>
      <x:c r="AM163" s="10" t="n">
        <x:v>33</x:v>
      </x:c>
      <x:c r="AN163" s="4" t="str">
        <x:v>C,LW</x:v>
      </x:c>
      <x:c r="AO163" s="4" t="str">
        <x:v>C</x:v>
      </x:c>
      <x:c r="AP163" s="4" t="str">
        <x:v>SEA</x:v>
      </x:c>
      <x:c r="AQ163" s="4" t="str">
        <x:v>SEA</x:v>
      </x:c>
      <x:c r="AR163" s="4" t="n">
        <x:v>17.32</x:v>
      </x:c>
      <x:c r="AS163" s="4" t="n">
        <x:v>16.133333333333333</x:v>
      </x:c>
      <x:c r="AT163" s="4" t="n">
        <x:v>2.23</x:v>
      </x:c>
      <x:c r="AU163" s="4" t="n">
        <x:v>13.4</x:v>
      </x:c>
      <x:c r="AV163" s="10" t="n">
        <x:v>2</x:v>
      </x:c>
      <x:c r="AW163" s="10" t="n">
        <x:v>1</x:v>
      </x:c>
      <x:c r="AX163" s="10" t="n">
        <x:v>1</x:v>
      </x:c>
      <x:c r="AY163" s="10" t="n">
        <x:v>0</x:v>
      </x:c>
      <x:c r="AZ163" s="10" t="n">
        <x:v>590</x:v>
      </x:c>
      <x:c r="BA163" s="10" t="n">
        <x:v>737</x:v>
      </x:c>
      <x:c r="BB163" s="4" t="n">
        <x:v>44.5</x:v>
      </x:c>
      <x:c r="BC163" s="4" t="n">
        <x:v>-1.9</x:v>
      </x:c>
      <x:c r="BD163" s="10" t="n">
        <x:v>416</x:v>
      </x:c>
      <x:c r="BE163" s="10" t="n">
        <x:v>533</x:v>
      </x:c>
      <x:c r="BF163" s="4" t="n">
        <x:v>43.8</x:v>
      </x:c>
      <x:c r="BG163" s="4" t="n">
        <x:v>-2.9</x:v>
      </x:c>
      <x:c r="BH163" s="4" t="n">
        <x:v>12</x:v>
      </x:c>
      <x:c r="BI163" s="4" t="n">
        <x:v>91.8</x:v>
      </x:c>
      <x:c r="BJ163" s="4" t="n">
        <x:v>103.8</x:v>
      </x:c>
      <x:c r="BK163" s="4" t="n">
        <x:v>44.2</x:v>
      </x:c>
      <x:c r="BL163" s="4" t="n">
        <x:v>55.8</x:v>
      </x:c>
      <x:c r="BM163" s="4" t="n">
        <x:v>16.133333333333333</x:v>
      </x:c>
      <x:c r="BN163" s="4" t="n">
        <x:v>13.666666666666666</x:v>
      </x:c>
      <x:c r="BO163" s="10" t="n">
        <x:v>25</x:v>
      </x:c>
      <x:c r="BP163" s="10" t="n">
        <x:v>47</x:v>
      </x:c>
      <x:c r="BQ163" s="4" t="n">
        <x:v>-6.6</x:v>
      </x:c>
      <x:c r="BR163" s="10" t="n">
        <x:v>156</x:v>
      </x:c>
      <x:c r="BS163" s="4" t="n">
        <x:v>52.6</x:v>
      </x:c>
      <x:c r="BT163" s="10" t="n">
        <x:v>50</x:v>
      </x:c>
      <x:c r="BU163" s="4" t="str">
        <x:v>SEA</x:v>
      </x:c>
      <x:c r="BV163" s="10" t="n">
        <x:v>208</x:v>
      </x:c>
      <x:c r="BW163" s="10" t="n">
        <x:v>379</x:v>
      </x:c>
      <x:c r="BX163" s="10" t="n">
        <x:v>913</x:v>
      </x:c>
      <x:c r="BY163" s="4" t="str">
        <x:v>Jaden Schwartz</x:v>
      </x:c>
      <x:c r="BZ163" s="4" t="str">
        <x:v>Jaden Schwartz</x:v>
      </x:c>
      <x:c r="CA163" s="4" t="str">
        <x:v>Jaden Schwartz</x:v>
      </x:c>
      <x:c r="CB163" s="4" t="str">
        <x:v>schwaja01</x:v>
      </x:c>
    </x:row>
    <x:row r="164" ht="22" customHeight="1">
      <x:c r="A164" s="4" t="str">
        <x:v>Jake DeBrusk</x:v>
      </x:c>
      <x:c r="B164" s="4" t="str">
        <x:v>jakedebrusk</x:v>
      </x:c>
      <x:c r="C164" s="10" t="n">
        <x:v>1</x:v>
      </x:c>
      <x:c r="D164" s="10" t="n">
        <x:v>1</x:v>
      </x:c>
      <x:c r="E164" s="10" t="n">
        <x:v>1</x:v>
      </x:c>
      <x:c r="F164" s="4" t="n">
        <x:f>IF(COUNT(N164,Q164,T164,W164,Z164,AC164,AF164,AI164)=8,N164*Guide!$E$5+Q164*Guide!$E$6+T164*Guide!$E$7+W164*Guide!$E$8+Z164*Guide!$E$9+AC164*Guide!$E$10+AF164*Guide!$E$11+AI164*Guide!$E$12,"")</x:f>
        <x:v>291.75</x:v>
      </x:c>
      <x:c r="G164" s="4" t="n">
        <x:f>IF(COUNT(O164,R164,U164,X164,AA164,AD164,AG164,AJ164)=8,O164*Guide!$E$5+R164*Guide!$E$6+U164*Guide!$E$7+X164*Guide!$E$8+AA164*Guide!$E$9+AD164*Guide!$E$10+AG164*Guide!$E$11+AJ164*Guide!$E$12,"")</x:f>
        <x:v>239.5</x:v>
      </x:c>
      <x:c r="H164" s="4" t="n">
        <x:f>IF(COUNT(G164,F164)=2,G164-F164,"")</x:f>
        <x:v>-52.25</x:v>
      </x:c>
      <x:c r="I164" s="4" t="n">
        <x:f>IF(AND(ISNUMBER(F164),K164&gt;0),F164/K164,"")</x:f>
        <x:v>3.646875</x:v>
      </x:c>
      <x:c r="J164" s="4" t="n">
        <x:f>IF(AND(ISNUMBER(G164),L164&gt;0),G164/L164,"")</x:f>
        <x:v>2.95679012345679</x:v>
      </x:c>
      <x:c r="K164" s="10" t="n">
        <x:v>80</x:v>
      </x:c>
      <x:c r="L164" s="10" t="n">
        <x:v>81</x:v>
      </x:c>
      <x:c r="M164" s="10" t="n">
        <x:f>IF(COUNT(L164,K164)=2,L164-K164,"")</x:f>
        <x:v>1</x:v>
      </x:c>
      <x:c r="N164" s="10" t="n">
        <x:v>26</x:v>
      </x:c>
      <x:c r="O164" s="10" t="n">
        <x:v>23</x:v>
      </x:c>
      <x:c r="P164" s="10" t="n">
        <x:f>IF(COUNT(O164,N164)=2,O164-N164,"")</x:f>
        <x:v>-3</x:v>
      </x:c>
      <x:c r="Q164" s="10" t="n">
        <x:v>24</x:v>
      </x:c>
      <x:c r="R164" s="10" t="n">
        <x:v>19</x:v>
      </x:c>
      <x:c r="S164" s="10" t="n">
        <x:f>IF(COUNT(R164,Q164)=2,R164-Q164,"")</x:f>
        <x:v>-5</x:v>
      </x:c>
      <x:c r="T164" s="10" t="n">
        <x:v>-1</x:v>
      </x:c>
      <x:c r="U164" s="10" t="n">
        <x:v>-31</x:v>
      </x:c>
      <x:c r="V164" s="10" t="n">
        <x:f>IF(COUNT(U164,T164)=2,U164-T164,"")</x:f>
        <x:v>-30</x:v>
      </x:c>
      <x:c r="W164" s="10" t="n">
        <x:v>16</x:v>
      </x:c>
      <x:c r="X164" s="10" t="n">
        <x:f>IF(COUNT(AV164,AW164)=2,AV164+AW164,"")</x:f>
        <x:v>24</x:v>
      </x:c>
      <x:c r="Y164" s="10" t="n">
        <x:f>IF(COUNT(X164,W164)=2,X164-W164,"")</x:f>
        <x:v>8</x:v>
      </x:c>
      <x:c r="Z164" s="10" t="n">
        <x:v>0</x:v>
      </x:c>
      <x:c r="AA164" s="10" t="n">
        <x:f>IF(COUNT(AX164,AY164)=2,AX164+AY164,"")</x:f>
        <x:v>0</x:v>
      </x:c>
      <x:c r="AB164" s="10" t="n">
        <x:f>IF(COUNT(AA164,Z164)=2,AA164-Z164,"")</x:f>
        <x:v>0</x:v>
      </x:c>
      <x:c r="AC164" s="10" t="n">
        <x:v>172</x:v>
      </x:c>
      <x:c r="AD164" s="10" t="n">
        <x:v>219</x:v>
      </x:c>
      <x:c r="AE164" s="10" t="n">
        <x:f>IF(COUNT(AD164,AC164)=2,AD164-AC164,"")</x:f>
        <x:v>47</x:v>
      </x:c>
      <x:c r="AF164" s="10" t="n">
        <x:v>96</x:v>
      </x:c>
      <x:c r="AG164" s="10" t="n">
        <x:v>66</x:v>
      </x:c>
      <x:c r="AH164" s="10" t="n">
        <x:f>IF(COUNT(AG164,AF164)=2,AG164-AF164,"")</x:f>
        <x:v>-30</x:v>
      </x:c>
      <x:c r="AI164" s="10" t="n">
        <x:v>45</x:v>
      </x:c>
      <x:c r="AJ164" s="10" t="n">
        <x:v>35</x:v>
      </x:c>
      <x:c r="AK164" s="10" t="n">
        <x:f>IF(COUNT(AJ164,AI164)=2,AJ164-AI164,"")</x:f>
        <x:v>-10</x:v>
      </x:c>
      <x:c r="AL164" s="10" t="n">
        <x:v>29</x:v>
      </x:c>
      <x:c r="AM164" s="10" t="n">
        <x:v>29</x:v>
      </x:c>
      <x:c r="AN164" s="4" t="str">
        <x:v>LW,RW</x:v>
      </x:c>
      <x:c r="AO164" s="4" t="str">
        <x:v>LW</x:v>
      </x:c>
      <x:c r="AP164" s="4" t="str">
        <x:v>VAN</x:v>
      </x:c>
      <x:c r="AQ164" s="4" t="str">
        <x:v>VAN</x:v>
      </x:c>
      <x:c r="AR164" s="4" t="n">
        <x:v>16.56</x:v>
      </x:c>
      <x:c r="AS164" s="4" t="n">
        <x:v>16.866666666666667</x:v>
      </x:c>
      <x:c r="AT164" s="4" t="n">
        <x:v>2.34</x:v>
      </x:c>
      <x:c r="AU164" s="4" t="n">
        <x:v>10.5</x:v>
      </x:c>
      <x:c r="AV164" s="10" t="n">
        <x:v>19</x:v>
      </x:c>
      <x:c r="AW164" s="10" t="n">
        <x:v>5</x:v>
      </x:c>
      <x:c r="AX164" s="10" t="n">
        <x:v>0</x:v>
      </x:c>
      <x:c r="AY164" s="10" t="n">
        <x:v>0</x:v>
      </x:c>
      <x:c r="AZ164" s="10" t="n">
        <x:v>969</x:v>
      </x:c>
      <x:c r="BA164" s="10" t="n">
        <x:v>1107</x:v>
      </x:c>
      <x:c r="BB164" s="4" t="n">
        <x:v>46.7</x:v>
      </x:c>
      <x:c r="BC164" s="4" t="n">
        <x:v>0.1</x:v>
      </x:c>
      <x:c r="BD164" s="10" t="n">
        <x:v>716</x:v>
      </x:c>
      <x:c r="BE164" s="10" t="n">
        <x:v>826</x:v>
      </x:c>
      <x:c r="BF164" s="4" t="n">
        <x:v>46.4</x:v>
      </x:c>
      <x:c r="BG164" s="4" t="n">
        <x:v>0.3</x:v>
      </x:c>
      <x:c r="BH164" s="4" t="n">
        <x:v>7.6</x:v>
      </x:c>
      <x:c r="BI164" s="4" t="n">
        <x:v>87.8</x:v>
      </x:c>
      <x:c r="BJ164" s="4" t="n">
        <x:v>95.4</x:v>
      </x:c>
      <x:c r="BK164" s="4" t="n">
        <x:v>50.6</x:v>
      </x:c>
      <x:c r="BL164" s="4" t="n">
        <x:v>49.4</x:v>
      </x:c>
      <x:c r="BM164" s="4" t="n">
        <x:v>16.866666666666667</x:v>
      </x:c>
      <x:c r="BN164" s="4" t="n">
        <x:v>13.05</x:v>
      </x:c>
      <x:c r="BO164" s="10" t="n">
        <x:v>11</x:v>
      </x:c>
      <x:c r="BP164" s="10" t="n">
        <x:v>44</x:v>
      </x:c>
      <x:c r="BQ164" s="4" t="n">
        <x:v>-3.2</x:v>
      </x:c>
      <x:c r="BR164" s="10" t="n">
        <x:v>372</x:v>
      </x:c>
      <x:c r="BS164" s="4" t="n">
        <x:v>58.9</x:v>
      </x:c>
      <x:c r="BT164" s="10" t="n">
        <x:v>81</x:v>
      </x:c>
      <x:c r="BU164" s="4" t="str">
        <x:v>VAN</x:v>
      </x:c>
      <x:c r="BV164" s="10" t="n">
        <x:v>154</x:v>
      </x:c>
      <x:c r="BW164" s="10" t="n">
        <x:v>196</x:v>
      </x:c>
      <x:c r="BX164" s="10" t="n">
        <x:v>203</x:v>
      </x:c>
      <x:c r="BY164" s="4" t="str">
        <x:v>Jake DeBrusk</x:v>
      </x:c>
      <x:c r="BZ164" s="4" t="str">
        <x:v>Jake DeBrusk</x:v>
      </x:c>
      <x:c r="CA164" s="4" t="str">
        <x:v>Jake DeBrusk</x:v>
      </x:c>
      <x:c r="CB164" s="4" t="str">
        <x:v>debruja01</x:v>
      </x:c>
    </x:row>
    <x:row r="165" ht="22" customHeight="1">
      <x:c r="A165" s="4" t="str">
        <x:v>Jake Evans</x:v>
      </x:c>
      <x:c r="B165" s="4" t="str">
        <x:v>jakeevans</x:v>
      </x:c>
      <x:c r="C165" s="10" t="n">
        <x:v>1</x:v>
      </x:c>
      <x:c r="D165" s="10" t="n">
        <x:v>1</x:v>
      </x:c>
      <x:c r="E165" s="10" t="n">
        <x:v>1</x:v>
      </x:c>
      <x:c r="F165" s="4" t="n">
        <x:f>IF(COUNT(N165,Q165,T165,W165,Z165,AC165,AF165,AI165)=8,N165*Guide!$E$5+Q165*Guide!$E$6+T165*Guide!$E$7+W165*Guide!$E$8+Z165*Guide!$E$9+AC165*Guide!$E$10+AF165*Guide!$E$11+AI165*Guide!$E$12,"")</x:f>
        <x:v>202</x:v>
      </x:c>
      <x:c r="G165" s="4" t="n">
        <x:f>IF(COUNT(O165,R165,U165,X165,AA165,AD165,AG165,AJ165)=8,O165*Guide!$E$5+R165*Guide!$E$6+U165*Guide!$E$7+X165*Guide!$E$8+AA165*Guide!$E$9+AD165*Guide!$E$10+AG165*Guide!$E$11+AJ165*Guide!$E$12,"")</x:f>
        <x:v>160.75</x:v>
      </x:c>
      <x:c r="H165" s="4" t="n">
        <x:f>IF(COUNT(G165,F165)=2,G165-F165,"")</x:f>
        <x:v>-41.25</x:v>
      </x:c>
      <x:c r="I165" s="4" t="n">
        <x:f>IF(AND(ISNUMBER(F165),K165&gt;0),F165/K165,"")</x:f>
        <x:v>2.4634146341463414</x:v>
      </x:c>
      <x:c r="J165" s="4" t="n">
        <x:f>IF(AND(ISNUMBER(G165),L165&gt;0),G165/L165,"")</x:f>
        <x:v>2.363970588235294</x:v>
      </x:c>
      <x:c r="K165" s="10" t="n">
        <x:v>82</x:v>
      </x:c>
      <x:c r="L165" s="10" t="n">
        <x:v>68</x:v>
      </x:c>
      <x:c r="M165" s="10" t="n">
        <x:f>IF(COUNT(L165,K165)=2,L165-K165,"")</x:f>
        <x:v>-14</x:v>
      </x:c>
      <x:c r="N165" s="10" t="n">
        <x:v>10</x:v>
      </x:c>
      <x:c r="O165" s="10" t="n">
        <x:v>12</x:v>
      </x:c>
      <x:c r="P165" s="10" t="n">
        <x:f>IF(COUNT(O165,N165)=2,O165-N165,"")</x:f>
        <x:v>2</x:v>
      </x:c>
      <x:c r="Q165" s="10" t="n">
        <x:v>21</x:v>
      </x:c>
      <x:c r="R165" s="10" t="n">
        <x:v>12</x:v>
      </x:c>
      <x:c r="S165" s="10" t="n">
        <x:f>IF(COUNT(R165,Q165)=2,R165-Q165,"")</x:f>
        <x:v>-9</x:v>
      </x:c>
      <x:c r="T165" s="10" t="n">
        <x:v>-4</x:v>
      </x:c>
      <x:c r="U165" s="10" t="n">
        <x:v>-8</x:v>
      </x:c>
      <x:c r="V165" s="10" t="n">
        <x:f>IF(COUNT(U165,T165)=2,U165-T165,"")</x:f>
        <x:v>-4</x:v>
      </x:c>
      <x:c r="W165" s="10" t="n">
        <x:v>1</x:v>
      </x:c>
      <x:c r="X165" s="10" t="n">
        <x:f>IF(COUNT(AV165,AW165)=2,AV165+AW165,"")</x:f>
        <x:v>0</x:v>
      </x:c>
      <x:c r="Y165" s="10" t="n">
        <x:f>IF(COUNT(X165,W165)=2,X165-W165,"")</x:f>
        <x:v>-1</x:v>
      </x:c>
      <x:c r="Z165" s="10" t="n">
        <x:v>3</x:v>
      </x:c>
      <x:c r="AA165" s="10" t="n">
        <x:f>IF(COUNT(AX165,AY165)=2,AX165+AY165,"")</x:f>
        <x:v>2</x:v>
      </x:c>
      <x:c r="AB165" s="10" t="n">
        <x:f>IF(COUNT(AA165,Z165)=2,AA165-Z165,"")</x:f>
        <x:v>-1</x:v>
      </x:c>
      <x:c r="AC165" s="10" t="n">
        <x:v>79</x:v>
      </x:c>
      <x:c r="AD165" s="10" t="n">
        <x:v>76</x:v>
      </x:c>
      <x:c r="AE165" s="10" t="n">
        <x:f>IF(COUNT(AD165,AC165)=2,AD165-AC165,"")</x:f>
        <x:v>-3</x:v>
      </x:c>
      <x:c r="AF165" s="10" t="n">
        <x:v>104</x:v>
      </x:c>
      <x:c r="AG165" s="10" t="n">
        <x:v>89</x:v>
      </x:c>
      <x:c r="AH165" s="10" t="n">
        <x:f>IF(COUNT(AG165,AF165)=2,AG165-AF165,"")</x:f>
        <x:v>-15</x:v>
      </x:c>
      <x:c r="AI165" s="10" t="n">
        <x:v>63</x:v>
      </x:c>
      <x:c r="AJ165" s="10" t="n">
        <x:v>50</x:v>
      </x:c>
      <x:c r="AK165" s="10" t="n">
        <x:f>IF(COUNT(AJ165,AI165)=2,AJ165-AI165,"")</x:f>
        <x:v>-13</x:v>
      </x:c>
      <x:c r="AL165" s="10" t="n">
        <x:v>29</x:v>
      </x:c>
      <x:c r="AM165" s="10" t="n">
        <x:v>29</x:v>
      </x:c>
      <x:c r="AN165" s="4" t="str">
        <x:v>C</x:v>
      </x:c>
      <x:c r="AO165" s="4" t="str">
        <x:v>C</x:v>
      </x:c>
      <x:c r="AP165" s="4" t="str">
        <x:v>MTL</x:v>
      </x:c>
      <x:c r="AQ165" s="4" t="str">
        <x:v>MTL</x:v>
      </x:c>
      <x:c r="AR165" s="4" t="n">
        <x:v>15.48</x:v>
      </x:c>
      <x:c r="AS165" s="4" t="n">
        <x:v>15.35</x:v>
      </x:c>
      <x:c r="AT165" s="4" t="n">
        <x:v>0.17</x:v>
      </x:c>
      <x:c r="AU165" s="4" t="n">
        <x:v>15.8</x:v>
      </x:c>
      <x:c r="AV165" s="10" t="n">
        <x:v>0</x:v>
      </x:c>
      <x:c r="AW165" s="10" t="n">
        <x:v>0</x:v>
      </x:c>
      <x:c r="AX165" s="10" t="n">
        <x:v>2</x:v>
      </x:c>
      <x:c r="AY165" s="10" t="n">
        <x:v>0</x:v>
      </x:c>
      <x:c r="AZ165" s="10" t="n">
        <x:v>712</x:v>
      </x:c>
      <x:c r="BA165" s="10" t="n">
        <x:v>872</x:v>
      </x:c>
      <x:c r="BB165" s="4" t="n">
        <x:v>44.9</x:v>
      </x:c>
      <x:c r="BC165" s="4" t="n">
        <x:v>-4.2</x:v>
      </x:c>
      <x:c r="BD165" s="10" t="n">
        <x:v>494</x:v>
      </x:c>
      <x:c r="BE165" s="10" t="n">
        <x:v>612</x:v>
      </x:c>
      <x:c r="BF165" s="4" t="n">
        <x:v>44.7</x:v>
      </x:c>
      <x:c r="BG165" s="4" t="n">
        <x:v>-5.5</x:v>
      </x:c>
      <x:c r="BH165" s="4" t="n">
        <x:v>9.2</x:v>
      </x:c>
      <x:c r="BI165" s="4" t="n">
        <x:v>89.7</x:v>
      </x:c>
      <x:c r="BJ165" s="4" t="n">
        <x:v>98.9</x:v>
      </x:c>
      <x:c r="BK165" s="4" t="n">
        <x:v>28.5</x:v>
      </x:c>
      <x:c r="BL165" s="4" t="n">
        <x:v>71.5</x:v>
      </x:c>
      <x:c r="BM165" s="4" t="n">
        <x:v>15.35</x:v>
      </x:c>
      <x:c r="BN165" s="4" t="n">
        <x:v>12.433333333333334</x:v>
      </x:c>
      <x:c r="BO165" s="10" t="n">
        <x:v>15</x:v>
      </x:c>
      <x:c r="BP165" s="10" t="n">
        <x:v>48</x:v>
      </x:c>
      <x:c r="BQ165" s="4" t="n">
        <x:v>-6.6</x:v>
      </x:c>
      <x:c r="BR165" s="10" t="n">
        <x:v>158</x:v>
      </x:c>
      <x:c r="BS165" s="4" t="n">
        <x:v>48.1</x:v>
      </x:c>
      <x:c r="BT165" s="10" t="n">
        <x:v>68</x:v>
      </x:c>
      <x:c r="BU165" s="4" t="str">
        <x:v>MTL</x:v>
      </x:c>
      <x:c r="BV165" s="10" t="n">
        <x:v>364</x:v>
      </x:c>
      <x:c r="BW165" s="10" t="n">
        <x:v>406</x:v>
      </x:c>
      <x:c r="BX165" s="10" t="n">
        <x:v>273</x:v>
      </x:c>
      <x:c r="BY165" s="4" t="str">
        <x:v>Jake Evans</x:v>
      </x:c>
      <x:c r="BZ165" s="4" t="str">
        <x:v>Jake Evans</x:v>
      </x:c>
      <x:c r="CA165" s="4" t="str">
        <x:v>Jake Evans</x:v>
      </x:c>
      <x:c r="CB165" s="4" t="str">
        <x:v>evansja02</x:v>
      </x:c>
    </x:row>
    <x:row r="166" ht="22" customHeight="1">
      <x:c r="A166" s="4" t="str">
        <x:v>Jake Guentzel</x:v>
      </x:c>
      <x:c r="B166" s="4" t="str">
        <x:v>jakeguentzel</x:v>
      </x:c>
      <x:c r="C166" s="10" t="n">
        <x:v>1</x:v>
      </x:c>
      <x:c r="D166" s="10" t="n">
        <x:v>1</x:v>
      </x:c>
      <x:c r="E166" s="10" t="n">
        <x:v>1</x:v>
      </x:c>
      <x:c r="F166" s="4" t="n">
        <x:f>IF(COUNT(N166,Q166,T166,W166,Z166,AC166,AF166,AI166)=8,N166*Guide!$E$5+Q166*Guide!$E$6+T166*Guide!$E$7+W166*Guide!$E$8+Z166*Guide!$E$9+AC166*Guide!$E$10+AF166*Guide!$E$11+AI166*Guide!$E$12,"")</x:f>
        <x:v>388.5</x:v>
      </x:c>
      <x:c r="G166" s="4" t="n">
        <x:f>IF(COUNT(O166,R166,U166,X166,AA166,AD166,AG166,AJ166)=8,O166*Guide!$E$5+R166*Guide!$E$6+U166*Guide!$E$7+X166*Guide!$E$8+AA166*Guide!$E$9+AD166*Guide!$E$10+AG166*Guide!$E$11+AJ166*Guide!$E$12,"")</x:f>
        <x:v>446.5</x:v>
      </x:c>
      <x:c r="H166" s="4" t="n">
        <x:f>IF(COUNT(G166,F166)=2,G166-F166,"")</x:f>
        <x:v>58</x:v>
      </x:c>
      <x:c r="I166" s="4" t="n">
        <x:f>IF(AND(ISNUMBER(F166),K166&gt;0),F166/K166,"")</x:f>
        <x:v>5.045454545454546</x:v>
      </x:c>
      <x:c r="J166" s="4" t="n">
        <x:f>IF(AND(ISNUMBER(G166),L166&gt;0),G166/L166,"")</x:f>
        <x:v>5.512345679012346</x:v>
      </x:c>
      <x:c r="K166" s="10" t="n">
        <x:v>77</x:v>
      </x:c>
      <x:c r="L166" s="10" t="n">
        <x:v>81</x:v>
      </x:c>
      <x:c r="M166" s="10" t="n">
        <x:f>IF(COUNT(L166,K166)=2,L166-K166,"")</x:f>
        <x:v>4</x:v>
      </x:c>
      <x:c r="N166" s="10" t="n">
        <x:v>34</x:v>
      </x:c>
      <x:c r="O166" s="10" t="n">
        <x:v>38</x:v>
      </x:c>
      <x:c r="P166" s="10" t="n">
        <x:f>IF(COUNT(O166,N166)=2,O166-N166,"")</x:f>
        <x:v>4</x:v>
      </x:c>
      <x:c r="Q166" s="10" t="n">
        <x:v>40</x:v>
      </x:c>
      <x:c r="R166" s="10" t="n">
        <x:v>50</x:v>
      </x:c>
      <x:c r="S166" s="10" t="n">
        <x:f>IF(COUNT(R166,Q166)=2,R166-Q166,"")</x:f>
        <x:v>10</x:v>
      </x:c>
      <x:c r="T166" s="10" t="n">
        <x:v>15</x:v>
      </x:c>
      <x:c r="U166" s="10" t="n">
        <x:v>13</x:v>
      </x:c>
      <x:c r="V166" s="10" t="n">
        <x:f>IF(COUNT(U166,T166)=2,U166-T166,"")</x:f>
        <x:v>-2</x:v>
      </x:c>
      <x:c r="W166" s="10" t="n">
        <x:v>23</x:v>
      </x:c>
      <x:c r="X166" s="10" t="n">
        <x:f>IF(COUNT(AV166,AW166)=2,AV166+AW166,"")</x:f>
        <x:v>30</x:v>
      </x:c>
      <x:c r="Y166" s="10" t="n">
        <x:f>IF(COUNT(X166,W166)=2,X166-W166,"")</x:f>
        <x:v>7</x:v>
      </x:c>
      <x:c r="Z166" s="10" t="n">
        <x:v>0</x:v>
      </x:c>
      <x:c r="AA166" s="10" t="n">
        <x:f>IF(COUNT(AX166,AY166)=2,AX166+AY166,"")</x:f>
        <x:v>2</x:v>
      </x:c>
      <x:c r="AB166" s="10" t="n">
        <x:f>IF(COUNT(AA166,Z166)=2,AA166-Z166,"")</x:f>
        <x:v>2</x:v>
      </x:c>
      <x:c r="AC166" s="10" t="n">
        <x:v>203</x:v>
      </x:c>
      <x:c r="AD166" s="10" t="n">
        <x:v>220</x:v>
      </x:c>
      <x:c r="AE166" s="10" t="n">
        <x:f>IF(COUNT(AD166,AC166)=2,AD166-AC166,"")</x:f>
        <x:v>17</x:v>
      </x:c>
      <x:c r="AF166" s="10" t="n">
        <x:v>40</x:v>
      </x:c>
      <x:c r="AG166" s="10" t="n">
        <x:v>39</x:v>
      </x:c>
      <x:c r="AH166" s="10" t="n">
        <x:f>IF(COUNT(AG166,AF166)=2,AG166-AF166,"")</x:f>
        <x:v>-1</x:v>
      </x:c>
      <x:c r="AI166" s="10" t="n">
        <x:v>45</x:v>
      </x:c>
      <x:c r="AJ166" s="10" t="n">
        <x:v>41</x:v>
      </x:c>
      <x:c r="AK166" s="10" t="n">
        <x:f>IF(COUNT(AJ166,AI166)=2,AJ166-AI166,"")</x:f>
        <x:v>-4</x:v>
      </x:c>
      <x:c r="AL166" s="10" t="n">
        <x:v>31</x:v>
      </x:c>
      <x:c r="AM166" s="10" t="n">
        <x:v>31</x:v>
      </x:c>
      <x:c r="AN166" s="4" t="str">
        <x:v>LW</x:v>
      </x:c>
      <x:c r="AO166" s="4" t="str">
        <x:v>C</x:v>
      </x:c>
      <x:c r="AP166" s="4" t="str">
        <x:v>TB</x:v>
      </x:c>
      <x:c r="AQ166" s="4" t="str">
        <x:v>TBL</x:v>
      </x:c>
      <x:c r="AR166" s="4" t="n">
        <x:v>19.54</x:v>
      </x:c>
      <x:c r="AS166" s="4" t="n">
        <x:v>20.25</x:v>
      </x:c>
      <x:c r="AT166" s="4" t="n">
        <x:v>3.23</x:v>
      </x:c>
      <x:c r="AU166" s="4" t="n">
        <x:v>17.3</x:v>
      </x:c>
      <x:c r="AV166" s="10" t="n">
        <x:v>8</x:v>
      </x:c>
      <x:c r="AW166" s="10" t="n">
        <x:v>22</x:v>
      </x:c>
      <x:c r="AX166" s="10" t="n">
        <x:v>2</x:v>
      </x:c>
      <x:c r="AY166" s="10" t="n">
        <x:v>0</x:v>
      </x:c>
      <x:c r="AZ166" s="10" t="n">
        <x:v>1310</x:v>
      </x:c>
      <x:c r="BA166" s="10" t="n">
        <x:v>1113</x:v>
      </x:c>
      <x:c r="BB166" s="4" t="n">
        <x:v>54.1</x:v>
      </x:c>
      <x:c r="BC166" s="4" t="n">
        <x:v>1.4</x:v>
      </x:c>
      <x:c r="BD166" s="10" t="n">
        <x:v>946</x:v>
      </x:c>
      <x:c r="BE166" s="10" t="n">
        <x:v>847</x:v>
      </x:c>
      <x:c r="BF166" s="4" t="n">
        <x:v>52.8</x:v>
      </x:c>
      <x:c r="BG166" s="4" t="n">
        <x:v>0.6</x:v>
      </x:c>
      <x:c r="BH166" s="4" t="n">
        <x:v>13.7</x:v>
      </x:c>
      <x:c r="BI166" s="4" t="n">
        <x:v>87.8</x:v>
      </x:c>
      <x:c r="BJ166" s="4" t="n">
        <x:v>101.6</x:v>
      </x:c>
      <x:c r="BK166" s="4" t="n">
        <x:v>57.5</x:v>
      </x:c>
      <x:c r="BL166" s="4" t="n">
        <x:v>42.5</x:v>
      </x:c>
      <x:c r="BM166" s="4" t="n">
        <x:v>20.25</x:v>
      </x:c>
      <x:c r="BN166" s="4" t="n">
        <x:v>14.85</x:v>
      </x:c>
      <x:c r="BO166" s="10" t="n">
        <x:v>23</x:v>
      </x:c>
      <x:c r="BP166" s="10" t="n">
        <x:v>73</x:v>
      </x:c>
      <x:c r="BQ166" s="4" t="n">
        <x:v>11.9</x:v>
      </x:c>
      <x:c r="BR166" s="10" t="n">
        <x:v>385</x:v>
      </x:c>
      <x:c r="BS166" s="4" t="n">
        <x:v>57.1</x:v>
      </x:c>
      <x:c r="BT166" s="10" t="n">
        <x:v>81</x:v>
      </x:c>
      <x:c r="BU166" s="4" t="str">
        <x:v>TBL</x:v>
      </x:c>
      <x:c r="BV166" s="10" t="n">
        <x:v>36</x:v>
      </x:c>
      <x:c r="BW166" s="10" t="n">
        <x:v>18</x:v>
      </x:c>
      <x:c r="BX166" s="10" t="n">
        <x:v>371</x:v>
      </x:c>
      <x:c r="BY166" s="4" t="str">
        <x:v>Jake Guentzel</x:v>
      </x:c>
      <x:c r="BZ166" s="4" t="str">
        <x:v>Jake Guentzel</x:v>
      </x:c>
      <x:c r="CA166" s="4" t="str">
        <x:v>Jake Guentzel</x:v>
      </x:c>
      <x:c r="CB166" s="4" t="str">
        <x:v>guentja01</x:v>
      </x:c>
    </x:row>
    <x:row r="167" ht="22" customHeight="1">
      <x:c r="A167" s="4" t="str">
        <x:v>Jake McCabe</x:v>
      </x:c>
      <x:c r="B167" s="4" t="str">
        <x:v>jakemccabe</x:v>
      </x:c>
      <x:c r="C167" s="10" t="n">
        <x:v>1</x:v>
      </x:c>
      <x:c r="D167" s="10" t="n">
        <x:v>1</x:v>
      </x:c>
      <x:c r="E167" s="10" t="n">
        <x:v>1</x:v>
      </x:c>
      <x:c r="F167" s="4" t="n">
        <x:f>IF(COUNT(N167,Q167,T167,W167,Z167,AC167,AF167,AI167)=8,N167*Guide!$E$5+Q167*Guide!$E$6+T167*Guide!$E$7+W167*Guide!$E$8+Z167*Guide!$E$9+AC167*Guide!$E$10+AF167*Guide!$E$11+AI167*Guide!$E$12,"")</x:f>
        <x:v>270.5</x:v>
      </x:c>
      <x:c r="G167" s="4" t="n">
        <x:f>IF(COUNT(O167,R167,U167,X167,AA167,AD167,AG167,AJ167)=8,O167*Guide!$E$5+R167*Guide!$E$6+U167*Guide!$E$7+X167*Guide!$E$8+AA167*Guide!$E$9+AD167*Guide!$E$10+AG167*Guide!$E$11+AJ167*Guide!$E$12,"")</x:f>
        <x:v>270.75</x:v>
      </x:c>
      <x:c r="H167" s="4" t="n">
        <x:f>IF(COUNT(G167,F167)=2,G167-F167,"")</x:f>
        <x:v>0.25</x:v>
      </x:c>
      <x:c r="I167" s="4" t="n">
        <x:f>IF(AND(ISNUMBER(F167),K167&gt;0),F167/K167,"")</x:f>
        <x:v>3.5592105263157894</x:v>
      </x:c>
      <x:c r="J167" s="4" t="n">
        <x:f>IF(AND(ISNUMBER(G167),L167&gt;0),G167/L167,"")</x:f>
        <x:v>3.384375</x:v>
      </x:c>
      <x:c r="K167" s="10" t="n">
        <x:v>76</x:v>
      </x:c>
      <x:c r="L167" s="10" t="n">
        <x:v>80</x:v>
      </x:c>
      <x:c r="M167" s="10" t="n">
        <x:f>IF(COUNT(L167,K167)=2,L167-K167,"")</x:f>
        <x:v>4</x:v>
      </x:c>
      <x:c r="N167" s="10" t="n">
        <x:v>4</x:v>
      </x:c>
      <x:c r="O167" s="10" t="n">
        <x:v>5</x:v>
      </x:c>
      <x:c r="P167" s="10" t="n">
        <x:f>IF(COUNT(O167,N167)=2,O167-N167,"")</x:f>
        <x:v>1</x:v>
      </x:c>
      <x:c r="Q167" s="10" t="n">
        <x:v>24</x:v>
      </x:c>
      <x:c r="R167" s="10" t="n">
        <x:v>20</x:v>
      </x:c>
      <x:c r="S167" s="10" t="n">
        <x:f>IF(COUNT(R167,Q167)=2,R167-Q167,"")</x:f>
        <x:v>-4</x:v>
      </x:c>
      <x:c r="T167" s="10" t="n">
        <x:v>14</x:v>
      </x:c>
      <x:c r="U167" s="10" t="n">
        <x:v>3</x:v>
      </x:c>
      <x:c r="V167" s="10" t="n">
        <x:f>IF(COUNT(U167,T167)=2,U167-T167,"")</x:f>
        <x:v>-11</x:v>
      </x:c>
      <x:c r="W167" s="10" t="n">
        <x:v>1</x:v>
      </x:c>
      <x:c r="X167" s="10" t="n">
        <x:f>IF(COUNT(AV167,AW167)=2,AV167+AW167,"")</x:f>
        <x:v>0</x:v>
      </x:c>
      <x:c r="Y167" s="10" t="n">
        <x:f>IF(COUNT(X167,W167)=2,X167-W167,"")</x:f>
        <x:v>-1</x:v>
      </x:c>
      <x:c r="Z167" s="10" t="n">
        <x:v>1</x:v>
      </x:c>
      <x:c r="AA167" s="10" t="n">
        <x:f>IF(COUNT(AX167,AY167)=2,AX167+AY167,"")</x:f>
        <x:v>0</x:v>
      </x:c>
      <x:c r="AB167" s="10" t="n">
        <x:f>IF(COUNT(AA167,Z167)=2,AA167-Z167,"")</x:f>
        <x:v>-1</x:v>
      </x:c>
      <x:c r="AC167" s="10" t="n">
        <x:v>76</x:v>
      </x:c>
      <x:c r="AD167" s="10" t="n">
        <x:v>77</x:v>
      </x:c>
      <x:c r="AE167" s="10" t="n">
        <x:f>IF(COUNT(AD167,AC167)=2,AD167-AC167,"")</x:f>
        <x:v>1</x:v>
      </x:c>
      <x:c r="AF167" s="10" t="n">
        <x:v>141</x:v>
      </x:c>
      <x:c r="AG167" s="10" t="n">
        <x:v>104</x:v>
      </x:c>
      <x:c r="AH167" s="10" t="n">
        <x:f>IF(COUNT(AG167,AF167)=2,AG167-AF167,"")</x:f>
        <x:v>-37</x:v>
      </x:c>
      <x:c r="AI167" s="10" t="n">
        <x:v>147</x:v>
      </x:c>
      <x:c r="AJ167" s="10" t="n">
        <x:v>190</x:v>
      </x:c>
      <x:c r="AK167" s="10" t="n">
        <x:f>IF(COUNT(AJ167,AI167)=2,AJ167-AI167,"")</x:f>
        <x:v>43</x:v>
      </x:c>
      <x:c r="AL167" s="10" t="n">
        <x:v>32</x:v>
      </x:c>
      <x:c r="AM167" s="10" t="n">
        <x:v>32</x:v>
      </x:c>
      <x:c r="AN167" s="4" t="str">
        <x:v>D</x:v>
      </x:c>
      <x:c r="AO167" s="4" t="str">
        <x:v>D</x:v>
      </x:c>
      <x:c r="AP167" s="4" t="str">
        <x:v>TOR</x:v>
      </x:c>
      <x:c r="AQ167" s="4" t="str">
        <x:v>TOR</x:v>
      </x:c>
      <x:c r="AR167" s="4" t="n">
        <x:v>21.33</x:v>
      </x:c>
      <x:c r="AS167" s="4" t="n">
        <x:v>22.4</x:v>
      </x:c>
      <x:c r="AT167" s="4" t="n">
        <x:v>0.22</x:v>
      </x:c>
      <x:c r="AU167" s="4" t="n">
        <x:v>6.5</x:v>
      </x:c>
      <x:c r="AV167" s="10" t="n">
        <x:v>0</x:v>
      </x:c>
      <x:c r="AW167" s="10" t="n">
        <x:v>0</x:v>
      </x:c>
      <x:c r="AX167" s="10" t="n">
        <x:v>0</x:v>
      </x:c>
      <x:c r="AY167" s="10" t="n">
        <x:v>0</x:v>
      </x:c>
      <x:c r="AZ167" s="10" t="n">
        <x:v>1269</x:v>
      </x:c>
      <x:c r="BA167" s="10" t="n">
        <x:v>1634</x:v>
      </x:c>
      <x:c r="BB167" s="4" t="n">
        <x:v>43.7</x:v>
      </x:c>
      <x:c r="BC167" s="4" t="n">
        <x:v>-1.7</x:v>
      </x:c>
      <x:c r="BD167" s="10" t="n">
        <x:v>938</x:v>
      </x:c>
      <x:c r="BE167" s="10" t="n">
        <x:v>1181</x:v>
      </x:c>
      <x:c r="BF167" s="4" t="n">
        <x:v>44.3</x:v>
      </x:c>
      <x:c r="BG167" s="4" t="n">
        <x:v>-1.5</x:v>
      </x:c>
      <x:c r="BH167" s="4" t="n">
        <x:v>12.6</x:v>
      </x:c>
      <x:c r="BI167" s="4" t="n">
        <x:v>89.1</x:v>
      </x:c>
      <x:c r="BJ167" s="4" t="n">
        <x:v>101.7</x:v>
      </x:c>
      <x:c r="BK167" s="4" t="n">
        <x:v>34.6</x:v>
      </x:c>
      <x:c r="BL167" s="4" t="n">
        <x:v>65.4</x:v>
      </x:c>
      <x:c r="BM167" s="4" t="n">
        <x:v>22.4</x:v>
      </x:c>
      <x:c r="BN167" s="4" t="n">
        <x:v>19.3</x:v>
      </x:c>
      <x:c r="BO167" s="10" t="n">
        <x:v>27</x:v>
      </x:c>
      <x:c r="BP167" s="10" t="n">
        <x:v>86</x:v>
      </x:c>
      <x:c r="BQ167" s="4" t="n">
        <x:v>-8.3</x:v>
      </x:c>
      <x:c r="BR167" s="10" t="n">
        <x:v>178</x:v>
      </x:c>
      <x:c r="BS167" s="4" t="n">
        <x:v>43.3</x:v>
      </x:c>
      <x:c r="BT167" s="10" t="n">
        <x:v>80</x:v>
      </x:c>
      <x:c r="BU167" s="4" t="str">
        <x:v>TOR</x:v>
      </x:c>
      <x:c r="BV167" s="10" t="n">
        <x:v>393</x:v>
      </x:c>
      <x:c r="BW167" s="10" t="n">
        <x:v>399</x:v>
      </x:c>
      <x:c r="BX167" s="10" t="n">
        <x:v>664</x:v>
      </x:c>
      <x:c r="BY167" s="4" t="str">
        <x:v>Jake McCabe</x:v>
      </x:c>
      <x:c r="BZ167" s="4" t="str">
        <x:v>Jake McCabe</x:v>
      </x:c>
      <x:c r="CA167" s="4" t="str">
        <x:v>Jake McCabe</x:v>
      </x:c>
      <x:c r="CB167" s="4" t="str">
        <x:v>mccabja01</x:v>
      </x:c>
    </x:row>
    <x:row r="168" ht="22" customHeight="1">
      <x:c r="A168" s="4" t="str">
        <x:v>Jake Neighbours</x:v>
      </x:c>
      <x:c r="B168" s="4" t="str">
        <x:v>jakeneighbours</x:v>
      </x:c>
      <x:c r="C168" s="10" t="n">
        <x:v>1</x:v>
      </x:c>
      <x:c r="D168" s="10" t="n">
        <x:v>1</x:v>
      </x:c>
      <x:c r="E168" s="10" t="n">
        <x:v>1</x:v>
      </x:c>
      <x:c r="F168" s="4" t="n">
        <x:f>IF(COUNT(N168,Q168,T168,W168,Z168,AC168,AF168,AI168)=8,N168*Guide!$E$5+Q168*Guide!$E$6+T168*Guide!$E$7+W168*Guide!$E$8+Z168*Guide!$E$9+AC168*Guide!$E$10+AF168*Guide!$E$11+AI168*Guide!$E$12,"")</x:f>
        <x:v>275.5</x:v>
      </x:c>
      <x:c r="G168" s="4" t="n">
        <x:f>IF(COUNT(O168,R168,U168,X168,AA168,AD168,AG168,AJ168)=8,O168*Guide!$E$5+R168*Guide!$E$6+U168*Guide!$E$7+X168*Guide!$E$8+AA168*Guide!$E$9+AD168*Guide!$E$10+AG168*Guide!$E$11+AJ168*Guide!$E$12,"")</x:f>
        <x:v>209.5</x:v>
      </x:c>
      <x:c r="H168" s="4" t="n">
        <x:f>IF(COUNT(G168,F168)=2,G168-F168,"")</x:f>
        <x:v>-66</x:v>
      </x:c>
      <x:c r="I168" s="4" t="n">
        <x:f>IF(AND(ISNUMBER(F168),K168&gt;0),F168/K168,"")</x:f>
        <x:v>3.3597560975609757</x:v>
      </x:c>
      <x:c r="J168" s="4" t="n">
        <x:f>IF(AND(ISNUMBER(G168),L168&gt;0),G168/L168,"")</x:f>
        <x:v>3.036231884057971</x:v>
      </x:c>
      <x:c r="K168" s="10" t="n">
        <x:v>82</x:v>
      </x:c>
      <x:c r="L168" s="10" t="n">
        <x:v>69</x:v>
      </x:c>
      <x:c r="M168" s="10" t="n">
        <x:f>IF(COUNT(L168,K168)=2,L168-K168,"")</x:f>
        <x:v>-13</x:v>
      </x:c>
      <x:c r="N168" s="10" t="n">
        <x:v>23</x:v>
      </x:c>
      <x:c r="O168" s="10" t="n">
        <x:v>15</x:v>
      </x:c>
      <x:c r="P168" s="10" t="n">
        <x:f>IF(COUNT(O168,N168)=2,O168-N168,"")</x:f>
        <x:v>-8</x:v>
      </x:c>
      <x:c r="Q168" s="10" t="n">
        <x:v>22</x:v>
      </x:c>
      <x:c r="R168" s="10" t="n">
        <x:v>21</x:v>
      </x:c>
      <x:c r="S168" s="10" t="n">
        <x:f>IF(COUNT(R168,Q168)=2,R168-Q168,"")</x:f>
        <x:v>-1</x:v>
      </x:c>
      <x:c r="T168" s="10" t="n">
        <x:v>-9</x:v>
      </x:c>
      <x:c r="U168" s="10" t="n">
        <x:v>-7</x:v>
      </x:c>
      <x:c r="V168" s="10" t="n">
        <x:f>IF(COUNT(U168,T168)=2,U168-T168,"")</x:f>
        <x:v>2</x:v>
      </x:c>
      <x:c r="W168" s="10" t="n">
        <x:v>13</x:v>
      </x:c>
      <x:c r="X168" s="10" t="n">
        <x:f>IF(COUNT(AV168,AW168)=2,AV168+AW168,"")</x:f>
        <x:v>7</x:v>
      </x:c>
      <x:c r="Y168" s="10" t="n">
        <x:f>IF(COUNT(X168,W168)=2,X168-W168,"")</x:f>
        <x:v>-6</x:v>
      </x:c>
      <x:c r="Z168" s="10" t="n">
        <x:v>0</x:v>
      </x:c>
      <x:c r="AA168" s="10" t="n">
        <x:f>IF(COUNT(AX168,AY168)=2,AX168+AY168,"")</x:f>
        <x:v>0</x:v>
      </x:c>
      <x:c r="AB168" s="10" t="n">
        <x:f>IF(COUNT(AA168,Z168)=2,AA168-Z168,"")</x:f>
        <x:v>0</x:v>
      </x:c>
      <x:c r="AC168" s="10" t="n">
        <x:v>128</x:v>
      </x:c>
      <x:c r="AD168" s="10" t="n">
        <x:v>86</x:v>
      </x:c>
      <x:c r="AE168" s="10" t="n">
        <x:f>IF(COUNT(AD168,AC168)=2,AD168-AC168,"")</x:f>
        <x:v>-42</x:v>
      </x:c>
      <x:c r="AF168" s="10" t="n">
        <x:v>164</x:v>
      </x:c>
      <x:c r="AG168" s="10" t="n">
        <x:v>152</x:v>
      </x:c>
      <x:c r="AH168" s="10" t="n">
        <x:f>IF(COUNT(AG168,AF168)=2,AG168-AF168,"")</x:f>
        <x:v>-12</x:v>
      </x:c>
      <x:c r="AI168" s="10" t="n">
        <x:v>54</x:v>
      </x:c>
      <x:c r="AJ168" s="10" t="n">
        <x:v>36</x:v>
      </x:c>
      <x:c r="AK168" s="10" t="n">
        <x:f>IF(COUNT(AJ168,AI168)=2,AJ168-AI168,"")</x:f>
        <x:v>-18</x:v>
      </x:c>
      <x:c r="AL168" s="10" t="n">
        <x:v>23</x:v>
      </x:c>
      <x:c r="AM168" s="10" t="n">
        <x:v>23</x:v>
      </x:c>
      <x:c r="AN168" s="4" t="str">
        <x:v>LW,RW</x:v>
      </x:c>
      <x:c r="AO168" s="4" t="str">
        <x:v>LW</x:v>
      </x:c>
      <x:c r="AP168" s="4" t="str">
        <x:v>STL</x:v>
      </x:c>
      <x:c r="AQ168" s="4" t="str">
        <x:v>STL</x:v>
      </x:c>
      <x:c r="AR168" s="4" t="n">
        <x:v>16.12</x:v>
      </x:c>
      <x:c r="AS168" s="4" t="n">
        <x:v>15.233333333333333</x:v>
      </x:c>
      <x:c r="AT168" s="4" t="n">
        <x:v>2.07</x:v>
      </x:c>
      <x:c r="AU168" s="4" t="n">
        <x:v>17.4</x:v>
      </x:c>
      <x:c r="AV168" s="10" t="n">
        <x:v>1</x:v>
      </x:c>
      <x:c r="AW168" s="10" t="n">
        <x:v>6</x:v>
      </x:c>
      <x:c r="AX168" s="10" t="n">
        <x:v>0</x:v>
      </x:c>
      <x:c r="AY168" s="10" t="n">
        <x:v>0</x:v>
      </x:c>
      <x:c r="AZ168" s="10" t="n">
        <x:v>796</x:v>
      </x:c>
      <x:c r="BA168" s="10" t="n">
        <x:v>817</x:v>
      </x:c>
      <x:c r="BB168" s="4" t="n">
        <x:v>49.3</x:v>
      </x:c>
      <x:c r="BC168" s="4" t="n">
        <x:v>1.4</x:v>
      </x:c>
      <x:c r="BD168" s="10" t="n">
        <x:v>580</x:v>
      </x:c>
      <x:c r="BE168" s="10" t="n">
        <x:v>613</x:v>
      </x:c>
      <x:c r="BF168" s="4" t="n">
        <x:v>48.6</x:v>
      </x:c>
      <x:c r="BG168" s="4" t="n">
        <x:v>0.9</x:v>
      </x:c>
      <x:c r="BH168" s="4" t="n">
        <x:v>11.9</x:v>
      </x:c>
      <x:c r="BI168" s="4" t="n">
        <x:v>86.7</x:v>
      </x:c>
      <x:c r="BJ168" s="4" t="n">
        <x:v>98.6</x:v>
      </x:c>
      <x:c r="BK168" s="4" t="n">
        <x:v>55.2</x:v>
      </x:c>
      <x:c r="BL168" s="4" t="n">
        <x:v>44.8</x:v>
      </x:c>
      <x:c r="BM168" s="4" t="n">
        <x:v>15.233333333333333</x:v>
      </x:c>
      <x:c r="BN168" s="4" t="n">
        <x:v>13.083333333333334</x:v>
      </x:c>
      <x:c r="BO168" s="10" t="n">
        <x:v>14</x:v>
      </x:c>
      <x:c r="BP168" s="10" t="n">
        <x:v>43</x:v>
      </x:c>
      <x:c r="BQ168" s="4" t="n">
        <x:v>2.7</x:v>
      </x:c>
      <x:c r="BR168" s="10" t="n">
        <x:v>161</x:v>
      </x:c>
      <x:c r="BS168" s="4" t="n">
        <x:v>53.4</x:v>
      </x:c>
      <x:c r="BT168" s="10" t="n">
        <x:v>69</x:v>
      </x:c>
      <x:c r="BU168" s="4" t="str">
        <x:v>STL</x:v>
      </x:c>
      <x:c r="BV168" s="10" t="n">
        <x:v>198</x:v>
      </x:c>
      <x:c r="BW168" s="10" t="n">
        <x:v>249</x:v>
      </x:c>
      <x:c r="BX168" s="10" t="n">
        <x:v>733</x:v>
      </x:c>
      <x:c r="BY168" s="4" t="str">
        <x:v>Jake Neighbours</x:v>
      </x:c>
      <x:c r="BZ168" s="4" t="str">
        <x:v>Jake Neighbours</x:v>
      </x:c>
      <x:c r="CA168" s="4" t="str">
        <x:v>Jake Neighbours</x:v>
      </x:c>
      <x:c r="CB168" s="4" t="str">
        <x:v>neighja01</x:v>
      </x:c>
    </x:row>
    <x:row r="169" ht="22" customHeight="1">
      <x:c r="A169" s="4" t="str">
        <x:v>Jake Sanderson</x:v>
      </x:c>
      <x:c r="B169" s="4" t="str">
        <x:v>jakesanderson</x:v>
      </x:c>
      <x:c r="C169" s="10" t="n">
        <x:v>1</x:v>
      </x:c>
      <x:c r="D169" s="10" t="n">
        <x:v>1</x:v>
      </x:c>
      <x:c r="E169" s="10" t="n">
        <x:v>1</x:v>
      </x:c>
      <x:c r="F169" s="4" t="n">
        <x:f>IF(COUNT(N169,Q169,T169,W169,Z169,AC169,AF169,AI169)=8,N169*Guide!$E$5+Q169*Guide!$E$6+T169*Guide!$E$7+W169*Guide!$E$8+Z169*Guide!$E$9+AC169*Guide!$E$10+AF169*Guide!$E$11+AI169*Guide!$E$12,"")</x:f>
        <x:v>341.25</x:v>
      </x:c>
      <x:c r="G169" s="4" t="n">
        <x:f>IF(COUNT(O169,R169,U169,X169,AA169,AD169,AG169,AJ169)=8,O169*Guide!$E$5+R169*Guide!$E$6+U169*Guide!$E$7+X169*Guide!$E$8+AA169*Guide!$E$9+AD169*Guide!$E$10+AG169*Guide!$E$11+AJ169*Guide!$E$12,"")</x:f>
        <x:v>354</x:v>
      </x:c>
      <x:c r="H169" s="4" t="n">
        <x:f>IF(COUNT(G169,F169)=2,G169-F169,"")</x:f>
        <x:v>12.75</x:v>
      </x:c>
      <x:c r="I169" s="4" t="n">
        <x:f>IF(AND(ISNUMBER(F169),K169&gt;0),F169/K169,"")</x:f>
        <x:v>4.431818181818182</x:v>
      </x:c>
      <x:c r="J169" s="4" t="n">
        <x:f>IF(AND(ISNUMBER(G169),L169&gt;0),G169/L169,"")</x:f>
        <x:v>5.2835820895522385</x:v>
      </x:c>
      <x:c r="K169" s="10" t="n">
        <x:v>77</x:v>
      </x:c>
      <x:c r="L169" s="10" t="n">
        <x:v>67</x:v>
      </x:c>
      <x:c r="M169" s="10" t="n">
        <x:f>IF(COUNT(L169,K169)=2,L169-K169,"")</x:f>
        <x:v>-10</x:v>
      </x:c>
      <x:c r="N169" s="10" t="n">
        <x:v>10</x:v>
      </x:c>
      <x:c r="O169" s="10" t="n">
        <x:v>14</x:v>
      </x:c>
      <x:c r="P169" s="10" t="n">
        <x:f>IF(COUNT(O169,N169)=2,O169-N169,"")</x:f>
        <x:v>4</x:v>
      </x:c>
      <x:c r="Q169" s="10" t="n">
        <x:v>38</x:v>
      </x:c>
      <x:c r="R169" s="10" t="n">
        <x:v>40</x:v>
      </x:c>
      <x:c r="S169" s="10" t="n">
        <x:f>IF(COUNT(R169,Q169)=2,R169-Q169,"")</x:f>
        <x:v>2</x:v>
      </x:c>
      <x:c r="T169" s="10" t="n">
        <x:v>-2</x:v>
      </x:c>
      <x:c r="U169" s="10" t="n">
        <x:v>16</x:v>
      </x:c>
      <x:c r="V169" s="10" t="n">
        <x:f>IF(COUNT(U169,T169)=2,U169-T169,"")</x:f>
        <x:v>18</x:v>
      </x:c>
      <x:c r="W169" s="10" t="n">
        <x:v>24</x:v>
      </x:c>
      <x:c r="X169" s="10" t="n">
        <x:f>IF(COUNT(AV169,AW169)=2,AV169+AW169,"")</x:f>
        <x:v>22</x:v>
      </x:c>
      <x:c r="Y169" s="10" t="n">
        <x:f>IF(COUNT(X169,W169)=2,X169-W169,"")</x:f>
        <x:v>-2</x:v>
      </x:c>
      <x:c r="Z169" s="10" t="n">
        <x:v>1</x:v>
      </x:c>
      <x:c r="AA169" s="10" t="n">
        <x:f>IF(COUNT(AX169,AY169)=2,AX169+AY169,"")</x:f>
        <x:v>0</x:v>
      </x:c>
      <x:c r="AB169" s="10" t="n">
        <x:f>IF(COUNT(AA169,Z169)=2,AA169-Z169,"")</x:f>
        <x:v>-1</x:v>
      </x:c>
      <x:c r="AC169" s="10" t="n">
        <x:v>168</x:v>
      </x:c>
      <x:c r="AD169" s="10" t="n">
        <x:v>147</x:v>
      </x:c>
      <x:c r="AE169" s="10" t="n">
        <x:f>IF(COUNT(AD169,AC169)=2,AD169-AC169,"")</x:f>
        <x:v>-21</x:v>
      </x:c>
      <x:c r="AF169" s="10" t="n">
        <x:v>37</x:v>
      </x:c>
      <x:c r="AG169" s="10" t="n">
        <x:v>29</x:v>
      </x:c>
      <x:c r="AH169" s="10" t="n">
        <x:f>IF(COUNT(AG169,AF169)=2,AG169-AF169,"")</x:f>
        <x:v>-8</x:v>
      </x:c>
      <x:c r="AI169" s="10" t="n">
        <x:v>148</x:v>
      </x:c>
      <x:c r="AJ169" s="10" t="n">
        <x:v>128</x:v>
      </x:c>
      <x:c r="AK169" s="10" t="n">
        <x:f>IF(COUNT(AJ169,AI169)=2,AJ169-AI169,"")</x:f>
        <x:v>-20</x:v>
      </x:c>
      <x:c r="AL169" s="10" t="n">
        <x:v>23</x:v>
      </x:c>
      <x:c r="AM169" s="10" t="n">
        <x:v>23</x:v>
      </x:c>
      <x:c r="AN169" s="4" t="str">
        <x:v>D</x:v>
      </x:c>
      <x:c r="AO169" s="4" t="str">
        <x:v>D</x:v>
      </x:c>
      <x:c r="AP169" s="4" t="str">
        <x:v>OTT</x:v>
      </x:c>
      <x:c r="AQ169" s="4" t="str">
        <x:v>OTT</x:v>
      </x:c>
      <x:c r="AR169" s="4" t="n">
        <x:v>24.28</x:v>
      </x:c>
      <x:c r="AS169" s="4" t="n">
        <x:v>24.833333333333332</x:v>
      </x:c>
      <x:c r="AT169" s="4" t="n">
        <x:v>3.33</x:v>
      </x:c>
      <x:c r="AU169" s="4" t="n">
        <x:v>9.5</x:v>
      </x:c>
      <x:c r="AV169" s="10" t="n">
        <x:v>5</x:v>
      </x:c>
      <x:c r="AW169" s="10" t="n">
        <x:v>17</x:v>
      </x:c>
      <x:c r="AX169" s="10" t="n">
        <x:v>0</x:v>
      </x:c>
      <x:c r="AY169" s="10" t="n">
        <x:v>0</x:v>
      </x:c>
      <x:c r="AZ169" s="10" t="n">
        <x:v>1301</x:v>
      </x:c>
      <x:c r="BA169" s="10" t="n">
        <x:v>1052</x:v>
      </x:c>
      <x:c r="BB169" s="4" t="n">
        <x:v>55.3</x:v>
      </x:c>
      <x:c r="BC169" s="4" t="n">
        <x:v>4</x:v>
      </x:c>
      <x:c r="BD169" s="10" t="n">
        <x:v>948</x:v>
      </x:c>
      <x:c r="BE169" s="10" t="n">
        <x:v>723</x:v>
      </x:c>
      <x:c r="BF169" s="4" t="n">
        <x:v>56.7</x:v>
      </x:c>
      <x:c r="BG169" s="4" t="n">
        <x:v>4.8</x:v>
      </x:c>
      <x:c r="BH169" s="4" t="n">
        <x:v>11.3</x:v>
      </x:c>
      <x:c r="BI169" s="4" t="n">
        <x:v>88.7</x:v>
      </x:c>
      <x:c r="BJ169" s="4" t="n">
        <x:v>100</x:v>
      </x:c>
      <x:c r="BK169" s="4" t="n">
        <x:v>50.3</x:v>
      </x:c>
      <x:c r="BL169" s="4" t="n">
        <x:v>49.7</x:v>
      </x:c>
      <x:c r="BM169" s="4" t="n">
        <x:v>24.833333333333332</x:v>
      </x:c>
      <x:c r="BN169" s="4" t="n">
        <x:v>18.633333333333333</x:v>
      </x:c>
      <x:c r="BO169" s="10" t="n">
        <x:v>31</x:v>
      </x:c>
      <x:c r="BP169" s="10" t="n">
        <x:v>81</x:v>
      </x:c>
      <x:c r="BQ169" s="4" t="n">
        <x:v>12.8</x:v>
      </x:c>
      <x:c r="BR169" s="10" t="n">
        <x:v>374</x:v>
      </x:c>
      <x:c r="BS169" s="4" t="n">
        <x:v>39.3</x:v>
      </x:c>
      <x:c r="BT169" s="10" t="n">
        <x:v>67</x:v>
      </x:c>
      <x:c r="BU169" s="4" t="str">
        <x:v>OTT</x:v>
      </x:c>
      <x:c r="BV169" s="10" t="n">
        <x:v>165</x:v>
      </x:c>
      <x:c r="BW169" s="10" t="n">
        <x:v>119</x:v>
      </x:c>
      <x:c r="BX169" s="10" t="n">
        <x:v>894</x:v>
      </x:c>
      <x:c r="BY169" s="4" t="str">
        <x:v>Jake Sanderson</x:v>
      </x:c>
      <x:c r="BZ169" s="4" t="str">
        <x:v>Jake Sanderson</x:v>
      </x:c>
      <x:c r="CA169" s="4" t="str">
        <x:v>Jake Sanderson</x:v>
      </x:c>
      <x:c r="CB169" s="4" t="str">
        <x:v>sandeja01</x:v>
      </x:c>
    </x:row>
    <x:row r="170" ht="22" customHeight="1">
      <x:c r="A170" s="4" t="str">
        <x:v>Jake Walman</x:v>
      </x:c>
      <x:c r="B170" s="4" t="str">
        <x:v>jakewalman</x:v>
      </x:c>
      <x:c r="C170" s="10" t="n">
        <x:v>1</x:v>
      </x:c>
      <x:c r="D170" s="10" t="n">
        <x:v>1</x:v>
      </x:c>
      <x:c r="E170" s="10" t="n">
        <x:v>1</x:v>
      </x:c>
      <x:c r="F170" s="4" t="n">
        <x:f>IF(COUNT(N170,Q170,T170,W170,Z170,AC170,AF170,AI170)=8,N170*Guide!$E$5+Q170*Guide!$E$6+T170*Guide!$E$7+W170*Guide!$E$8+Z170*Guide!$E$9+AC170*Guide!$E$10+AF170*Guide!$E$11+AI170*Guide!$E$12,"")</x:f>
        <x:v>306.75</x:v>
      </x:c>
      <x:c r="G170" s="4" t="n">
        <x:f>IF(COUNT(O170,R170,U170,X170,AA170,AD170,AG170,AJ170)=8,O170*Guide!$E$5+R170*Guide!$E$6+U170*Guide!$E$7+X170*Guide!$E$8+AA170*Guide!$E$9+AD170*Guide!$E$10+AG170*Guide!$E$11+AJ170*Guide!$E$12,"")</x:f>
        <x:v>154.25</x:v>
      </x:c>
      <x:c r="H170" s="4" t="n">
        <x:f>IF(COUNT(G170,F170)=2,G170-F170,"")</x:f>
        <x:v>-152.5</x:v>
      </x:c>
      <x:c r="I170" s="4" t="n">
        <x:f>IF(AND(ISNUMBER(F170),K170&gt;0),F170/K170,"")</x:f>
        <x:v>4.260416666666667</x:v>
      </x:c>
      <x:c r="J170" s="4" t="n">
        <x:f>IF(AND(ISNUMBER(G170),L170&gt;0),G170/L170,"")</x:f>
        <x:v>2.910377358490566</x:v>
      </x:c>
      <x:c r="K170" s="10" t="n">
        <x:v>72</x:v>
      </x:c>
      <x:c r="L170" s="10" t="n">
        <x:v>53</x:v>
      </x:c>
      <x:c r="M170" s="10" t="n">
        <x:f>IF(COUNT(L170,K170)=2,L170-K170,"")</x:f>
        <x:v>-19</x:v>
      </x:c>
      <x:c r="N170" s="10" t="n">
        <x:v>12</x:v>
      </x:c>
      <x:c r="O170" s="10" t="n">
        <x:v>8</x:v>
      </x:c>
      <x:c r="P170" s="10" t="n">
        <x:f>IF(COUNT(O170,N170)=2,O170-N170,"")</x:f>
        <x:v>-4</x:v>
      </x:c>
      <x:c r="Q170" s="10" t="n">
        <x:v>26</x:v>
      </x:c>
      <x:c r="R170" s="10" t="n">
        <x:v>12</x:v>
      </x:c>
      <x:c r="S170" s="10" t="n">
        <x:f>IF(COUNT(R170,Q170)=2,R170-Q170,"")</x:f>
        <x:v>-14</x:v>
      </x:c>
      <x:c r="T170" s="10" t="n">
        <x:v>-5</x:v>
      </x:c>
      <x:c r="U170" s="10" t="n">
        <x:v>-17</x:v>
      </x:c>
      <x:c r="V170" s="10" t="n">
        <x:f>IF(COUNT(U170,T170)=2,U170-T170,"")</x:f>
        <x:v>-12</x:v>
      </x:c>
      <x:c r="W170" s="10" t="n">
        <x:v>12</x:v>
      </x:c>
      <x:c r="X170" s="10" t="n">
        <x:f>IF(COUNT(AV170,AW170)=2,AV170+AW170,"")</x:f>
        <x:v>2</x:v>
      </x:c>
      <x:c r="Y170" s="10" t="n">
        <x:f>IF(COUNT(X170,W170)=2,X170-W170,"")</x:f>
        <x:v>-10</x:v>
      </x:c>
      <x:c r="Z170" s="10" t="n">
        <x:v>1</x:v>
      </x:c>
      <x:c r="AA170" s="10" t="n">
        <x:f>IF(COUNT(AX170,AY170)=2,AX170+AY170,"")</x:f>
        <x:v>2</x:v>
      </x:c>
      <x:c r="AB170" s="10" t="n">
        <x:f>IF(COUNT(AA170,Z170)=2,AA170-Z170,"")</x:f>
        <x:v>1</x:v>
      </x:c>
      <x:c r="AC170" s="10" t="n">
        <x:v>163</x:v>
      </x:c>
      <x:c r="AD170" s="10" t="n">
        <x:v>96</x:v>
      </x:c>
      <x:c r="AE170" s="10" t="n">
        <x:f>IF(COUNT(AD170,AC170)=2,AD170-AC170,"")</x:f>
        <x:v>-67</x:v>
      </x:c>
      <x:c r="AF170" s="10" t="n">
        <x:v>58</x:v>
      </x:c>
      <x:c r="AG170" s="10" t="n">
        <x:v>15</x:v>
      </x:c>
      <x:c r="AH170" s="10" t="n">
        <x:f>IF(COUNT(AG170,AF170)=2,AG170-AF170,"")</x:f>
        <x:v>-43</x:v>
      </x:c>
      <x:c r="AI170" s="10" t="n">
        <x:v>154</x:v>
      </x:c>
      <x:c r="AJ170" s="10" t="n">
        <x:v>90</x:v>
      </x:c>
      <x:c r="AK170" s="10" t="n">
        <x:f>IF(COUNT(AJ170,AI170)=2,AJ170-AI170,"")</x:f>
        <x:v>-64</x:v>
      </x:c>
      <x:c r="AL170" s="10" t="n">
        <x:v>29</x:v>
      </x:c>
      <x:c r="AM170" s="10" t="n">
        <x:v>29</x:v>
      </x:c>
      <x:c r="AN170" s="4" t="str">
        <x:v>D</x:v>
      </x:c>
      <x:c r="AO170" s="4" t="str">
        <x:v>D</x:v>
      </x:c>
      <x:c r="AP170" s="4" t="str">
        <x:v>EDM</x:v>
      </x:c>
      <x:c r="AQ170" s="4" t="str">
        <x:v>EDM</x:v>
      </x:c>
      <x:c r="AR170" s="4" t="n">
        <x:v>22.24</x:v>
      </x:c>
      <x:c r="AS170" s="4" t="n">
        <x:v>18.75</x:v>
      </x:c>
      <x:c r="AT170" s="4" t="n">
        <x:v>2.17</x:v>
      </x:c>
      <x:c r="AU170" s="4" t="n">
        <x:v>8.3</x:v>
      </x:c>
      <x:c r="AV170" s="10" t="n">
        <x:v>1</x:v>
      </x:c>
      <x:c r="AW170" s="10" t="n">
        <x:v>1</x:v>
      </x:c>
      <x:c r="AX170" s="10" t="n">
        <x:v>2</x:v>
      </x:c>
      <x:c r="AY170" s="10" t="n">
        <x:v>0</x:v>
      </x:c>
      <x:c r="AZ170" s="10" t="n">
        <x:v>874</x:v>
      </x:c>
      <x:c r="BA170" s="10" t="n">
        <x:v>939</x:v>
      </x:c>
      <x:c r="BB170" s="4" t="n">
        <x:v>48.2</x:v>
      </x:c>
      <x:c r="BC170" s="4" t="n">
        <x:v>-4.1</x:v>
      </x:c>
      <x:c r="BD170" s="10" t="n">
        <x:v>632</x:v>
      </x:c>
      <x:c r="BE170" s="10" t="n">
        <x:v>664</x:v>
      </x:c>
      <x:c r="BF170" s="4" t="n">
        <x:v>48.8</x:v>
      </x:c>
      <x:c r="BG170" s="4" t="n">
        <x:v>-3.8</x:v>
      </x:c>
      <x:c r="BH170" s="4" t="n">
        <x:v>9.1</x:v>
      </x:c>
      <x:c r="BI170" s="4" t="n">
        <x:v>85.7</x:v>
      </x:c>
      <x:c r="BJ170" s="4" t="n">
        <x:v>94.9</x:v>
      </x:c>
      <x:c r="BK170" s="4" t="n">
        <x:v>57.8</x:v>
      </x:c>
      <x:c r="BL170" s="4" t="n">
        <x:v>42.2</x:v>
      </x:c>
      <x:c r="BM170" s="4" t="n">
        <x:v>18.75</x:v>
      </x:c>
      <x:c r="BN170" s="4" t="n">
        <x:v>17.066666666666666</x:v>
      </x:c>
      <x:c r="BO170" s="10" t="n">
        <x:v>14</x:v>
      </x:c>
      <x:c r="BP170" s="10" t="n">
        <x:v>60</x:v>
      </x:c>
      <x:c r="BQ170" s="4" t="n">
        <x:v>-1</x:v>
      </x:c>
      <x:c r="BR170" s="10" t="n">
        <x:v>208</x:v>
      </x:c>
      <x:c r="BS170" s="4" t="n">
        <x:v>46.2</x:v>
      </x:c>
      <x:c r="BT170" s="10" t="n">
        <x:v>53</x:v>
      </x:c>
      <x:c r="BU170" s="4" t="str">
        <x:v>EDM</x:v>
      </x:c>
      <x:c r="BV170" s="10" t="n">
        <x:v>267</x:v>
      </x:c>
      <x:c r="BW170" s="10" t="n">
        <x:v>468</x:v>
      </x:c>
      <x:c r="BX170" s="10" t="n">
        <x:v>1061</x:v>
      </x:c>
      <x:c r="BY170" s="4" t="str">
        <x:v>Jake Walman</x:v>
      </x:c>
      <x:c r="BZ170" s="4" t="str">
        <x:v>Jake Walman</x:v>
      </x:c>
      <x:c r="CA170" s="4" t="str">
        <x:v>Jake Walman</x:v>
      </x:c>
      <x:c r="CB170" s="4" t="str">
        <x:v>walmaja01</x:v>
      </x:c>
    </x:row>
    <x:row r="171" ht="22" customHeight="1">
      <x:c r="A171" s="4" t="str">
        <x:v>Jakob Chychrun</x:v>
      </x:c>
      <x:c r="B171" s="4" t="str">
        <x:v>jakobchychrun</x:v>
      </x:c>
      <x:c r="C171" s="10" t="n">
        <x:v>1</x:v>
      </x:c>
      <x:c r="D171" s="10" t="n">
        <x:v>1</x:v>
      </x:c>
      <x:c r="E171" s="10" t="n">
        <x:v>1</x:v>
      </x:c>
      <x:c r="F171" s="4" t="n">
        <x:f>IF(COUNT(N171,Q171,T171,W171,Z171,AC171,AF171,AI171)=8,N171*Guide!$E$5+Q171*Guide!$E$6+T171*Guide!$E$7+W171*Guide!$E$8+Z171*Guide!$E$9+AC171*Guide!$E$10+AF171*Guide!$E$11+AI171*Guide!$E$12,"")</x:f>
        <x:v>318.75</x:v>
      </x:c>
      <x:c r="G171" s="4" t="n">
        <x:f>IF(COUNT(O171,R171,U171,X171,AA171,AD171,AG171,AJ171)=8,O171*Guide!$E$5+R171*Guide!$E$6+U171*Guide!$E$7+X171*Guide!$E$8+AA171*Guide!$E$9+AD171*Guide!$E$10+AG171*Guide!$E$11+AJ171*Guide!$E$12,"")</x:f>
        <x:v>399.25</x:v>
      </x:c>
      <x:c r="H171" s="4" t="n">
        <x:f>IF(COUNT(G171,F171)=2,G171-F171,"")</x:f>
        <x:v>80.5</x:v>
      </x:c>
      <x:c r="I171" s="4" t="n">
        <x:f>IF(AND(ISNUMBER(F171),K171&gt;0),F171/K171,"")</x:f>
        <x:v>4.194078947368421</x:v>
      </x:c>
      <x:c r="J171" s="4" t="n">
        <x:f>IF(AND(ISNUMBER(G171),L171&gt;0),G171/L171,"")</x:f>
        <x:v>4.990625</x:v>
      </x:c>
      <x:c r="K171" s="10" t="n">
        <x:v>76</x:v>
      </x:c>
      <x:c r="L171" s="10" t="n">
        <x:v>80</x:v>
      </x:c>
      <x:c r="M171" s="10" t="n">
        <x:f>IF(COUNT(L171,K171)=2,L171-K171,"")</x:f>
        <x:v>4</x:v>
      </x:c>
      <x:c r="N171" s="10" t="n">
        <x:v>16</x:v>
      </x:c>
      <x:c r="O171" s="10" t="n">
        <x:v>26</x:v>
      </x:c>
      <x:c r="P171" s="10" t="n">
        <x:f>IF(COUNT(O171,N171)=2,O171-N171,"")</x:f>
        <x:v>10</x:v>
      </x:c>
      <x:c r="Q171" s="10" t="n">
        <x:v>32</x:v>
      </x:c>
      <x:c r="R171" s="10" t="n">
        <x:v>34</x:v>
      </x:c>
      <x:c r="S171" s="10" t="n">
        <x:f>IF(COUNT(R171,Q171)=2,R171-Q171,"")</x:f>
        <x:v>2</x:v>
      </x:c>
      <x:c r="T171" s="10" t="n">
        <x:v>1</x:v>
      </x:c>
      <x:c r="U171" s="10" t="n">
        <x:v>20</x:v>
      </x:c>
      <x:c r="V171" s="10" t="n">
        <x:f>IF(COUNT(U171,T171)=2,U171-T171,"")</x:f>
        <x:v>19</x:v>
      </x:c>
      <x:c r="W171" s="10" t="n">
        <x:v>16</x:v>
      </x:c>
      <x:c r="X171" s="10" t="n">
        <x:f>IF(COUNT(AV171,AW171)=2,AV171+AW171,"")</x:f>
        <x:v>18</x:v>
      </x:c>
      <x:c r="Y171" s="10" t="n">
        <x:f>IF(COUNT(X171,W171)=2,X171-W171,"")</x:f>
        <x:v>2</x:v>
      </x:c>
      <x:c r="Z171" s="10" t="n">
        <x:v>0</x:v>
      </x:c>
      <x:c r="AA171" s="10" t="n">
        <x:f>IF(COUNT(AX171,AY171)=2,AX171+AY171,"")</x:f>
        <x:v>0</x:v>
      </x:c>
      <x:c r="AB171" s="10" t="n">
        <x:f>IF(COUNT(AA171,Z171)=2,AA171-Z171,"")</x:f>
        <x:v>0</x:v>
      </x:c>
      <x:c r="AC171" s="10" t="n">
        <x:v>188</x:v>
      </x:c>
      <x:c r="AD171" s="10" t="n">
        <x:v>221</x:v>
      </x:c>
      <x:c r="AE171" s="10" t="n">
        <x:f>IF(COUNT(AD171,AC171)=2,AD171-AC171,"")</x:f>
        <x:v>33</x:v>
      </x:c>
      <x:c r="AF171" s="10" t="n">
        <x:v>58</x:v>
      </x:c>
      <x:c r="AG171" s="10" t="n">
        <x:v>58</x:v>
      </x:c>
      <x:c r="AH171" s="10" t="n">
        <x:f>IF(COUNT(AG171,AF171)=2,AG171-AF171,"")</x:f>
        <x:v>0</x:v>
      </x:c>
      <x:c r="AI171" s="10" t="n">
        <x:v>107</x:v>
      </x:c>
      <x:c r="AJ171" s="10" t="n">
        <x:v>114</x:v>
      </x:c>
      <x:c r="AK171" s="10" t="n">
        <x:f>IF(COUNT(AJ171,AI171)=2,AJ171-AI171,"")</x:f>
        <x:v>7</x:v>
      </x:c>
      <x:c r="AL171" s="10" t="n">
        <x:v>27</x:v>
      </x:c>
      <x:c r="AM171" s="10" t="n">
        <x:v>27</x:v>
      </x:c>
      <x:c r="AN171" s="4" t="str">
        <x:v>D</x:v>
      </x:c>
      <x:c r="AO171" s="4" t="str">
        <x:v>D</x:v>
      </x:c>
      <x:c r="AP171" s="4" t="str">
        <x:v>WSH</x:v>
      </x:c>
      <x:c r="AQ171" s="4" t="str">
        <x:v>WSH</x:v>
      </x:c>
      <x:c r="AR171" s="4" t="n">
        <x:v>21.34</x:v>
      </x:c>
      <x:c r="AS171" s="4" t="n">
        <x:v>23.333333333333332</x:v>
      </x:c>
      <x:c r="AT171" s="4" t="n">
        <x:v>2.29</x:v>
      </x:c>
      <x:c r="AU171" s="4" t="n">
        <x:v>11.8</x:v>
      </x:c>
      <x:c r="AV171" s="10" t="n">
        <x:v>8</x:v>
      </x:c>
      <x:c r="AW171" s="10" t="n">
        <x:v>10</x:v>
      </x:c>
      <x:c r="AX171" s="10" t="n">
        <x:v>0</x:v>
      </x:c>
      <x:c r="AY171" s="10" t="n">
        <x:v>0</x:v>
      </x:c>
      <x:c r="AZ171" s="10" t="n">
        <x:v>1675</x:v>
      </x:c>
      <x:c r="BA171" s="10" t="n">
        <x:v>1511</x:v>
      </x:c>
      <x:c r="BB171" s="4" t="n">
        <x:v>52.6</x:v>
      </x:c>
      <x:c r="BC171" s="4" t="n">
        <x:v>5.5</x:v>
      </x:c>
      <x:c r="BD171" s="10" t="n">
        <x:v>1224</x:v>
      </x:c>
      <x:c r="BE171" s="10" t="n">
        <x:v>1110</x:v>
      </x:c>
      <x:c r="BF171" s="4" t="n">
        <x:v>52.4</x:v>
      </x:c>
      <x:c r="BG171" s="4" t="n">
        <x:v>3.9</x:v>
      </x:c>
      <x:c r="BH171" s="4" t="n">
        <x:v>12.1</x:v>
      </x:c>
      <x:c r="BI171" s="4" t="n">
        <x:v>90.5</x:v>
      </x:c>
      <x:c r="BJ171" s="4" t="n">
        <x:v>102.7</x:v>
      </x:c>
      <x:c r="BK171" s="4" t="n">
        <x:v>59.3</x:v>
      </x:c>
      <x:c r="BL171" s="4" t="n">
        <x:v>40.7</x:v>
      </x:c>
      <x:c r="BM171" s="4" t="n">
        <x:v>23.333333333333332</x:v>
      </x:c>
      <x:c r="BN171" s="4" t="n">
        <x:v>19.933333333333334</x:v>
      </x:c>
      <x:c r="BO171" s="10" t="n">
        <x:v>40</x:v>
      </x:c>
      <x:c r="BP171" s="10" t="n">
        <x:v>105</x:v>
      </x:c>
      <x:c r="BQ171" s="4" t="n">
        <x:v>10.8</x:v>
      </x:c>
      <x:c r="BR171" s="10" t="n">
        <x:v>528</x:v>
      </x:c>
      <x:c r="BS171" s="4" t="n">
        <x:v>41.9</x:v>
      </x:c>
      <x:c r="BT171" s="10" t="n">
        <x:v>80</x:v>
      </x:c>
      <x:c r="BU171" s="4" t="str">
        <x:v>WSH</x:v>
      </x:c>
      <x:c r="BV171" s="10" t="n">
        <x:v>164</x:v>
      </x:c>
      <x:c r="BW171" s="10" t="n">
        <x:v>87</x:v>
      </x:c>
      <x:c r="BX171" s="10" t="n">
        <x:v>156</x:v>
      </x:c>
      <x:c r="BY171" s="4" t="str">
        <x:v>Jakob Chychrun</x:v>
      </x:c>
      <x:c r="BZ171" s="4" t="str">
        <x:v>Jakob Chychrun</x:v>
      </x:c>
      <x:c r="CA171" s="4" t="str">
        <x:v>Jakob Chychrun</x:v>
      </x:c>
      <x:c r="CB171" s="4" t="str">
        <x:v>chychja01</x:v>
      </x:c>
    </x:row>
    <x:row r="172" ht="22" customHeight="1">
      <x:c r="A172" s="4" t="str">
        <x:v>James van Riemsdyk</x:v>
      </x:c>
      <x:c r="B172" s="4" t="str">
        <x:v>jamesvanriemsdyk</x:v>
      </x:c>
      <x:c r="C172" s="10" t="n">
        <x:v>1</x:v>
      </x:c>
      <x:c r="D172" s="10" t="n">
        <x:v>1</x:v>
      </x:c>
      <x:c r="E172" s="10" t="n">
        <x:v>1</x:v>
      </x:c>
      <x:c r="F172" s="4" t="n">
        <x:f>IF(COUNT(N172,Q172,T172,W172,Z172,AC172,AF172,AI172)=8,N172*Guide!$E$5+Q172*Guide!$E$6+T172*Guide!$E$7+W172*Guide!$E$8+Z172*Guide!$E$9+AC172*Guide!$E$10+AF172*Guide!$E$11+AI172*Guide!$E$12,"")</x:f>
        <x:v>154.5</x:v>
      </x:c>
      <x:c r="G172" s="4" t="n">
        <x:f>IF(COUNT(O172,R172,U172,X172,AA172,AD172,AG172,AJ172)=8,O172*Guide!$E$5+R172*Guide!$E$6+U172*Guide!$E$7+X172*Guide!$E$8+AA172*Guide!$E$9+AD172*Guide!$E$10+AG172*Guide!$E$11+AJ172*Guide!$E$12,"")</x:f>
        <x:v>151.5</x:v>
      </x:c>
      <x:c r="H172" s="4" t="n">
        <x:f>IF(COUNT(G172,F172)=2,G172-F172,"")</x:f>
        <x:v>-3</x:v>
      </x:c>
      <x:c r="I172" s="4" t="n">
        <x:f>IF(AND(ISNUMBER(F172),K172&gt;0),F172/K172,"")</x:f>
        <x:v>2.1164383561643834</x:v>
      </x:c>
      <x:c r="J172" s="4" t="n">
        <x:f>IF(AND(ISNUMBER(G172),L172&gt;0),G172/L172,"")</x:f>
        <x:v>2.1041666666666665</x:v>
      </x:c>
      <x:c r="K172" s="10" t="n">
        <x:v>73</x:v>
      </x:c>
      <x:c r="L172" s="10" t="n">
        <x:v>72</x:v>
      </x:c>
      <x:c r="M172" s="10" t="n">
        <x:f>IF(COUNT(L172,K172)=2,L172-K172,"")</x:f>
        <x:v>-1</x:v>
      </x:c>
      <x:c r="N172" s="10" t="n">
        <x:v>12</x:v>
      </x:c>
      <x:c r="O172" s="10" t="n">
        <x:v>15</x:v>
      </x:c>
      <x:c r="P172" s="10" t="n">
        <x:f>IF(COUNT(O172,N172)=2,O172-N172,"")</x:f>
        <x:v>3</x:v>
      </x:c>
      <x:c r="Q172" s="10" t="n">
        <x:v>18</x:v>
      </x:c>
      <x:c r="R172" s="10" t="n">
        <x:v>16</x:v>
      </x:c>
      <x:c r="S172" s="10" t="n">
        <x:f>IF(COUNT(R172,Q172)=2,R172-Q172,"")</x:f>
        <x:v>-2</x:v>
      </x:c>
      <x:c r="T172" s="10" t="n">
        <x:v>2</x:v>
      </x:c>
      <x:c r="U172" s="10" t="n">
        <x:v>-17</x:v>
      </x:c>
      <x:c r="V172" s="10" t="n">
        <x:f>IF(COUNT(U172,T172)=2,U172-T172,"")</x:f>
        <x:v>-19</x:v>
      </x:c>
      <x:c r="W172" s="10" t="n">
        <x:v>4</x:v>
      </x:c>
      <x:c r="X172" s="10" t="n">
        <x:f>IF(COUNT(AV172,AW172)=2,AV172+AW172,"")</x:f>
        <x:v>11</x:v>
      </x:c>
      <x:c r="Y172" s="10" t="n">
        <x:f>IF(COUNT(X172,W172)=2,X172-W172,"")</x:f>
        <x:v>7</x:v>
      </x:c>
      <x:c r="Z172" s="10" t="n">
        <x:v>0</x:v>
      </x:c>
      <x:c r="AA172" s="10" t="n">
        <x:f>IF(COUNT(AX172,AY172)=2,AX172+AY172,"")</x:f>
        <x:v>0</x:v>
      </x:c>
      <x:c r="AB172" s="10" t="n">
        <x:f>IF(COUNT(AA172,Z172)=2,AA172-Z172,"")</x:f>
        <x:v>0</x:v>
      </x:c>
      <x:c r="AC172" s="10" t="n">
        <x:v>95</x:v>
      </x:c>
      <x:c r="AD172" s="10" t="n">
        <x:v>99</x:v>
      </x:c>
      <x:c r="AE172" s="10" t="n">
        <x:f>IF(COUNT(AD172,AC172)=2,AD172-AC172,"")</x:f>
        <x:v>4</x:v>
      </x:c>
      <x:c r="AF172" s="10" t="n">
        <x:v>31</x:v>
      </x:c>
      <x:c r="AG172" s="10" t="n">
        <x:v>15</x:v>
      </x:c>
      <x:c r="AH172" s="10" t="n">
        <x:f>IF(COUNT(AG172,AF172)=2,AG172-AF172,"")</x:f>
        <x:v>-16</x:v>
      </x:c>
      <x:c r="AI172" s="10" t="n">
        <x:v>20</x:v>
      </x:c>
      <x:c r="AJ172" s="10" t="n">
        <x:v>28</x:v>
      </x:c>
      <x:c r="AK172" s="10" t="n">
        <x:f>IF(COUNT(AJ172,AI172)=2,AJ172-AI172,"")</x:f>
        <x:v>8</x:v>
      </x:c>
      <x:c r="AL172" s="10" t="n">
        <x:v>36</x:v>
      </x:c>
      <x:c r="AM172" s="10" t="n">
        <x:v>36</x:v>
      </x:c>
      <x:c r="AN172" s="4" t="str">
        <x:v>LW</x:v>
      </x:c>
      <x:c r="AO172" s="4" t="str">
        <x:v>LW</x:v>
      </x:c>
      <x:c r="AP172" s="4" t="str">
        <x:v>DET</x:v>
      </x:c>
      <x:c r="AQ172" s="4" t="str">
        <x:v>DET</x:v>
      </x:c>
      <x:c r="AR172" s="4" t="n">
        <x:v>12.42</x:v>
      </x:c>
      <x:c r="AS172" s="4" t="n">
        <x:v>11.75</x:v>
      </x:c>
      <x:c r="AT172" s="4" t="n">
        <x:v>1.02</x:v>
      </x:c>
      <x:c r="AU172" s="4" t="n">
        <x:v>15.2</x:v>
      </x:c>
      <x:c r="AV172" s="10" t="n">
        <x:v>7</x:v>
      </x:c>
      <x:c r="AW172" s="10" t="n">
        <x:v>4</x:v>
      </x:c>
      <x:c r="AX172" s="10" t="n">
        <x:v>0</x:v>
      </x:c>
      <x:c r="AY172" s="10" t="n">
        <x:v>0</x:v>
      </x:c>
      <x:c r="AZ172" s="10" t="n">
        <x:v>694</x:v>
      </x:c>
      <x:c r="BA172" s="10" t="n">
        <x:v>755</x:v>
      </x:c>
      <x:c r="BB172" s="4" t="n">
        <x:v>47.9</x:v>
      </x:c>
      <x:c r="BC172" s="4" t="n">
        <x:v>-0.5</x:v>
      </x:c>
      <x:c r="BD172" s="10" t="n">
        <x:v>508</x:v>
      </x:c>
      <x:c r="BE172" s="10" t="n">
        <x:v>540</x:v>
      </x:c>
      <x:c r="BF172" s="4" t="n">
        <x:v>48.5</x:v>
      </x:c>
      <x:c r="BG172" s="4" t="n">
        <x:v>-1.2</x:v>
      </x:c>
      <x:c r="BH172" s="4" t="n">
        <x:v>7.2</x:v>
      </x:c>
      <x:c r="BI172" s="4" t="n">
        <x:v>89.2</x:v>
      </x:c>
      <x:c r="BJ172" s="4" t="n">
        <x:v>96.4</x:v>
      </x:c>
      <x:c r="BK172" s="4" t="n">
        <x:v>47.3</x:v>
      </x:c>
      <x:c r="BL172" s="4" t="n">
        <x:v>52.7</x:v>
      </x:c>
      <x:c r="BM172" s="4" t="n">
        <x:v>11.75</x:v>
      </x:c>
      <x:c r="BN172" s="4" t="n">
        <x:v>9.9</x:v>
      </x:c>
      <x:c r="BO172" s="10" t="n">
        <x:v>11</x:v>
      </x:c>
      <x:c r="BP172" s="10" t="n">
        <x:v>39</x:v>
      </x:c>
      <x:c r="BQ172" s="4" t="n">
        <x:v>0</x:v>
      </x:c>
      <x:c r="BR172" s="10" t="n">
        <x:v>201</x:v>
      </x:c>
      <x:c r="BS172" s="4" t="n">
        <x:v>49.3</x:v>
      </x:c>
      <x:c r="BT172" s="10" t="n">
        <x:v>72</x:v>
      </x:c>
      <x:c r="BU172" s="4" t="str">
        <x:v>DET</x:v>
      </x:c>
      <x:c r="BV172" s="10" t="n">
        <x:v>377</x:v>
      </x:c>
      <x:c r="BW172" s="10" t="n">
        <x:v>321</x:v>
      </x:c>
      <x:c r="BX172" s="10" t="n">
        <x:v>1045</x:v>
      </x:c>
      <x:c r="BY172" s="4" t="str">
        <x:v>James van Riemsdyk</x:v>
      </x:c>
      <x:c r="BZ172" s="4" t="str">
        <x:v>James van Riemsdyk</x:v>
      </x:c>
      <x:c r="CA172" s="4" t="str">
        <x:v>James van Riemsdyk</x:v>
      </x:c>
      <x:c r="CB172" s="4" t="str">
        <x:v>vanrija01</x:v>
      </x:c>
    </x:row>
    <x:row r="173" ht="22" customHeight="1">
      <x:c r="A173" s="4" t="str">
        <x:v>Jamie Benn</x:v>
      </x:c>
      <x:c r="B173" s="4" t="str">
        <x:v>jamiebenn</x:v>
      </x:c>
      <x:c r="C173" s="10" t="n">
        <x:v>1</x:v>
      </x:c>
      <x:c r="D173" s="10" t="n">
        <x:v>1</x:v>
      </x:c>
      <x:c r="E173" s="10" t="n">
        <x:v>1</x:v>
      </x:c>
      <x:c r="F173" s="4" t="n">
        <x:f>IF(COUNT(N173,Q173,T173,W173,Z173,AC173,AF173,AI173)=8,N173*Guide!$E$5+Q173*Guide!$E$6+T173*Guide!$E$7+W173*Guide!$E$8+Z173*Guide!$E$9+AC173*Guide!$E$10+AF173*Guide!$E$11+AI173*Guide!$E$12,"")</x:f>
        <x:v>285.5</x:v>
      </x:c>
      <x:c r="G173" s="4" t="n">
        <x:f>IF(COUNT(O173,R173,U173,X173,AA173,AD173,AG173,AJ173)=8,O173*Guide!$E$5+R173*Guide!$E$6+U173*Guide!$E$7+X173*Guide!$E$8+AA173*Guide!$E$9+AD173*Guide!$E$10+AG173*Guide!$E$11+AJ173*Guide!$E$12,"")</x:f>
        <x:v>192</x:v>
      </x:c>
      <x:c r="H173" s="4" t="n">
        <x:f>IF(COUNT(G173,F173)=2,G173-F173,"")</x:f>
        <x:v>-93.5</x:v>
      </x:c>
      <x:c r="I173" s="4" t="n">
        <x:f>IF(AND(ISNUMBER(F173),K173&gt;0),F173/K173,"")</x:f>
        <x:v>3.66025641025641</x:v>
      </x:c>
      <x:c r="J173" s="4" t="n">
        <x:f>IF(AND(ISNUMBER(G173),L173&gt;0),G173/L173,"")</x:f>
        <x:v>3.2</x:v>
      </x:c>
      <x:c r="K173" s="10" t="n">
        <x:v>78</x:v>
      </x:c>
      <x:c r="L173" s="10" t="n">
        <x:v>60</x:v>
      </x:c>
      <x:c r="M173" s="10" t="n">
        <x:f>IF(COUNT(L173,K173)=2,L173-K173,"")</x:f>
        <x:v>-18</x:v>
      </x:c>
      <x:c r="N173" s="10" t="n">
        <x:v>19</x:v>
      </x:c>
      <x:c r="O173" s="10" t="n">
        <x:v>15</x:v>
      </x:c>
      <x:c r="P173" s="10" t="n">
        <x:f>IF(COUNT(O173,N173)=2,O173-N173,"")</x:f>
        <x:v>-4</x:v>
      </x:c>
      <x:c r="Q173" s="10" t="n">
        <x:v>33</x:v>
      </x:c>
      <x:c r="R173" s="10" t="n">
        <x:v>21</x:v>
      </x:c>
      <x:c r="S173" s="10" t="n">
        <x:f>IF(COUNT(R173,Q173)=2,R173-Q173,"")</x:f>
        <x:v>-12</x:v>
      </x:c>
      <x:c r="T173" s="10" t="n">
        <x:v>1</x:v>
      </x:c>
      <x:c r="U173" s="10" t="n">
        <x:v>8</x:v>
      </x:c>
      <x:c r="V173" s="10" t="n">
        <x:f>IF(COUNT(U173,T173)=2,U173-T173,"")</x:f>
        <x:v>7</x:v>
      </x:c>
      <x:c r="W173" s="10" t="n">
        <x:v>16</x:v>
      </x:c>
      <x:c r="X173" s="10" t="n">
        <x:f>IF(COUNT(AV173,AW173)=2,AV173+AW173,"")</x:f>
        <x:v>6</x:v>
      </x:c>
      <x:c r="Y173" s="10" t="n">
        <x:f>IF(COUNT(X173,W173)=2,X173-W173,"")</x:f>
        <x:v>-10</x:v>
      </x:c>
      <x:c r="Z173" s="10" t="n">
        <x:v>1</x:v>
      </x:c>
      <x:c r="AA173" s="10" t="n">
        <x:f>IF(COUNT(AX173,AY173)=2,AX173+AY173,"")</x:f>
        <x:v>0</x:v>
      </x:c>
      <x:c r="AB173" s="10" t="n">
        <x:f>IF(COUNT(AA173,Z173)=2,AA173-Z173,"")</x:f>
        <x:v>-1</x:v>
      </x:c>
      <x:c r="AC173" s="10" t="n">
        <x:v>129</x:v>
      </x:c>
      <x:c r="AD173" s="10" t="n">
        <x:v>72</x:v>
      </x:c>
      <x:c r="AE173" s="10" t="n">
        <x:f>IF(COUNT(AD173,AC173)=2,AD173-AC173,"")</x:f>
        <x:v>-57</x:v>
      </x:c>
      <x:c r="AF173" s="10" t="n">
        <x:v>104</x:v>
      </x:c>
      <x:c r="AG173" s="10" t="n">
        <x:v>79</x:v>
      </x:c>
      <x:c r="AH173" s="10" t="n">
        <x:f>IF(COUNT(AG173,AF173)=2,AG173-AF173,"")</x:f>
        <x:v>-25</x:v>
      </x:c>
      <x:c r="AI173" s="10" t="n">
        <x:v>43</x:v>
      </x:c>
      <x:c r="AJ173" s="10" t="n">
        <x:v>23</x:v>
      </x:c>
      <x:c r="AK173" s="10" t="n">
        <x:f>IF(COUNT(AJ173,AI173)=2,AJ173-AI173,"")</x:f>
        <x:v>-20</x:v>
      </x:c>
      <x:c r="AL173" s="10" t="n">
        <x:v>36</x:v>
      </x:c>
      <x:c r="AM173" s="10" t="n">
        <x:v>36</x:v>
      </x:c>
      <x:c r="AN173" s="4" t="str">
        <x:v>C,LW</x:v>
      </x:c>
      <x:c r="AO173" s="4" t="str">
        <x:v>LW</x:v>
      </x:c>
      <x:c r="AP173" s="4" t="str">
        <x:v>DAL</x:v>
      </x:c>
      <x:c r="AQ173" s="4" t="str">
        <x:v>DAL</x:v>
      </x:c>
      <x:c r="AR173" s="4" t="n">
        <x:v>14.89</x:v>
      </x:c>
      <x:c r="AS173" s="4" t="n">
        <x:v>13.283333333333333</x:v>
      </x:c>
      <x:c r="AT173" s="4" t="n">
        <x:v>2.16</x:v>
      </x:c>
      <x:c r="AU173" s="4" t="n">
        <x:v>20.8</x:v>
      </x:c>
      <x:c r="AV173" s="10" t="n">
        <x:v>2</x:v>
      </x:c>
      <x:c r="AW173" s="10" t="n">
        <x:v>4</x:v>
      </x:c>
      <x:c r="AX173" s="10" t="n">
        <x:v>0</x:v>
      </x:c>
      <x:c r="AY173" s="10" t="n">
        <x:v>0</x:v>
      </x:c>
      <x:c r="AZ173" s="10" t="n">
        <x:v>587</x:v>
      </x:c>
      <x:c r="BA173" s="10" t="n">
        <x:v>693</x:v>
      </x:c>
      <x:c r="BB173" s="4" t="n">
        <x:v>45.9</x:v>
      </x:c>
      <x:c r="BC173" s="4" t="n">
        <x:v>-3.6</x:v>
      </x:c>
      <x:c r="BD173" s="10" t="n">
        <x:v>417</x:v>
      </x:c>
      <x:c r="BE173" s="10" t="n">
        <x:v>467</x:v>
      </x:c>
      <x:c r="BF173" s="4" t="n">
        <x:v>47.2</x:v>
      </x:c>
      <x:c r="BG173" s="4" t="n">
        <x:v>-2.4</x:v>
      </x:c>
      <x:c r="BH173" s="4" t="n">
        <x:v>14.3</x:v>
      </x:c>
      <x:c r="BI173" s="4" t="n">
        <x:v>89.3</x:v>
      </x:c>
      <x:c r="BJ173" s="4" t="n">
        <x:v>103.5</x:v>
      </x:c>
      <x:c r="BK173" s="4" t="n">
        <x:v>53.5</x:v>
      </x:c>
      <x:c r="BL173" s="4" t="n">
        <x:v>46.5</x:v>
      </x:c>
      <x:c r="BM173" s="4" t="n">
        <x:v>13.283333333333333</x:v>
      </x:c>
      <x:c r="BN173" s="4" t="n">
        <x:v>11.766666666666667</x:v>
      </x:c>
      <x:c r="BO173" s="10" t="n">
        <x:v>11</x:v>
      </x:c>
      <x:c r="BP173" s="10" t="n">
        <x:v>35</x:v>
      </x:c>
      <x:c r="BQ173" s="4" t="n">
        <x:v>1.1</x:v>
      </x:c>
      <x:c r="BR173" s="10" t="n">
        <x:v>126</x:v>
      </x:c>
      <x:c r="BS173" s="4" t="n">
        <x:v>57.1</x:v>
      </x:c>
      <x:c r="BT173" s="10" t="n">
        <x:v>60</x:v>
      </x:c>
      <x:c r="BU173" s="4" t="str">
        <x:v>DAL</x:v>
      </x:c>
      <x:c r="BV173" s="10" t="n">
        <x:v>139</x:v>
      </x:c>
      <x:c r="BW173" s="10" t="n">
        <x:v>242</x:v>
      </x:c>
      <x:c r="BX173" s="10" t="n">
        <x:v>45</x:v>
      </x:c>
      <x:c r="BY173" s="4" t="str">
        <x:v>Jamie Benn</x:v>
      </x:c>
      <x:c r="BZ173" s="4" t="str">
        <x:v>Jamie Benn</x:v>
      </x:c>
      <x:c r="CA173" s="4" t="str">
        <x:v>Jamie Benn</x:v>
      </x:c>
      <x:c r="CB173" s="4" t="str">
        <x:v>bennja01</x:v>
      </x:c>
    </x:row>
    <x:row r="174" ht="22" customHeight="1">
      <x:c r="A174" s="4" t="str">
        <x:v>Jamie Drysdale</x:v>
      </x:c>
      <x:c r="B174" s="4" t="str">
        <x:v>jamiedrysdale</x:v>
      </x:c>
      <x:c r="C174" s="10" t="n">
        <x:v>1</x:v>
      </x:c>
      <x:c r="D174" s="10" t="n">
        <x:v>1</x:v>
      </x:c>
      <x:c r="E174" s="10" t="n">
        <x:v>1</x:v>
      </x:c>
      <x:c r="F174" s="4" t="n">
        <x:f>IF(COUNT(N174,Q174,T174,W174,Z174,AC174,AF174,AI174)=8,N174*Guide!$E$5+Q174*Guide!$E$6+T174*Guide!$E$7+W174*Guide!$E$8+Z174*Guide!$E$9+AC174*Guide!$E$10+AF174*Guide!$E$11+AI174*Guide!$E$12,"")</x:f>
        <x:v>208.75</x:v>
      </x:c>
      <x:c r="G174" s="4" t="n">
        <x:f>IF(COUNT(O174,R174,U174,X174,AA174,AD174,AG174,AJ174)=8,O174*Guide!$E$5+R174*Guide!$E$6+U174*Guide!$E$7+X174*Guide!$E$8+AA174*Guide!$E$9+AD174*Guide!$E$10+AG174*Guide!$E$11+AJ174*Guide!$E$12,"")</x:f>
        <x:v>209.75</x:v>
      </x:c>
      <x:c r="H174" s="4" t="n">
        <x:f>IF(COUNT(G174,F174)=2,G174-F174,"")</x:f>
        <x:v>1</x:v>
      </x:c>
      <x:c r="I174" s="4" t="n">
        <x:f>IF(AND(ISNUMBER(F174),K174&gt;0),F174/K174,"")</x:f>
        <x:v>2.676282051282051</x:v>
      </x:c>
      <x:c r="J174" s="4" t="n">
        <x:f>IF(AND(ISNUMBER(G174),L174&gt;0),G174/L174,"")</x:f>
        <x:v>2.6891025641025643</x:v>
      </x:c>
      <x:c r="K174" s="10" t="n">
        <x:v>78</x:v>
      </x:c>
      <x:c r="L174" s="10" t="n">
        <x:v>78</x:v>
      </x:c>
      <x:c r="M174" s="10" t="n">
        <x:f>IF(COUNT(L174,K174)=2,L174-K174,"")</x:f>
        <x:v>0</x:v>
      </x:c>
      <x:c r="N174" s="10" t="n">
        <x:v>7</x:v>
      </x:c>
      <x:c r="O174" s="10" t="n">
        <x:v>8</x:v>
      </x:c>
      <x:c r="P174" s="10" t="n">
        <x:f>IF(COUNT(O174,N174)=2,O174-N174,"")</x:f>
        <x:v>1</x:v>
      </x:c>
      <x:c r="Q174" s="10" t="n">
        <x:v>24</x:v>
      </x:c>
      <x:c r="R174" s="10" t="n">
        <x:v>24</x:v>
      </x:c>
      <x:c r="S174" s="10" t="n">
        <x:f>IF(COUNT(R174,Q174)=2,R174-Q174,"")</x:f>
        <x:v>0</x:v>
      </x:c>
      <x:c r="T174" s="10" t="n">
        <x:v>-14</x:v>
      </x:c>
      <x:c r="U174" s="10" t="n">
        <x:v>-3</x:v>
      </x:c>
      <x:c r="V174" s="10" t="n">
        <x:f>IF(COUNT(U174,T174)=2,U174-T174,"")</x:f>
        <x:v>11</x:v>
      </x:c>
      <x:c r="W174" s="10" t="n">
        <x:v>12</x:v>
      </x:c>
      <x:c r="X174" s="10" t="n">
        <x:f>IF(COUNT(AV174,AW174)=2,AV174+AW174,"")</x:f>
        <x:v>9</x:v>
      </x:c>
      <x:c r="Y174" s="10" t="n">
        <x:f>IF(COUNT(X174,W174)=2,X174-W174,"")</x:f>
        <x:v>-3</x:v>
      </x:c>
      <x:c r="Z174" s="10" t="n">
        <x:v>0</x:v>
      </x:c>
      <x:c r="AA174" s="10" t="n">
        <x:f>IF(COUNT(AX174,AY174)=2,AX174+AY174,"")</x:f>
        <x:v>0</x:v>
      </x:c>
      <x:c r="AB174" s="10" t="n">
        <x:f>IF(COUNT(AA174,Z174)=2,AA174-Z174,"")</x:f>
        <x:v>0</x:v>
      </x:c>
      <x:c r="AC174" s="10" t="n">
        <x:v>93</x:v>
      </x:c>
      <x:c r="AD174" s="10" t="n">
        <x:v>101</x:v>
      </x:c>
      <x:c r="AE174" s="10" t="n">
        <x:f>IF(COUNT(AD174,AC174)=2,AD174-AC174,"")</x:f>
        <x:v>8</x:v>
      </x:c>
      <x:c r="AF174" s="10" t="n">
        <x:v>29</x:v>
      </x:c>
      <x:c r="AG174" s="10" t="n">
        <x:v>16</x:v>
      </x:c>
      <x:c r="AH174" s="10" t="n">
        <x:f>IF(COUNT(AG174,AF174)=2,AG174-AF174,"")</x:f>
        <x:v>-13</x:v>
      </x:c>
      <x:c r="AI174" s="10" t="n">
        <x:v>107</x:v>
      </x:c>
      <x:c r="AJ174" s="10" t="n">
        <x:v>94</x:v>
      </x:c>
      <x:c r="AK174" s="10" t="n">
        <x:f>IF(COUNT(AJ174,AI174)=2,AJ174-AI174,"")</x:f>
        <x:v>-13</x:v>
      </x:c>
      <x:c r="AL174" s="10" t="n">
        <x:v>23</x:v>
      </x:c>
      <x:c r="AM174" s="10" t="n">
        <x:v>23</x:v>
      </x:c>
      <x:c r="AN174" s="4" t="str">
        <x:v>D</x:v>
      </x:c>
      <x:c r="AO174" s="4" t="str">
        <x:v>D</x:v>
      </x:c>
      <x:c r="AP174" s="4" t="str">
        <x:v>PHI</x:v>
      </x:c>
      <x:c r="AQ174" s="4" t="str">
        <x:v>PHI</x:v>
      </x:c>
      <x:c r="AR174" s="4" t="n">
        <x:v>19.910000000000004</x:v>
      </x:c>
      <x:c r="AS174" s="4" t="n">
        <x:v>21.55</x:v>
      </x:c>
      <x:c r="AT174" s="4" t="n">
        <x:v>2.19</x:v>
      </x:c>
      <x:c r="AU174" s="4" t="n">
        <x:v>7.9</x:v>
      </x:c>
      <x:c r="AV174" s="10" t="n">
        <x:v>1</x:v>
      </x:c>
      <x:c r="AW174" s="10" t="n">
        <x:v>8</x:v>
      </x:c>
      <x:c r="AX174" s="10" t="n">
        <x:v>0</x:v>
      </x:c>
      <x:c r="AY174" s="10" t="n">
        <x:v>0</x:v>
      </x:c>
      <x:c r="AZ174" s="10" t="n">
        <x:v>1282</x:v>
      </x:c>
      <x:c r="BA174" s="10" t="n">
        <x:v>1414</x:v>
      </x:c>
      <x:c r="BB174" s="4" t="n">
        <x:v>47.6</x:v>
      </x:c>
      <x:c r="BC174" s="4" t="n">
        <x:v>-0.5</x:v>
      </x:c>
      <x:c r="BD174" s="10" t="n">
        <x:v>928</x:v>
      </x:c>
      <x:c r="BE174" s="10" t="n">
        <x:v>1030</x:v>
      </x:c>
      <x:c r="BF174" s="4" t="n">
        <x:v>47.4</x:v>
      </x:c>
      <x:c r="BG174" s="4" t="n">
        <x:v>-2.1</x:v>
      </x:c>
      <x:c r="BH174" s="4" t="n">
        <x:v>10.8</x:v>
      </x:c>
      <x:c r="BI174" s="4" t="n">
        <x:v>90.6</x:v>
      </x:c>
      <x:c r="BJ174" s="4" t="n">
        <x:v>101.4</x:v>
      </x:c>
      <x:c r="BK174" s="4" t="n">
        <x:v>53.8</x:v>
      </x:c>
      <x:c r="BL174" s="4" t="n">
        <x:v>46.2</x:v>
      </x:c>
      <x:c r="BM174" s="4" t="n">
        <x:v>21.55</x:v>
      </x:c>
      <x:c r="BN174" s="4" t="n">
        <x:v>19.1</x:v>
      </x:c>
      <x:c r="BO174" s="10" t="n">
        <x:v>17</x:v>
      </x:c>
      <x:c r="BP174" s="10" t="n">
        <x:v>54</x:v>
      </x:c>
      <x:c r="BQ174" s="4" t="n">
        <x:v>-0.4</x:v>
      </x:c>
      <x:c r="BR174" s="10" t="n">
        <x:v>254</x:v>
      </x:c>
      <x:c r="BS174" s="4" t="n">
        <x:v>39.8</x:v>
      </x:c>
      <x:c r="BT174" s="10" t="n">
        <x:v>78</x:v>
      </x:c>
      <x:c r="BU174" s="4" t="str">
        <x:v>PHI</x:v>
      </x:c>
      <x:c r="BV174" s="10" t="n">
        <x:v>359</x:v>
      </x:c>
      <x:c r="BW174" s="10" t="n">
        <x:v>299</x:v>
      </x:c>
      <x:c r="BX174" s="10" t="n">
        <x:v>241</x:v>
      </x:c>
      <x:c r="BY174" s="4" t="str">
        <x:v>Jamie Drysdale</x:v>
      </x:c>
      <x:c r="BZ174" s="4" t="str">
        <x:v>Jamie Drysdale</x:v>
      </x:c>
      <x:c r="CA174" s="4" t="str">
        <x:v>Jamie Drysdale</x:v>
      </x:c>
      <x:c r="CB174" s="4" t="str">
        <x:v>drysdja01</x:v>
      </x:c>
    </x:row>
    <x:row r="175" ht="22" customHeight="1">
      <x:c r="A175" s="4" t="str">
        <x:v>Jared McCann</x:v>
      </x:c>
      <x:c r="B175" s="4" t="str">
        <x:v>jaredmccann</x:v>
      </x:c>
      <x:c r="C175" s="10" t="n">
        <x:v>1</x:v>
      </x:c>
      <x:c r="D175" s="10" t="n">
        <x:v>1</x:v>
      </x:c>
      <x:c r="E175" s="10" t="n">
        <x:v>1</x:v>
      </x:c>
      <x:c r="F175" s="4" t="n">
        <x:f>IF(COUNT(N175,Q175,T175,W175,Z175,AC175,AF175,AI175)=8,N175*Guide!$E$5+Q175*Guide!$E$6+T175*Guide!$E$7+W175*Guide!$E$8+Z175*Guide!$E$9+AC175*Guide!$E$10+AF175*Guide!$E$11+AI175*Guide!$E$12,"")</x:f>
        <x:v>320.75</x:v>
      </x:c>
      <x:c r="G175" s="4" t="n">
        <x:f>IF(COUNT(O175,R175,U175,X175,AA175,AD175,AG175,AJ175)=8,O175*Guide!$E$5+R175*Guide!$E$6+U175*Guide!$E$7+X175*Guide!$E$8+AA175*Guide!$E$9+AD175*Guide!$E$10+AG175*Guide!$E$11+AJ175*Guide!$E$12,"")</x:f>
        <x:v>204</x:v>
      </x:c>
      <x:c r="H175" s="4" t="n">
        <x:f>IF(COUNT(G175,F175)=2,G175-F175,"")</x:f>
        <x:v>-116.75</x:v>
      </x:c>
      <x:c r="I175" s="4" t="n">
        <x:f>IF(AND(ISNUMBER(F175),K175&gt;0),F175/K175,"")</x:f>
        <x:v>4.009375</x:v>
      </x:c>
      <x:c r="J175" s="4" t="n">
        <x:f>IF(AND(ISNUMBER(G175),L175&gt;0),G175/L175,"")</x:f>
        <x:v>3.923076923076923</x:v>
      </x:c>
      <x:c r="K175" s="10" t="n">
        <x:v>80</x:v>
      </x:c>
      <x:c r="L175" s="10" t="n">
        <x:v>52</x:v>
      </x:c>
      <x:c r="M175" s="10" t="n">
        <x:f>IF(COUNT(L175,K175)=2,L175-K175,"")</x:f>
        <x:v>-28</x:v>
      </x:c>
      <x:c r="N175" s="10" t="n">
        <x:v>27</x:v>
      </x:c>
      <x:c r="O175" s="10" t="n">
        <x:v>20</x:v>
      </x:c>
      <x:c r="P175" s="10" t="n">
        <x:f>IF(COUNT(O175,N175)=2,O175-N175,"")</x:f>
        <x:v>-7</x:v>
      </x:c>
      <x:c r="Q175" s="10" t="n">
        <x:v>33</x:v>
      </x:c>
      <x:c r="R175" s="10" t="n">
        <x:v>20</x:v>
      </x:c>
      <x:c r="S175" s="10" t="n">
        <x:f>IF(COUNT(R175,Q175)=2,R175-Q175,"")</x:f>
        <x:v>-13</x:v>
      </x:c>
      <x:c r="T175" s="10" t="n">
        <x:v>-1</x:v>
      </x:c>
      <x:c r="U175" s="10" t="n">
        <x:v>-7</x:v>
      </x:c>
      <x:c r="V175" s="10" t="n">
        <x:f>IF(COUNT(U175,T175)=2,U175-T175,"")</x:f>
        <x:v>-6</x:v>
      </x:c>
      <x:c r="W175" s="10" t="n">
        <x:v>18</x:v>
      </x:c>
      <x:c r="X175" s="10" t="n">
        <x:f>IF(COUNT(AV175,AW175)=2,AV175+AW175,"")</x:f>
        <x:v>13</x:v>
      </x:c>
      <x:c r="Y175" s="10" t="n">
        <x:f>IF(COUNT(X175,W175)=2,X175-W175,"")</x:f>
        <x:v>-5</x:v>
      </x:c>
      <x:c r="Z175" s="10" t="n">
        <x:v>2</x:v>
      </x:c>
      <x:c r="AA175" s="10" t="n">
        <x:f>IF(COUNT(AX175,AY175)=2,AX175+AY175,"")</x:f>
        <x:v>0</x:v>
      </x:c>
      <x:c r="AB175" s="10" t="n">
        <x:f>IF(COUNT(AA175,Z175)=2,AA175-Z175,"")</x:f>
        <x:v>-2</x:v>
      </x:c>
      <x:c r="AC175" s="10" t="n">
        <x:v>191</x:v>
      </x:c>
      <x:c r="AD175" s="10" t="n">
        <x:v>117</x:v>
      </x:c>
      <x:c r="AE175" s="10" t="n">
        <x:f>IF(COUNT(AD175,AC175)=2,AD175-AC175,"")</x:f>
        <x:v>-74</x:v>
      </x:c>
      <x:c r="AF175" s="10" t="n">
        <x:v>49</x:v>
      </x:c>
      <x:c r="AG175" s="10" t="n">
        <x:v>40</x:v>
      </x:c>
      <x:c r="AH175" s="10" t="n">
        <x:f>IF(COUNT(AG175,AF175)=2,AG175-AF175,"")</x:f>
        <x:v>-9</x:v>
      </x:c>
      <x:c r="AI175" s="10" t="n">
        <x:v>41</x:v>
      </x:c>
      <x:c r="AJ175" s="10" t="n">
        <x:v>25</x:v>
      </x:c>
      <x:c r="AK175" s="10" t="n">
        <x:f>IF(COUNT(AJ175,AI175)=2,AJ175-AI175,"")</x:f>
        <x:v>-16</x:v>
      </x:c>
      <x:c r="AL175" s="10" t="n">
        <x:v>29</x:v>
      </x:c>
      <x:c r="AM175" s="10" t="n">
        <x:v>29</x:v>
      </x:c>
      <x:c r="AN175" s="4" t="str">
        <x:v>C,LW</x:v>
      </x:c>
      <x:c r="AO175" s="4" t="str">
        <x:v>C</x:v>
      </x:c>
      <x:c r="AP175" s="4" t="str">
        <x:v>SEA</x:v>
      </x:c>
      <x:c r="AQ175" s="4" t="str">
        <x:v>SEA</x:v>
      </x:c>
      <x:c r="AR175" s="4" t="n">
        <x:v>16.85</x:v>
      </x:c>
      <x:c r="AS175" s="4" t="n">
        <x:v>16.433333333333334</x:v>
      </x:c>
      <x:c r="AT175" s="4" t="n">
        <x:v>2.45</x:v>
      </x:c>
      <x:c r="AU175" s="4" t="n">
        <x:v>17.1</x:v>
      </x:c>
      <x:c r="AV175" s="10" t="n">
        <x:v>7</x:v>
      </x:c>
      <x:c r="AW175" s="10" t="n">
        <x:v>6</x:v>
      </x:c>
      <x:c r="AX175" s="10" t="n">
        <x:v>0</x:v>
      </x:c>
      <x:c r="AY175" s="10" t="n">
        <x:v>0</x:v>
      </x:c>
      <x:c r="AZ175" s="10" t="n">
        <x:v>699</x:v>
      </x:c>
      <x:c r="BA175" s="10" t="n">
        <x:v>703</x:v>
      </x:c>
      <x:c r="BB175" s="4" t="n">
        <x:v>49.9</x:v>
      </x:c>
      <x:c r="BC175" s="4" t="n">
        <x:v>5</x:v>
      </x:c>
      <x:c r="BD175" s="10" t="n">
        <x:v>548</x:v>
      </x:c>
      <x:c r="BE175" s="10" t="n">
        <x:v>519</x:v>
      </x:c>
      <x:c r="BF175" s="4" t="n">
        <x:v>51.4</x:v>
      </x:c>
      <x:c r="BG175" s="4" t="n">
        <x:v>6.3</x:v>
      </x:c>
      <x:c r="BH175" s="4" t="n">
        <x:v>10.6</x:v>
      </x:c>
      <x:c r="BI175" s="4" t="n">
        <x:v>88.3</x:v>
      </x:c>
      <x:c r="BJ175" s="4" t="n">
        <x:v>98.9</x:v>
      </x:c>
      <x:c r="BK175" s="4" t="n">
        <x:v>59.9</x:v>
      </x:c>
      <x:c r="BL175" s="4" t="n">
        <x:v>40.1</x:v>
      </x:c>
      <x:c r="BM175" s="4" t="n">
        <x:v>16.433333333333334</x:v>
      </x:c>
      <x:c r="BN175" s="4" t="n">
        <x:v>13.466666666666667</x:v>
      </x:c>
      <x:c r="BO175" s="10" t="n">
        <x:v>14</x:v>
      </x:c>
      <x:c r="BP175" s="10" t="n">
        <x:v>59</x:v>
      </x:c>
      <x:c r="BQ175" s="4" t="n">
        <x:v>0.3</x:v>
      </x:c>
      <x:c r="BR175" s="10" t="n">
        <x:v>228</x:v>
      </x:c>
      <x:c r="BS175" s="4" t="n">
        <x:v>51.3</x:v>
      </x:c>
      <x:c r="BT175" s="10" t="n">
        <x:v>52</x:v>
      </x:c>
      <x:c r="BU175" s="4" t="str">
        <x:v>SEA</x:v>
      </x:c>
      <x:c r="BV175" s="10" t="n">
        <x:v>94</x:v>
      </x:c>
      <x:c r="BW175" s="10" t="n">
        <x:v>215</x:v>
      </x:c>
      <x:c r="BX175" s="10" t="n">
        <x:v>665</x:v>
      </x:c>
      <x:c r="BY175" s="4" t="str">
        <x:v>Jared McCann</x:v>
      </x:c>
      <x:c r="BZ175" s="4" t="str">
        <x:v>Jared McCann</x:v>
      </x:c>
      <x:c r="CA175" s="4" t="str">
        <x:v>Jared McCann</x:v>
      </x:c>
      <x:c r="CB175" s="4" t="str">
        <x:v>mccanja01</x:v>
      </x:c>
    </x:row>
    <x:row r="176" ht="22" customHeight="1">
      <x:c r="A176" s="4" t="str">
        <x:v>Jared Spurgeon</x:v>
      </x:c>
      <x:c r="B176" s="4" t="str">
        <x:v>jaredspurgeon</x:v>
      </x:c>
      <x:c r="C176" s="10" t="n">
        <x:v>1</x:v>
      </x:c>
      <x:c r="D176" s="10" t="n">
        <x:v>1</x:v>
      </x:c>
      <x:c r="E176" s="10" t="n">
        <x:v>1</x:v>
      </x:c>
      <x:c r="F176" s="4" t="n">
        <x:f>IF(COUNT(N176,Q176,T176,W176,Z176,AC176,AF176,AI176)=8,N176*Guide!$E$5+Q176*Guide!$E$6+T176*Guide!$E$7+W176*Guide!$E$8+Z176*Guide!$E$9+AC176*Guide!$E$10+AF176*Guide!$E$11+AI176*Guide!$E$12,"")</x:f>
        <x:v>270.5</x:v>
      </x:c>
      <x:c r="G176" s="4" t="n">
        <x:f>IF(COUNT(O176,R176,U176,X176,AA176,AD176,AG176,AJ176)=8,O176*Guide!$E$5+R176*Guide!$E$6+U176*Guide!$E$7+X176*Guide!$E$8+AA176*Guide!$E$9+AD176*Guide!$E$10+AG176*Guide!$E$11+AJ176*Guide!$E$12,"")</x:f>
        <x:v>225.75</x:v>
      </x:c>
      <x:c r="H176" s="4" t="n">
        <x:f>IF(COUNT(G176,F176)=2,G176-F176,"")</x:f>
        <x:v>-44.75</x:v>
      </x:c>
      <x:c r="I176" s="4" t="n">
        <x:f>IF(AND(ISNUMBER(F176),K176&gt;0),F176/K176,"")</x:f>
        <x:v>3.6554054054054053</x:v>
      </x:c>
      <x:c r="J176" s="4" t="n">
        <x:f>IF(AND(ISNUMBER(G176),L176&gt;0),G176/L176,"")</x:f>
        <x:v>2.857594936708861</x:v>
      </x:c>
      <x:c r="K176" s="10" t="n">
        <x:v>74</x:v>
      </x:c>
      <x:c r="L176" s="10" t="n">
        <x:v>79</x:v>
      </x:c>
      <x:c r="M176" s="10" t="n">
        <x:f>IF(COUNT(L176,K176)=2,L176-K176,"")</x:f>
        <x:v>5</x:v>
      </x:c>
      <x:c r="N176" s="10" t="n">
        <x:v>7</x:v>
      </x:c>
      <x:c r="O176" s="10" t="n">
        <x:v>6</x:v>
      </x:c>
      <x:c r="P176" s="10" t="n">
        <x:f>IF(COUNT(O176,N176)=2,O176-N176,"")</x:f>
        <x:v>-1</x:v>
      </x:c>
      <x:c r="Q176" s="10" t="n">
        <x:v>27</x:v>
      </x:c>
      <x:c r="R176" s="10" t="n">
        <x:v>16</x:v>
      </x:c>
      <x:c r="S176" s="10" t="n">
        <x:f>IF(COUNT(R176,Q176)=2,R176-Q176,"")</x:f>
        <x:v>-11</x:v>
      </x:c>
      <x:c r="T176" s="10" t="n">
        <x:v>10</x:v>
      </x:c>
      <x:c r="U176" s="10" t="n">
        <x:v>2</x:v>
      </x:c>
      <x:c r="V176" s="10" t="n">
        <x:f>IF(COUNT(U176,T176)=2,U176-T176,"")</x:f>
        <x:v>-8</x:v>
      </x:c>
      <x:c r="W176" s="10" t="n">
        <x:v>11</x:v>
      </x:c>
      <x:c r="X176" s="10" t="n">
        <x:f>IF(COUNT(AV176,AW176)=2,AV176+AW176,"")</x:f>
        <x:v>6</x:v>
      </x:c>
      <x:c r="Y176" s="10" t="n">
        <x:f>IF(COUNT(X176,W176)=2,X176-W176,"")</x:f>
        <x:v>-5</x:v>
      </x:c>
      <x:c r="Z176" s="10" t="n">
        <x:v>0</x:v>
      </x:c>
      <x:c r="AA176" s="10" t="n">
        <x:f>IF(COUNT(AX176,AY176)=2,AX176+AY176,"")</x:f>
        <x:v>0</x:v>
      </x:c>
      <x:c r="AB176" s="10" t="n">
        <x:f>IF(COUNT(AA176,Z176)=2,AA176-Z176,"")</x:f>
        <x:v>0</x:v>
      </x:c>
      <x:c r="AC176" s="10" t="n">
        <x:v>110</x:v>
      </x:c>
      <x:c r="AD176" s="10" t="n">
        <x:v>90</x:v>
      </x:c>
      <x:c r="AE176" s="10" t="n">
        <x:f>IF(COUNT(AD176,AC176)=2,AD176-AC176,"")</x:f>
        <x:v>-20</x:v>
      </x:c>
      <x:c r="AF176" s="10" t="n">
        <x:v>56</x:v>
      </x:c>
      <x:c r="AG176" s="10" t="n">
        <x:v>82</x:v>
      </x:c>
      <x:c r="AH176" s="10" t="n">
        <x:f>IF(COUNT(AG176,AF176)=2,AG176-AF176,"")</x:f>
        <x:v>26</x:v>
      </x:c>
      <x:c r="AI176" s="10" t="n">
        <x:v>132</x:v>
      </x:c>
      <x:c r="AJ176" s="10" t="n">
        <x:v>137</x:v>
      </x:c>
      <x:c r="AK176" s="10" t="n">
        <x:f>IF(COUNT(AJ176,AI176)=2,AJ176-AI176,"")</x:f>
        <x:v>5</x:v>
      </x:c>
      <x:c r="AL176" s="10" t="n">
        <x:v>36</x:v>
      </x:c>
      <x:c r="AM176" s="10" t="n">
        <x:v>36</x:v>
      </x:c>
      <x:c r="AN176" s="4" t="str">
        <x:v>D</x:v>
      </x:c>
      <x:c r="AO176" s="4" t="str">
        <x:v>D</x:v>
      </x:c>
      <x:c r="AP176" s="4" t="str">
        <x:v>MIN</x:v>
      </x:c>
      <x:c r="AQ176" s="4" t="str">
        <x:v>MIN</x:v>
      </x:c>
      <x:c r="AR176" s="4" t="n">
        <x:v>21.189999999999998</x:v>
      </x:c>
      <x:c r="AS176" s="4" t="n">
        <x:v>19.6</x:v>
      </x:c>
      <x:c r="AT176" s="4" t="n">
        <x:v>1.86</x:v>
      </x:c>
      <x:c r="AU176" s="4" t="n">
        <x:v>6.7</x:v>
      </x:c>
      <x:c r="AV176" s="10" t="n">
        <x:v>2</x:v>
      </x:c>
      <x:c r="AW176" s="10" t="n">
        <x:v>4</x:v>
      </x:c>
      <x:c r="AX176" s="10" t="n">
        <x:v>0</x:v>
      </x:c>
      <x:c r="AY176" s="10" t="n">
        <x:v>0</x:v>
      </x:c>
      <x:c r="AZ176" s="10" t="n">
        <x:v>1196</x:v>
      </x:c>
      <x:c r="BA176" s="10" t="n">
        <x:v>1298</x:v>
      </x:c>
      <x:c r="BB176" s="4" t="n">
        <x:v>48</x:v>
      </x:c>
      <x:c r="BC176" s="4" t="n">
        <x:v>-0.5</x:v>
      </x:c>
      <x:c r="BD176" s="10" t="n">
        <x:v>892</x:v>
      </x:c>
      <x:c r="BE176" s="10" t="n">
        <x:v>919</x:v>
      </x:c>
      <x:c r="BF176" s="4" t="n">
        <x:v>49.3</x:v>
      </x:c>
      <x:c r="BG176" s="4" t="n">
        <x:v>0.1</x:v>
      </x:c>
      <x:c r="BH176" s="4" t="n">
        <x:v>8.3</x:v>
      </x:c>
      <x:c r="BI176" s="4" t="n">
        <x:v>92.3</x:v>
      </x:c>
      <x:c r="BJ176" s="4" t="n">
        <x:v>100.6</x:v>
      </x:c>
      <x:c r="BK176" s="4" t="n">
        <x:v>46.8</x:v>
      </x:c>
      <x:c r="BL176" s="4" t="n">
        <x:v>53.2</x:v>
      </x:c>
      <x:c r="BM176" s="4" t="n">
        <x:v>19.6</x:v>
      </x:c>
      <x:c r="BN176" s="4" t="n">
        <x:v>16.366666666666667</x:v>
      </x:c>
      <x:c r="BO176" s="10" t="n">
        <x:v>15</x:v>
      </x:c>
      <x:c r="BP176" s="10" t="n">
        <x:v>56</x:v>
      </x:c>
      <x:c r="BQ176" s="4" t="n">
        <x:v>-0.5</x:v>
      </x:c>
      <x:c r="BR176" s="10" t="n">
        <x:v>204</x:v>
      </x:c>
      <x:c r="BS176" s="4" t="n">
        <x:v>44.1</x:v>
      </x:c>
      <x:c r="BT176" s="10" t="n">
        <x:v>79</x:v>
      </x:c>
      <x:c r="BU176" s="4" t="str">
        <x:v>MIN</x:v>
      </x:c>
      <x:c r="BV176" s="10" t="n">
        <x:v>314</x:v>
      </x:c>
      <x:c r="BW176" s="10" t="n">
        <x:v>438</x:v>
      </x:c>
      <x:c r="BX176" s="10" t="n">
        <x:v>965</x:v>
      </x:c>
      <x:c r="BY176" s="4" t="str">
        <x:v>Jared Spurgeon</x:v>
      </x:c>
      <x:c r="BZ176" s="4" t="str">
        <x:v>Jared Spurgeon</x:v>
      </x:c>
      <x:c r="CA176" s="4" t="str">
        <x:v>Jared Spurgeon</x:v>
      </x:c>
      <x:c r="CB176" s="4" t="str">
        <x:v>spurgja01</x:v>
      </x:c>
    </x:row>
    <x:row r="177" ht="22" customHeight="1">
      <x:c r="A177" s="4" t="str">
        <x:v>Jason Robertson</x:v>
      </x:c>
      <x:c r="B177" s="4" t="str">
        <x:v>jasonrobertson</x:v>
      </x:c>
      <x:c r="C177" s="10" t="n">
        <x:v>1</x:v>
      </x:c>
      <x:c r="D177" s="10" t="n">
        <x:v>1</x:v>
      </x:c>
      <x:c r="E177" s="10" t="n">
        <x:v>1</x:v>
      </x:c>
      <x:c r="F177" s="4" t="n">
        <x:f>IF(COUNT(N177,Q177,T177,W177,Z177,AC177,AF177,AI177)=8,N177*Guide!$E$5+Q177*Guide!$E$6+T177*Guide!$E$7+W177*Guide!$E$8+Z177*Guide!$E$9+AC177*Guide!$E$10+AF177*Guide!$E$11+AI177*Guide!$E$12,"")</x:f>
        <x:v>426.75</x:v>
      </x:c>
      <x:c r="G177" s="4" t="n">
        <x:f>IF(COUNT(O177,R177,U177,X177,AA177,AD177,AG177,AJ177)=8,O177*Guide!$E$5+R177*Guide!$E$6+U177*Guide!$E$7+X177*Guide!$E$8+AA177*Guide!$E$9+AD177*Guide!$E$10+AG177*Guide!$E$11+AJ177*Guide!$E$12,"")</x:f>
        <x:v>507</x:v>
      </x:c>
      <x:c r="H177" s="4" t="n">
        <x:f>IF(COUNT(G177,F177)=2,G177-F177,"")</x:f>
        <x:v>80.25</x:v>
      </x:c>
      <x:c r="I177" s="4" t="n">
        <x:f>IF(AND(ISNUMBER(F177),K177&gt;0),F177/K177,"")</x:f>
        <x:v>5.204268292682927</x:v>
      </x:c>
      <x:c r="J177" s="4" t="n">
        <x:f>IF(AND(ISNUMBER(G177),L177&gt;0),G177/L177,"")</x:f>
        <x:v>6.182926829268292</x:v>
      </x:c>
      <x:c r="K177" s="10" t="n">
        <x:v>82</x:v>
      </x:c>
      <x:c r="L177" s="10" t="n">
        <x:v>82</x:v>
      </x:c>
      <x:c r="M177" s="10" t="n">
        <x:f>IF(COUNT(L177,K177)=2,L177-K177,"")</x:f>
        <x:v>0</x:v>
      </x:c>
      <x:c r="N177" s="10" t="n">
        <x:v>34</x:v>
      </x:c>
      <x:c r="O177" s="10" t="n">
        <x:v>45</x:v>
      </x:c>
      <x:c r="P177" s="10" t="n">
        <x:f>IF(COUNT(O177,N177)=2,O177-N177,"")</x:f>
        <x:v>11</x:v>
      </x:c>
      <x:c r="Q177" s="10" t="n">
        <x:v>51</x:v>
      </x:c>
      <x:c r="R177" s="10" t="n">
        <x:v>51</x:v>
      </x:c>
      <x:c r="S177" s="10" t="n">
        <x:f>IF(COUNT(R177,Q177)=2,R177-Q177,"")</x:f>
        <x:v>0</x:v>
      </x:c>
      <x:c r="T177" s="10" t="n">
        <x:v>10</x:v>
      </x:c>
      <x:c r="U177" s="10" t="n">
        <x:v>22</x:v>
      </x:c>
      <x:c r="V177" s="10" t="n">
        <x:f>IF(COUNT(U177,T177)=2,U177-T177,"")</x:f>
        <x:v>12</x:v>
      </x:c>
      <x:c r="W177" s="10" t="n">
        <x:v>30</x:v>
      </x:c>
      <x:c r="X177" s="10" t="n">
        <x:f>IF(COUNT(AV177,AW177)=2,AV177+AW177,"")</x:f>
        <x:v>41</x:v>
      </x:c>
      <x:c r="Y177" s="10" t="n">
        <x:f>IF(COUNT(X177,W177)=2,X177-W177,"")</x:f>
        <x:v>11</x:v>
      </x:c>
      <x:c r="Z177" s="10" t="n">
        <x:v>0</x:v>
      </x:c>
      <x:c r="AA177" s="10" t="n">
        <x:f>IF(COUNT(AX177,AY177)=2,AX177+AY177,"")</x:f>
        <x:v>0</x:v>
      </x:c>
      <x:c r="AB177" s="10" t="n">
        <x:f>IF(COUNT(AA177,Z177)=2,AA177-Z177,"")</x:f>
        <x:v>0</x:v>
      </x:c>
      <x:c r="AC177" s="10" t="n">
        <x:v>215</x:v>
      </x:c>
      <x:c r="AD177" s="10" t="n">
        <x:v>294</x:v>
      </x:c>
      <x:c r="AE177" s="10" t="n">
        <x:f>IF(COUNT(AD177,AC177)=2,AD177-AC177,"")</x:f>
        <x:v>79</x:v>
      </x:c>
      <x:c r="AF177" s="10" t="n">
        <x:v>62</x:v>
      </x:c>
      <x:c r="AG177" s="10" t="n">
        <x:v>48</x:v>
      </x:c>
      <x:c r="AH177" s="10" t="n">
        <x:f>IF(COUNT(AG177,AF177)=2,AG177-AF177,"")</x:f>
        <x:v>-14</x:v>
      </x:c>
      <x:c r="AI177" s="10" t="n">
        <x:v>38</x:v>
      </x:c>
      <x:c r="AJ177" s="10" t="n">
        <x:v>34</x:v>
      </x:c>
      <x:c r="AK177" s="10" t="n">
        <x:f>IF(COUNT(AJ177,AI177)=2,AJ177-AI177,"")</x:f>
        <x:v>-4</x:v>
      </x:c>
      <x:c r="AL177" s="10" t="n">
        <x:v>26</x:v>
      </x:c>
      <x:c r="AM177" s="10" t="n">
        <x:v>26</x:v>
      </x:c>
      <x:c r="AN177" s="4" t="str">
        <x:v>LW,RW</x:v>
      </x:c>
      <x:c r="AO177" s="4" t="str">
        <x:v>LW</x:v>
      </x:c>
      <x:c r="AP177" s="4" t="str">
        <x:v>DAL</x:v>
      </x:c>
      <x:c r="AQ177" s="4" t="str">
        <x:v>DAL</x:v>
      </x:c>
      <x:c r="AR177" s="4" t="n">
        <x:v>17.98</x:v>
      </x:c>
      <x:c r="AS177" s="4" t="n">
        <x:v>20.25</x:v>
      </x:c>
      <x:c r="AT177" s="4" t="n">
        <x:v>2.96</x:v>
      </x:c>
      <x:c r="AU177" s="4" t="n">
        <x:v>15.3</x:v>
      </x:c>
      <x:c r="AV177" s="10" t="n">
        <x:v>15</x:v>
      </x:c>
      <x:c r="AW177" s="10" t="n">
        <x:v>26</x:v>
      </x:c>
      <x:c r="AX177" s="10" t="n">
        <x:v>0</x:v>
      </x:c>
      <x:c r="AY177" s="10" t="n">
        <x:v>0</x:v>
      </x:c>
      <x:c r="AZ177" s="10" t="n">
        <x:v>1322</x:v>
      </x:c>
      <x:c r="BA177" s="10" t="n">
        <x:v>1242</x:v>
      </x:c>
      <x:c r="BB177" s="4" t="n">
        <x:v>51.6</x:v>
      </x:c>
      <x:c r="BC177" s="4" t="n">
        <x:v>6.1</x:v>
      </x:c>
      <x:c r="BD177" s="10" t="n">
        <x:v>951</x:v>
      </x:c>
      <x:c r="BE177" s="10" t="n">
        <x:v>901</x:v>
      </x:c>
      <x:c r="BF177" s="4" t="n">
        <x:v>51.3</x:v>
      </x:c>
      <x:c r="BG177" s="4" t="n">
        <x:v>5</x:v>
      </x:c>
      <x:c r="BH177" s="4" t="n">
        <x:v>12.8</x:v>
      </x:c>
      <x:c r="BI177" s="4" t="n">
        <x:v>90.7</x:v>
      </x:c>
      <x:c r="BJ177" s="4" t="n">
        <x:v>103.5</x:v>
      </x:c>
      <x:c r="BK177" s="4" t="n">
        <x:v>49.4</x:v>
      </x:c>
      <x:c r="BL177" s="4" t="n">
        <x:v>50.6</x:v>
      </x:c>
      <x:c r="BM177" s="4" t="n">
        <x:v>20.25</x:v>
      </x:c>
      <x:c r="BN177" s="4" t="n">
        <x:v>16.35</x:v>
      </x:c>
      <x:c r="BO177" s="10" t="n">
        <x:v>24</x:v>
      </x:c>
      <x:c r="BP177" s="10" t="n">
        <x:v>107</x:v>
      </x:c>
      <x:c r="BQ177" s="4" t="n">
        <x:v>18</x:v>
      </x:c>
      <x:c r="BR177" s="10" t="n">
        <x:v>553</x:v>
      </x:c>
      <x:c r="BS177" s="4" t="n">
        <x:v>53.3</x:v>
      </x:c>
      <x:c r="BT177" s="10" t="n">
        <x:v>82</x:v>
      </x:c>
      <x:c r="BU177" s="4" t="str">
        <x:v>DAL</x:v>
      </x:c>
      <x:c r="BV177" s="10" t="n">
        <x:v>14</x:v>
      </x:c>
      <x:c r="BW177" s="10" t="n">
        <x:v>12</x:v>
      </x:c>
      <x:c r="BX177" s="10" t="n">
        <x:v>865</x:v>
      </x:c>
      <x:c r="BY177" s="4" t="str">
        <x:v>Jason Robertson</x:v>
      </x:c>
      <x:c r="BZ177" s="4" t="str">
        <x:v>Jason Robertson</x:v>
      </x:c>
      <x:c r="CA177" s="4" t="str">
        <x:v>Jason Robertson</x:v>
      </x:c>
      <x:c r="CB177" s="4" t="str">
        <x:v>roberja01</x:v>
      </x:c>
    </x:row>
    <x:row r="178" ht="22" customHeight="1">
      <x:c r="A178" s="4" t="str">
        <x:v>Jason Zucker</x:v>
      </x:c>
      <x:c r="B178" s="4" t="str">
        <x:v>jasonzucker</x:v>
      </x:c>
      <x:c r="C178" s="10" t="n">
        <x:v>1</x:v>
      </x:c>
      <x:c r="D178" s="10" t="n">
        <x:v>1</x:v>
      </x:c>
      <x:c r="E178" s="10" t="n">
        <x:v>1</x:v>
      </x:c>
      <x:c r="F178" s="4" t="n">
        <x:f>IF(COUNT(N178,Q178,T178,W178,Z178,AC178,AF178,AI178)=8,N178*Guide!$E$5+Q178*Guide!$E$6+T178*Guide!$E$7+W178*Guide!$E$8+Z178*Guide!$E$9+AC178*Guide!$E$10+AF178*Guide!$E$11+AI178*Guide!$E$12,"")</x:f>
        <x:v>244</x:v>
      </x:c>
      <x:c r="G178" s="4" t="n">
        <x:f>IF(COUNT(O178,R178,U178,X178,AA178,AD178,AG178,AJ178)=8,O178*Guide!$E$5+R178*Guide!$E$6+U178*Guide!$E$7+X178*Guide!$E$8+AA178*Guide!$E$9+AD178*Guide!$E$10+AG178*Guide!$E$11+AJ178*Guide!$E$12,"")</x:f>
        <x:v>232.25</x:v>
      </x:c>
      <x:c r="H178" s="4" t="n">
        <x:f>IF(COUNT(G178,F178)=2,G178-F178,"")</x:f>
        <x:v>-11.75</x:v>
      </x:c>
      <x:c r="I178" s="4" t="n">
        <x:f>IF(AND(ISNUMBER(F178),K178&gt;0),F178/K178,"")</x:f>
        <x:v>3.2972972972972974</x:v>
      </x:c>
      <x:c r="J178" s="4" t="n">
        <x:f>IF(AND(ISNUMBER(G178),L178&gt;0),G178/L178,"")</x:f>
        <x:v>3.745967741935484</x:v>
      </x:c>
      <x:c r="K178" s="10" t="n">
        <x:v>74</x:v>
      </x:c>
      <x:c r="L178" s="10" t="n">
        <x:v>62</x:v>
      </x:c>
      <x:c r="M178" s="10" t="n">
        <x:f>IF(COUNT(L178,K178)=2,L178-K178,"")</x:f>
        <x:v>-12</x:v>
      </x:c>
      <x:c r="N178" s="10" t="n">
        <x:v>19</x:v>
      </x:c>
      <x:c r="O178" s="10" t="n">
        <x:v>24</x:v>
      </x:c>
      <x:c r="P178" s="10" t="n">
        <x:f>IF(COUNT(O178,N178)=2,O178-N178,"")</x:f>
        <x:v>5</x:v>
      </x:c>
      <x:c r="Q178" s="10" t="n">
        <x:v>26</x:v>
      </x:c>
      <x:c r="R178" s="10" t="n">
        <x:v>21</x:v>
      </x:c>
      <x:c r="S178" s="10" t="n">
        <x:f>IF(COUNT(R178,Q178)=2,R178-Q178,"")</x:f>
        <x:v>-5</x:v>
      </x:c>
      <x:c r="T178" s="10" t="n">
        <x:v>-2</x:v>
      </x:c>
      <x:c r="U178" s="10" t="n">
        <x:v>-5</x:v>
      </x:c>
      <x:c r="V178" s="10" t="n">
        <x:f>IF(COUNT(U178,T178)=2,U178-T178,"")</x:f>
        <x:v>-3</x:v>
      </x:c>
      <x:c r="W178" s="10" t="n">
        <x:v>15</x:v>
      </x:c>
      <x:c r="X178" s="10" t="n">
        <x:f>IF(COUNT(AV178,AW178)=2,AV178+AW178,"")</x:f>
        <x:v>16</x:v>
      </x:c>
      <x:c r="Y178" s="10" t="n">
        <x:f>IF(COUNT(X178,W178)=2,X178-W178,"")</x:f>
        <x:v>1</x:v>
      </x:c>
      <x:c r="Z178" s="10" t="n">
        <x:v>0</x:v>
      </x:c>
      <x:c r="AA178" s="10" t="n">
        <x:f>IF(COUNT(AX178,AY178)=2,AX178+AY178,"")</x:f>
        <x:v>0</x:v>
      </x:c>
      <x:c r="AB178" s="10" t="n">
        <x:f>IF(COUNT(AA178,Z178)=2,AA178-Z178,"")</x:f>
        <x:v>0</x:v>
      </x:c>
      <x:c r="AC178" s="10" t="n">
        <x:v>150</x:v>
      </x:c>
      <x:c r="AD178" s="10" t="n">
        <x:v>129</x:v>
      </x:c>
      <x:c r="AE178" s="10" t="n">
        <x:f>IF(COUNT(AD178,AC178)=2,AD178-AC178,"")</x:f>
        <x:v>-21</x:v>
      </x:c>
      <x:c r="AF178" s="10" t="n">
        <x:v>89</x:v>
      </x:c>
      <x:c r="AG178" s="10" t="n">
        <x:v>57</x:v>
      </x:c>
      <x:c r="AH178" s="10" t="n">
        <x:f>IF(COUNT(AG178,AF178)=2,AG178-AF178,"")</x:f>
        <x:v>-32</x:v>
      </x:c>
      <x:c r="AI178" s="10" t="n">
        <x:v>23</x:v>
      </x:c>
      <x:c r="AJ178" s="10" t="n">
        <x:v>21</x:v>
      </x:c>
      <x:c r="AK178" s="10" t="n">
        <x:f>IF(COUNT(AJ178,AI178)=2,AJ178-AI178,"")</x:f>
        <x:v>-2</x:v>
      </x:c>
      <x:c r="AL178" s="10" t="n">
        <x:v>34</x:v>
      </x:c>
      <x:c r="AM178" s="10" t="n">
        <x:v>34</x:v>
      </x:c>
      <x:c r="AN178" s="4" t="str">
        <x:v>LW</x:v>
      </x:c>
      <x:c r="AO178" s="4" t="str">
        <x:v>LW</x:v>
      </x:c>
      <x:c r="AP178" s="4" t="str">
        <x:v>BUF</x:v>
      </x:c>
      <x:c r="AQ178" s="4" t="str">
        <x:v>BUF</x:v>
      </x:c>
      <x:c r="AR178" s="4" t="n">
        <x:v>15.409999999999998</x:v>
      </x:c>
      <x:c r="AS178" s="4" t="n">
        <x:v>15.616666666666667</x:v>
      </x:c>
      <x:c r="AT178" s="4" t="n">
        <x:v>2.53</x:v>
      </x:c>
      <x:c r="AU178" s="4" t="n">
        <x:v>18.6</x:v>
      </x:c>
      <x:c r="AV178" s="10" t="n">
        <x:v>10</x:v>
      </x:c>
      <x:c r="AW178" s="10" t="n">
        <x:v>6</x:v>
      </x:c>
      <x:c r="AX178" s="10" t="n">
        <x:v>0</x:v>
      </x:c>
      <x:c r="AY178" s="10" t="n">
        <x:v>0</x:v>
      </x:c>
      <x:c r="AZ178" s="10" t="n">
        <x:v>710</x:v>
      </x:c>
      <x:c r="BA178" s="10" t="n">
        <x:v>738</x:v>
      </x:c>
      <x:c r="BB178" s="4" t="n">
        <x:v>49</x:v>
      </x:c>
      <x:c r="BC178" s="4" t="n">
        <x:v>-1.1</x:v>
      </x:c>
      <x:c r="BD178" s="10" t="n">
        <x:v>547</x:v>
      </x:c>
      <x:c r="BE178" s="10" t="n">
        <x:v>565</x:v>
      </x:c>
      <x:c r="BF178" s="4" t="n">
        <x:v>49.2</x:v>
      </x:c>
      <x:c r="BG178" s="4" t="n">
        <x:v>-1.4</x:v>
      </x:c>
      <x:c r="BH178" s="4" t="n">
        <x:v>11.5</x:v>
      </x:c>
      <x:c r="BI178" s="4" t="n">
        <x:v>89</x:v>
      </x:c>
      <x:c r="BJ178" s="4" t="n">
        <x:v>100.5</x:v>
      </x:c>
      <x:c r="BK178" s="4" t="n">
        <x:v>52.9</x:v>
      </x:c>
      <x:c r="BL178" s="4" t="n">
        <x:v>47.1</x:v>
      </x:c>
      <x:c r="BM178" s="4" t="n">
        <x:v>15.616666666666667</x:v>
      </x:c>
      <x:c r="BN178" s="4" t="n">
        <x:v>12.25</x:v>
      </x:c>
      <x:c r="BO178" s="10" t="n">
        <x:v>8</x:v>
      </x:c>
      <x:c r="BP178" s="10" t="n">
        <x:v>65</x:v>
      </x:c>
      <x:c r="BQ178" s="4" t="n">
        <x:v>1.2</x:v>
      </x:c>
      <x:c r="BR178" s="10" t="n">
        <x:v>227</x:v>
      </x:c>
      <x:c r="BS178" s="4" t="n">
        <x:v>56.8</x:v>
      </x:c>
      <x:c r="BT178" s="10" t="n">
        <x:v>62</x:v>
      </x:c>
      <x:c r="BU178" s="4" t="str">
        <x:v>BUF</x:v>
      </x:c>
      <x:c r="BV178" s="10" t="n">
        <x:v>199</x:v>
      </x:c>
      <x:c r="BW178" s="10" t="n">
        <x:v>177</x:v>
      </x:c>
      <x:c r="BX178" s="10" t="n">
        <x:v>1106</x:v>
      </x:c>
      <x:c r="BY178" s="4" t="str">
        <x:v>Jason Zucker</x:v>
      </x:c>
      <x:c r="BZ178" s="4" t="str">
        <x:v>Jason Zucker</x:v>
      </x:c>
      <x:c r="CA178" s="4" t="str">
        <x:v>Jason Zucker</x:v>
      </x:c>
      <x:c r="CB178" s="4" t="str">
        <x:v>zuckeja01</x:v>
      </x:c>
    </x:row>
    <x:row r="179" ht="22" customHeight="1">
      <x:c r="A179" s="4" t="str">
        <x:v>Jean-Gabriel Pageau</x:v>
      </x:c>
      <x:c r="B179" s="4" t="str">
        <x:v>jeangabrielpageau</x:v>
      </x:c>
      <x:c r="C179" s="10" t="n">
        <x:v>1</x:v>
      </x:c>
      <x:c r="D179" s="10" t="n">
        <x:v>1</x:v>
      </x:c>
      <x:c r="E179" s="10" t="n">
        <x:v>1</x:v>
      </x:c>
      <x:c r="F179" s="4" t="n">
        <x:f>IF(COUNT(N179,Q179,T179,W179,Z179,AC179,AF179,AI179)=8,N179*Guide!$E$5+Q179*Guide!$E$6+T179*Guide!$E$7+W179*Guide!$E$8+Z179*Guide!$E$9+AC179*Guide!$E$10+AF179*Guide!$E$11+AI179*Guide!$E$12,"")</x:f>
        <x:v>243.25</x:v>
      </x:c>
      <x:c r="G179" s="4" t="n">
        <x:f>IF(COUNT(O179,R179,U179,X179,AA179,AD179,AG179,AJ179)=8,O179*Guide!$E$5+R179*Guide!$E$6+U179*Guide!$E$7+X179*Guide!$E$8+AA179*Guide!$E$9+AD179*Guide!$E$10+AG179*Guide!$E$11+AJ179*Guide!$E$12,"")</x:f>
        <x:v>231.25</x:v>
      </x:c>
      <x:c r="H179" s="4" t="n">
        <x:f>IF(COUNT(G179,F179)=2,G179-F179,"")</x:f>
        <x:v>-12</x:v>
      </x:c>
      <x:c r="I179" s="4" t="n">
        <x:f>IF(AND(ISNUMBER(F179),K179&gt;0),F179/K179,"")</x:f>
        <x:v>3.159090909090909</x:v>
      </x:c>
      <x:c r="J179" s="4" t="n">
        <x:f>IF(AND(ISNUMBER(G179),L179&gt;0),G179/L179,"")</x:f>
        <x:v>3.125</x:v>
      </x:c>
      <x:c r="K179" s="10" t="n">
        <x:v>77</x:v>
      </x:c>
      <x:c r="L179" s="10" t="n">
        <x:v>74</x:v>
      </x:c>
      <x:c r="M179" s="10" t="n">
        <x:f>IF(COUNT(L179,K179)=2,L179-K179,"")</x:f>
        <x:v>-3</x:v>
      </x:c>
      <x:c r="N179" s="10" t="n">
        <x:v>13</x:v>
      </x:c>
      <x:c r="O179" s="10" t="n">
        <x:v>17</x:v>
      </x:c>
      <x:c r="P179" s="10" t="n">
        <x:f>IF(COUNT(O179,N179)=2,O179-N179,"")</x:f>
        <x:v>4</x:v>
      </x:c>
      <x:c r="Q179" s="10" t="n">
        <x:v>23</x:v>
      </x:c>
      <x:c r="R179" s="10" t="n">
        <x:v>18</x:v>
      </x:c>
      <x:c r="S179" s="10" t="n">
        <x:f>IF(COUNT(R179,Q179)=2,R179-Q179,"")</x:f>
        <x:v>-5</x:v>
      </x:c>
      <x:c r="T179" s="10" t="n">
        <x:v>-2</x:v>
      </x:c>
      <x:c r="U179" s="10" t="n">
        <x:v>0</x:v>
      </x:c>
      <x:c r="V179" s="10" t="n">
        <x:f>IF(COUNT(U179,T179)=2,U179-T179,"")</x:f>
        <x:v>2</x:v>
      </x:c>
      <x:c r="W179" s="10" t="n">
        <x:v>4</x:v>
      </x:c>
      <x:c r="X179" s="10" t="n">
        <x:f>IF(COUNT(AV179,AW179)=2,AV179+AW179,"")</x:f>
        <x:v>1</x:v>
      </x:c>
      <x:c r="Y179" s="10" t="n">
        <x:f>IF(COUNT(X179,W179)=2,X179-W179,"")</x:f>
        <x:v>-3</x:v>
      </x:c>
      <x:c r="Z179" s="10" t="n">
        <x:v>3</x:v>
      </x:c>
      <x:c r="AA179" s="10" t="n">
        <x:f>IF(COUNT(AX179,AY179)=2,AX179+AY179,"")</x:f>
        <x:v>7</x:v>
      </x:c>
      <x:c r="AB179" s="10" t="n">
        <x:f>IF(COUNT(AA179,Z179)=2,AA179-Z179,"")</x:f>
        <x:v>4</x:v>
      </x:c>
      <x:c r="AC179" s="10" t="n">
        <x:v>106</x:v>
      </x:c>
      <x:c r="AD179" s="10" t="n">
        <x:v>81</x:v>
      </x:c>
      <x:c r="AE179" s="10" t="n">
        <x:f>IF(COUNT(AD179,AC179)=2,AD179-AC179,"")</x:f>
        <x:v>-25</x:v>
      </x:c>
      <x:c r="AF179" s="10" t="n">
        <x:v>147</x:v>
      </x:c>
      <x:c r="AG179" s="10" t="n">
        <x:v>115</x:v>
      </x:c>
      <x:c r="AH179" s="10" t="n">
        <x:f>IF(COUNT(AG179,AF179)=2,AG179-AF179,"")</x:f>
        <x:v>-32</x:v>
      </x:c>
      <x:c r="AI179" s="10" t="n">
        <x:v>64</x:v>
      </x:c>
      <x:c r="AJ179" s="10" t="n">
        <x:v>51</x:v>
      </x:c>
      <x:c r="AK179" s="10" t="n">
        <x:f>IF(COUNT(AJ179,AI179)=2,AJ179-AI179,"")</x:f>
        <x:v>-13</x:v>
      </x:c>
      <x:c r="AL179" s="10" t="n">
        <x:v>33</x:v>
      </x:c>
      <x:c r="AM179" s="10" t="n">
        <x:v>33</x:v>
      </x:c>
      <x:c r="AN179" s="4" t="str">
        <x:v>C,RW</x:v>
      </x:c>
      <x:c r="AO179" s="4" t="str">
        <x:v>C</x:v>
      </x:c>
      <x:c r="AP179" s="4" t="str">
        <x:v>NYI</x:v>
      </x:c>
      <x:c r="AQ179" s="4" t="str">
        <x:v>NYI</x:v>
      </x:c>
      <x:c r="AR179" s="4" t="n">
        <x:v>16.52</x:v>
      </x:c>
      <x:c r="AS179" s="4" t="n">
        <x:v>15.666666666666666</x:v>
      </x:c>
      <x:c r="AT179" s="4" t="n">
        <x:v>1.5</x:v>
      </x:c>
      <x:c r="AU179" s="4" t="n">
        <x:v>21</x:v>
      </x:c>
      <x:c r="AV179" s="10" t="n">
        <x:v>0</x:v>
      </x:c>
      <x:c r="AW179" s="10" t="n">
        <x:v>1</x:v>
      </x:c>
      <x:c r="AX179" s="10" t="n">
        <x:v>3</x:v>
      </x:c>
      <x:c r="AY179" s="10" t="n">
        <x:v>4</x:v>
      </x:c>
      <x:c r="AZ179" s="10" t="n">
        <x:v>839</x:v>
      </x:c>
      <x:c r="BA179" s="10" t="n">
        <x:v>987</x:v>
      </x:c>
      <x:c r="BB179" s="4" t="n">
        <x:v>45.9</x:v>
      </x:c>
      <x:c r="BC179" s="4" t="n">
        <x:v>-4.6</x:v>
      </x:c>
      <x:c r="BD179" s="10" t="n">
        <x:v>625</x:v>
      </x:c>
      <x:c r="BE179" s="10" t="n">
        <x:v>729</x:v>
      </x:c>
      <x:c r="BF179" s="4" t="n">
        <x:v>46.2</x:v>
      </x:c>
      <x:c r="BG179" s="4" t="n">
        <x:v>-4.6</x:v>
      </x:c>
      <x:c r="BH179" s="4" t="n">
        <x:v>10.7</x:v>
      </x:c>
      <x:c r="BI179" s="4" t="n">
        <x:v>90.2</x:v>
      </x:c>
      <x:c r="BJ179" s="4" t="n">
        <x:v>100.9</x:v>
      </x:c>
      <x:c r="BK179" s="4" t="n">
        <x:v>45.7</x:v>
      </x:c>
      <x:c r="BL179" s="4" t="n">
        <x:v>54.3</x:v>
      </x:c>
      <x:c r="BM179" s="4" t="n">
        <x:v>15.666666666666666</x:v>
      </x:c>
      <x:c r="BN179" s="4" t="n">
        <x:v>12.883333333333333</x:v>
      </x:c>
      <x:c r="BO179" s="10" t="n">
        <x:v>16</x:v>
      </x:c>
      <x:c r="BP179" s="10" t="n">
        <x:v>50</x:v>
      </x:c>
      <x:c r="BQ179" s="4" t="n">
        <x:v>-12.3</x:v>
      </x:c>
      <x:c r="BR179" s="10" t="n">
        <x:v>150</x:v>
      </x:c>
      <x:c r="BS179" s="4" t="n">
        <x:v>54.7</x:v>
      </x:c>
      <x:c r="BT179" s="10" t="n">
        <x:v>74</x:v>
      </x:c>
      <x:c r="BU179" s="4" t="str">
        <x:v>NYI</x:v>
      </x:c>
      <x:c r="BV179" s="10" t="n">
        <x:v>295</x:v>
      </x:c>
      <x:c r="BW179" s="10" t="n">
        <x:v>270</x:v>
      </x:c>
      <x:c r="BX179" s="10" t="n">
        <x:v>774</x:v>
      </x:c>
      <x:c r="BY179" s="4" t="str">
        <x:v>Jean-Gabriel Pageau</x:v>
      </x:c>
      <x:c r="BZ179" s="4" t="str">
        <x:v>Jean-Gabriel Pageau</x:v>
      </x:c>
      <x:c r="CA179" s="4" t="str">
        <x:v>Jean-Gabriel Pageau</x:v>
      </x:c>
      <x:c r="CB179" s="4" t="str">
        <x:v>pageaje01</x:v>
      </x:c>
    </x:row>
    <x:row r="180" ht="22" customHeight="1">
      <x:c r="A180" s="4" t="str">
        <x:v>Jesper Bratt</x:v>
      </x:c>
      <x:c r="B180" s="4" t="str">
        <x:v>jesperbratt</x:v>
      </x:c>
      <x:c r="C180" s="10" t="n">
        <x:v>1</x:v>
      </x:c>
      <x:c r="D180" s="10" t="n">
        <x:v>1</x:v>
      </x:c>
      <x:c r="E180" s="10" t="n">
        <x:v>1</x:v>
      </x:c>
      <x:c r="F180" s="4" t="n">
        <x:f>IF(COUNT(N180,Q180,T180,W180,Z180,AC180,AF180,AI180)=8,N180*Guide!$E$5+Q180*Guide!$E$6+T180*Guide!$E$7+W180*Guide!$E$8+Z180*Guide!$E$9+AC180*Guide!$E$10+AF180*Guide!$E$11+AI180*Guide!$E$12,"")</x:f>
        <x:v>400</x:v>
      </x:c>
      <x:c r="G180" s="4" t="n">
        <x:f>IF(COUNT(O180,R180,U180,X180,AA180,AD180,AG180,AJ180)=8,O180*Guide!$E$5+R180*Guide!$E$6+U180*Guide!$E$7+X180*Guide!$E$8+AA180*Guide!$E$9+AD180*Guide!$E$10+AG180*Guide!$E$11+AJ180*Guide!$E$12,"")</x:f>
        <x:v>331</x:v>
      </x:c>
      <x:c r="H180" s="4" t="n">
        <x:f>IF(COUNT(G180,F180)=2,G180-F180,"")</x:f>
        <x:v>-69</x:v>
      </x:c>
      <x:c r="I180" s="4" t="n">
        <x:f>IF(AND(ISNUMBER(F180),K180&gt;0),F180/K180,"")</x:f>
        <x:v>4.938271604938271</x:v>
      </x:c>
      <x:c r="J180" s="4" t="n">
        <x:f>IF(AND(ISNUMBER(G180),L180&gt;0),G180/L180,"")</x:f>
        <x:v>4.036585365853658</x:v>
      </x:c>
      <x:c r="K180" s="10" t="n">
        <x:v>81</x:v>
      </x:c>
      <x:c r="L180" s="10" t="n">
        <x:v>82</x:v>
      </x:c>
      <x:c r="M180" s="10" t="n">
        <x:f>IF(COUNT(L180,K180)=2,L180-K180,"")</x:f>
        <x:v>1</x:v>
      </x:c>
      <x:c r="N180" s="10" t="n">
        <x:v>26</x:v>
      </x:c>
      <x:c r="O180" s="10" t="n">
        <x:v>22</x:v>
      </x:c>
      <x:c r="P180" s="10" t="n">
        <x:f>IF(COUNT(O180,N180)=2,O180-N180,"")</x:f>
        <x:v>-4</x:v>
      </x:c>
      <x:c r="Q180" s="10" t="n">
        <x:v>53</x:v>
      </x:c>
      <x:c r="R180" s="10" t="n">
        <x:v>49</x:v>
      </x:c>
      <x:c r="S180" s="10" t="n">
        <x:f>IF(COUNT(R180,Q180)=2,R180-Q180,"")</x:f>
        <x:v>-4</x:v>
      </x:c>
      <x:c r="T180" s="10" t="n">
        <x:v>5</x:v>
      </x:c>
      <x:c r="U180" s="10" t="n">
        <x:v>-11</x:v>
      </x:c>
      <x:c r="V180" s="10" t="n">
        <x:f>IF(COUNT(U180,T180)=2,U180-T180,"")</x:f>
        <x:v>-16</x:v>
      </x:c>
      <x:c r="W180" s="10" t="n">
        <x:v>28</x:v>
      </x:c>
      <x:c r="X180" s="10" t="n">
        <x:f>IF(COUNT(AV180,AW180)=2,AV180+AW180,"")</x:f>
        <x:v>20</x:v>
      </x:c>
      <x:c r="Y180" s="10" t="n">
        <x:f>IF(COUNT(X180,W180)=2,X180-W180,"")</x:f>
        <x:v>-8</x:v>
      </x:c>
      <x:c r="Z180" s="10" t="n">
        <x:v>2</x:v>
      </x:c>
      <x:c r="AA180" s="10" t="n">
        <x:f>IF(COUNT(AX180,AY180)=2,AX180+AY180,"")</x:f>
        <x:v>2</x:v>
      </x:c>
      <x:c r="AB180" s="10" t="n">
        <x:f>IF(COUNT(AA180,Z180)=2,AA180-Z180,"")</x:f>
        <x:v>0</x:v>
      </x:c>
      <x:c r="AC180" s="10" t="n">
        <x:v>191</x:v>
      </x:c>
      <x:c r="AD180" s="10" t="n">
        <x:v>178</x:v>
      </x:c>
      <x:c r="AE180" s="10" t="n">
        <x:f>IF(COUNT(AD180,AC180)=2,AD180-AC180,"")</x:f>
        <x:v>-13</x:v>
      </x:c>
      <x:c r="AF180" s="10" t="n">
        <x:v>81</x:v>
      </x:c>
      <x:c r="AG180" s="10" t="n">
        <x:v>74</x:v>
      </x:c>
      <x:c r="AH180" s="10" t="n">
        <x:f>IF(COUNT(AG180,AF180)=2,AG180-AF180,"")</x:f>
        <x:v>-7</x:v>
      </x:c>
      <x:c r="AI180" s="10" t="n">
        <x:v>40</x:v>
      </x:c>
      <x:c r="AJ180" s="10" t="n">
        <x:v>24</x:v>
      </x:c>
      <x:c r="AK180" s="10" t="n">
        <x:f>IF(COUNT(AJ180,AI180)=2,AJ180-AI180,"")</x:f>
        <x:v>-16</x:v>
      </x:c>
      <x:c r="AL180" s="10" t="n">
        <x:v>27</x:v>
      </x:c>
      <x:c r="AM180" s="10" t="n">
        <x:v>27</x:v>
      </x:c>
      <x:c r="AN180" s="4" t="str">
        <x:v>LW,RW</x:v>
      </x:c>
      <x:c r="AO180" s="4" t="str">
        <x:v>W</x:v>
      </x:c>
      <x:c r="AP180" s="4" t="str">
        <x:v>NJ</x:v>
      </x:c>
      <x:c r="AQ180" s="4" t="str">
        <x:v>NJD</x:v>
      </x:c>
      <x:c r="AR180" s="4" t="n">
        <x:v>18.77</x:v>
      </x:c>
      <x:c r="AS180" s="4" t="n">
        <x:v>18.766666666666666</x:v>
      </x:c>
      <x:c r="AT180" s="4" t="n">
        <x:v>2.81</x:v>
      </x:c>
      <x:c r="AU180" s="4" t="n">
        <x:v>12.4</x:v>
      </x:c>
      <x:c r="AV180" s="10" t="n">
        <x:v>5</x:v>
      </x:c>
      <x:c r="AW180" s="10" t="n">
        <x:v>15</x:v>
      </x:c>
      <x:c r="AX180" s="10" t="n">
        <x:v>1</x:v>
      </x:c>
      <x:c r="AY180" s="10" t="n">
        <x:v>1</x:v>
      </x:c>
      <x:c r="AZ180" s="10" t="n">
        <x:v>1463</x:v>
      </x:c>
      <x:c r="BA180" s="10" t="n">
        <x:v>1072</x:v>
      </x:c>
      <x:c r="BB180" s="4" t="n">
        <x:v>57.7</x:v>
      </x:c>
      <x:c r="BC180" s="4" t="n">
        <x:v>8.6</x:v>
      </x:c>
      <x:c r="BD180" s="10" t="n">
        <x:v>1044</x:v>
      </x:c>
      <x:c r="BE180" s="10" t="n">
        <x:v>800</x:v>
      </x:c>
      <x:c r="BF180" s="4" t="n">
        <x:v>56.6</x:v>
      </x:c>
      <x:c r="BG180" s="4" t="n">
        <x:v>7.2</x:v>
      </x:c>
      <x:c r="BH180" s="4" t="n">
        <x:v>9.3</x:v>
      </x:c>
      <x:c r="BI180" s="4" t="n">
        <x:v>85.4</x:v>
      </x:c>
      <x:c r="BJ180" s="4" t="n">
        <x:v>94.7</x:v>
      </x:c>
      <x:c r="BK180" s="4" t="n">
        <x:v>63.1</x:v>
      </x:c>
      <x:c r="BL180" s="4" t="n">
        <x:v>36.9</x:v>
      </x:c>
      <x:c r="BM180" s="4" t="n">
        <x:v>18.766666666666666</x:v>
      </x:c>
      <x:c r="BN180" s="4" t="n">
        <x:v>15.033333333333333</x:v>
      </x:c>
      <x:c r="BO180" s="10" t="n">
        <x:v>24</x:v>
      </x:c>
      <x:c r="BP180" s="10" t="n">
        <x:v>92</x:v>
      </x:c>
      <x:c r="BQ180" s="4" t="n">
        <x:v>18.6</x:v>
      </x:c>
      <x:c r="BR180" s="10" t="n">
        <x:v>354</x:v>
      </x:c>
      <x:c r="BS180" s="4" t="n">
        <x:v>50.3</x:v>
      </x:c>
      <x:c r="BT180" s="10" t="n">
        <x:v>82</x:v>
      </x:c>
      <x:c r="BU180" s="4" t="str">
        <x:v>NJD</x:v>
      </x:c>
      <x:c r="BV180" s="10" t="n">
        <x:v>21</x:v>
      </x:c>
      <x:c r="BW180" s="10" t="n">
        <x:v>54</x:v>
      </x:c>
      <x:c r="BX180" s="10" t="n">
        <x:v>89</x:v>
      </x:c>
      <x:c r="BY180" s="4" t="str">
        <x:v>Jesper Bratt</x:v>
      </x:c>
      <x:c r="BZ180" s="4" t="str">
        <x:v>Jesper Bratt</x:v>
      </x:c>
      <x:c r="CA180" s="4" t="str">
        <x:v>Jesper Bratt</x:v>
      </x:c>
      <x:c r="CB180" s="4" t="str">
        <x:v>brattje01</x:v>
      </x:c>
    </x:row>
    <x:row r="181" ht="22" customHeight="1">
      <x:c r="A181" s="4" t="str">
        <x:v>Jimmy Snuggerud</x:v>
      </x:c>
      <x:c r="B181" s="4" t="str">
        <x:v>jimmysnuggerud</x:v>
      </x:c>
      <x:c r="C181" s="10" t="n">
        <x:v>1</x:v>
      </x:c>
      <x:c r="D181" s="10" t="n">
        <x:v>1</x:v>
      </x:c>
      <x:c r="E181" s="10" t="n">
        <x:v>1</x:v>
      </x:c>
      <x:c r="F181" s="4" t="n">
        <x:f>IF(COUNT(N181,Q181,T181,W181,Z181,AC181,AF181,AI181)=8,N181*Guide!$E$5+Q181*Guide!$E$6+T181*Guide!$E$7+W181*Guide!$E$8+Z181*Guide!$E$9+AC181*Guide!$E$10+AF181*Guide!$E$11+AI181*Guide!$E$12,"")</x:f>
        <x:v>231</x:v>
      </x:c>
      <x:c r="G181" s="4" t="n">
        <x:f>IF(COUNT(O181,R181,U181,X181,AA181,AD181,AG181,AJ181)=8,O181*Guide!$E$5+R181*Guide!$E$6+U181*Guide!$E$7+X181*Guide!$E$8+AA181*Guide!$E$9+AD181*Guide!$E$10+AG181*Guide!$E$11+AJ181*Guide!$E$12,"")</x:f>
        <x:v>288.25</x:v>
      </x:c>
      <x:c r="H181" s="4" t="n">
        <x:f>IF(COUNT(G181,F181)=2,G181-F181,"")</x:f>
        <x:v>57.25</x:v>
      </x:c>
      <x:c r="I181" s="4" t="n">
        <x:f>IF(AND(ISNUMBER(F181),K181&gt;0),F181/K181,"")</x:f>
        <x:v>3.039473684210526</x:v>
      </x:c>
      <x:c r="J181" s="4" t="n">
        <x:f>IF(AND(ISNUMBER(G181),L181&gt;0),G181/L181,"")</x:f>
        <x:v>4.117857142857143</x:v>
      </x:c>
      <x:c r="K181" s="10" t="n">
        <x:v>76</x:v>
      </x:c>
      <x:c r="L181" s="10" t="n">
        <x:v>70</x:v>
      </x:c>
      <x:c r="M181" s="10" t="n">
        <x:f>IF(COUNT(L181,K181)=2,L181-K181,"")</x:f>
        <x:v>-6</x:v>
      </x:c>
      <x:c r="N181" s="10" t="n">
        <x:v>17</x:v>
      </x:c>
      <x:c r="O181" s="10" t="n">
        <x:v>21</x:v>
      </x:c>
      <x:c r="P181" s="10" t="n">
        <x:f>IF(COUNT(O181,N181)=2,O181-N181,"")</x:f>
        <x:v>4</x:v>
      </x:c>
      <x:c r="Q181" s="10" t="n">
        <x:v>23</x:v>
      </x:c>
      <x:c r="R181" s="10" t="n">
        <x:v>30</x:v>
      </x:c>
      <x:c r="S181" s="10" t="n">
        <x:f>IF(COUNT(R181,Q181)=2,R181-Q181,"")</x:f>
        <x:v>7</x:v>
      </x:c>
      <x:c r="T181" s="10" t="n">
        <x:v>-2</x:v>
      </x:c>
      <x:c r="U181" s="10" t="n">
        <x:v>16</x:v>
      </x:c>
      <x:c r="V181" s="10" t="n">
        <x:f>IF(COUNT(U181,T181)=2,U181-T181,"")</x:f>
        <x:v>18</x:v>
      </x:c>
      <x:c r="W181" s="10" t="n">
        <x:v>12</x:v>
      </x:c>
      <x:c r="X181" s="10" t="n">
        <x:f>IF(COUNT(AV181,AW181)=2,AV181+AW181,"")</x:f>
        <x:v>9</x:v>
      </x:c>
      <x:c r="Y181" s="10" t="n">
        <x:f>IF(COUNT(X181,W181)=2,X181-W181,"")</x:f>
        <x:v>-3</x:v>
      </x:c>
      <x:c r="Z181" s="10" t="n">
        <x:v>0</x:v>
      </x:c>
      <x:c r="AA181" s="10" t="n">
        <x:f>IF(COUNT(AX181,AY181)=2,AX181+AY181,"")</x:f>
        <x:v>0</x:v>
      </x:c>
      <x:c r="AB181" s="10" t="n">
        <x:f>IF(COUNT(AA181,Z181)=2,AA181-Z181,"")</x:f>
        <x:v>0</x:v>
      </x:c>
      <x:c r="AC181" s="10" t="n">
        <x:v>161</x:v>
      </x:c>
      <x:c r="AD181" s="10" t="n">
        <x:v>169</x:v>
      </x:c>
      <x:c r="AE181" s="10" t="n">
        <x:f>IF(COUNT(AD181,AC181)=2,AD181-AC181,"")</x:f>
        <x:v>8</x:v>
      </x:c>
      <x:c r="AF181" s="10" t="n">
        <x:v>55</x:v>
      </x:c>
      <x:c r="AG181" s="10" t="n">
        <x:v>71</x:v>
      </x:c>
      <x:c r="AH181" s="10" t="n">
        <x:f>IF(COUNT(AG181,AF181)=2,AG181-AF181,"")</x:f>
        <x:v>16</x:v>
      </x:c>
      <x:c r="AI181" s="10" t="n">
        <x:v>40</x:v>
      </x:c>
      <x:c r="AJ181" s="10" t="n">
        <x:v>39</x:v>
      </x:c>
      <x:c r="AK181" s="10" t="n">
        <x:f>IF(COUNT(AJ181,AI181)=2,AJ181-AI181,"")</x:f>
        <x:v>-1</x:v>
      </x:c>
      <x:c r="AL181" s="10" t="n">
        <x:v>21</x:v>
      </x:c>
      <x:c r="AM181" s="10" t="n">
        <x:v>21</x:v>
      </x:c>
      <x:c r="AN181" s="4" t="str">
        <x:v>RW</x:v>
      </x:c>
      <x:c r="AO181" s="4" t="str">
        <x:v>RW</x:v>
      </x:c>
      <x:c r="AP181" s="4" t="str">
        <x:v>STL</x:v>
      </x:c>
      <x:c r="AQ181" s="4" t="str">
        <x:v>STL</x:v>
      </x:c>
      <x:c r="AR181" s="4" t="n">
        <x:v>15.21</x:v>
      </x:c>
      <x:c r="AS181" s="4" t="n">
        <x:v>16.7</x:v>
      </x:c>
      <x:c r="AT181" s="4" t="n">
        <x:v>1.96</x:v>
      </x:c>
      <x:c r="AU181" s="4" t="n">
        <x:v>12.4</x:v>
      </x:c>
      <x:c r="AV181" s="10" t="n">
        <x:v>5</x:v>
      </x:c>
      <x:c r="AW181" s="10" t="n">
        <x:v>4</x:v>
      </x:c>
      <x:c r="AX181" s="10" t="n">
        <x:v>0</x:v>
      </x:c>
      <x:c r="AY181" s="10" t="n">
        <x:v>0</x:v>
      </x:c>
      <x:c r="AZ181" s="10" t="n">
        <x:v>944</x:v>
      </x:c>
      <x:c r="BA181" s="10" t="n">
        <x:v>1024</x:v>
      </x:c>
      <x:c r="BB181" s="4" t="n">
        <x:v>48</x:v>
      </x:c>
      <x:c r="BC181" s="4" t="n">
        <x:v>-0.1</x:v>
      </x:c>
      <x:c r="BD181" s="10" t="n">
        <x:v>674</x:v>
      </x:c>
      <x:c r="BE181" s="10" t="n">
        <x:v>752</x:v>
      </x:c>
      <x:c r="BF181" s="4" t="n">
        <x:v>47.3</x:v>
      </x:c>
      <x:c r="BG181" s="4" t="n">
        <x:v>-0.7</x:v>
      </x:c>
      <x:c r="BH181" s="4" t="n">
        <x:v>12.9</x:v>
      </x:c>
      <x:c r="BI181" s="4" t="n">
        <x:v>92</x:v>
      </x:c>
      <x:c r="BJ181" s="4" t="n">
        <x:v>104.8</x:v>
      </x:c>
      <x:c r="BK181" s="4" t="n">
        <x:v>52.5</x:v>
      </x:c>
      <x:c r="BL181" s="4" t="n">
        <x:v>47.5</x:v>
      </x:c>
      <x:c r="BM181" s="4" t="n">
        <x:v>16.7</x:v>
      </x:c>
      <x:c r="BN181" s="4" t="n">
        <x:v>14.433333333333334</x:v>
      </x:c>
      <x:c r="BO181" s="10" t="n">
        <x:v>24</x:v>
      </x:c>
      <x:c r="BP181" s="10" t="n">
        <x:v>61</x:v>
      </x:c>
      <x:c r="BQ181" s="4" t="n">
        <x:v>4.3</x:v>
      </x:c>
      <x:c r="BR181" s="10" t="n">
        <x:v>335</x:v>
      </x:c>
      <x:c r="BS181" s="4" t="n">
        <x:v>50.4</x:v>
      </x:c>
      <x:c r="BT181" s="10" t="n">
        <x:v>70</x:v>
      </x:c>
      <x:c r="BU181" s="4" t="str">
        <x:v>STL</x:v>
      </x:c>
      <x:c r="BV181" s="10" t="n">
        <x:v>250</x:v>
      </x:c>
      <x:c r="BW181" s="10" t="n">
        <x:v>138</x:v>
      </x:c>
      <x:c r="BX181" s="10" t="n">
        <x:v>951</x:v>
      </x:c>
      <x:c r="BY181" s="4" t="str">
        <x:v>Jimmy Snuggerud</x:v>
      </x:c>
      <x:c r="BZ181" s="4" t="str">
        <x:v>Jimmy Snuggerud</x:v>
      </x:c>
      <x:c r="CA181" s="4" t="str">
        <x:v>Jimmy Snuggerud</x:v>
      </x:c>
      <x:c r="CB181" s="4" t="str">
        <x:v>snuggji01</x:v>
      </x:c>
    </x:row>
    <x:row r="182" ht="22" customHeight="1">
      <x:c r="A182" s="4" t="str">
        <x:v>JJ Peterka</x:v>
      </x:c>
      <x:c r="B182" s="4" t="str">
        <x:v>jjpeterka</x:v>
      </x:c>
      <x:c r="C182" s="10" t="n">
        <x:v>1</x:v>
      </x:c>
      <x:c r="D182" s="10" t="n">
        <x:v>1</x:v>
      </x:c>
      <x:c r="E182" s="10" t="n">
        <x:v>1</x:v>
      </x:c>
      <x:c r="F182" s="4" t="n">
        <x:f>IF(COUNT(N182,Q182,T182,W182,Z182,AC182,AF182,AI182)=8,N182*Guide!$E$5+Q182*Guide!$E$6+T182*Guide!$E$7+W182*Guide!$E$8+Z182*Guide!$E$9+AC182*Guide!$E$10+AF182*Guide!$E$11+AI182*Guide!$E$12,"")</x:f>
        <x:v>274</x:v>
      </x:c>
      <x:c r="G182" s="4" t="n">
        <x:f>IF(COUNT(O182,R182,U182,X182,AA182,AD182,AG182,AJ182)=8,O182*Guide!$E$5+R182*Guide!$E$6+U182*Guide!$E$7+X182*Guide!$E$8+AA182*Guide!$E$9+AD182*Guide!$E$10+AG182*Guide!$E$11+AJ182*Guide!$E$12,"")</x:f>
        <x:v>235</x:v>
      </x:c>
      <x:c r="H182" s="4" t="n">
        <x:f>IF(COUNT(G182,F182)=2,G182-F182,"")</x:f>
        <x:v>-39</x:v>
      </x:c>
      <x:c r="I182" s="4" t="n">
        <x:f>IF(AND(ISNUMBER(F182),K182&gt;0),F182/K182,"")</x:f>
        <x:v>3.5584415584415585</x:v>
      </x:c>
      <x:c r="J182" s="4" t="n">
        <x:f>IF(AND(ISNUMBER(G182),L182&gt;0),G182/L182,"")</x:f>
        <x:v>2.8658536585365852</x:v>
      </x:c>
      <x:c r="K182" s="10" t="n">
        <x:v>77</x:v>
      </x:c>
      <x:c r="L182" s="10" t="n">
        <x:v>82</x:v>
      </x:c>
      <x:c r="M182" s="10" t="n">
        <x:f>IF(COUNT(L182,K182)=2,L182-K182,"")</x:f>
        <x:v>5</x:v>
      </x:c>
      <x:c r="N182" s="10" t="n">
        <x:v>26</x:v>
      </x:c>
      <x:c r="O182" s="10" t="n">
        <x:v>25</x:v>
      </x:c>
      <x:c r="P182" s="10" t="n">
        <x:f>IF(COUNT(O182,N182)=2,O182-N182,"")</x:f>
        <x:v>-1</x:v>
      </x:c>
      <x:c r="Q182" s="10" t="n">
        <x:v>30</x:v>
      </x:c>
      <x:c r="R182" s="10" t="n">
        <x:v>22</x:v>
      </x:c>
      <x:c r="S182" s="10" t="n">
        <x:f>IF(COUNT(R182,Q182)=2,R182-Q182,"")</x:f>
        <x:v>-8</x:v>
      </x:c>
      <x:c r="T182" s="10" t="n">
        <x:v>-1</x:v>
      </x:c>
      <x:c r="U182" s="10" t="n">
        <x:v>6</x:v>
      </x:c>
      <x:c r="V182" s="10" t="n">
        <x:f>IF(COUNT(U182,T182)=2,U182-T182,"")</x:f>
        <x:v>7</x:v>
      </x:c>
      <x:c r="W182" s="10" t="n">
        <x:v>15</x:v>
      </x:c>
      <x:c r="X182" s="10" t="n">
        <x:f>IF(COUNT(AV182,AW182)=2,AV182+AW182,"")</x:f>
        <x:v>5</x:v>
      </x:c>
      <x:c r="Y182" s="10" t="n">
        <x:f>IF(COUNT(X182,W182)=2,X182-W182,"")</x:f>
        <x:v>-10</x:v>
      </x:c>
      <x:c r="Z182" s="10" t="n">
        <x:v>0</x:v>
      </x:c>
      <x:c r="AA182" s="10" t="n">
        <x:f>IF(COUNT(AX182,AY182)=2,AX182+AY182,"")</x:f>
        <x:v>0</x:v>
      </x:c>
      <x:c r="AB182" s="10" t="n">
        <x:f>IF(COUNT(AA182,Z182)=2,AA182-Z182,"")</x:f>
        <x:v>0</x:v>
      </x:c>
      <x:c r="AC182" s="10" t="n">
        <x:v>181</x:v>
      </x:c>
      <x:c r="AD182" s="10" t="n">
        <x:v>159</x:v>
      </x:c>
      <x:c r="AE182" s="10" t="n">
        <x:f>IF(COUNT(AD182,AC182)=2,AD182-AC182,"")</x:f>
        <x:v>-22</x:v>
      </x:c>
      <x:c r="AF182" s="10" t="n">
        <x:v>29</x:v>
      </x:c>
      <x:c r="AG182" s="10" t="n">
        <x:v>16</x:v>
      </x:c>
      <x:c r="AH182" s="10" t="n">
        <x:f>IF(COUNT(AG182,AF182)=2,AG182-AF182,"")</x:f>
        <x:v>-13</x:v>
      </x:c>
      <x:c r="AI182" s="10" t="n">
        <x:v>18</x:v>
      </x:c>
      <x:c r="AJ182" s="10" t="n">
        <x:v>19</x:v>
      </x:c>
      <x:c r="AK182" s="10" t="n">
        <x:f>IF(COUNT(AJ182,AI182)=2,AJ182-AI182,"")</x:f>
        <x:v>1</x:v>
      </x:c>
      <x:c r="AL182" s="10" t="n">
        <x:v>24</x:v>
      </x:c>
      <x:c r="AM182" s="10" t="n">
        <x:v>24</x:v>
      </x:c>
      <x:c r="AN182" s="4" t="str">
        <x:v>LW,RW</x:v>
      </x:c>
      <x:c r="AO182" s="4" t="str">
        <x:v>RW</x:v>
      </x:c>
      <x:c r="AP182" s="4" t="str">
        <x:v>UTA</x:v>
      </x:c>
      <x:c r="AQ182" s="4" t="str">
        <x:v>UTA</x:v>
      </x:c>
      <x:c r="AR182" s="4" t="n">
        <x:v>17.99</x:v>
      </x:c>
      <x:c r="AS182" s="4" t="n">
        <x:v>15.983333333333333</x:v>
      </x:c>
      <x:c r="AT182" s="4" t="n">
        <x:v>2.77</x:v>
      </x:c>
      <x:c r="AU182" s="4" t="n">
        <x:v>15.7</x:v>
      </x:c>
      <x:c r="AV182" s="10" t="n">
        <x:v>3</x:v>
      </x:c>
      <x:c r="AW182" s="10" t="n">
        <x:v>2</x:v>
      </x:c>
      <x:c r="AX182" s="10" t="n">
        <x:v>0</x:v>
      </x:c>
      <x:c r="AY182" s="10" t="n">
        <x:v>0</x:v>
      </x:c>
      <x:c r="AZ182" s="10" t="n">
        <x:v>1183</x:v>
      </x:c>
      <x:c r="BA182" s="10" t="n">
        <x:v>1021</x:v>
      </x:c>
      <x:c r="BB182" s="4" t="n">
        <x:v>53.7</x:v>
      </x:c>
      <x:c r="BC182" s="4" t="n">
        <x:v>0.6</x:v>
      </x:c>
      <x:c r="BD182" s="10" t="n">
        <x:v>845</x:v>
      </x:c>
      <x:c r="BE182" s="10" t="n">
        <x:v>757</x:v>
      </x:c>
      <x:c r="BF182" s="4" t="n">
        <x:v>52.7</x:v>
      </x:c>
      <x:c r="BG182" s="4" t="n">
        <x:v>-0.4</x:v>
      </x:c>
      <x:c r="BH182" s="4" t="n">
        <x:v>10</x:v>
      </x:c>
      <x:c r="BI182" s="4" t="n">
        <x:v>90.1</x:v>
      </x:c>
      <x:c r="BJ182" s="4" t="n">
        <x:v>100.1</x:v>
      </x:c>
      <x:c r="BK182" s="4" t="n">
        <x:v>58.9</x:v>
      </x:c>
      <x:c r="BL182" s="4" t="n">
        <x:v>41.1</x:v>
      </x:c>
      <x:c r="BM182" s="4" t="n">
        <x:v>15.983333333333333</x:v>
      </x:c>
      <x:c r="BN182" s="4" t="n">
        <x:v>14.016666666666667</x:v>
      </x:c>
      <x:c r="BO182" s="10" t="n">
        <x:v>19</x:v>
      </x:c>
      <x:c r="BP182" s="10" t="n">
        <x:v>87</x:v>
      </x:c>
      <x:c r="BQ182" s="4" t="n">
        <x:v>8.3</x:v>
      </x:c>
      <x:c r="BR182" s="10" t="n">
        <x:v>338</x:v>
      </x:c>
      <x:c r="BS182" s="4" t="n">
        <x:v>47.3</x:v>
      </x:c>
      <x:c r="BT182" s="10" t="n">
        <x:v>82</x:v>
      </x:c>
      <x:c r="BU182" s="4" t="str">
        <x:v>UTA</x:v>
      </x:c>
      <x:c r="BV182" s="10" t="n">
        <x:v>114</x:v>
      </x:c>
      <x:c r="BW182" s="10" t="n">
        <x:v>162</x:v>
      </x:c>
      <x:c r="BX182" s="10" t="n">
        <x:v>805</x:v>
      </x:c>
      <x:c r="BY182" s="4" t="str">
        <x:v>JJ Peterka</x:v>
      </x:c>
      <x:c r="BZ182" s="4" t="str">
        <x:v>JJ Peterka</x:v>
      </x:c>
      <x:c r="CA182" s="4" t="str">
        <x:v>JJ Peterka</x:v>
      </x:c>
      <x:c r="CB182" s="4" t="str">
        <x:v>peterjo01</x:v>
      </x:c>
    </x:row>
    <x:row r="183" ht="22" customHeight="1">
      <x:c r="A183" s="4" t="str">
        <x:v>Joel Armia</x:v>
      </x:c>
      <x:c r="B183" s="4" t="str">
        <x:v>joelarmia</x:v>
      </x:c>
      <x:c r="C183" s="10" t="n">
        <x:v>1</x:v>
      </x:c>
      <x:c r="D183" s="10" t="n">
        <x:v>1</x:v>
      </x:c>
      <x:c r="E183" s="10" t="n">
        <x:v>1</x:v>
      </x:c>
      <x:c r="F183" s="4" t="n">
        <x:f>IF(COUNT(N183,Q183,T183,W183,Z183,AC183,AF183,AI183)=8,N183*Guide!$E$5+Q183*Guide!$E$6+T183*Guide!$E$7+W183*Guide!$E$8+Z183*Guide!$E$9+AC183*Guide!$E$10+AF183*Guide!$E$11+AI183*Guide!$E$12,"")</x:f>
        <x:v>170.25</x:v>
      </x:c>
      <x:c r="G183" s="4" t="n">
        <x:f>IF(COUNT(O183,R183,U183,X183,AA183,AD183,AG183,AJ183)=8,O183*Guide!$E$5+R183*Guide!$E$6+U183*Guide!$E$7+X183*Guide!$E$8+AA183*Guide!$E$9+AD183*Guide!$E$10+AG183*Guide!$E$11+AJ183*Guide!$E$12,"")</x:f>
        <x:v>176.5</x:v>
      </x:c>
      <x:c r="H183" s="4" t="n">
        <x:f>IF(COUNT(G183,F183)=2,G183-F183,"")</x:f>
        <x:v>6.25</x:v>
      </x:c>
      <x:c r="I183" s="4" t="n">
        <x:f>IF(AND(ISNUMBER(F183),K183&gt;0),F183/K183,"")</x:f>
        <x:v>2.211038961038961</x:v>
      </x:c>
      <x:c r="J183" s="4" t="n">
        <x:f>IF(AND(ISNUMBER(G183),L183&gt;0),G183/L183,"")</x:f>
        <x:v>2.6343283582089554</x:v>
      </x:c>
      <x:c r="K183" s="10" t="n">
        <x:v>77</x:v>
      </x:c>
      <x:c r="L183" s="10" t="n">
        <x:v>67</x:v>
      </x:c>
      <x:c r="M183" s="10" t="n">
        <x:f>IF(COUNT(L183,K183)=2,L183-K183,"")</x:f>
        <x:v>-10</x:v>
      </x:c>
      <x:c r="N183" s="10" t="n">
        <x:v>12</x:v>
      </x:c>
      <x:c r="O183" s="10" t="n">
        <x:v>13</x:v>
      </x:c>
      <x:c r="P183" s="10" t="n">
        <x:f>IF(COUNT(O183,N183)=2,O183-N183,"")</x:f>
        <x:v>1</x:v>
      </x:c>
      <x:c r="Q183" s="10" t="n">
        <x:v>14</x:v>
      </x:c>
      <x:c r="R183" s="10" t="n">
        <x:v>12</x:v>
      </x:c>
      <x:c r="S183" s="10" t="n">
        <x:f>IF(COUNT(R183,Q183)=2,R183-Q183,"")</x:f>
        <x:v>-2</x:v>
      </x:c>
      <x:c r="T183" s="10" t="n">
        <x:v>-4</x:v>
      </x:c>
      <x:c r="U183" s="10" t="n">
        <x:v>1</x:v>
      </x:c>
      <x:c r="V183" s="10" t="n">
        <x:f>IF(COUNT(U183,T183)=2,U183-T183,"")</x:f>
        <x:v>5</x:v>
      </x:c>
      <x:c r="W183" s="10" t="n">
        <x:v>3</x:v>
      </x:c>
      <x:c r="X183" s="10" t="n">
        <x:f>IF(COUNT(AV183,AW183)=2,AV183+AW183,"")</x:f>
        <x:v>1</x:v>
      </x:c>
      <x:c r="Y183" s="10" t="n">
        <x:f>IF(COUNT(X183,W183)=2,X183-W183,"")</x:f>
        <x:v>-2</x:v>
      </x:c>
      <x:c r="Z183" s="10" t="n">
        <x:v>2</x:v>
      </x:c>
      <x:c r="AA183" s="10" t="n">
        <x:f>IF(COUNT(AX183,AY183)=2,AX183+AY183,"")</x:f>
        <x:v>5</x:v>
      </x:c>
      <x:c r="AB183" s="10" t="n">
        <x:f>IF(COUNT(AA183,Z183)=2,AA183-Z183,"")</x:f>
        <x:v>3</x:v>
      </x:c>
      <x:c r="AC183" s="10" t="n">
        <x:v>107</x:v>
      </x:c>
      <x:c r="AD183" s="10" t="n">
        <x:v>92</x:v>
      </x:c>
      <x:c r="AE183" s="10" t="n">
        <x:f>IF(COUNT(AD183,AC183)=2,AD183-AC183,"")</x:f>
        <x:v>-15</x:v>
      </x:c>
      <x:c r="AF183" s="10" t="n">
        <x:v>74</x:v>
      </x:c>
      <x:c r="AG183" s="10" t="n">
        <x:v>74</x:v>
      </x:c>
      <x:c r="AH183" s="10" t="n">
        <x:f>IF(COUNT(AG183,AF183)=2,AG183-AF183,"")</x:f>
        <x:v>0</x:v>
      </x:c>
      <x:c r="AI183" s="10" t="n">
        <x:v>40</x:v>
      </x:c>
      <x:c r="AJ183" s="10" t="n">
        <x:v>40</x:v>
      </x:c>
      <x:c r="AK183" s="10" t="n">
        <x:f>IF(COUNT(AJ183,AI183)=2,AJ183-AI183,"")</x:f>
        <x:v>0</x:v>
      </x:c>
      <x:c r="AL183" s="10" t="n">
        <x:v>32</x:v>
      </x:c>
      <x:c r="AM183" s="10" t="n">
        <x:v>32</x:v>
      </x:c>
      <x:c r="AN183" s="4" t="str">
        <x:v>RW</x:v>
      </x:c>
      <x:c r="AO183" s="4" t="str">
        <x:v>RW</x:v>
      </x:c>
      <x:c r="AP183" s="4" t="str">
        <x:v>LA</x:v>
      </x:c>
      <x:c r="AQ183" s="4" t="str">
        <x:v>LAK</x:v>
      </x:c>
      <x:c r="AR183" s="4" t="n">
        <x:v>14.18</x:v>
      </x:c>
      <x:c r="AS183" s="4" t="n">
        <x:v>14.066666666666666</x:v>
      </x:c>
      <x:c r="AT183" s="4" t="n">
        <x:v>0.71</x:v>
      </x:c>
      <x:c r="AU183" s="4" t="n">
        <x:v>14.1</x:v>
      </x:c>
      <x:c r="AV183" s="10" t="n">
        <x:v>1</x:v>
      </x:c>
      <x:c r="AW183" s="10" t="n">
        <x:v>0</x:v>
      </x:c>
      <x:c r="AX183" s="10" t="n">
        <x:v>4</x:v>
      </x:c>
      <x:c r="AY183" s="10" t="n">
        <x:v>1</x:v>
      </x:c>
      <x:c r="AZ183" s="10" t="n">
        <x:v>733</x:v>
      </x:c>
      <x:c r="BA183" s="10" t="n">
        <x:v>758</x:v>
      </x:c>
      <x:c r="BB183" s="4" t="n">
        <x:v>49.2</x:v>
      </x:c>
      <x:c r="BC183" s="4" t="n">
        <x:v>-3.3</x:v>
      </x:c>
      <x:c r="BD183" s="10" t="n">
        <x:v>522</x:v>
      </x:c>
      <x:c r="BE183" s="10" t="n">
        <x:v>531</x:v>
      </x:c>
      <x:c r="BF183" s="4" t="n">
        <x:v>49.6</x:v>
      </x:c>
      <x:c r="BG183" s="4" t="n">
        <x:v>-2.1</x:v>
      </x:c>
      <x:c r="BH183" s="4" t="n">
        <x:v>7.7</x:v>
      </x:c>
      <x:c r="BI183" s="4" t="n">
        <x:v>91.9</x:v>
      </x:c>
      <x:c r="BJ183" s="4" t="n">
        <x:v>99.6</x:v>
      </x:c>
      <x:c r="BK183" s="4" t="n">
        <x:v>44.7</x:v>
      </x:c>
      <x:c r="BL183" s="4" t="n">
        <x:v>55.3</x:v>
      </x:c>
      <x:c r="BM183" s="4" t="n">
        <x:v>14.066666666666666</x:v>
      </x:c>
      <x:c r="BN183" s="4" t="n">
        <x:v>11.966666666666667</x:v>
      </x:c>
      <x:c r="BO183" s="10" t="n">
        <x:v>30</x:v>
      </x:c>
      <x:c r="BP183" s="10" t="n">
        <x:v>51</x:v>
      </x:c>
      <x:c r="BQ183" s="4" t="n">
        <x:v>1</x:v>
      </x:c>
      <x:c r="BR183" s="10" t="n">
        <x:v>190</x:v>
      </x:c>
      <x:c r="BS183" s="4" t="n">
        <x:v>48.4</x:v>
      </x:c>
      <x:c r="BT183" s="10" t="n">
        <x:v>67</x:v>
      </x:c>
      <x:c r="BU183" s="4" t="str">
        <x:v>LAK</x:v>
      </x:c>
      <x:c r="BV183" s="10" t="n">
        <x:v>426</x:v>
      </x:c>
      <x:c r="BW183" s="10" t="n">
        <x:v>390</x:v>
      </x:c>
      <x:c r="BX183" s="10" t="n">
        <x:v>18</x:v>
      </x:c>
      <x:c r="BY183" s="4" t="str">
        <x:v>Joel Armia</x:v>
      </x:c>
      <x:c r="BZ183" s="4" t="str">
        <x:v>Joel Armia</x:v>
      </x:c>
      <x:c r="CA183" s="4" t="str">
        <x:v>Joel Armia</x:v>
      </x:c>
      <x:c r="CB183" s="4" t="str">
        <x:v>armiajo01</x:v>
      </x:c>
    </x:row>
    <x:row r="184" ht="22" customHeight="1">
      <x:c r="A184" s="4" t="str">
        <x:v>Joel Edmundson</x:v>
      </x:c>
      <x:c r="B184" s="4" t="str">
        <x:v>joeledmundson</x:v>
      </x:c>
      <x:c r="C184" s="10" t="n">
        <x:v>1</x:v>
      </x:c>
      <x:c r="D184" s="10" t="n">
        <x:v>1</x:v>
      </x:c>
      <x:c r="E184" s="10" t="n">
        <x:v>1</x:v>
      </x:c>
      <x:c r="F184" s="4" t="n">
        <x:f>IF(COUNT(N184,Q184,T184,W184,Z184,AC184,AF184,AI184)=8,N184*Guide!$E$5+Q184*Guide!$E$6+T184*Guide!$E$7+W184*Guide!$E$8+Z184*Guide!$E$9+AC184*Guide!$E$10+AF184*Guide!$E$11+AI184*Guide!$E$12,"")</x:f>
        <x:v>193.5</x:v>
      </x:c>
      <x:c r="G184" s="4" t="n">
        <x:f>IF(COUNT(O184,R184,U184,X184,AA184,AD184,AG184,AJ184)=8,O184*Guide!$E$5+R184*Guide!$E$6+U184*Guide!$E$7+X184*Guide!$E$8+AA184*Guide!$E$9+AD184*Guide!$E$10+AG184*Guide!$E$11+AJ184*Guide!$E$12,"")</x:f>
        <x:v>224.5</x:v>
      </x:c>
      <x:c r="H184" s="4" t="n">
        <x:f>IF(COUNT(G184,F184)=2,G184-F184,"")</x:f>
        <x:v>31</x:v>
      </x:c>
      <x:c r="I184" s="4" t="n">
        <x:f>IF(AND(ISNUMBER(F184),K184&gt;0),F184/K184,"")</x:f>
        <x:v>2.6506849315068495</x:v>
      </x:c>
      <x:c r="J184" s="4" t="n">
        <x:f>IF(AND(ISNUMBER(G184),L184&gt;0),G184/L184,"")</x:f>
        <x:v>2.7378048780487805</x:v>
      </x:c>
      <x:c r="K184" s="10" t="n">
        <x:v>73</x:v>
      </x:c>
      <x:c r="L184" s="10" t="n">
        <x:v>82</x:v>
      </x:c>
      <x:c r="M184" s="10" t="n">
        <x:f>IF(COUNT(L184,K184)=2,L184-K184,"")</x:f>
        <x:v>9</x:v>
      </x:c>
      <x:c r="N184" s="10" t="n">
        <x:v>4</x:v>
      </x:c>
      <x:c r="O184" s="10" t="n">
        <x:v>2</x:v>
      </x:c>
      <x:c r="P184" s="10" t="n">
        <x:f>IF(COUNT(O184,N184)=2,O184-N184,"")</x:f>
        <x:v>-2</x:v>
      </x:c>
      <x:c r="Q184" s="10" t="n">
        <x:v>13</x:v>
      </x:c>
      <x:c r="R184" s="10" t="n">
        <x:v>21</x:v>
      </x:c>
      <x:c r="S184" s="10" t="n">
        <x:f>IF(COUNT(R184,Q184)=2,R184-Q184,"")</x:f>
        <x:v>8</x:v>
      </x:c>
      <x:c r="T184" s="10" t="n">
        <x:v>4</x:v>
      </x:c>
      <x:c r="U184" s="10" t="n">
        <x:v>14</x:v>
      </x:c>
      <x:c r="V184" s="10" t="n">
        <x:f>IF(COUNT(U184,T184)=2,U184-T184,"")</x:f>
        <x:v>10</x:v>
      </x:c>
      <x:c r="W184" s="10" t="n">
        <x:v>1</x:v>
      </x:c>
      <x:c r="X184" s="10" t="n">
        <x:f>IF(COUNT(AV184,AW184)=2,AV184+AW184,"")</x:f>
        <x:v>3</x:v>
      </x:c>
      <x:c r="Y184" s="10" t="n">
        <x:f>IF(COUNT(X184,W184)=2,X184-W184,"")</x:f>
        <x:v>2</x:v>
      </x:c>
      <x:c r="Z184" s="10" t="n">
        <x:v>0</x:v>
      </x:c>
      <x:c r="AA184" s="10" t="n">
        <x:f>IF(COUNT(AX184,AY184)=2,AX184+AY184,"")</x:f>
        <x:v>1</x:v>
      </x:c>
      <x:c r="AB184" s="10" t="n">
        <x:f>IF(COUNT(AA184,Z184)=2,AA184-Z184,"")</x:f>
        <x:v>1</x:v>
      </x:c>
      <x:c r="AC184" s="10" t="n">
        <x:v>86</x:v>
      </x:c>
      <x:c r="AD184" s="10" t="n">
        <x:v>104</x:v>
      </x:c>
      <x:c r="AE184" s="10" t="n">
        <x:f>IF(COUNT(AD184,AC184)=2,AD184-AC184,"")</x:f>
        <x:v>18</x:v>
      </x:c>
      <x:c r="AF184" s="10" t="n">
        <x:v>97</x:v>
      </x:c>
      <x:c r="AG184" s="10" t="n">
        <x:v>97</x:v>
      </x:c>
      <x:c r="AH184" s="10" t="n">
        <x:f>IF(COUNT(AG184,AF184)=2,AG184-AF184,"")</x:f>
        <x:v>0</x:v>
      </x:c>
      <x:c r="AI184" s="10" t="n">
        <x:v>117</x:v>
      </x:c>
      <x:c r="AJ184" s="10" t="n">
        <x:v>111</x:v>
      </x:c>
      <x:c r="AK184" s="10" t="n">
        <x:f>IF(COUNT(AJ184,AI184)=2,AJ184-AI184,"")</x:f>
        <x:v>-6</x:v>
      </x:c>
      <x:c r="AL184" s="10" t="n">
        <x:v>32</x:v>
      </x:c>
      <x:c r="AM184" s="10" t="n">
        <x:v>32</x:v>
      </x:c>
      <x:c r="AN184" s="4" t="str">
        <x:v>D</x:v>
      </x:c>
      <x:c r="AO184" s="4" t="str">
        <x:v>D</x:v>
      </x:c>
      <x:c r="AP184" s="4" t="str">
        <x:v>LA</x:v>
      </x:c>
      <x:c r="AQ184" s="4" t="str">
        <x:v>LAK</x:v>
      </x:c>
      <x:c r="AR184" s="4" t="n">
        <x:v>20.16</x:v>
      </x:c>
      <x:c r="AS184" s="4" t="n">
        <x:v>18.483333333333334</x:v>
      </x:c>
      <x:c r="AT184" s="4" t="n">
        <x:v>0.12</x:v>
      </x:c>
      <x:c r="AU184" s="4" t="n">
        <x:v>1.9</x:v>
      </x:c>
      <x:c r="AV184" s="10" t="n">
        <x:v>0</x:v>
      </x:c>
      <x:c r="AW184" s="10" t="n">
        <x:v>3</x:v>
      </x:c>
      <x:c r="AX184" s="10" t="n">
        <x:v>0</x:v>
      </x:c>
      <x:c r="AY184" s="10" t="n">
        <x:v>1</x:v>
      </x:c>
      <x:c r="AZ184" s="10" t="n">
        <x:v>1322</x:v>
      </x:c>
      <x:c r="BA184" s="10" t="n">
        <x:v>1331</x:v>
      </x:c>
      <x:c r="BB184" s="4" t="n">
        <x:v>49.8</x:v>
      </x:c>
      <x:c r="BC184" s="4" t="n">
        <x:v>-2.9</x:v>
      </x:c>
      <x:c r="BD184" s="10" t="n">
        <x:v>942</x:v>
      </x:c>
      <x:c r="BE184" s="10" t="n">
        <x:v>915</x:v>
      </x:c>
      <x:c r="BF184" s="4" t="n">
        <x:v>50.7</x:v>
      </x:c>
      <x:c r="BG184" s="4" t="n">
        <x:v>-1.3</x:v>
      </x:c>
      <x:c r="BH184" s="4" t="n">
        <x:v>10.2</x:v>
      </x:c>
      <x:c r="BI184" s="4" t="n">
        <x:v>91.7</x:v>
      </x:c>
      <x:c r="BJ184" s="4" t="n">
        <x:v>101.9</x:v>
      </x:c>
      <x:c r="BK184" s="4" t="n">
        <x:v>55.9</x:v>
      </x:c>
      <x:c r="BL184" s="4" t="n">
        <x:v>44.1</x:v>
      </x:c>
      <x:c r="BM184" s="4" t="n">
        <x:v>18.483333333333334</x:v>
      </x:c>
      <x:c r="BN184" s="4" t="n">
        <x:v>15.983333333333333</x:v>
      </x:c>
      <x:c r="BO184" s="10" t="n">
        <x:v>10</x:v>
      </x:c>
      <x:c r="BP184" s="10" t="n">
        <x:v>83</x:v>
      </x:c>
      <x:c r="BQ184" s="4" t="n">
        <x:v>-0.6</x:v>
      </x:c>
      <x:c r="BR184" s="10" t="n">
        <x:v>254</x:v>
      </x:c>
      <x:c r="BS184" s="4" t="n">
        <x:v>40.9</x:v>
      </x:c>
      <x:c r="BT184" s="10" t="n">
        <x:v>82</x:v>
      </x:c>
      <x:c r="BU184" s="4" t="str">
        <x:v>LAK</x:v>
      </x:c>
      <x:c r="BV184" s="10" t="n">
        <x:v>583</x:v>
      </x:c>
      <x:c r="BW184" s="10" t="n">
        <x:v>424</x:v>
      </x:c>
      <x:c r="BX184" s="10" t="n">
        <x:v>256</x:v>
      </x:c>
      <x:c r="BY184" s="4" t="str">
        <x:v>Joel Edmundson</x:v>
      </x:c>
      <x:c r="BZ184" s="4" t="str">
        <x:v>Joel Edmundson</x:v>
      </x:c>
      <x:c r="CA184" s="4" t="str">
        <x:v>Joel Edmundson</x:v>
      </x:c>
      <x:c r="CB184" s="4" t="str">
        <x:v>edmunjo01</x:v>
      </x:c>
    </x:row>
    <x:row r="185" ht="22" customHeight="1">
      <x:c r="A185" s="4" t="str">
        <x:v>Joel Eriksson Ek</x:v>
      </x:c>
      <x:c r="B185" s="4" t="str">
        <x:v>joelerikssonek</x:v>
      </x:c>
      <x:c r="C185" s="10" t="n">
        <x:v>1</x:v>
      </x:c>
      <x:c r="D185" s="10" t="n">
        <x:v>1</x:v>
      </x:c>
      <x:c r="E185" s="10" t="n">
        <x:v>1</x:v>
      </x:c>
      <x:c r="F185" s="4" t="n">
        <x:f>IF(COUNT(N185,Q185,T185,W185,Z185,AC185,AF185,AI185)=8,N185*Guide!$E$5+Q185*Guide!$E$6+T185*Guide!$E$7+W185*Guide!$E$8+Z185*Guide!$E$9+AC185*Guide!$E$10+AF185*Guide!$E$11+AI185*Guide!$E$12,"")</x:f>
        <x:v>331.25</x:v>
      </x:c>
      <x:c r="G185" s="4" t="n">
        <x:f>IF(COUNT(O185,R185,U185,X185,AA185,AD185,AG185,AJ185)=8,O185*Guide!$E$5+R185*Guide!$E$6+U185*Guide!$E$7+X185*Guide!$E$8+AA185*Guide!$E$9+AD185*Guide!$E$10+AG185*Guide!$E$11+AJ185*Guide!$E$12,"")</x:f>
        <x:v>304.5</x:v>
      </x:c>
      <x:c r="H185" s="4" t="n">
        <x:f>IF(COUNT(G185,F185)=2,G185-F185,"")</x:f>
        <x:v>-26.75</x:v>
      </x:c>
      <x:c r="I185" s="4" t="n">
        <x:f>IF(AND(ISNUMBER(F185),K185&gt;0),F185/K185,"")</x:f>
        <x:v>4.476351351351352</x:v>
      </x:c>
      <x:c r="J185" s="4" t="n">
        <x:f>IF(AND(ISNUMBER(G185),L185&gt;0),G185/L185,"")</x:f>
        <x:v>4.35</x:v>
      </x:c>
      <x:c r="K185" s="10" t="n">
        <x:v>74</x:v>
      </x:c>
      <x:c r="L185" s="10" t="n">
        <x:v>70</x:v>
      </x:c>
      <x:c r="M185" s="10" t="n">
        <x:f>IF(COUNT(L185,K185)=2,L185-K185,"")</x:f>
        <x:v>-4</x:v>
      </x:c>
      <x:c r="N185" s="10" t="n">
        <x:v>25</x:v>
      </x:c>
      <x:c r="O185" s="10" t="n">
        <x:v>19</x:v>
      </x:c>
      <x:c r="P185" s="10" t="n">
        <x:f>IF(COUNT(O185,N185)=2,O185-N185,"")</x:f>
        <x:v>-6</x:v>
      </x:c>
      <x:c r="Q185" s="10" t="n">
        <x:v>26</x:v>
      </x:c>
      <x:c r="R185" s="10" t="n">
        <x:v>32</x:v>
      </x:c>
      <x:c r="S185" s="10" t="n">
        <x:f>IF(COUNT(R185,Q185)=2,R185-Q185,"")</x:f>
        <x:v>6</x:v>
      </x:c>
      <x:c r="T185" s="10" t="n">
        <x:v>6</x:v>
      </x:c>
      <x:c r="U185" s="10" t="n">
        <x:v>16</x:v>
      </x:c>
      <x:c r="V185" s="10" t="n">
        <x:f>IF(COUNT(U185,T185)=2,U185-T185,"")</x:f>
        <x:v>10</x:v>
      </x:c>
      <x:c r="W185" s="10" t="n">
        <x:v>18</x:v>
      </x:c>
      <x:c r="X185" s="10" t="n">
        <x:f>IF(COUNT(AV185,AW185)=2,AV185+AW185,"")</x:f>
        <x:v>16</x:v>
      </x:c>
      <x:c r="Y185" s="10" t="n">
        <x:f>IF(COUNT(X185,W185)=2,X185-W185,"")</x:f>
        <x:v>-2</x:v>
      </x:c>
      <x:c r="Z185" s="10" t="n">
        <x:v>1</x:v>
      </x:c>
      <x:c r="AA185" s="10" t="n">
        <x:f>IF(COUNT(AX185,AY185)=2,AX185+AY185,"")</x:f>
        <x:v>0</x:v>
      </x:c>
      <x:c r="AB185" s="10" t="n">
        <x:f>IF(COUNT(AA185,Z185)=2,AA185-Z185,"")</x:f>
        <x:v>-1</x:v>
      </x:c>
      <x:c r="AC185" s="10" t="n">
        <x:v>207</x:v>
      </x:c>
      <x:c r="AD185" s="10" t="n">
        <x:v>194</x:v>
      </x:c>
      <x:c r="AE185" s="10" t="n">
        <x:f>IF(COUNT(AD185,AC185)=2,AD185-AC185,"")</x:f>
        <x:v>-13</x:v>
      </x:c>
      <x:c r="AF185" s="10" t="n">
        <x:v>133</x:v>
      </x:c>
      <x:c r="AG185" s="10" t="n">
        <x:v>106</x:v>
      </x:c>
      <x:c r="AH185" s="10" t="n">
        <x:f>IF(COUNT(AG185,AF185)=2,AG185-AF185,"")</x:f>
        <x:v>-27</x:v>
      </x:c>
      <x:c r="AI185" s="10" t="n">
        <x:v>55</x:v>
      </x:c>
      <x:c r="AJ185" s="10" t="n">
        <x:v>34</x:v>
      </x:c>
      <x:c r="AK185" s="10" t="n">
        <x:f>IF(COUNT(AJ185,AI185)=2,AJ185-AI185,"")</x:f>
        <x:v>-21</x:v>
      </x:c>
      <x:c r="AL185" s="10" t="n">
        <x:v>29</x:v>
      </x:c>
      <x:c r="AM185" s="10" t="n">
        <x:v>29</x:v>
      </x:c>
      <x:c r="AN185" s="4" t="str">
        <x:v>C</x:v>
      </x:c>
      <x:c r="AO185" s="4" t="str">
        <x:v>C</x:v>
      </x:c>
      <x:c r="AP185" s="4" t="str">
        <x:v>MIN</x:v>
      </x:c>
      <x:c r="AQ185" s="4" t="str">
        <x:v>MIN</x:v>
      </x:c>
      <x:c r="AR185" s="4" t="n">
        <x:v>19.55</x:v>
      </x:c>
      <x:c r="AS185" s="4" t="n">
        <x:v>19.083333333333332</x:v>
      </x:c>
      <x:c r="AT185" s="4" t="n">
        <x:v>2.99</x:v>
      </x:c>
      <x:c r="AU185" s="4" t="n">
        <x:v>9.8</x:v>
      </x:c>
      <x:c r="AV185" s="10" t="n">
        <x:v>7</x:v>
      </x:c>
      <x:c r="AW185" s="10" t="n">
        <x:v>9</x:v>
      </x:c>
      <x:c r="AX185" s="10" t="n">
        <x:v>0</x:v>
      </x:c>
      <x:c r="AY185" s="10" t="n">
        <x:v>0</x:v>
      </x:c>
      <x:c r="AZ185" s="10" t="n">
        <x:v>1012</x:v>
      </x:c>
      <x:c r="BA185" s="10" t="n">
        <x:v>1003</x:v>
      </x:c>
      <x:c r="BB185" s="4" t="n">
        <x:v>50.2</x:v>
      </x:c>
      <x:c r="BC185" s="4" t="n">
        <x:v>3</x:v>
      </x:c>
      <x:c r="BD185" s="10" t="n">
        <x:v>747</x:v>
      </x:c>
      <x:c r="BE185" s="10" t="n">
        <x:v>734</x:v>
      </x:c>
      <x:c r="BF185" s="4" t="n">
        <x:v>50.4</x:v>
      </x:c>
      <x:c r="BG185" s="4" t="n">
        <x:v>2.3</x:v>
      </x:c>
      <x:c r="BH185" s="4" t="n">
        <x:v>12.2</x:v>
      </x:c>
      <x:c r="BI185" s="4" t="n">
        <x:v>90.5</x:v>
      </x:c>
      <x:c r="BJ185" s="4" t="n">
        <x:v>102.6</x:v>
      </x:c>
      <x:c r="BK185" s="4" t="n">
        <x:v>47.2</x:v>
      </x:c>
      <x:c r="BL185" s="4" t="n">
        <x:v>52.8</x:v>
      </x:c>
      <x:c r="BM185" s="4" t="n">
        <x:v>19.083333333333332</x:v>
      </x:c>
      <x:c r="BN185" s="4" t="n">
        <x:v>13.933333333333334</x:v>
      </x:c>
      <x:c r="BO185" s="10" t="n">
        <x:v>19</x:v>
      </x:c>
      <x:c r="BP185" s="10" t="n">
        <x:v>41</x:v>
      </x:c>
      <x:c r="BQ185" s="4" t="n">
        <x:v>1.5</x:v>
      </x:c>
      <x:c r="BR185" s="10" t="n">
        <x:v>341</x:v>
      </x:c>
      <x:c r="BS185" s="4" t="n">
        <x:v>56.9</x:v>
      </x:c>
      <x:c r="BT185" s="10" t="n">
        <x:v>70</x:v>
      </x:c>
      <x:c r="BU185" s="4" t="str">
        <x:v>MIN</x:v>
      </x:c>
      <x:c r="BV185" s="10" t="n">
        <x:v>145</x:v>
      </x:c>
      <x:c r="BW185" s="10" t="n">
        <x:v>132</x:v>
      </x:c>
      <x:c r="BX185" s="10" t="n">
        <x:v>270</x:v>
      </x:c>
      <x:c r="BY185" s="4" t="str">
        <x:v>Joel Eriksson Ek</x:v>
      </x:c>
      <x:c r="BZ185" s="4" t="str">
        <x:v>Joel Eriksson Ek</x:v>
      </x:c>
      <x:c r="CA185" s="4" t="str">
        <x:v>Joel Eriksson Ek</x:v>
      </x:c>
      <x:c r="CB185" s="4" t="str">
        <x:v>eriksjo02</x:v>
      </x:c>
    </x:row>
    <x:row r="186" ht="22" customHeight="1">
      <x:c r="A186" s="4" t="str">
        <x:v>Joel Farabee</x:v>
      </x:c>
      <x:c r="B186" s="4" t="str">
        <x:v>joelfarabee</x:v>
      </x:c>
      <x:c r="C186" s="10" t="n">
        <x:v>1</x:v>
      </x:c>
      <x:c r="D186" s="10" t="n">
        <x:v>1</x:v>
      </x:c>
      <x:c r="E186" s="10" t="n">
        <x:v>1</x:v>
      </x:c>
      <x:c r="F186" s="4" t="n">
        <x:f>IF(COUNT(N186,Q186,T186,W186,Z186,AC186,AF186,AI186)=8,N186*Guide!$E$5+Q186*Guide!$E$6+T186*Guide!$E$7+W186*Guide!$E$8+Z186*Guide!$E$9+AC186*Guide!$E$10+AF186*Guide!$E$11+AI186*Guide!$E$12,"")</x:f>
        <x:v>226.25</x:v>
      </x:c>
      <x:c r="G186" s="4" t="n">
        <x:f>IF(COUNT(O186,R186,U186,X186,AA186,AD186,AG186,AJ186)=8,O186*Guide!$E$5+R186*Guide!$E$6+U186*Guide!$E$7+X186*Guide!$E$8+AA186*Guide!$E$9+AD186*Guide!$E$10+AG186*Guide!$E$11+AJ186*Guide!$E$12,"")</x:f>
        <x:v>229.75</x:v>
      </x:c>
      <x:c r="H186" s="4" t="n">
        <x:f>IF(COUNT(G186,F186)=2,G186-F186,"")</x:f>
        <x:v>3.5</x:v>
      </x:c>
      <x:c r="I186" s="4" t="n">
        <x:f>IF(AND(ISNUMBER(F186),K186&gt;0),F186/K186,"")</x:f>
        <x:v>2.828125</x:v>
      </x:c>
      <x:c r="J186" s="4" t="n">
        <x:f>IF(AND(ISNUMBER(G186),L186&gt;0),G186/L186,"")</x:f>
        <x:v>2.801829268292683</x:v>
      </x:c>
      <x:c r="K186" s="10" t="n">
        <x:v>80</x:v>
      </x:c>
      <x:c r="L186" s="10" t="n">
        <x:v>82</x:v>
      </x:c>
      <x:c r="M186" s="10" t="n">
        <x:f>IF(COUNT(L186,K186)=2,L186-K186,"")</x:f>
        <x:v>2</x:v>
      </x:c>
      <x:c r="N186" s="10" t="n">
        <x:v>17</x:v>
      </x:c>
      <x:c r="O186" s="10" t="n">
        <x:v>20</x:v>
      </x:c>
      <x:c r="P186" s="10" t="n">
        <x:f>IF(COUNT(O186,N186)=2,O186-N186,"")</x:f>
        <x:v>3</x:v>
      </x:c>
      <x:c r="Q186" s="10" t="n">
        <x:v>21</x:v>
      </x:c>
      <x:c r="R186" s="10" t="n">
        <x:v>18</x:v>
      </x:c>
      <x:c r="S186" s="10" t="n">
        <x:f>IF(COUNT(R186,Q186)=2,R186-Q186,"")</x:f>
        <x:v>-3</x:v>
      </x:c>
      <x:c r="T186" s="10" t="n">
        <x:v>-2</x:v>
      </x:c>
      <x:c r="U186" s="10" t="n">
        <x:v>-9</x:v>
      </x:c>
      <x:c r="V186" s="10" t="n">
        <x:f>IF(COUNT(U186,T186)=2,U186-T186,"")</x:f>
        <x:v>-7</x:v>
      </x:c>
      <x:c r="W186" s="10" t="n">
        <x:v>4</x:v>
      </x:c>
      <x:c r="X186" s="10" t="n">
        <x:f>IF(COUNT(AV186,AW186)=2,AV186+AW186,"")</x:f>
        <x:v>3</x:v>
      </x:c>
      <x:c r="Y186" s="10" t="n">
        <x:f>IF(COUNT(X186,W186)=2,X186-W186,"")</x:f>
        <x:v>-1</x:v>
      </x:c>
      <x:c r="Z186" s="10" t="n">
        <x:v>0</x:v>
      </x:c>
      <x:c r="AA186" s="10" t="n">
        <x:f>IF(COUNT(AX186,AY186)=2,AX186+AY186,"")</x:f>
        <x:v>5</x:v>
      </x:c>
      <x:c r="AB186" s="10" t="n">
        <x:f>IF(COUNT(AA186,Z186)=2,AA186-Z186,"")</x:f>
        <x:v>5</x:v>
      </x:c>
      <x:c r="AC186" s="10" t="n">
        <x:v>141</x:v>
      </x:c>
      <x:c r="AD186" s="10" t="n">
        <x:v>142</x:v>
      </x:c>
      <x:c r="AE186" s="10" t="n">
        <x:f>IF(COUNT(AD186,AC186)=2,AD186-AC186,"")</x:f>
        <x:v>1</x:v>
      </x:c>
      <x:c r="AF186" s="10" t="n">
        <x:v>85</x:v>
      </x:c>
      <x:c r="AG186" s="10" t="n">
        <x:v>49</x:v>
      </x:c>
      <x:c r="AH186" s="10" t="n">
        <x:f>IF(COUNT(AG186,AF186)=2,AG186-AF186,"")</x:f>
        <x:v>-36</x:v>
      </x:c>
      <x:c r="AI186" s="10" t="n">
        <x:v>49</x:v>
      </x:c>
      <x:c r="AJ186" s="10" t="n">
        <x:v>52</x:v>
      </x:c>
      <x:c r="AK186" s="10" t="n">
        <x:f>IF(COUNT(AJ186,AI186)=2,AJ186-AI186,"")</x:f>
        <x:v>3</x:v>
      </x:c>
      <x:c r="AL186" s="10" t="n">
        <x:v>25</x:v>
      </x:c>
      <x:c r="AM186" s="10" t="n">
        <x:v>25</x:v>
      </x:c>
      <x:c r="AN186" s="4" t="str">
        <x:v>LW,RW</x:v>
      </x:c>
      <x:c r="AO186" s="4" t="str">
        <x:v>LW</x:v>
      </x:c>
      <x:c r="AP186" s="4" t="str">
        <x:v>CGY</x:v>
      </x:c>
      <x:c r="AQ186" s="4" t="str">
        <x:v>CGY</x:v>
      </x:c>
      <x:c r="AR186" s="4" t="n">
        <x:v>15.43</x:v>
      </x:c>
      <x:c r="AS186" s="4" t="n">
        <x:v>16.916666666666668</x:v>
      </x:c>
      <x:c r="AT186" s="4" t="n">
        <x:v>1.6</x:v>
      </x:c>
      <x:c r="AU186" s="4" t="n">
        <x:v>14.1</x:v>
      </x:c>
      <x:c r="AV186" s="10" t="n">
        <x:v>1</x:v>
      </x:c>
      <x:c r="AW186" s="10" t="n">
        <x:v>2</x:v>
      </x:c>
      <x:c r="AX186" s="10" t="n">
        <x:v>4</x:v>
      </x:c>
      <x:c r="AY186" s="10" t="n">
        <x:v>1</x:v>
      </x:c>
      <x:c r="AZ186" s="10" t="n">
        <x:v>1131</x:v>
      </x:c>
      <x:c r="BA186" s="10" t="n">
        <x:v>1184</x:v>
      </x:c>
      <x:c r="BB186" s="4" t="n">
        <x:v>48.9</x:v>
      </x:c>
      <x:c r="BC186" s="4" t="n">
        <x:v>-0.1</x:v>
      </x:c>
      <x:c r="BD186" s="10" t="n">
        <x:v>811</x:v>
      </x:c>
      <x:c r="BE186" s="10" t="n">
        <x:v>838</x:v>
      </x:c>
      <x:c r="BF186" s="4" t="n">
        <x:v>49.2</x:v>
      </x:c>
      <x:c r="BG186" s="4" t="n">
        <x:v>1</x:v>
      </x:c>
      <x:c r="BH186" s="4" t="n">
        <x:v>8</x:v>
      </x:c>
      <x:c r="BI186" s="4" t="n">
        <x:v>89.4</x:v>
      </x:c>
      <x:c r="BJ186" s="4" t="n">
        <x:v>97.4</x:v>
      </x:c>
      <x:c r="BK186" s="4" t="n">
        <x:v>57.5</x:v>
      </x:c>
      <x:c r="BL186" s="4" t="n">
        <x:v>42.5</x:v>
      </x:c>
      <x:c r="BM186" s="4" t="n">
        <x:v>16.916666666666668</x:v>
      </x:c>
      <x:c r="BN186" s="4" t="n">
        <x:v>13.8</x:v>
      </x:c>
      <x:c r="BO186" s="10" t="n">
        <x:v>23</x:v>
      </x:c>
      <x:c r="BP186" s="10" t="n">
        <x:v>70</x:v>
      </x:c>
      <x:c r="BQ186" s="4" t="n">
        <x:v>-3.8</x:v>
      </x:c>
      <x:c r="BR186" s="10" t="n">
        <x:v>249</x:v>
      </x:c>
      <x:c r="BS186" s="4" t="n">
        <x:v>57</x:v>
      </x:c>
      <x:c r="BT186" s="10" t="n">
        <x:v>82</x:v>
      </x:c>
      <x:c r="BU186" s="4" t="str">
        <x:v>CGY</x:v>
      </x:c>
      <x:c r="BV186" s="10" t="n">
        <x:v>273</x:v>
      </x:c>
      <x:c r="BW186" s="10" t="n">
        <x:v>228</x:v>
      </x:c>
      <x:c r="BX186" s="10" t="n">
        <x:v>283</x:v>
      </x:c>
      <x:c r="BY186" s="4" t="str">
        <x:v>Joel Farabee</x:v>
      </x:c>
      <x:c r="BZ186" s="4" t="str">
        <x:v>Joel Farabee</x:v>
      </x:c>
      <x:c r="CA186" s="4" t="str">
        <x:v>Joel Farabee</x:v>
      </x:c>
      <x:c r="CB186" s="4" t="str">
        <x:v>farabjo01</x:v>
      </x:c>
    </x:row>
    <x:row r="187" ht="22" customHeight="1">
      <x:c r="A187" s="4" t="str">
        <x:v>John Carlson</x:v>
      </x:c>
      <x:c r="B187" s="4" t="str">
        <x:v>johncarlson</x:v>
      </x:c>
      <x:c r="C187" s="10" t="n">
        <x:v>1</x:v>
      </x:c>
      <x:c r="D187" s="10" t="n">
        <x:v>1</x:v>
      </x:c>
      <x:c r="E187" s="10" t="n">
        <x:v>1</x:v>
      </x:c>
      <x:c r="F187" s="4" t="n">
        <x:f>IF(COUNT(N187,Q187,T187,W187,Z187,AC187,AF187,AI187)=8,N187*Guide!$E$5+Q187*Guide!$E$6+T187*Guide!$E$7+W187*Guide!$E$8+Z187*Guide!$E$9+AC187*Guide!$E$10+AF187*Guide!$E$11+AI187*Guide!$E$12,"")</x:f>
        <x:v>380.25</x:v>
      </x:c>
      <x:c r="G187" s="4" t="n">
        <x:f>IF(COUNT(O187,R187,U187,X187,AA187,AD187,AG187,AJ187)=8,O187*Guide!$E$5+R187*Guide!$E$6+U187*Guide!$E$7+X187*Guide!$E$8+AA187*Guide!$E$9+AD187*Guide!$E$10+AG187*Guide!$E$11+AJ187*Guide!$E$12,"")</x:f>
        <x:v>341.25</x:v>
      </x:c>
      <x:c r="H187" s="4" t="n">
        <x:f>IF(COUNT(G187,F187)=2,G187-F187,"")</x:f>
        <x:v>-39</x:v>
      </x:c>
      <x:c r="I187" s="4" t="n">
        <x:f>IF(AND(ISNUMBER(F187),K187&gt;0),F187/K187,"")</x:f>
        <x:v>4.753125</x:v>
      </x:c>
      <x:c r="J187" s="4" t="n">
        <x:f>IF(AND(ISNUMBER(G187),L187&gt;0),G187/L187,"")</x:f>
        <x:v>4.806338028169014</x:v>
      </x:c>
      <x:c r="K187" s="10" t="n">
        <x:v>80</x:v>
      </x:c>
      <x:c r="L187" s="10" t="n">
        <x:v>71</x:v>
      </x:c>
      <x:c r="M187" s="10" t="n">
        <x:f>IF(COUNT(L187,K187)=2,L187-K187,"")</x:f>
        <x:v>-9</x:v>
      </x:c>
      <x:c r="N187" s="10" t="n">
        <x:v>10</x:v>
      </x:c>
      <x:c r="O187" s="10" t="n">
        <x:v>14</x:v>
      </x:c>
      <x:c r="P187" s="10" t="n">
        <x:f>IF(COUNT(O187,N187)=2,O187-N187,"")</x:f>
        <x:v>4</x:v>
      </x:c>
      <x:c r="Q187" s="10" t="n">
        <x:v>48</x:v>
      </x:c>
      <x:c r="R187" s="10" t="n">
        <x:v>46</x:v>
      </x:c>
      <x:c r="S187" s="10" t="n">
        <x:f>IF(COUNT(R187,Q187)=2,R187-Q187,"")</x:f>
        <x:v>-2</x:v>
      </x:c>
      <x:c r="T187" s="10" t="n">
        <x:v>5</x:v>
      </x:c>
      <x:c r="U187" s="10" t="n">
        <x:v>9</x:v>
      </x:c>
      <x:c r="V187" s="10" t="n">
        <x:f>IF(COUNT(U187,T187)=2,U187-T187,"")</x:f>
        <x:v>4</x:v>
      </x:c>
      <x:c r="W187" s="10" t="n">
        <x:v>23</x:v>
      </x:c>
      <x:c r="X187" s="10" t="n">
        <x:f>IF(COUNT(AV187,AW187)=2,AV187+AW187,"")</x:f>
        <x:v>14</x:v>
      </x:c>
      <x:c r="Y187" s="10" t="n">
        <x:f>IF(COUNT(X187,W187)=2,X187-W187,"")</x:f>
        <x:v>-9</x:v>
      </x:c>
      <x:c r="Z187" s="10" t="n">
        <x:v>1</x:v>
      </x:c>
      <x:c r="AA187" s="10" t="n">
        <x:f>IF(COUNT(AX187,AY187)=2,AX187+AY187,"")</x:f>
        <x:v>0</x:v>
      </x:c>
      <x:c r="AB187" s="10" t="n">
        <x:f>IF(COUNT(AA187,Z187)=2,AA187-Z187,"")</x:f>
        <x:v>-1</x:v>
      </x:c>
      <x:c r="AC187" s="10" t="n">
        <x:v>166</x:v>
      </x:c>
      <x:c r="AD187" s="10" t="n">
        <x:v>153</x:v>
      </x:c>
      <x:c r="AE187" s="10" t="n">
        <x:f>IF(COUNT(AD187,AC187)=2,AD187-AC187,"")</x:f>
        <x:v>-13</x:v>
      </x:c>
      <x:c r="AF187" s="10" t="n">
        <x:v>51</x:v>
      </x:c>
      <x:c r="AG187" s="10" t="n">
        <x:v>26</x:v>
      </x:c>
      <x:c r="AH187" s="10" t="n">
        <x:f>IF(COUNT(AG187,AF187)=2,AG187-AF187,"")</x:f>
        <x:v>-25</x:v>
      </x:c>
      <x:c r="AI187" s="10" t="n">
        <x:v>148</x:v>
      </x:c>
      <x:c r="AJ187" s="10" t="n">
        <x:v>106</x:v>
      </x:c>
      <x:c r="AK187" s="10" t="n">
        <x:f>IF(COUNT(AJ187,AI187)=2,AJ187-AI187,"")</x:f>
        <x:v>-42</x:v>
      </x:c>
      <x:c r="AL187" s="10" t="n">
        <x:v>36</x:v>
      </x:c>
      <x:c r="AM187" s="10" t="n">
        <x:v>36</x:v>
      </x:c>
      <x:c r="AN187" s="4" t="str">
        <x:v>D</x:v>
      </x:c>
      <x:c r="AO187" s="4" t="str">
        <x:v>D</x:v>
      </x:c>
      <x:c r="AP187" s="4" t="str">
        <x:v>WSH</x:v>
      </x:c>
      <x:c r="AQ187" s="4" t="str">
        <x:v>2TM</x:v>
      </x:c>
      <x:c r="AR187" s="4" t="n">
        <x:v>23.709999999999997</x:v>
      </x:c>
      <x:c r="AS187" s="4" t="n">
        <x:v>23.166666666666668</x:v>
      </x:c>
      <x:c r="AT187" s="4" t="n">
        <x:v>3.01</x:v>
      </x:c>
      <x:c r="AU187" s="4" t="n">
        <x:v>9.2</x:v>
      </x:c>
      <x:c r="AV187" s="10" t="n">
        <x:v>2</x:v>
      </x:c>
      <x:c r="AW187" s="10" t="n">
        <x:v>12</x:v>
      </x:c>
      <x:c r="AX187" s="10" t="n">
        <x:v>0</x:v>
      </x:c>
      <x:c r="AY187" s="10" t="n">
        <x:v>0</x:v>
      </x:c>
      <x:c r="AZ187" s="10" t="n">
        <x:v>1469</x:v>
      </x:c>
      <x:c r="BA187" s="10" t="n">
        <x:v>1193</x:v>
      </x:c>
      <x:c r="BB187" s="4" t="n">
        <x:v>55.2</x:v>
      </x:c>
      <x:c r="BC187" s="4" t="n">
        <x:v>5.2</x:v>
      </x:c>
      <x:c r="BD187" s="10" t="n">
        <x:v>1082</x:v>
      </x:c>
      <x:c r="BE187" s="10" t="n">
        <x:v>885</x:v>
      </x:c>
      <x:c r="BF187" s="4" t="n">
        <x:v>55</x:v>
      </x:c>
      <x:c r="BG187" s="4" t="n">
        <x:v>4</x:v>
      </x:c>
      <x:c r="BH187" s="4" t="n">
        <x:v>12.5</x:v>
      </x:c>
      <x:c r="BI187" s="4" t="n">
        <x:v>87.7</x:v>
      </x:c>
      <x:c r="BJ187" s="4" t="n">
        <x:v>100.2</x:v>
      </x:c>
      <x:c r="BK187" s="4" t="n">
        <x:v>54.8</x:v>
      </x:c>
      <x:c r="BL187" s="4" t="n">
        <x:v>45.2</x:v>
      </x:c>
      <x:c r="BM187" s="4" t="n">
        <x:v>23.166666666666668</x:v>
      </x:c>
      <x:c r="BN187" s="4" t="n">
        <x:v>18.1</x:v>
      </x:c>
      <x:c r="BO187" s="10" t="n">
        <x:v>45</x:v>
      </x:c>
      <x:c r="BP187" s="10" t="n">
        <x:v>118</x:v>
      </x:c>
      <x:c r="BQ187" s="4" t="n">
        <x:v>6.6</x:v>
      </x:c>
      <x:c r="BR187" s="10" t="n">
        <x:v>355</x:v>
      </x:c>
      <x:c r="BS187" s="4" t="n">
        <x:v>43.4</x:v>
      </x:c>
      <x:c r="BT187" s="10" t="n">
        <x:v>71</x:v>
      </x:c>
      <x:c r="BU187" s="4" t="str">
        <x:v>TOT</x:v>
      </x:c>
      <x:c r="BV187" s="10" t="n">
        <x:v>100</x:v>
      </x:c>
      <x:c r="BW187" s="10" t="n">
        <x:v>90</x:v>
      </x:c>
      <x:c r="BX187" s="10" t="n">
        <x:v>127</x:v>
      </x:c>
      <x:c r="BY187" s="4" t="str">
        <x:v>John Carlson</x:v>
      </x:c>
      <x:c r="BZ187" s="4" t="str">
        <x:v>John Carlson</x:v>
      </x:c>
      <x:c r="CA187" s="4" t="str">
        <x:v>John Carlson</x:v>
      </x:c>
      <x:c r="CB187" s="4" t="str">
        <x:v>carlsjo01</x:v>
      </x:c>
    </x:row>
    <x:row r="188" ht="22" customHeight="1">
      <x:c r="A188" s="4" t="str">
        <x:v>John Klingberg</x:v>
      </x:c>
      <x:c r="B188" s="4" t="str">
        <x:v>johnklingberg</x:v>
      </x:c>
      <x:c r="C188" s="10" t="n">
        <x:v>1</x:v>
      </x:c>
      <x:c r="D188" s="10" t="n">
        <x:v>1</x:v>
      </x:c>
      <x:c r="E188" s="10" t="n">
        <x:v>1</x:v>
      </x:c>
      <x:c r="F188" s="4" t="n">
        <x:f>IF(COUNT(N188,Q188,T188,W188,Z188,AC188,AF188,AI188)=8,N188*Guide!$E$5+Q188*Guide!$E$6+T188*Guide!$E$7+W188*Guide!$E$8+Z188*Guide!$E$9+AC188*Guide!$E$10+AF188*Guide!$E$11+AI188*Guide!$E$12,"")</x:f>
        <x:v>245.5</x:v>
      </x:c>
      <x:c r="G188" s="4" t="n">
        <x:f>IF(COUNT(O188,R188,U188,X188,AA188,AD188,AG188,AJ188)=8,O188*Guide!$E$5+R188*Guide!$E$6+U188*Guide!$E$7+X188*Guide!$E$8+AA188*Guide!$E$9+AD188*Guide!$E$10+AG188*Guide!$E$11+AJ188*Guide!$E$12,"")</x:f>
        <x:v>164.75</x:v>
      </x:c>
      <x:c r="H188" s="4" t="n">
        <x:f>IF(COUNT(G188,F188)=2,G188-F188,"")</x:f>
        <x:v>-80.75</x:v>
      </x:c>
      <x:c r="I188" s="4" t="n">
        <x:f>IF(AND(ISNUMBER(F188),K188&gt;0),F188/K188,"")</x:f>
        <x:v>3.3175675675675675</x:v>
      </x:c>
      <x:c r="J188" s="4" t="n">
        <x:f>IF(AND(ISNUMBER(G188),L188&gt;0),G188/L188,"")</x:f>
        <x:v>2.9419642857142856</x:v>
      </x:c>
      <x:c r="K188" s="10" t="n">
        <x:v>74</x:v>
      </x:c>
      <x:c r="L188" s="10" t="n">
        <x:v>56</x:v>
      </x:c>
      <x:c r="M188" s="10" t="n">
        <x:f>IF(COUNT(L188,K188)=2,L188-K188,"")</x:f>
        <x:v>-18</x:v>
      </x:c>
      <x:c r="N188" s="10" t="n">
        <x:v>8</x:v>
      </x:c>
      <x:c r="O188" s="10" t="n">
        <x:v>10</x:v>
      </x:c>
      <x:c r="P188" s="10" t="n">
        <x:f>IF(COUNT(O188,N188)=2,O188-N188,"")</x:f>
        <x:v>2</x:v>
      </x:c>
      <x:c r="Q188" s="10" t="n">
        <x:v>31</x:v>
      </x:c>
      <x:c r="R188" s="10" t="n">
        <x:v>17</x:v>
      </x:c>
      <x:c r="S188" s="10" t="n">
        <x:f>IF(COUNT(R188,Q188)=2,R188-Q188,"")</x:f>
        <x:v>-14</x:v>
      </x:c>
      <x:c r="T188" s="10" t="n">
        <x:v>-3</x:v>
      </x:c>
      <x:c r="U188" s="10" t="n">
        <x:v>-13</x:v>
      </x:c>
      <x:c r="V188" s="10" t="n">
        <x:f>IF(COUNT(U188,T188)=2,U188-T188,"")</x:f>
        <x:v>-10</x:v>
      </x:c>
      <x:c r="W188" s="10" t="n">
        <x:v>16</x:v>
      </x:c>
      <x:c r="X188" s="10" t="n">
        <x:f>IF(COUNT(AV188,AW188)=2,AV188+AW188,"")</x:f>
        <x:v>9</x:v>
      </x:c>
      <x:c r="Y188" s="10" t="n">
        <x:f>IF(COUNT(X188,W188)=2,X188-W188,"")</x:f>
        <x:v>-7</x:v>
      </x:c>
      <x:c r="Z188" s="10" t="n">
        <x:v>0</x:v>
      </x:c>
      <x:c r="AA188" s="10" t="n">
        <x:f>IF(COUNT(AX188,AY188)=2,AX188+AY188,"")</x:f>
        <x:v>0</x:v>
      </x:c>
      <x:c r="AB188" s="10" t="n">
        <x:f>IF(COUNT(AA188,Z188)=2,AA188-Z188,"")</x:f>
        <x:v>0</x:v>
      </x:c>
      <x:c r="AC188" s="10" t="n">
        <x:v>123</x:v>
      </x:c>
      <x:c r="AD188" s="10" t="n">
        <x:v>79</x:v>
      </x:c>
      <x:c r="AE188" s="10" t="n">
        <x:f>IF(COUNT(AD188,AC188)=2,AD188-AC188,"")</x:f>
        <x:v>-44</x:v>
      </x:c>
      <x:c r="AF188" s="10" t="n">
        <x:v>37</x:v>
      </x:c>
      <x:c r="AG188" s="10" t="n">
        <x:v>46</x:v>
      </x:c>
      <x:c r="AH188" s="10" t="n">
        <x:f>IF(COUNT(AG188,AF188)=2,AG188-AF188,"")</x:f>
        <x:v>9</x:v>
      </x:c>
      <x:c r="AI188" s="10" t="n">
        <x:v>90</x:v>
      </x:c>
      <x:c r="AJ188" s="10" t="n">
        <x:v>62</x:v>
      </x:c>
      <x:c r="AK188" s="10" t="n">
        <x:f>IF(COUNT(AJ188,AI188)=2,AJ188-AI188,"")</x:f>
        <x:v>-28</x:v>
      </x:c>
      <x:c r="AL188" s="10" t="n">
        <x:v>33</x:v>
      </x:c>
      <x:c r="AM188" s="10" t="n">
        <x:v>33</x:v>
      </x:c>
      <x:c r="AN188" s="4" t="str">
        <x:v>D</x:v>
      </x:c>
      <x:c r="AO188" s="4" t="str">
        <x:v>D</x:v>
      </x:c>
      <x:c r="AP188" s="4" t="str">
        <x:v>SJ</x:v>
      </x:c>
      <x:c r="AQ188" s="4" t="str">
        <x:v>SJS</x:v>
      </x:c>
      <x:c r="AR188" s="4" t="n">
        <x:v>19.93</x:v>
      </x:c>
      <x:c r="AS188" s="4" t="n">
        <x:v>20.466666666666665</x:v>
      </x:c>
      <x:c r="AT188" s="4" t="n">
        <x:v>2.97</x:v>
      </x:c>
      <x:c r="AU188" s="4" t="n">
        <x:v>12.7</x:v>
      </x:c>
      <x:c r="AV188" s="10" t="n">
        <x:v>5</x:v>
      </x:c>
      <x:c r="AW188" s="10" t="n">
        <x:v>4</x:v>
      </x:c>
      <x:c r="AX188" s="10" t="n">
        <x:v>0</x:v>
      </x:c>
      <x:c r="AY188" s="10" t="n">
        <x:v>0</x:v>
      </x:c>
      <x:c r="AZ188" s="10" t="n">
        <x:v>932</x:v>
      </x:c>
      <x:c r="BA188" s="10" t="n">
        <x:v>955</x:v>
      </x:c>
      <x:c r="BB188" s="4" t="n">
        <x:v>49.4</x:v>
      </x:c>
      <x:c r="BC188" s="4" t="n">
        <x:v>5</x:v>
      </x:c>
      <x:c r="BD188" s="10" t="n">
        <x:v>668</x:v>
      </x:c>
      <x:c r="BE188" s="10" t="n">
        <x:v>719</x:v>
      </x:c>
      <x:c r="BF188" s="4" t="n">
        <x:v>48.2</x:v>
      </x:c>
      <x:c r="BG188" s="4" t="n">
        <x:v>4</x:v>
      </x:c>
      <x:c r="BH188" s="4" t="n">
        <x:v>12.3</x:v>
      </x:c>
      <x:c r="BI188" s="4" t="n">
        <x:v>87.7</x:v>
      </x:c>
      <x:c r="BJ188" s="4" t="n">
        <x:v>100</x:v>
      </x:c>
      <x:c r="BK188" s="4" t="n">
        <x:v>52.9</x:v>
      </x:c>
      <x:c r="BL188" s="4" t="n">
        <x:v>47.1</x:v>
      </x:c>
      <x:c r="BM188" s="4" t="n">
        <x:v>20.466666666666665</x:v>
      </x:c>
      <x:c r="BN188" s="4" t="n">
        <x:v>17.466666666666665</x:v>
      </x:c>
      <x:c r="BO188" s="10" t="n">
        <x:v>13</x:v>
      </x:c>
      <x:c r="BP188" s="10" t="n">
        <x:v>76</x:v>
      </x:c>
      <x:c r="BQ188" s="4" t="n">
        <x:v>-4.3</x:v>
      </x:c>
      <x:c r="BR188" s="10" t="n">
        <x:v>225</x:v>
      </x:c>
      <x:c r="BS188" s="4" t="n">
        <x:v>35.1</x:v>
      </x:c>
      <x:c r="BT188" s="10" t="n">
        <x:v>56</x:v>
      </x:c>
      <x:c r="BU188" s="4" t="str">
        <x:v>SJS</x:v>
      </x:c>
      <x:c r="BV188" s="10" t="n">
        <x:v>259</x:v>
      </x:c>
      <x:c r="BW188" s="10" t="n">
        <x:v>366</x:v>
      </x:c>
      <x:c r="BX188" s="10" t="n">
        <x:v>525</x:v>
      </x:c>
      <x:c r="BY188" s="4" t="str">
        <x:v>John Klingberg</x:v>
      </x:c>
      <x:c r="BZ188" s="4" t="str">
        <x:v>John Klingberg</x:v>
      </x:c>
      <x:c r="CA188" s="4" t="str">
        <x:v>John Klingberg</x:v>
      </x:c>
      <x:c r="CB188" s="4" t="str">
        <x:v>klingjo01</x:v>
      </x:c>
    </x:row>
    <x:row r="189" ht="22" customHeight="1">
      <x:c r="A189" s="4" t="str">
        <x:v>John Marino</x:v>
      </x:c>
      <x:c r="B189" s="4" t="str">
        <x:v>johnmarino</x:v>
      </x:c>
      <x:c r="C189" s="10" t="n">
        <x:v>1</x:v>
      </x:c>
      <x:c r="D189" s="10" t="n">
        <x:v>1</x:v>
      </x:c>
      <x:c r="E189" s="10" t="n">
        <x:v>1</x:v>
      </x:c>
      <x:c r="F189" s="4" t="n">
        <x:f>IF(COUNT(N189,Q189,T189,W189,Z189,AC189,AF189,AI189)=8,N189*Guide!$E$5+Q189*Guide!$E$6+T189*Guide!$E$7+W189*Guide!$E$8+Z189*Guide!$E$9+AC189*Guide!$E$10+AF189*Guide!$E$11+AI189*Guide!$E$12,"")</x:f>
        <x:v>189</x:v>
      </x:c>
      <x:c r="G189" s="4" t="n">
        <x:f>IF(COUNT(O189,R189,U189,X189,AA189,AD189,AG189,AJ189)=8,O189*Guide!$E$5+R189*Guide!$E$6+U189*Guide!$E$7+X189*Guide!$E$8+AA189*Guide!$E$9+AD189*Guide!$E$10+AG189*Guide!$E$11+AJ189*Guide!$E$12,"")</x:f>
        <x:v>232.75</x:v>
      </x:c>
      <x:c r="H189" s="4" t="n">
        <x:f>IF(COUNT(G189,F189)=2,G189-F189,"")</x:f>
        <x:v>43.75</x:v>
      </x:c>
      <x:c r="I189" s="4" t="n">
        <x:f>IF(AND(ISNUMBER(F189),K189&gt;0),F189/K189,"")</x:f>
        <x:v>2.4545454545454546</x:v>
      </x:c>
      <x:c r="J189" s="4" t="n">
        <x:f>IF(AND(ISNUMBER(G189),L189&gt;0),G189/L189,"")</x:f>
        <x:v>2.909375</x:v>
      </x:c>
      <x:c r="K189" s="10" t="n">
        <x:v>77</x:v>
      </x:c>
      <x:c r="L189" s="10" t="n">
        <x:v>80</x:v>
      </x:c>
      <x:c r="M189" s="10" t="n">
        <x:f>IF(COUNT(L189,K189)=2,L189-K189,"")</x:f>
        <x:v>3</x:v>
      </x:c>
      <x:c r="N189" s="10" t="n">
        <x:v>4</x:v>
      </x:c>
      <x:c r="O189" s="10" t="n">
        <x:v>4</x:v>
      </x:c>
      <x:c r="P189" s="10" t="n">
        <x:f>IF(COUNT(O189,N189)=2,O189-N189,"")</x:f>
        <x:v>0</x:v>
      </x:c>
      <x:c r="Q189" s="10" t="n">
        <x:v>24</x:v>
      </x:c>
      <x:c r="R189" s="10" t="n">
        <x:v>32</x:v>
      </x:c>
      <x:c r="S189" s="10" t="n">
        <x:f>IF(COUNT(R189,Q189)=2,R189-Q189,"")</x:f>
        <x:v>8</x:v>
      </x:c>
      <x:c r="T189" s="10" t="n">
        <x:v>1</x:v>
      </x:c>
      <x:c r="U189" s="10" t="n">
        <x:v>43</x:v>
      </x:c>
      <x:c r="V189" s="10" t="n">
        <x:f>IF(COUNT(U189,T189)=2,U189-T189,"")</x:f>
        <x:v>42</x:v>
      </x:c>
      <x:c r="W189" s="10" t="n">
        <x:v>2</x:v>
      </x:c>
      <x:c r="X189" s="10" t="n">
        <x:f>IF(COUNT(AV189,AW189)=2,AV189+AW189,"")</x:f>
        <x:v>0</x:v>
      </x:c>
      <x:c r="Y189" s="10" t="n">
        <x:f>IF(COUNT(X189,W189)=2,X189-W189,"")</x:f>
        <x:v>-2</x:v>
      </x:c>
      <x:c r="Z189" s="10" t="n">
        <x:v>0</x:v>
      </x:c>
      <x:c r="AA189" s="10" t="n">
        <x:f>IF(COUNT(AX189,AY189)=2,AX189+AY189,"")</x:f>
        <x:v>2</x:v>
      </x:c>
      <x:c r="AB189" s="10" t="n">
        <x:f>IF(COUNT(AA189,Z189)=2,AA189-Z189,"")</x:f>
        <x:v>2</x:v>
      </x:c>
      <x:c r="AC189" s="10" t="n">
        <x:v>64</x:v>
      </x:c>
      <x:c r="AD189" s="10" t="n">
        <x:v>55</x:v>
      </x:c>
      <x:c r="AE189" s="10" t="n">
        <x:f>IF(COUNT(AD189,AC189)=2,AD189-AC189,"")</x:f>
        <x:v>-9</x:v>
      </x:c>
      <x:c r="AF189" s="10" t="n">
        <x:v>25</x:v>
      </x:c>
      <x:c r="AG189" s="10" t="n">
        <x:v>28</x:v>
      </x:c>
      <x:c r="AH189" s="10" t="n">
        <x:f>IF(COUNT(AG189,AF189)=2,AG189-AF189,"")</x:f>
        <x:v>3</x:v>
      </x:c>
      <x:c r="AI189" s="10" t="n">
        <x:v>101</x:v>
      </x:c>
      <x:c r="AJ189" s="10" t="n">
        <x:v>68</x:v>
      </x:c>
      <x:c r="AK189" s="10" t="n">
        <x:f>IF(COUNT(AJ189,AI189)=2,AJ189-AI189,"")</x:f>
        <x:v>-33</x:v>
      </x:c>
      <x:c r="AL189" s="10" t="n">
        <x:v>28</x:v>
      </x:c>
      <x:c r="AM189" s="10" t="n">
        <x:v>28</x:v>
      </x:c>
      <x:c r="AN189" s="4" t="str">
        <x:v>D</x:v>
      </x:c>
      <x:c r="AO189" s="4" t="str">
        <x:v>D</x:v>
      </x:c>
      <x:c r="AP189" s="4" t="str">
        <x:v>UTA</x:v>
      </x:c>
      <x:c r="AQ189" s="4" t="str">
        <x:v>UTA</x:v>
      </x:c>
      <x:c r="AR189" s="4" t="n">
        <x:v>21.28</x:v>
      </x:c>
      <x:c r="AS189" s="4" t="n">
        <x:v>20.2</x:v>
      </x:c>
      <x:c r="AT189" s="4" t="n">
        <x:v>0.3</x:v>
      </x:c>
      <x:c r="AU189" s="4" t="n">
        <x:v>7.3</x:v>
      </x:c>
      <x:c r="AV189" s="10" t="n">
        <x:v>0</x:v>
      </x:c>
      <x:c r="AW189" s="10" t="n">
        <x:v>0</x:v>
      </x:c>
      <x:c r="AX189" s="10" t="n">
        <x:v>1</x:v>
      </x:c>
      <x:c r="AY189" s="10" t="n">
        <x:v>1</x:v>
      </x:c>
      <x:c r="AZ189" s="10" t="n">
        <x:v>1457</x:v>
      </x:c>
      <x:c r="BA189" s="10" t="n">
        <x:v>1225</x:v>
      </x:c>
      <x:c r="BB189" s="4" t="n">
        <x:v>54.3</x:v>
      </x:c>
      <x:c r="BC189" s="4" t="n">
        <x:v>1.7</x:v>
      </x:c>
      <x:c r="BD189" s="10" t="n">
        <x:v>1033</x:v>
      </x:c>
      <x:c r="BE189" s="10" t="n">
        <x:v>902</x:v>
      </x:c>
      <x:c r="BF189" s="4" t="n">
        <x:v>53.4</x:v>
      </x:c>
      <x:c r="BG189" s="4" t="n">
        <x:v>0.6</x:v>
      </x:c>
      <x:c r="BH189" s="4" t="n">
        <x:v>14</x:v>
      </x:c>
      <x:c r="BI189" s="4" t="n">
        <x:v>91.2</x:v>
      </x:c>
      <x:c r="BJ189" s="4" t="n">
        <x:v>105.2</x:v>
      </x:c>
      <x:c r="BK189" s="4" t="n">
        <x:v>48.6</x:v>
      </x:c>
      <x:c r="BL189" s="4" t="n">
        <x:v>51.4</x:v>
      </x:c>
      <x:c r="BM189" s="4" t="n">
        <x:v>20.2</x:v>
      </x:c>
      <x:c r="BN189" s="4" t="n">
        <x:v>18.466666666666665</x:v>
      </x:c>
      <x:c r="BO189" s="10" t="n">
        <x:v>23</x:v>
      </x:c>
      <x:c r="BP189" s="10" t="n">
        <x:v>89</x:v>
      </x:c>
      <x:c r="BQ189" s="4" t="n">
        <x:v>13.4</x:v>
      </x:c>
      <x:c r="BR189" s="10" t="n">
        <x:v>168</x:v>
      </x:c>
      <x:c r="BS189" s="4" t="n">
        <x:v>32.7</x:v>
      </x:c>
      <x:c r="BT189" s="10" t="n">
        <x:v>80</x:v>
      </x:c>
      <x:c r="BU189" s="4" t="str">
        <x:v>UTA</x:v>
      </x:c>
      <x:c r="BV189" s="10" t="n">
        <x:v>399</x:v>
      </x:c>
      <x:c r="BW189" s="10" t="n">
        <x:v>246</x:v>
      </x:c>
      <x:c r="BX189" s="10" t="n">
        <x:v>649</x:v>
      </x:c>
      <x:c r="BY189" s="4" t="str">
        <x:v>John Marino</x:v>
      </x:c>
      <x:c r="BZ189" s="4" t="str">
        <x:v>John Marino</x:v>
      </x:c>
      <x:c r="CA189" s="4" t="str">
        <x:v>John Marino</x:v>
      </x:c>
      <x:c r="CB189" s="4" t="str">
        <x:v>marinjo01</x:v>
      </x:c>
    </x:row>
    <x:row r="190" ht="22" customHeight="1">
      <x:c r="A190" s="4" t="str">
        <x:v>John Tavares</x:v>
      </x:c>
      <x:c r="B190" s="4" t="str">
        <x:v>johntavares</x:v>
      </x:c>
      <x:c r="C190" s="10" t="n">
        <x:v>1</x:v>
      </x:c>
      <x:c r="D190" s="10" t="n">
        <x:v>1</x:v>
      </x:c>
      <x:c r="E190" s="10" t="n">
        <x:v>1</x:v>
      </x:c>
      <x:c r="F190" s="4" t="n">
        <x:f>IF(COUNT(N190,Q190,T190,W190,Z190,AC190,AF190,AI190)=8,N190*Guide!$E$5+Q190*Guide!$E$6+T190*Guide!$E$7+W190*Guide!$E$8+Z190*Guide!$E$9+AC190*Guide!$E$10+AF190*Guide!$E$11+AI190*Guide!$E$12,"")</x:f>
        <x:v>356.25</x:v>
      </x:c>
      <x:c r="G190" s="4" t="n">
        <x:f>IF(COUNT(O190,R190,U190,X190,AA190,AD190,AG190,AJ190)=8,O190*Guide!$E$5+R190*Guide!$E$6+U190*Guide!$E$7+X190*Guide!$E$8+AA190*Guide!$E$9+AD190*Guide!$E$10+AG190*Guide!$E$11+AJ190*Guide!$E$12,"")</x:f>
        <x:v>321.5</x:v>
      </x:c>
      <x:c r="H190" s="4" t="n">
        <x:f>IF(COUNT(G190,F190)=2,G190-F190,"")</x:f>
        <x:v>-34.75</x:v>
      </x:c>
      <x:c r="I190" s="4" t="n">
        <x:f>IF(AND(ISNUMBER(F190),K190&gt;0),F190/K190,"")</x:f>
        <x:v>4.6875</x:v>
      </x:c>
      <x:c r="J190" s="4" t="n">
        <x:f>IF(AND(ISNUMBER(G190),L190&gt;0),G190/L190,"")</x:f>
        <x:v>3.9207317073170733</x:v>
      </x:c>
      <x:c r="K190" s="10" t="n">
        <x:v>76</x:v>
      </x:c>
      <x:c r="L190" s="10" t="n">
        <x:v>82</x:v>
      </x:c>
      <x:c r="M190" s="10" t="n">
        <x:f>IF(COUNT(L190,K190)=2,L190-K190,"")</x:f>
        <x:v>6</x:v>
      </x:c>
      <x:c r="N190" s="10" t="n">
        <x:v>32</x:v>
      </x:c>
      <x:c r="O190" s="10" t="n">
        <x:v>31</x:v>
      </x:c>
      <x:c r="P190" s="10" t="n">
        <x:f>IF(COUNT(O190,N190)=2,O190-N190,"")</x:f>
        <x:v>-1</x:v>
      </x:c>
      <x:c r="Q190" s="10" t="n">
        <x:v>34</x:v>
      </x:c>
      <x:c r="R190" s="10" t="n">
        <x:v>40</x:v>
      </x:c>
      <x:c r="S190" s="10" t="n">
        <x:f>IF(COUNT(R190,Q190)=2,R190-Q190,"")</x:f>
        <x:v>6</x:v>
      </x:c>
      <x:c r="T190" s="10" t="n">
        <x:v>-1</x:v>
      </x:c>
      <x:c r="U190" s="10" t="n">
        <x:v>-28</x:v>
      </x:c>
      <x:c r="V190" s="10" t="n">
        <x:f>IF(COUNT(U190,T190)=2,U190-T190,"")</x:f>
        <x:v>-27</x:v>
      </x:c>
      <x:c r="W190" s="10" t="n">
        <x:v>22</x:v>
      </x:c>
      <x:c r="X190" s="10" t="n">
        <x:f>IF(COUNT(AV190,AW190)=2,AV190+AW190,"")</x:f>
        <x:v>21</x:v>
      </x:c>
      <x:c r="Y190" s="10" t="n">
        <x:f>IF(COUNT(X190,W190)=2,X190-W190,"")</x:f>
        <x:v>-1</x:v>
      </x:c>
      <x:c r="Z190" s="10" t="n">
        <x:v>0</x:v>
      </x:c>
      <x:c r="AA190" s="10" t="n">
        <x:f>IF(COUNT(AX190,AY190)=2,AX190+AY190,"")</x:f>
        <x:v>0</x:v>
      </x:c>
      <x:c r="AB190" s="10" t="n">
        <x:f>IF(COUNT(AA190,Z190)=2,AA190-Z190,"")</x:f>
        <x:v>0</x:v>
      </x:c>
      <x:c r="AC190" s="10" t="n">
        <x:v>200</x:v>
      </x:c>
      <x:c r="AD190" s="10" t="n">
        <x:v>192</x:v>
      </x:c>
      <x:c r="AE190" s="10" t="n">
        <x:f>IF(COUNT(AD190,AC190)=2,AD190-AC190,"")</x:f>
        <x:v>-8</x:v>
      </x:c>
      <x:c r="AF190" s="10" t="n">
        <x:v>98</x:v>
      </x:c>
      <x:c r="AG190" s="10" t="n">
        <x:v>74</x:v>
      </x:c>
      <x:c r="AH190" s="10" t="n">
        <x:f>IF(COUNT(AG190,AF190)=2,AG190-AF190,"")</x:f>
        <x:v>-24</x:v>
      </x:c>
      <x:c r="AI190" s="10" t="n">
        <x:v>41</x:v>
      </x:c>
      <x:c r="AJ190" s="10" t="n">
        <x:v>24</x:v>
      </x:c>
      <x:c r="AK190" s="10" t="n">
        <x:f>IF(COUNT(AJ190,AI190)=2,AJ190-AI190,"")</x:f>
        <x:v>-17</x:v>
      </x:c>
      <x:c r="AL190" s="10" t="n">
        <x:v>35</x:v>
      </x:c>
      <x:c r="AM190" s="10" t="n">
        <x:v>35</x:v>
      </x:c>
      <x:c r="AN190" s="4" t="str">
        <x:v>C</x:v>
      </x:c>
      <x:c r="AO190" s="4" t="str">
        <x:v>C</x:v>
      </x:c>
      <x:c r="AP190" s="4" t="str">
        <x:v>TOR</x:v>
      </x:c>
      <x:c r="AQ190" s="4" t="str">
        <x:v>TOR</x:v>
      </x:c>
      <x:c r="AR190" s="4" t="n">
        <x:v>17.66</x:v>
      </x:c>
      <x:c r="AS190" s="4" t="n">
        <x:v>18.183333333333334</x:v>
      </x:c>
      <x:c r="AT190" s="4" t="n">
        <x:v>2.68</x:v>
      </x:c>
      <x:c r="AU190" s="4" t="n">
        <x:v>16.1</x:v>
      </x:c>
      <x:c r="AV190" s="10" t="n">
        <x:v>12</x:v>
      </x:c>
      <x:c r="AW190" s="10" t="n">
        <x:v>9</x:v>
      </x:c>
      <x:c r="AX190" s="10" t="n">
        <x:v>0</x:v>
      </x:c>
      <x:c r="AY190" s="10" t="n">
        <x:v>0</x:v>
      </x:c>
      <x:c r="AZ190" s="10" t="n">
        <x:v>1208</x:v>
      </x:c>
      <x:c r="BA190" s="10" t="n">
        <x:v>1292</x:v>
      </x:c>
      <x:c r="BB190" s="4" t="n">
        <x:v>48.3</x:v>
      </x:c>
      <x:c r="BC190" s="4" t="n">
        <x:v>5.1</x:v>
      </x:c>
      <x:c r="BD190" s="10" t="n">
        <x:v>907</x:v>
      </x:c>
      <x:c r="BE190" s="10" t="n">
        <x:v>955</x:v>
      </x:c>
      <x:c r="BF190" s="4" t="n">
        <x:v>48.7</x:v>
      </x:c>
      <x:c r="BG190" s="4" t="n">
        <x:v>5</x:v>
      </x:c>
      <x:c r="BH190" s="4" t="n">
        <x:v>11.6</x:v>
      </x:c>
      <x:c r="BI190" s="4" t="n">
        <x:v>86.2</x:v>
      </x:c>
      <x:c r="BJ190" s="4" t="n">
        <x:v>97.8</x:v>
      </x:c>
      <x:c r="BK190" s="4" t="n">
        <x:v>54.4</x:v>
      </x:c>
      <x:c r="BL190" s="4" t="n">
        <x:v>45.6</x:v>
      </x:c>
      <x:c r="BM190" s="4" t="n">
        <x:v>18.183333333333334</x:v>
      </x:c>
      <x:c r="BN190" s="4" t="n">
        <x:v>15.45</x:v>
      </x:c>
      <x:c r="BO190" s="10" t="n">
        <x:v>26</x:v>
      </x:c>
      <x:c r="BP190" s="10" t="n">
        <x:v>75</x:v>
      </x:c>
      <x:c r="BQ190" s="4" t="n">
        <x:v>-4.5</x:v>
      </x:c>
      <x:c r="BR190" s="10" t="n">
        <x:v>383</x:v>
      </x:c>
      <x:c r="BS190" s="4" t="n">
        <x:v>50.1</x:v>
      </x:c>
      <x:c r="BT190" s="10" t="n">
        <x:v>82</x:v>
      </x:c>
      <x:c r="BU190" s="4" t="str">
        <x:v>TOR</x:v>
      </x:c>
      <x:c r="BV190" s="10" t="n">
        <x:v>62</x:v>
      </x:c>
      <x:c r="BW190" s="10" t="n">
        <x:v>56</x:v>
      </x:c>
      <x:c r="BX190" s="10" t="n">
        <x:v>1005</x:v>
      </x:c>
      <x:c r="BY190" s="4" t="str">
        <x:v>John Tavares</x:v>
      </x:c>
      <x:c r="BZ190" s="4" t="str">
        <x:v>John Tavares</x:v>
      </x:c>
      <x:c r="CA190" s="4" t="str">
        <x:v>John Tavares</x:v>
      </x:c>
      <x:c r="CB190" s="4" t="str">
        <x:v>tavarjo01</x:v>
      </x:c>
    </x:row>
    <x:row r="191" ht="22" customHeight="1">
      <x:c r="A191" s="4" t="str">
        <x:v>Jonas Brodin</x:v>
      </x:c>
      <x:c r="B191" s="4" t="str">
        <x:v>jonasbrodin</x:v>
      </x:c>
      <x:c r="C191" s="10" t="n">
        <x:v>1</x:v>
      </x:c>
      <x:c r="D191" s="10" t="n">
        <x:v>1</x:v>
      </x:c>
      <x:c r="E191" s="10" t="n">
        <x:v>1</x:v>
      </x:c>
      <x:c r="F191" s="4" t="n">
        <x:f>IF(COUNT(N191,Q191,T191,W191,Z191,AC191,AF191,AI191)=8,N191*Guide!$E$5+Q191*Guide!$E$6+T191*Guide!$E$7+W191*Guide!$E$8+Z191*Guide!$E$9+AC191*Guide!$E$10+AF191*Guide!$E$11+AI191*Guide!$E$12,"")</x:f>
        <x:v>241.5</x:v>
      </x:c>
      <x:c r="G191" s="4" t="n">
        <x:f>IF(COUNT(O191,R191,U191,X191,AA191,AD191,AG191,AJ191)=8,O191*Guide!$E$5+R191*Guide!$E$6+U191*Guide!$E$7+X191*Guide!$E$8+AA191*Guide!$E$9+AD191*Guide!$E$10+AG191*Guide!$E$11+AJ191*Guide!$E$12,"")</x:f>
        <x:v>194</x:v>
      </x:c>
      <x:c r="H191" s="4" t="n">
        <x:f>IF(COUNT(G191,F191)=2,G191-F191,"")</x:f>
        <x:v>-47.5</x:v>
      </x:c>
      <x:c r="I191" s="4" t="n">
        <x:f>IF(AND(ISNUMBER(F191),K191&gt;0),F191/K191,"")</x:f>
        <x:v>3.4014084507042255</x:v>
      </x:c>
      <x:c r="J191" s="4" t="n">
        <x:f>IF(AND(ISNUMBER(G191),L191&gt;0),G191/L191,"")</x:f>
        <x:v>3.129032258064516</x:v>
      </x:c>
      <x:c r="K191" s="10" t="n">
        <x:v>71</x:v>
      </x:c>
      <x:c r="L191" s="10" t="n">
        <x:v>62</x:v>
      </x:c>
      <x:c r="M191" s="10" t="n">
        <x:f>IF(COUNT(L191,K191)=2,L191-K191,"")</x:f>
        <x:v>-9</x:v>
      </x:c>
      <x:c r="N191" s="10" t="n">
        <x:v>6</x:v>
      </x:c>
      <x:c r="O191" s="10" t="n">
        <x:v>4</x:v>
      </x:c>
      <x:c r="P191" s="10" t="n">
        <x:f>IF(COUNT(O191,N191)=2,O191-N191,"")</x:f>
        <x:v>-2</x:v>
      </x:c>
      <x:c r="Q191" s="10" t="n">
        <x:v>19</x:v>
      </x:c>
      <x:c r="R191" s="10" t="n">
        <x:v>14</x:v>
      </x:c>
      <x:c r="S191" s="10" t="n">
        <x:f>IF(COUNT(R191,Q191)=2,R191-Q191,"")</x:f>
        <x:v>-5</x:v>
      </x:c>
      <x:c r="T191" s="10" t="n">
        <x:v>12</x:v>
      </x:c>
      <x:c r="U191" s="10" t="n">
        <x:v>19</x:v>
      </x:c>
      <x:c r="V191" s="10" t="n">
        <x:f>IF(COUNT(U191,T191)=2,U191-T191,"")</x:f>
        <x:v>7</x:v>
      </x:c>
      <x:c r="W191" s="10" t="n">
        <x:v>1</x:v>
      </x:c>
      <x:c r="X191" s="10" t="n">
        <x:f>IF(COUNT(AV191,AW191)=2,AV191+AW191,"")</x:f>
        <x:v>1</x:v>
      </x:c>
      <x:c r="Y191" s="10" t="n">
        <x:f>IF(COUNT(X191,W191)=2,X191-W191,"")</x:f>
        <x:v>0</x:v>
      </x:c>
      <x:c r="Z191" s="10" t="n">
        <x:v>1</x:v>
      </x:c>
      <x:c r="AA191" s="10" t="n">
        <x:f>IF(COUNT(AX191,AY191)=2,AX191+AY191,"")</x:f>
        <x:v>0</x:v>
      </x:c>
      <x:c r="AB191" s="10" t="n">
        <x:f>IF(COUNT(AA191,Z191)=2,AA191-Z191,"")</x:f>
        <x:v>-1</x:v>
      </x:c>
      <x:c r="AC191" s="10" t="n">
        <x:v>101</x:v>
      </x:c>
      <x:c r="AD191" s="10" t="n">
        <x:v>76</x:v>
      </x:c>
      <x:c r="AE191" s="10" t="n">
        <x:f>IF(COUNT(AD191,AC191)=2,AD191-AC191,"")</x:f>
        <x:v>-25</x:v>
      </x:c>
      <x:c r="AF191" s="10" t="n">
        <x:v>36</x:v>
      </x:c>
      <x:c r="AG191" s="10" t="n">
        <x:v>10</x:v>
      </x:c>
      <x:c r="AH191" s="10" t="n">
        <x:f>IF(COUNT(AG191,AF191)=2,AG191-AF191,"")</x:f>
        <x:v>-26</x:v>
      </x:c>
      <x:c r="AI191" s="10" t="n">
        <x:v>147</x:v>
      </x:c>
      <x:c r="AJ191" s="10" t="n">
        <x:v>126</x:v>
      </x:c>
      <x:c r="AK191" s="10" t="n">
        <x:f>IF(COUNT(AJ191,AI191)=2,AJ191-AI191,"")</x:f>
        <x:v>-21</x:v>
      </x:c>
      <x:c r="AL191" s="10" t="n">
        <x:v>32</x:v>
      </x:c>
      <x:c r="AM191" s="10" t="n">
        <x:v>32</x:v>
      </x:c>
      <x:c r="AN191" s="4" t="str">
        <x:v>D</x:v>
      </x:c>
      <x:c r="AO191" s="4" t="str">
        <x:v>D</x:v>
      </x:c>
      <x:c r="AP191" s="4" t="str">
        <x:v>MIN</x:v>
      </x:c>
      <x:c r="AQ191" s="4" t="str">
        <x:v>MIN</x:v>
      </x:c>
      <x:c r="AR191" s="4" t="n">
        <x:v>23.2</x:v>
      </x:c>
      <x:c r="AS191" s="4" t="n">
        <x:v>20.283333333333335</x:v>
      </x:c>
      <x:c r="AT191" s="4" t="n">
        <x:v>0.24</x:v>
      </x:c>
      <x:c r="AU191" s="4" t="n">
        <x:v>5.3</x:v>
      </x:c>
      <x:c r="AV191" s="10" t="n">
        <x:v>0</x:v>
      </x:c>
      <x:c r="AW191" s="10" t="n">
        <x:v>1</x:v>
      </x:c>
      <x:c r="AX191" s="10" t="n">
        <x:v>0</x:v>
      </x:c>
      <x:c r="AY191" s="10" t="n">
        <x:v>0</x:v>
      </x:c>
      <x:c r="AZ191" s="10" t="n">
        <x:v>1091</x:v>
      </x:c>
      <x:c r="BA191" s="10" t="n">
        <x:v>1131</x:v>
      </x:c>
      <x:c r="BB191" s="4" t="n">
        <x:v>49.1</x:v>
      </x:c>
      <x:c r="BC191" s="4" t="n">
        <x:v>0.5</x:v>
      </x:c>
      <x:c r="BD191" s="10" t="n">
        <x:v>816</x:v>
      </x:c>
      <x:c r="BE191" s="10" t="n">
        <x:v>782</x:v>
      </x:c>
      <x:c r="BF191" s="4" t="n">
        <x:v>51.1</x:v>
      </x:c>
      <x:c r="BG191" s="4" t="n">
        <x:v>2.3</x:v>
      </x:c>
      <x:c r="BH191" s="4" t="n">
        <x:v>9.5</x:v>
      </x:c>
      <x:c r="BI191" s="4" t="n">
        <x:v>92.8</x:v>
      </x:c>
      <x:c r="BJ191" s="4" t="n">
        <x:v>102.2</x:v>
      </x:c>
      <x:c r="BK191" s="4" t="n">
        <x:v>46.9</x:v>
      </x:c>
      <x:c r="BL191" s="4" t="n">
        <x:v>53.1</x:v>
      </x:c>
      <x:c r="BM191" s="4" t="n">
        <x:v>20.283333333333335</x:v>
      </x:c>
      <x:c r="BN191" s="4" t="n">
        <x:v>18.283333333333335</x:v>
      </x:c>
      <x:c r="BO191" s="10" t="n">
        <x:v>13</x:v>
      </x:c>
      <x:c r="BP191" s="10" t="n">
        <x:v>44</x:v>
      </x:c>
      <x:c r="BQ191" s="4" t="n">
        <x:v>4.3</x:v>
      </x:c>
      <x:c r="BR191" s="10" t="n">
        <x:v>166</x:v>
      </x:c>
      <x:c r="BS191" s="4" t="n">
        <x:v>45.8</x:v>
      </x:c>
      <x:c r="BT191" s="10" t="n">
        <x:v>62</x:v>
      </x:c>
      <x:c r="BU191" s="4" t="str">
        <x:v>MIN</x:v>
      </x:c>
      <x:c r="BV191" s="10" t="n">
        <x:v>433</x:v>
      </x:c>
      <x:c r="BW191" s="10" t="n">
        <x:v>486</x:v>
      </x:c>
      <x:c r="BX191" s="10" t="n">
        <x:v>98</x:v>
      </x:c>
      <x:c r="BY191" s="4" t="str">
        <x:v>Jonas Brodin</x:v>
      </x:c>
      <x:c r="BZ191" s="4" t="str">
        <x:v>Jonas Brodin</x:v>
      </x:c>
      <x:c r="CA191" s="4" t="str">
        <x:v>Jonas Brodin</x:v>
      </x:c>
      <x:c r="CB191" s="4" t="str">
        <x:v>brodijo01</x:v>
      </x:c>
    </x:row>
    <x:row r="192" ht="22" customHeight="1">
      <x:c r="A192" s="4" t="str">
        <x:v>Jonatan Berggren</x:v>
      </x:c>
      <x:c r="B192" s="4" t="str">
        <x:v>jonatanberggren</x:v>
      </x:c>
      <x:c r="C192" s="10" t="n">
        <x:v>1</x:v>
      </x:c>
      <x:c r="D192" s="10" t="n">
        <x:v>1</x:v>
      </x:c>
      <x:c r="E192" s="10" t="n">
        <x:v>1</x:v>
      </x:c>
      <x:c r="F192" s="4" t="n">
        <x:f>IF(COUNT(N192,Q192,T192,W192,Z192,AC192,AF192,AI192)=8,N192*Guide!$E$5+Q192*Guide!$E$6+T192*Guide!$E$7+W192*Guide!$E$8+Z192*Guide!$E$9+AC192*Guide!$E$10+AF192*Guide!$E$11+AI192*Guide!$E$12,"")</x:f>
        <x:v>137.25</x:v>
      </x:c>
      <x:c r="G192" s="4" t="n">
        <x:f>IF(COUNT(O192,R192,U192,X192,AA192,AD192,AG192,AJ192)=8,O192*Guide!$E$5+R192*Guide!$E$6+U192*Guide!$E$7+X192*Guide!$E$8+AA192*Guide!$E$9+AD192*Guide!$E$10+AG192*Guide!$E$11+AJ192*Guide!$E$12,"")</x:f>
        <x:v>107.25</x:v>
      </x:c>
      <x:c r="H192" s="4" t="n">
        <x:f>IF(COUNT(G192,F192)=2,G192-F192,"")</x:f>
        <x:v>-30</x:v>
      </x:c>
      <x:c r="I192" s="4" t="n">
        <x:f>IF(AND(ISNUMBER(F192),K192&gt;0),F192/K192,"")</x:f>
        <x:v>1.9607142857142856</x:v>
      </x:c>
      <x:c r="J192" s="4" t="n">
        <x:f>IF(AND(ISNUMBER(G192),L192&gt;0),G192/L192,"")</x:f>
        <x:v>2.1029411764705883</x:v>
      </x:c>
      <x:c r="K192" s="10" t="n">
        <x:v>70</x:v>
      </x:c>
      <x:c r="L192" s="10" t="n">
        <x:v>51</x:v>
      </x:c>
      <x:c r="M192" s="10" t="n">
        <x:f>IF(COUNT(L192,K192)=2,L192-K192,"")</x:f>
        <x:v>-19</x:v>
      </x:c>
      <x:c r="N192" s="10" t="n">
        <x:v>13</x:v>
      </x:c>
      <x:c r="O192" s="10" t="n">
        <x:v>8</x:v>
      </x:c>
      <x:c r="P192" s="10" t="n">
        <x:f>IF(COUNT(O192,N192)=2,O192-N192,"")</x:f>
        <x:v>-5</x:v>
      </x:c>
      <x:c r="Q192" s="10" t="n">
        <x:v>13</x:v>
      </x:c>
      <x:c r="R192" s="10" t="n">
        <x:v>14</x:v>
      </x:c>
      <x:c r="S192" s="10" t="n">
        <x:f>IF(COUNT(R192,Q192)=2,R192-Q192,"")</x:f>
        <x:v>1</x:v>
      </x:c>
      <x:c r="T192" s="10" t="n">
        <x:v>-7</x:v>
      </x:c>
      <x:c r="U192" s="10" t="n">
        <x:v>-5</x:v>
      </x:c>
      <x:c r="V192" s="10" t="n">
        <x:f>IF(COUNT(U192,T192)=2,U192-T192,"")</x:f>
        <x:v>2</x:v>
      </x:c>
      <x:c r="W192" s="10" t="n">
        <x:v>6</x:v>
      </x:c>
      <x:c r="X192" s="10" t="n">
        <x:f>IF(COUNT(AV192,AW192)=2,AV192+AW192,"")</x:f>
        <x:v>3</x:v>
      </x:c>
      <x:c r="Y192" s="10" t="n">
        <x:f>IF(COUNT(X192,W192)=2,X192-W192,"")</x:f>
        <x:v>-3</x:v>
      </x:c>
      <x:c r="Z192" s="10" t="n">
        <x:v>0</x:v>
      </x:c>
      <x:c r="AA192" s="10" t="n">
        <x:f>IF(COUNT(AX192,AY192)=2,AX192+AY192,"")</x:f>
        <x:v>0</x:v>
      </x:c>
      <x:c r="AB192" s="10" t="n">
        <x:f>IF(COUNT(AA192,Z192)=2,AA192-Z192,"")</x:f>
        <x:v>0</x:v>
      </x:c>
      <x:c r="AC192" s="10" t="n">
        <x:v>90</x:v>
      </x:c>
      <x:c r="AD192" s="10" t="n">
        <x:v>58</x:v>
      </x:c>
      <x:c r="AE192" s="10" t="n">
        <x:f>IF(COUNT(AD192,AC192)=2,AD192-AC192,"")</x:f>
        <x:v>-32</x:v>
      </x:c>
      <x:c r="AF192" s="10" t="n">
        <x:v>36</x:v>
      </x:c>
      <x:c r="AG192" s="10" t="n">
        <x:v>41</x:v>
      </x:c>
      <x:c r="AH192" s="10" t="n">
        <x:f>IF(COUNT(AG192,AF192)=2,AG192-AF192,"")</x:f>
        <x:v>5</x:v>
      </x:c>
      <x:c r="AI192" s="10" t="n">
        <x:v>21</x:v>
      </x:c>
      <x:c r="AJ192" s="10" t="n">
        <x:v>14</x:v>
      </x:c>
      <x:c r="AK192" s="10" t="n">
        <x:f>IF(COUNT(AJ192,AI192)=2,AJ192-AI192,"")</x:f>
        <x:v>-7</x:v>
      </x:c>
      <x:c r="AL192" s="10" t="n">
        <x:v>25</x:v>
      </x:c>
      <x:c r="AM192" s="10" t="n">
        <x:v>25</x:v>
      </x:c>
      <x:c r="AN192" s="4" t="str">
        <x:v>RW</x:v>
      </x:c>
      <x:c r="AO192" s="4" t="str">
        <x:v>RW</x:v>
      </x:c>
      <x:c r="AP192" s="4" t="str">
        <x:v>DET</x:v>
      </x:c>
      <x:c r="AQ192" s="4" t="str">
        <x:v>2TM</x:v>
      </x:c>
      <x:c r="AR192" s="4" t="n">
        <x:v>13.27</x:v>
      </x:c>
      <x:c r="AS192" s="4" t="n">
        <x:v>13.816666666666666</x:v>
      </x:c>
      <x:c r="AT192" s="4" t="n">
        <x:v>0.97</x:v>
      </x:c>
      <x:c r="AU192" s="4" t="n">
        <x:v>13.8</x:v>
      </x:c>
      <x:c r="AV192" s="10" t="n">
        <x:v>3</x:v>
      </x:c>
      <x:c r="AW192" s="10" t="n">
        <x:v>0</x:v>
      </x:c>
      <x:c r="AX192" s="10" t="n">
        <x:v>0</x:v>
      </x:c>
      <x:c r="AY192" s="10" t="n">
        <x:v>0</x:v>
      </x:c>
      <x:c r="AZ192" s="10" t="n">
        <x:v>625</x:v>
      </x:c>
      <x:c r="BA192" s="10" t="n">
        <x:v>556</x:v>
      </x:c>
      <x:c r="BB192" s="4" t="n">
        <x:v>52.9</x:v>
      </x:c>
      <x:c r="BC192" s="4" t="n">
        <x:v>4</x:v>
      </x:c>
      <x:c r="BD192" s="10" t="n">
        <x:v>440</x:v>
      </x:c>
      <x:c r="BE192" s="10" t="n">
        <x:v>431</x:v>
      </x:c>
      <x:c r="BF192" s="4" t="n">
        <x:v>50.5</x:v>
      </x:c>
      <x:c r="BG192" s="4" t="n">
        <x:v>0.7</x:v>
      </x:c>
      <x:c r="BH192" s="4" t="n">
        <x:v>8.9</x:v>
      </x:c>
      <x:c r="BI192" s="4" t="n">
        <x:v>89.6</x:v>
      </x:c>
      <x:c r="BJ192" s="4" t="n">
        <x:v>98.5</x:v>
      </x:c>
      <x:c r="BK192" s="4" t="n">
        <x:v>53.1</x:v>
      </x:c>
      <x:c r="BL192" s="4" t="n">
        <x:v>46.9</x:v>
      </x:c>
      <x:c r="BM192" s="4" t="n">
        <x:v>13.816666666666666</x:v>
      </x:c>
      <x:c r="BN192" s="4" t="n">
        <x:v>12.65</x:v>
      </x:c>
      <x:c r="BO192" s="10" t="n">
        <x:v>8</x:v>
      </x:c>
      <x:c r="BP192" s="10" t="n">
        <x:v>41</x:v>
      </x:c>
      <x:c r="BQ192" s="4" t="n">
        <x:v>0.7</x:v>
      </x:c>
      <x:c r="BR192" s="10" t="n">
        <x:v>128</x:v>
      </x:c>
      <x:c r="BS192" s="4" t="n">
        <x:v>45.3</x:v>
      </x:c>
      <x:c r="BT192" s="10" t="n">
        <x:v>51</x:v>
      </x:c>
      <x:c r="BU192" s="4" t="str">
        <x:v>TOT</x:v>
      </x:c>
      <x:c r="BV192" s="10" t="n">
        <x:v>428</x:v>
      </x:c>
      <x:c r="BW192" s="10" t="n">
        <x:v>441</x:v>
      </x:c>
      <x:c r="BX192" s="10" t="n">
        <x:v>52</x:v>
      </x:c>
      <x:c r="BY192" s="4" t="str">
        <x:v>Jonatan Berggren</x:v>
      </x:c>
      <x:c r="BZ192" s="4" t="str">
        <x:v>Jonatan Berggren</x:v>
      </x:c>
      <x:c r="CA192" s="4" t="str">
        <x:v>Jonatan Berggren</x:v>
      </x:c>
      <x:c r="CB192" s="4" t="str">
        <x:v>berggjo02</x:v>
      </x:c>
    </x:row>
    <x:row r="193" ht="22" customHeight="1">
      <x:c r="A193" s="4" t="str">
        <x:v>Jonathan Drouin</x:v>
      </x:c>
      <x:c r="B193" s="4" t="str">
        <x:v>jonathandrouin</x:v>
      </x:c>
      <x:c r="C193" s="10" t="n">
        <x:v>1</x:v>
      </x:c>
      <x:c r="D193" s="10" t="n">
        <x:v>1</x:v>
      </x:c>
      <x:c r="E193" s="10" t="n">
        <x:v>1</x:v>
      </x:c>
      <x:c r="F193" s="4" t="n">
        <x:f>IF(COUNT(N193,Q193,T193,W193,Z193,AC193,AF193,AI193)=8,N193*Guide!$E$5+Q193*Guide!$E$6+T193*Guide!$E$7+W193*Guide!$E$8+Z193*Guide!$E$9+AC193*Guide!$E$10+AF193*Guide!$E$11+AI193*Guide!$E$12,"")</x:f>
        <x:v>236.75</x:v>
      </x:c>
      <x:c r="G193" s="4" t="n">
        <x:f>IF(COUNT(O193,R193,U193,X193,AA193,AD193,AG193,AJ193)=8,O193*Guide!$E$5+R193*Guide!$E$6+U193*Guide!$E$7+X193*Guide!$E$8+AA193*Guide!$E$9+AD193*Guide!$E$10+AG193*Guide!$E$11+AJ193*Guide!$E$12,"")</x:f>
        <x:v>127</x:v>
      </x:c>
      <x:c r="H193" s="4" t="n">
        <x:f>IF(COUNT(G193,F193)=2,G193-F193,"")</x:f>
        <x:v>-109.75</x:v>
      </x:c>
      <x:c r="I193" s="4" t="n">
        <x:f>IF(AND(ISNUMBER(F193),K193&gt;0),F193/K193,"")</x:f>
        <x:v>3.2881944444444446</x:v>
      </x:c>
      <x:c r="J193" s="4" t="n">
        <x:f>IF(AND(ISNUMBER(G193),L193&gt;0),G193/L193,"")</x:f>
        <x:v>1.984375</x:v>
      </x:c>
      <x:c r="K193" s="10" t="n">
        <x:v>72</x:v>
      </x:c>
      <x:c r="L193" s="10" t="n">
        <x:v>64</x:v>
      </x:c>
      <x:c r="M193" s="10" t="n">
        <x:f>IF(COUNT(L193,K193)=2,L193-K193,"")</x:f>
        <x:v>-8</x:v>
      </x:c>
      <x:c r="N193" s="10" t="n">
        <x:v>14</x:v>
      </x:c>
      <x:c r="O193" s="10" t="n">
        <x:v>4</x:v>
      </x:c>
      <x:c r="P193" s="10" t="n">
        <x:f>IF(COUNT(O193,N193)=2,O193-N193,"")</x:f>
        <x:v>-10</x:v>
      </x:c>
      <x:c r="Q193" s="10" t="n">
        <x:v>37</x:v>
      </x:c>
      <x:c r="R193" s="10" t="n">
        <x:v>20</x:v>
      </x:c>
      <x:c r="S193" s="10" t="n">
        <x:f>IF(COUNT(R193,Q193)=2,R193-Q193,"")</x:f>
        <x:v>-17</x:v>
      </x:c>
      <x:c r="T193" s="10" t="n">
        <x:v>2</x:v>
      </x:c>
      <x:c r="U193" s="10" t="n">
        <x:v>-5</x:v>
      </x:c>
      <x:c r="V193" s="10" t="n">
        <x:f>IF(COUNT(U193,T193)=2,U193-T193,"")</x:f>
        <x:v>-7</x:v>
      </x:c>
      <x:c r="W193" s="10" t="n">
        <x:v>17</x:v>
      </x:c>
      <x:c r="X193" s="10" t="n">
        <x:f>IF(COUNT(AV193,AW193)=2,AV193+AW193,"")</x:f>
        <x:v>6</x:v>
      </x:c>
      <x:c r="Y193" s="10" t="n">
        <x:f>IF(COUNT(X193,W193)=2,X193-W193,"")</x:f>
        <x:v>-11</x:v>
      </x:c>
      <x:c r="Z193" s="10" t="n">
        <x:v>0</x:v>
      </x:c>
      <x:c r="AA193" s="10" t="n">
        <x:f>IF(COUNT(AX193,AY193)=2,AX193+AY193,"")</x:f>
        <x:v>0</x:v>
      </x:c>
      <x:c r="AB193" s="10" t="n">
        <x:f>IF(COUNT(AA193,Z193)=2,AA193-Z193,"")</x:f>
        <x:v>0</x:v>
      </x:c>
      <x:c r="AC193" s="10" t="n">
        <x:v>96</x:v>
      </x:c>
      <x:c r="AD193" s="10" t="n">
        <x:v>86</x:v>
      </x:c>
      <x:c r="AE193" s="10" t="n">
        <x:f>IF(COUNT(AD193,AC193)=2,AD193-AC193,"")</x:f>
        <x:v>-10</x:v>
      </x:c>
      <x:c r="AF193" s="10" t="n">
        <x:v>29</x:v>
      </x:c>
      <x:c r="AG193" s="10" t="n">
        <x:v>18</x:v>
      </x:c>
      <x:c r="AH193" s="10" t="n">
        <x:f>IF(COUNT(AG193,AF193)=2,AG193-AF193,"")</x:f>
        <x:v>-11</x:v>
      </x:c>
      <x:c r="AI193" s="10" t="n">
        <x:v>26</x:v>
      </x:c>
      <x:c r="AJ193" s="10" t="n">
        <x:v>32</x:v>
      </x:c>
      <x:c r="AK193" s="10" t="n">
        <x:f>IF(COUNT(AJ193,AI193)=2,AJ193-AI193,"")</x:f>
        <x:v>6</x:v>
      </x:c>
      <x:c r="AL193" s="10" t="n">
        <x:v>30</x:v>
      </x:c>
      <x:c r="AM193" s="10" t="n">
        <x:v>30</x:v>
      </x:c>
      <x:c r="AN193" s="4" t="str">
        <x:v>LW,RW</x:v>
      </x:c>
      <x:c r="AO193" s="4" t="str">
        <x:v>LW</x:v>
      </x:c>
      <x:c r="AP193" s="4" t="str">
        <x:v>NYI</x:v>
      </x:c>
      <x:c r="AQ193" s="4" t="str">
        <x:v>2TM</x:v>
      </x:c>
      <x:c r="AR193" s="4" t="n">
        <x:v>17.689999999999998</x:v>
      </x:c>
      <x:c r="AS193" s="4" t="n">
        <x:v>16.866666666666667</x:v>
      </x:c>
      <x:c r="AT193" s="4" t="n">
        <x:v>2.98</x:v>
      </x:c>
      <x:c r="AU193" s="4" t="n">
        <x:v>4.7</x:v>
      </x:c>
      <x:c r="AV193" s="10" t="n">
        <x:v>1</x:v>
      </x:c>
      <x:c r="AW193" s="10" t="n">
        <x:v>5</x:v>
      </x:c>
      <x:c r="AX193" s="10" t="n">
        <x:v>0</x:v>
      </x:c>
      <x:c r="AY193" s="10" t="n">
        <x:v>0</x:v>
      </x:c>
      <x:c r="AZ193" s="10" t="n">
        <x:v>889</x:v>
      </x:c>
      <x:c r="BA193" s="10" t="n">
        <x:v>819</x:v>
      </x:c>
      <x:c r="BB193" s="4" t="n">
        <x:v>52</x:v>
      </x:c>
      <x:c r="BC193" s="4" t="n">
        <x:v>3.4</x:v>
      </x:c>
      <x:c r="BD193" s="10" t="n">
        <x:v>672</x:v>
      </x:c>
      <x:c r="BE193" s="10" t="n">
        <x:v>589</x:v>
      </x:c>
      <x:c r="BF193" s="4" t="n">
        <x:v>53.3</x:v>
      </x:c>
      <x:c r="BG193" s="4" t="n">
        <x:v>4.3</x:v>
      </x:c>
      <x:c r="BH193" s="4" t="n">
        <x:v>6.9</x:v>
      </x:c>
      <x:c r="BI193" s="4" t="n">
        <x:v>92</x:v>
      </x:c>
      <x:c r="BJ193" s="4" t="n">
        <x:v>99</x:v>
      </x:c>
      <x:c r="BK193" s="4" t="n">
        <x:v>54.7</x:v>
      </x:c>
      <x:c r="BL193" s="4" t="n">
        <x:v>45.3</x:v>
      </x:c>
      <x:c r="BM193" s="4" t="n">
        <x:v>16.866666666666667</x:v>
      </x:c>
      <x:c r="BN193" s="4" t="n">
        <x:v>14.05</x:v>
      </x:c>
      <x:c r="BO193" s="10" t="n">
        <x:v>14</x:v>
      </x:c>
      <x:c r="BP193" s="10" t="n">
        <x:v>42</x:v>
      </x:c>
      <x:c r="BQ193" s="4" t="n">
        <x:v>-2.4</x:v>
      </x:c>
      <x:c r="BR193" s="10" t="n">
        <x:v>164</x:v>
      </x:c>
      <x:c r="BS193" s="4" t="n">
        <x:v>53</x:v>
      </x:c>
      <x:c r="BT193" s="10" t="n">
        <x:v>64</x:v>
      </x:c>
      <x:c r="BU193" s="4" t="str">
        <x:v>TOT</x:v>
      </x:c>
      <x:c r="BV193" s="10" t="n">
        <x:v>147</x:v>
      </x:c>
      <x:c r="BW193" s="10" t="n">
        <x:v>416</x:v>
      </x:c>
      <x:c r="BX193" s="10" t="n">
        <x:v>237</x:v>
      </x:c>
      <x:c r="BY193" s="4" t="str">
        <x:v>Jonathan Drouin</x:v>
      </x:c>
      <x:c r="BZ193" s="4" t="str">
        <x:v>Jonathan Drouin</x:v>
      </x:c>
      <x:c r="CA193" s="4" t="str">
        <x:v>Jonathan Drouin</x:v>
      </x:c>
      <x:c r="CB193" s="4" t="str">
        <x:v>drouijo01</x:v>
      </x:c>
    </x:row>
    <x:row r="194" ht="22" customHeight="1">
      <x:c r="A194" s="4" t="str">
        <x:v>Jonathan Huberdeau</x:v>
      </x:c>
      <x:c r="B194" s="4" t="str">
        <x:v>jonathanhuberdeau</x:v>
      </x:c>
      <x:c r="C194" s="10" t="n">
        <x:v>1</x:v>
      </x:c>
      <x:c r="D194" s="10" t="n">
        <x:v>1</x:v>
      </x:c>
      <x:c r="E194" s="10" t="n">
        <x:v>1</x:v>
      </x:c>
      <x:c r="F194" s="4" t="n">
        <x:f>IF(COUNT(N194,Q194,T194,W194,Z194,AC194,AF194,AI194)=8,N194*Guide!$E$5+Q194*Guide!$E$6+T194*Guide!$E$7+W194*Guide!$E$8+Z194*Guide!$E$9+AC194*Guide!$E$10+AF194*Guide!$E$11+AI194*Guide!$E$12,"")</x:f>
        <x:v>283.75</x:v>
      </x:c>
      <x:c r="G194" s="4" t="n">
        <x:f>IF(COUNT(O194,R194,U194,X194,AA194,AD194,AG194,AJ194)=8,O194*Guide!$E$5+R194*Guide!$E$6+U194*Guide!$E$7+X194*Guide!$E$8+AA194*Guide!$E$9+AD194*Guide!$E$10+AG194*Guide!$E$11+AJ194*Guide!$E$12,"")</x:f>
        <x:v>133.75</x:v>
      </x:c>
      <x:c r="H194" s="4" t="n">
        <x:f>IF(COUNT(G194,F194)=2,G194-F194,"")</x:f>
        <x:v>-150</x:v>
      </x:c>
      <x:c r="I194" s="4" t="n">
        <x:f>IF(AND(ISNUMBER(F194),K194&gt;0),F194/K194,"")</x:f>
        <x:v>3.546875</x:v>
      </x:c>
      <x:c r="J194" s="4" t="n">
        <x:f>IF(AND(ISNUMBER(G194),L194&gt;0),G194/L194,"")</x:f>
        <x:v>2.675</x:v>
      </x:c>
      <x:c r="K194" s="10" t="n">
        <x:v>80</x:v>
      </x:c>
      <x:c r="L194" s="10" t="n">
        <x:v>50</x:v>
      </x:c>
      <x:c r="M194" s="10" t="n">
        <x:f>IF(COUNT(L194,K194)=2,L194-K194,"")</x:f>
        <x:v>-30</x:v>
      </x:c>
      <x:c r="N194" s="10" t="n">
        <x:v>18</x:v>
      </x:c>
      <x:c r="O194" s="10" t="n">
        <x:v>10</x:v>
      </x:c>
      <x:c r="P194" s="10" t="n">
        <x:f>IF(COUNT(O194,N194)=2,O194-N194,"")</x:f>
        <x:v>-8</x:v>
      </x:c>
      <x:c r="Q194" s="10" t="n">
        <x:v>39</x:v>
      </x:c>
      <x:c r="R194" s="10" t="n">
        <x:v>15</x:v>
      </x:c>
      <x:c r="S194" s="10" t="n">
        <x:f>IF(COUNT(R194,Q194)=2,R194-Q194,"")</x:f>
        <x:v>-24</x:v>
      </x:c>
      <x:c r="T194" s="10" t="n">
        <x:v>-11</x:v>
      </x:c>
      <x:c r="U194" s="10" t="n">
        <x:v>-9</x:v>
      </x:c>
      <x:c r="V194" s="10" t="n">
        <x:f>IF(COUNT(U194,T194)=2,U194-T194,"")</x:f>
        <x:v>2</x:v>
      </x:c>
      <x:c r="W194" s="10" t="n">
        <x:v>18</x:v>
      </x:c>
      <x:c r="X194" s="10" t="n">
        <x:f>IF(COUNT(AV194,AW194)=2,AV194+AW194,"")</x:f>
        <x:v>7</x:v>
      </x:c>
      <x:c r="Y194" s="10" t="n">
        <x:f>IF(COUNT(X194,W194)=2,X194-W194,"")</x:f>
        <x:v>-11</x:v>
      </x:c>
      <x:c r="Z194" s="10" t="n">
        <x:v>1</x:v>
      </x:c>
      <x:c r="AA194" s="10" t="n">
        <x:f>IF(COUNT(AX194,AY194)=2,AX194+AY194,"")</x:f>
        <x:v>0</x:v>
      </x:c>
      <x:c r="AB194" s="10" t="n">
        <x:f>IF(COUNT(AA194,Z194)=2,AA194-Z194,"")</x:f>
        <x:v>-1</x:v>
      </x:c>
      <x:c r="AC194" s="10" t="n">
        <x:v>132</x:v>
      </x:c>
      <x:c r="AD194" s="10" t="n">
        <x:v>83</x:v>
      </x:c>
      <x:c r="AE194" s="10" t="n">
        <x:f>IF(COUNT(AD194,AC194)=2,AD194-AC194,"")</x:f>
        <x:v>-49</x:v>
      </x:c>
      <x:c r="AF194" s="10" t="n">
        <x:v>54</x:v>
      </x:c>
      <x:c r="AG194" s="10" t="n">
        <x:v>30</x:v>
      </x:c>
      <x:c r="AH194" s="10" t="n">
        <x:f>IF(COUNT(AG194,AF194)=2,AG194-AF194,"")</x:f>
        <x:v>-24</x:v>
      </x:c>
      <x:c r="AI194" s="10" t="n">
        <x:v>51</x:v>
      </x:c>
      <x:c r="AJ194" s="10" t="n">
        <x:v>30</x:v>
      </x:c>
      <x:c r="AK194" s="10" t="n">
        <x:f>IF(COUNT(AJ194,AI194)=2,AJ194-AI194,"")</x:f>
        <x:v>-21</x:v>
      </x:c>
      <x:c r="AL194" s="10" t="n">
        <x:v>32</x:v>
      </x:c>
      <x:c r="AM194" s="10" t="n">
        <x:v>32</x:v>
      </x:c>
      <x:c r="AN194" s="4" t="str">
        <x:v>C,LW</x:v>
      </x:c>
      <x:c r="AO194" s="4" t="str">
        <x:v>LW</x:v>
      </x:c>
      <x:c r="AP194" s="4" t="str">
        <x:v>CGY</x:v>
      </x:c>
      <x:c r="AQ194" s="4" t="str">
        <x:v>CGY</x:v>
      </x:c>
      <x:c r="AR194" s="4" t="n">
        <x:v>18.55</x:v>
      </x:c>
      <x:c r="AS194" s="4" t="n">
        <x:v>18.133333333333333</x:v>
      </x:c>
      <x:c r="AT194" s="4" t="n">
        <x:v>2.68</x:v>
      </x:c>
      <x:c r="AU194" s="4" t="n">
        <x:v>12</x:v>
      </x:c>
      <x:c r="AV194" s="10" t="n">
        <x:v>3</x:v>
      </x:c>
      <x:c r="AW194" s="10" t="n">
        <x:v>4</x:v>
      </x:c>
      <x:c r="AX194" s="10" t="n">
        <x:v>0</x:v>
      </x:c>
      <x:c r="AY194" s="10" t="n">
        <x:v>0</x:v>
      </x:c>
      <x:c r="AZ194" s="10" t="n">
        <x:v>746</x:v>
      </x:c>
      <x:c r="BA194" s="10" t="n">
        <x:v>666</x:v>
      </x:c>
      <x:c r="BB194" s="4" t="n">
        <x:v>52.8</x:v>
      </x:c>
      <x:c r="BC194" s="4" t="n">
        <x:v>2.9</x:v>
      </x:c>
      <x:c r="BD194" s="10" t="n">
        <x:v>516</x:v>
      </x:c>
      <x:c r="BE194" s="10" t="n">
        <x:v>496</x:v>
      </x:c>
      <x:c r="BF194" s="4" t="n">
        <x:v>51</x:v>
      </x:c>
      <x:c r="BG194" s="4" t="n">
        <x:v>1.2</x:v>
      </x:c>
      <x:c r="BH194" s="4" t="n">
        <x:v>7.7</x:v>
      </x:c>
      <x:c r="BI194" s="4" t="n">
        <x:v>88.9</x:v>
      </x:c>
      <x:c r="BJ194" s="4" t="n">
        <x:v>96.6</x:v>
      </x:c>
      <x:c r="BK194" s="4" t="n">
        <x:v>67.1</x:v>
      </x:c>
      <x:c r="BL194" s="4" t="n">
        <x:v>32.9</x:v>
      </x:c>
      <x:c r="BM194" s="4" t="n">
        <x:v>18.133333333333333</x:v>
      </x:c>
      <x:c r="BN194" s="4" t="n">
        <x:v>14.216666666666667</x:v>
      </x:c>
      <x:c r="BO194" s="10" t="n">
        <x:v>9</x:v>
      </x:c>
      <x:c r="BP194" s="10" t="n">
        <x:v>58</x:v>
      </x:c>
      <x:c r="BQ194" s="4" t="n">
        <x:v>1.3</x:v>
      </x:c>
      <x:c r="BR194" s="10" t="n">
        <x:v>163</x:v>
      </x:c>
      <x:c r="BS194" s="4" t="n">
        <x:v>50.9</x:v>
      </x:c>
      <x:c r="BT194" s="10" t="n">
        <x:v>50</x:v>
      </x:c>
      <x:c r="BU194" s="4" t="str">
        <x:v>CGY</x:v>
      </x:c>
      <x:c r="BV194" s="10" t="n">
        <x:v>105</x:v>
      </x:c>
      <x:c r="BW194" s="10" t="n">
        <x:v>395</x:v>
      </x:c>
      <x:c r="BX194" s="10" t="n">
        <x:v>432</x:v>
      </x:c>
      <x:c r="BY194" s="4" t="str">
        <x:v>Jonathan Huberdeau</x:v>
      </x:c>
      <x:c r="BZ194" s="4" t="str">
        <x:v>Jonathan Huberdeau</x:v>
      </x:c>
      <x:c r="CA194" s="4" t="str">
        <x:v>Jonathan Huberdeau</x:v>
      </x:c>
      <x:c r="CB194" s="4" t="str">
        <x:v>huberjo01</x:v>
      </x:c>
    </x:row>
    <x:row r="195" ht="22" customHeight="1">
      <x:c r="A195" s="4" t="str">
        <x:v>Jonathan Marchessault</x:v>
      </x:c>
      <x:c r="B195" s="4" t="str">
        <x:v>jonathanmarchessault</x:v>
      </x:c>
      <x:c r="C195" s="10" t="n">
        <x:v>1</x:v>
      </x:c>
      <x:c r="D195" s="10" t="n">
        <x:v>1</x:v>
      </x:c>
      <x:c r="E195" s="10" t="n">
        <x:v>1</x:v>
      </x:c>
      <x:c r="F195" s="4" t="n">
        <x:f>IF(COUNT(N195,Q195,T195,W195,Z195,AC195,AF195,AI195)=8,N195*Guide!$E$5+Q195*Guide!$E$6+T195*Guide!$E$7+W195*Guide!$E$8+Z195*Guide!$E$9+AC195*Guide!$E$10+AF195*Guide!$E$11+AI195*Guide!$E$12,"")</x:f>
        <x:v>310.25</x:v>
      </x:c>
      <x:c r="G195" s="4" t="n">
        <x:f>IF(COUNT(O195,R195,U195,X195,AA195,AD195,AG195,AJ195)=8,O195*Guide!$E$5+R195*Guide!$E$6+U195*Guide!$E$7+X195*Guide!$E$8+AA195*Guide!$E$9+AD195*Guide!$E$10+AG195*Guide!$E$11+AJ195*Guide!$E$12,"")</x:f>
        <x:v>153.5</x:v>
      </x:c>
      <x:c r="H195" s="4" t="n">
        <x:f>IF(COUNT(G195,F195)=2,G195-F195,"")</x:f>
        <x:v>-156.75</x:v>
      </x:c>
      <x:c r="I195" s="4" t="n">
        <x:f>IF(AND(ISNUMBER(F195),K195&gt;0),F195/K195,"")</x:f>
        <x:v>3.9775641025641026</x:v>
      </x:c>
      <x:c r="J195" s="4" t="n">
        <x:f>IF(AND(ISNUMBER(G195),L195&gt;0),G195/L195,"")</x:f>
        <x:v>2.475806451612903</x:v>
      </x:c>
      <x:c r="K195" s="10" t="n">
        <x:v>78</x:v>
      </x:c>
      <x:c r="L195" s="10" t="n">
        <x:v>62</x:v>
      </x:c>
      <x:c r="M195" s="10" t="n">
        <x:f>IF(COUNT(L195,K195)=2,L195-K195,"")</x:f>
        <x:v>-16</x:v>
      </x:c>
      <x:c r="N195" s="10" t="n">
        <x:v>28</x:v>
      </x:c>
      <x:c r="O195" s="10" t="n">
        <x:v>12</x:v>
      </x:c>
      <x:c r="P195" s="10" t="n">
        <x:f>IF(COUNT(O195,N195)=2,O195-N195,"")</x:f>
        <x:v>-16</x:v>
      </x:c>
      <x:c r="Q195" s="10" t="n">
        <x:v>33</x:v>
      </x:c>
      <x:c r="R195" s="10" t="n">
        <x:v>19</x:v>
      </x:c>
      <x:c r="S195" s="10" t="n">
        <x:f>IF(COUNT(R195,Q195)=2,R195-Q195,"")</x:f>
        <x:v>-14</x:v>
      </x:c>
      <x:c r="T195" s="10" t="n">
        <x:v>-8</x:v>
      </x:c>
      <x:c r="U195" s="10" t="n">
        <x:v>-18</x:v>
      </x:c>
      <x:c r="V195" s="10" t="n">
        <x:f>IF(COUNT(U195,T195)=2,U195-T195,"")</x:f>
        <x:v>-10</x:v>
      </x:c>
      <x:c r="W195" s="10" t="n">
        <x:v>20</x:v>
      </x:c>
      <x:c r="X195" s="10" t="n">
        <x:f>IF(COUNT(AV195,AW195)=2,AV195+AW195,"")</x:f>
        <x:v>8</x:v>
      </x:c>
      <x:c r="Y195" s="10" t="n">
        <x:f>IF(COUNT(X195,W195)=2,X195-W195,"")</x:f>
        <x:v>-12</x:v>
      </x:c>
      <x:c r="Z195" s="10" t="n">
        <x:v>0</x:v>
      </x:c>
      <x:c r="AA195" s="10" t="n">
        <x:f>IF(COUNT(AX195,AY195)=2,AX195+AY195,"")</x:f>
        <x:v>0</x:v>
      </x:c>
      <x:c r="AB195" s="10" t="n">
        <x:f>IF(COUNT(AA195,Z195)=2,AA195-Z195,"")</x:f>
        <x:v>0</x:v>
      </x:c>
      <x:c r="AC195" s="10" t="n">
        <x:v>198</x:v>
      </x:c>
      <x:c r="AD195" s="10" t="n">
        <x:v>132</x:v>
      </x:c>
      <x:c r="AE195" s="10" t="n">
        <x:f>IF(COUNT(AD195,AC195)=2,AD195-AC195,"")</x:f>
        <x:v>-66</x:v>
      </x:c>
      <x:c r="AF195" s="10" t="n">
        <x:v>79</x:v>
      </x:c>
      <x:c r="AG195" s="10" t="n">
        <x:v>75</x:v>
      </x:c>
      <x:c r="AH195" s="10" t="n">
        <x:f>IF(COUNT(AG195,AF195)=2,AG195-AF195,"")</x:f>
        <x:v>-4</x:v>
      </x:c>
      <x:c r="AI195" s="10" t="n">
        <x:v>24</x:v>
      </x:c>
      <x:c r="AJ195" s="10" t="n">
        <x:v>9</x:v>
      </x:c>
      <x:c r="AK195" s="10" t="n">
        <x:f>IF(COUNT(AJ195,AI195)=2,AJ195-AI195,"")</x:f>
        <x:v>-15</x:v>
      </x:c>
      <x:c r="AL195" s="10" t="n">
        <x:v>35</x:v>
      </x:c>
      <x:c r="AM195" s="10" t="n">
        <x:v>35</x:v>
      </x:c>
      <x:c r="AN195" s="4" t="str">
        <x:v>RW</x:v>
      </x:c>
      <x:c r="AO195" s="4" t="str">
        <x:v>C</x:v>
      </x:c>
      <x:c r="AP195" s="4" t="str">
        <x:v>NSH</x:v>
      </x:c>
      <x:c r="AQ195" s="4" t="str">
        <x:v>NSH</x:v>
      </x:c>
      <x:c r="AR195" s="4" t="n">
        <x:v>17.52</x:v>
      </x:c>
      <x:c r="AS195" s="4" t="n">
        <x:v>16.7</x:v>
      </x:c>
      <x:c r="AT195" s="4" t="n">
        <x:v>2.98</x:v>
      </x:c>
      <x:c r="AU195" s="4" t="n">
        <x:v>9.1</x:v>
      </x:c>
      <x:c r="AV195" s="10" t="n">
        <x:v>4</x:v>
      </x:c>
      <x:c r="AW195" s="10" t="n">
        <x:v>4</x:v>
      </x:c>
      <x:c r="AX195" s="10" t="n">
        <x:v>0</x:v>
      </x:c>
      <x:c r="AY195" s="10" t="n">
        <x:v>0</x:v>
      </x:c>
      <x:c r="AZ195" s="10" t="n">
        <x:v>814</x:v>
      </x:c>
      <x:c r="BA195" s="10" t="n">
        <x:v>897</x:v>
      </x:c>
      <x:c r="BB195" s="4" t="n">
        <x:v>47.6</x:v>
      </x:c>
      <x:c r="BC195" s="4" t="n">
        <x:v>-2.7</x:v>
      </x:c>
      <x:c r="BD195" s="10" t="n">
        <x:v>588</x:v>
      </x:c>
      <x:c r="BE195" s="10" t="n">
        <x:v>693</x:v>
      </x:c>
      <x:c r="BF195" s="4" t="n">
        <x:v>45.9</x:v>
      </x:c>
      <x:c r="BG195" s="4" t="n">
        <x:v>-2.8</x:v>
      </x:c>
      <x:c r="BH195" s="4" t="n">
        <x:v>10.4</x:v>
      </x:c>
      <x:c r="BI195" s="4" t="n">
        <x:v>87.9</x:v>
      </x:c>
      <x:c r="BJ195" s="4" t="n">
        <x:v>98.3</x:v>
      </x:c>
      <x:c r="BK195" s="4" t="n">
        <x:v>53.5</x:v>
      </x:c>
      <x:c r="BL195" s="4" t="n">
        <x:v>46.5</x:v>
      </x:c>
      <x:c r="BM195" s="4" t="n">
        <x:v>16.7</x:v>
      </x:c>
      <x:c r="BN195" s="4" t="n">
        <x:v>13.9</x:v>
      </x:c>
      <x:c r="BO195" s="10" t="n">
        <x:v>15</x:v>
      </x:c>
      <x:c r="BP195" s="10" t="n">
        <x:v>64</x:v>
      </x:c>
      <x:c r="BQ195" s="4" t="n">
        <x:v>-7</x:v>
      </x:c>
      <x:c r="BR195" s="10" t="n">
        <x:v>265</x:v>
      </x:c>
      <x:c r="BS195" s="4" t="n">
        <x:v>49.8</x:v>
      </x:c>
      <x:c r="BT195" s="10" t="n">
        <x:v>62</x:v>
      </x:c>
      <x:c r="BU195" s="4" t="str">
        <x:v>NSH</x:v>
      </x:c>
      <x:c r="BV195" s="10" t="n">
        <x:v>87</x:v>
      </x:c>
      <x:c r="BW195" s="10" t="n">
        <x:v>316</x:v>
      </x:c>
      <x:c r="BX195" s="10" t="n">
        <x:v>645</x:v>
      </x:c>
      <x:c r="BY195" s="4" t="str">
        <x:v>Jonathan Marchessault</x:v>
      </x:c>
      <x:c r="BZ195" s="4" t="str">
        <x:v>Jonathan Marchessault</x:v>
      </x:c>
      <x:c r="CA195" s="4" t="str">
        <x:v>Jonathan Marchessault</x:v>
      </x:c>
      <x:c r="CB195" s="4" t="str">
        <x:v>audymjo01</x:v>
      </x:c>
    </x:row>
    <x:row r="196" ht="22" customHeight="1">
      <x:c r="A196" s="4" t="str">
        <x:v>Jonathan Toews</x:v>
      </x:c>
      <x:c r="B196" s="4" t="str">
        <x:v>jonathantoews</x:v>
      </x:c>
      <x:c r="C196" s="10" t="n">
        <x:v>1</x:v>
      </x:c>
      <x:c r="D196" s="10" t="n">
        <x:v>1</x:v>
      </x:c>
      <x:c r="E196" s="10" t="n">
        <x:v>1</x:v>
      </x:c>
      <x:c r="F196" s="4" t="n">
        <x:f>IF(COUNT(N196,Q196,T196,W196,Z196,AC196,AF196,AI196)=8,N196*Guide!$E$5+Q196*Guide!$E$6+T196*Guide!$E$7+W196*Guide!$E$8+Z196*Guide!$E$9+AC196*Guide!$E$10+AF196*Guide!$E$11+AI196*Guide!$E$12,"")</x:f>
        <x:v>167.75</x:v>
      </x:c>
      <x:c r="G196" s="4" t="n">
        <x:f>IF(COUNT(O196,R196,U196,X196,AA196,AD196,AG196,AJ196)=8,O196*Guide!$E$5+R196*Guide!$E$6+U196*Guide!$E$7+X196*Guide!$E$8+AA196*Guide!$E$9+AD196*Guide!$E$10+AG196*Guide!$E$11+AJ196*Guide!$E$12,"")</x:f>
        <x:v>142</x:v>
      </x:c>
      <x:c r="H196" s="4" t="n">
        <x:f>IF(COUNT(G196,F196)=2,G196-F196,"")</x:f>
        <x:v>-25.75</x:v>
      </x:c>
      <x:c r="I196" s="4" t="n">
        <x:f>IF(AND(ISNUMBER(F196),K196&gt;0),F196/K196,"")</x:f>
        <x:v>2.329861111111111</x:v>
      </x:c>
      <x:c r="J196" s="4" t="n">
        <x:f>IF(AND(ISNUMBER(G196),L196&gt;0),G196/L196,"")</x:f>
        <x:v>1.7317073170731707</x:v>
      </x:c>
      <x:c r="K196" s="10" t="n">
        <x:v>72</x:v>
      </x:c>
      <x:c r="L196" s="10" t="n">
        <x:v>82</x:v>
      </x:c>
      <x:c r="M196" s="10" t="n">
        <x:f>IF(COUNT(L196,K196)=2,L196-K196,"")</x:f>
        <x:v>10</x:v>
      </x:c>
      <x:c r="N196" s="10" t="n">
        <x:v>15</x:v>
      </x:c>
      <x:c r="O196" s="10" t="n">
        <x:v>11</x:v>
      </x:c>
      <x:c r="P196" s="10" t="n">
        <x:f>IF(COUNT(O196,N196)=2,O196-N196,"")</x:f>
        <x:v>-4</x:v>
      </x:c>
      <x:c r="Q196" s="10" t="n">
        <x:v>20</x:v>
      </x:c>
      <x:c r="R196" s="10" t="n">
        <x:v>18</x:v>
      </x:c>
      <x:c r="S196" s="10" t="n">
        <x:f>IF(COUNT(R196,Q196)=2,R196-Q196,"")</x:f>
        <x:v>-2</x:v>
      </x:c>
      <x:c r="T196" s="10" t="n">
        <x:v>-13</x:v>
      </x:c>
      <x:c r="U196" s="10" t="n">
        <x:v>-20</x:v>
      </x:c>
      <x:c r="V196" s="10" t="n">
        <x:f>IF(COUNT(U196,T196)=2,U196-T196,"")</x:f>
        <x:v>-7</x:v>
      </x:c>
      <x:c r="W196" s="10" t="n">
        <x:v>9</x:v>
      </x:c>
      <x:c r="X196" s="10" t="n">
        <x:f>IF(COUNT(AV196,AW196)=2,AV196+AW196,"")</x:f>
        <x:v>8</x:v>
      </x:c>
      <x:c r="Y196" s="10" t="n">
        <x:f>IF(COUNT(X196,W196)=2,X196-W196,"")</x:f>
        <x:v>-1</x:v>
      </x:c>
      <x:c r="Z196" s="10" t="n">
        <x:v>0</x:v>
      </x:c>
      <x:c r="AA196" s="10" t="n">
        <x:f>IF(COUNT(AX196,AY196)=2,AX196+AY196,"")</x:f>
        <x:v>0</x:v>
      </x:c>
      <x:c r="AB196" s="10" t="n">
        <x:f>IF(COUNT(AA196,Z196)=2,AA196-Z196,"")</x:f>
        <x:v>0</x:v>
      </x:c>
      <x:c r="AC196" s="10" t="n">
        <x:v>92</x:v>
      </x:c>
      <x:c r="AD196" s="10" t="n">
        <x:v>105</x:v>
      </x:c>
      <x:c r="AE196" s="10" t="n">
        <x:f>IF(COUNT(AD196,AC196)=2,AD196-AC196,"")</x:f>
        <x:v>13</x:v>
      </x:c>
      <x:c r="AF196" s="10" t="n">
        <x:v>13</x:v>
      </x:c>
      <x:c r="AG196" s="10" t="n">
        <x:v>17</x:v>
      </x:c>
      <x:c r="AH196" s="10" t="n">
        <x:f>IF(COUNT(AG196,AF196)=2,AG196-AF196,"")</x:f>
        <x:v>4</x:v>
      </x:c>
      <x:c r="AI196" s="10" t="n">
        <x:v>34</x:v>
      </x:c>
      <x:c r="AJ196" s="10" t="n">
        <x:v>34</x:v>
      </x:c>
      <x:c r="AK196" s="10" t="n">
        <x:f>IF(COUNT(AJ196,AI196)=2,AJ196-AI196,"")</x:f>
        <x:v>0</x:v>
      </x:c>
      <x:c r="AL196" s="10" t="n">
        <x:v>37</x:v>
      </x:c>
      <x:c r="AM196" s="10" t="n">
        <x:v>37</x:v>
      </x:c>
      <x:c r="AN196" s="4" t="str">
        <x:v>C</x:v>
      </x:c>
      <x:c r="AO196" s="4" t="str">
        <x:v>C</x:v>
      </x:c>
      <x:c r="AP196" s="4" t="str">
        <x:v>WPG</x:v>
      </x:c>
      <x:c r="AQ196" s="4" t="str">
        <x:v>WPG</x:v>
      </x:c>
      <x:c r="AR196" s="4" t="n">
        <x:v>16.43</x:v>
      </x:c>
      <x:c r="AS196" s="4" t="n">
        <x:v>14.483333333333333</x:v>
      </x:c>
      <x:c r="AT196" s="4" t="n">
        <x:v>1.7</x:v>
      </x:c>
      <x:c r="AU196" s="4" t="n">
        <x:v>10.5</x:v>
      </x:c>
      <x:c r="AV196" s="10" t="n">
        <x:v>5</x:v>
      </x:c>
      <x:c r="AW196" s="10" t="n">
        <x:v>3</x:v>
      </x:c>
      <x:c r="AX196" s="10" t="n">
        <x:v>0</x:v>
      </x:c>
      <x:c r="AY196" s="10" t="n">
        <x:v>0</x:v>
      </x:c>
      <x:c r="AZ196" s="10" t="n">
        <x:v>922</x:v>
      </x:c>
      <x:c r="BA196" s="10" t="n">
        <x:v>986</x:v>
      </x:c>
      <x:c r="BB196" s="4" t="n">
        <x:v>48.3</x:v>
      </x:c>
      <x:c r="BC196" s="4" t="n">
        <x:v>-0.7</x:v>
      </x:c>
      <x:c r="BD196" s="10" t="n">
        <x:v>656</x:v>
      </x:c>
      <x:c r="BE196" s="10" t="n">
        <x:v>722</x:v>
      </x:c>
      <x:c r="BF196" s="4" t="n">
        <x:v>47.6</x:v>
      </x:c>
      <x:c r="BG196" s="4" t="n">
        <x:v>-1.5</x:v>
      </x:c>
      <x:c r="BH196" s="4" t="n">
        <x:v>7</x:v>
      </x:c>
      <x:c r="BI196" s="4" t="n">
        <x:v>89.8</x:v>
      </x:c>
      <x:c r="BJ196" s="4" t="n">
        <x:v>96.8</x:v>
      </x:c>
      <x:c r="BK196" s="4" t="n">
        <x:v>58.6</x:v>
      </x:c>
      <x:c r="BL196" s="4" t="n">
        <x:v>41.4</x:v>
      </x:c>
      <x:c r="BM196" s="4" t="n">
        <x:v>14.483333333333333</x:v>
      </x:c>
      <x:c r="BN196" s="4" t="n">
        <x:v>12.383333333333333</x:v>
      </x:c>
      <x:c r="BO196" s="10" t="n">
        <x:v>19</x:v>
      </x:c>
      <x:c r="BP196" s="10" t="n">
        <x:v>66</x:v>
      </x:c>
      <x:c r="BQ196" s="4" t="n">
        <x:v>-5.5</x:v>
      </x:c>
      <x:c r="BR196" s="10" t="n">
        <x:v>177</x:v>
      </x:c>
      <x:c r="BS196" s="4" t="n">
        <x:v>59.3</x:v>
      </x:c>
      <x:c r="BT196" s="10" t="n">
        <x:v>82</x:v>
      </x:c>
      <x:c r="BU196" s="4" t="str">
        <x:v>WPG</x:v>
      </x:c>
      <x:c r="BV196" s="10" t="n">
        <x:v>308</x:v>
      </x:c>
      <x:c r="BW196" s="10" t="n">
        <x:v>350</x:v>
      </x:c>
      <x:c r="BX196" s="10" t="n">
        <x:v>1021</x:v>
      </x:c>
      <x:c r="BY196" s="4" t="str">
        <x:v>Jonathan Toews</x:v>
      </x:c>
      <x:c r="BZ196" s="4" t="str">
        <x:v>Jonathan Toews</x:v>
      </x:c>
      <x:c r="CA196" s="4" t="str">
        <x:v>Jonathan Toews</x:v>
      </x:c>
      <x:c r="CB196" s="4" t="str">
        <x:v>toewsjo01</x:v>
      </x:c>
    </x:row>
    <x:row r="197" ht="22" customHeight="1">
      <x:c r="A197" s="4" t="str">
        <x:v>Jordan Eberle</x:v>
      </x:c>
      <x:c r="B197" s="4" t="str">
        <x:v>jordaneberle</x:v>
      </x:c>
      <x:c r="C197" s="10" t="n">
        <x:v>1</x:v>
      </x:c>
      <x:c r="D197" s="10" t="n">
        <x:v>1</x:v>
      </x:c>
      <x:c r="E197" s="10" t="n">
        <x:v>1</x:v>
      </x:c>
      <x:c r="F197" s="4" t="n">
        <x:f>IF(COUNT(N197,Q197,T197,W197,Z197,AC197,AF197,AI197)=8,N197*Guide!$E$5+Q197*Guide!$E$6+T197*Guide!$E$7+W197*Guide!$E$8+Z197*Guide!$E$9+AC197*Guide!$E$10+AF197*Guide!$E$11+AI197*Guide!$E$12,"")</x:f>
        <x:v>239.75</x:v>
      </x:c>
      <x:c r="G197" s="4" t="n">
        <x:f>IF(COUNT(O197,R197,U197,X197,AA197,AD197,AG197,AJ197)=8,O197*Guide!$E$5+R197*Guide!$E$6+U197*Guide!$E$7+X197*Guide!$E$8+AA197*Guide!$E$9+AD197*Guide!$E$10+AG197*Guide!$E$11+AJ197*Guide!$E$12,"")</x:f>
        <x:v>297</x:v>
      </x:c>
      <x:c r="H197" s="4" t="n">
        <x:f>IF(COUNT(G197,F197)=2,G197-F197,"")</x:f>
        <x:v>57.25</x:v>
      </x:c>
      <x:c r="I197" s="4" t="n">
        <x:f>IF(AND(ISNUMBER(F197),K197&gt;0),F197/K197,"")</x:f>
        <x:v>2.9598765432098766</x:v>
      </x:c>
      <x:c r="J197" s="4" t="n">
        <x:f>IF(AND(ISNUMBER(G197),L197&gt;0),G197/L197,"")</x:f>
        <x:v>3.7125</x:v>
      </x:c>
      <x:c r="K197" s="10" t="n">
        <x:v>81</x:v>
      </x:c>
      <x:c r="L197" s="10" t="n">
        <x:v>80</x:v>
      </x:c>
      <x:c r="M197" s="10" t="n">
        <x:f>IF(COUNT(L197,K197)=2,L197-K197,"")</x:f>
        <x:v>-1</x:v>
      </x:c>
      <x:c r="N197" s="10" t="n">
        <x:v>17</x:v>
      </x:c>
      <x:c r="O197" s="10" t="n">
        <x:v>26</x:v>
      </x:c>
      <x:c r="P197" s="10" t="n">
        <x:f>IF(COUNT(O197,N197)=2,O197-N197,"")</x:f>
        <x:v>9</x:v>
      </x:c>
      <x:c r="Q197" s="10" t="n">
        <x:v>30</x:v>
      </x:c>
      <x:c r="R197" s="10" t="n">
        <x:v>29</x:v>
      </x:c>
      <x:c r="S197" s="10" t="n">
        <x:f>IF(COUNT(R197,Q197)=2,R197-Q197,"")</x:f>
        <x:v>-1</x:v>
      </x:c>
      <x:c r="T197" s="10" t="n">
        <x:v>2</x:v>
      </x:c>
      <x:c r="U197" s="10" t="n">
        <x:v>2</x:v>
      </x:c>
      <x:c r="V197" s="10" t="n">
        <x:f>IF(COUNT(U197,T197)=2,U197-T197,"")</x:f>
        <x:v>0</x:v>
      </x:c>
      <x:c r="W197" s="10" t="n">
        <x:v>11</x:v>
      </x:c>
      <x:c r="X197" s="10" t="n">
        <x:f>IF(COUNT(AV197,AW197)=2,AV197+AW197,"")</x:f>
        <x:v>16</x:v>
      </x:c>
      <x:c r="Y197" s="10" t="n">
        <x:f>IF(COUNT(X197,W197)=2,X197-W197,"")</x:f>
        <x:v>5</x:v>
      </x:c>
      <x:c r="Z197" s="10" t="n">
        <x:v>0</x:v>
      </x:c>
      <x:c r="AA197" s="10" t="n">
        <x:f>IF(COUNT(AX197,AY197)=2,AX197+AY197,"")</x:f>
        <x:v>0</x:v>
      </x:c>
      <x:c r="AB197" s="10" t="n">
        <x:f>IF(COUNT(AA197,Z197)=2,AA197-Z197,"")</x:f>
        <x:v>0</x:v>
      </x:c>
      <x:c r="AC197" s="10" t="n">
        <x:v>134</x:v>
      </x:c>
      <x:c r="AD197" s="10" t="n">
        <x:v>168</x:v>
      </x:c>
      <x:c r="AE197" s="10" t="n">
        <x:f>IF(COUNT(AD197,AC197)=2,AD197-AC197,"")</x:f>
        <x:v>34</x:v>
      </x:c>
      <x:c r="AF197" s="10" t="n">
        <x:v>30</x:v>
      </x:c>
      <x:c r="AG197" s="10" t="n">
        <x:v>55</x:v>
      </x:c>
      <x:c r="AH197" s="10" t="n">
        <x:f>IF(COUNT(AG197,AF197)=2,AG197-AF197,"")</x:f>
        <x:v>25</x:v>
      </x:c>
      <x:c r="AI197" s="10" t="n">
        <x:v>37</x:v>
      </x:c>
      <x:c r="AJ197" s="10" t="n">
        <x:v>43</x:v>
      </x:c>
      <x:c r="AK197" s="10" t="n">
        <x:f>IF(COUNT(AJ197,AI197)=2,AJ197-AI197,"")</x:f>
        <x:v>6</x:v>
      </x:c>
      <x:c r="AL197" s="10" t="n">
        <x:v>35</x:v>
      </x:c>
      <x:c r="AM197" s="10" t="n">
        <x:v>35</x:v>
      </x:c>
      <x:c r="AN197" s="4" t="str">
        <x:v>RW</x:v>
      </x:c>
      <x:c r="AO197" s="4" t="str">
        <x:v>RW</x:v>
      </x:c>
      <x:c r="AP197" s="4" t="str">
        <x:v>SEA</x:v>
      </x:c>
      <x:c r="AQ197" s="4" t="str">
        <x:v>SEA</x:v>
      </x:c>
      <x:c r="AR197" s="4" t="n">
        <x:v>16.01</x:v>
      </x:c>
      <x:c r="AS197" s="4" t="n">
        <x:v>18.483333333333334</x:v>
      </x:c>
      <x:c r="AT197" s="4" t="n">
        <x:v>2.25</x:v>
      </x:c>
      <x:c r="AU197" s="4" t="n">
        <x:v>15.5</x:v>
      </x:c>
      <x:c r="AV197" s="10" t="n">
        <x:v>4</x:v>
      </x:c>
      <x:c r="AW197" s="10" t="n">
        <x:v>12</x:v>
      </x:c>
      <x:c r="AX197" s="10" t="n">
        <x:v>0</x:v>
      </x:c>
      <x:c r="AY197" s="10" t="n">
        <x:v>0</x:v>
      </x:c>
      <x:c r="AZ197" s="10" t="n">
        <x:v>1161</x:v>
      </x:c>
      <x:c r="BA197" s="10" t="n">
        <x:v>1237</x:v>
      </x:c>
      <x:c r="BB197" s="4" t="n">
        <x:v>48.4</x:v>
      </x:c>
      <x:c r="BC197" s="4" t="n">
        <x:v>4.1</x:v>
      </x:c>
      <x:c r="BD197" s="10" t="n">
        <x:v>859</x:v>
      </x:c>
      <x:c r="BE197" s="10" t="n">
        <x:v>905</x:v>
      </x:c>
      <x:c r="BF197" s="4" t="n">
        <x:v>48.7</x:v>
      </x:c>
      <x:c r="BG197" s="4" t="n">
        <x:v>4.1</x:v>
      </x:c>
      <x:c r="BH197" s="4" t="n">
        <x:v>11.6</x:v>
      </x:c>
      <x:c r="BI197" s="4" t="n">
        <x:v>89.7</x:v>
      </x:c>
      <x:c r="BJ197" s="4" t="n">
        <x:v>101.3</x:v>
      </x:c>
      <x:c r="BK197" s="4" t="n">
        <x:v>55.8</x:v>
      </x:c>
      <x:c r="BL197" s="4" t="n">
        <x:v>44.2</x:v>
      </x:c>
      <x:c r="BM197" s="4" t="n">
        <x:v>18.483333333333334</x:v>
      </x:c>
      <x:c r="BN197" s="4" t="n">
        <x:v>15.716666666666667</x:v>
      </x:c>
      <x:c r="BO197" s="10" t="n">
        <x:v>24</x:v>
      </x:c>
      <x:c r="BP197" s="10" t="n">
        <x:v>56</x:v>
      </x:c>
      <x:c r="BQ197" s="4" t="n">
        <x:v>-1.9</x:v>
      </x:c>
      <x:c r="BR197" s="10" t="n">
        <x:v>311</x:v>
      </x:c>
      <x:c r="BS197" s="4" t="n">
        <x:v>54</x:v>
      </x:c>
      <x:c r="BT197" s="10" t="n">
        <x:v>80</x:v>
      </x:c>
      <x:c r="BU197" s="4" t="str">
        <x:v>SEA</x:v>
      </x:c>
      <x:c r="BV197" s="10" t="n">
        <x:v>181</x:v>
      </x:c>
      <x:c r="BW197" s="10" t="n">
        <x:v>111</x:v>
      </x:c>
      <x:c r="BX197" s="10" t="n">
        <x:v>255</x:v>
      </x:c>
      <x:c r="BY197" s="4" t="str">
        <x:v>Jordan Eberle</x:v>
      </x:c>
      <x:c r="BZ197" s="4" t="str">
        <x:v>Jordan Eberle</x:v>
      </x:c>
      <x:c r="CA197" s="4" t="str">
        <x:v>Jordan Eberle</x:v>
      </x:c>
      <x:c r="CB197" s="4" t="str">
        <x:v>eberljo01</x:v>
      </x:c>
    </x:row>
    <x:row r="198" ht="22" customHeight="1">
      <x:c r="A198" s="4" t="str">
        <x:v>Jordan Kyrou</x:v>
      </x:c>
      <x:c r="B198" s="4" t="str">
        <x:v>jordankyrou</x:v>
      </x:c>
      <x:c r="C198" s="10" t="n">
        <x:v>1</x:v>
      </x:c>
      <x:c r="D198" s="10" t="n">
        <x:v>1</x:v>
      </x:c>
      <x:c r="E198" s="10" t="n">
        <x:v>1</x:v>
      </x:c>
      <x:c r="F198" s="4" t="n">
        <x:f>IF(COUNT(N198,Q198,T198,W198,Z198,AC198,AF198,AI198)=8,N198*Guide!$E$5+Q198*Guide!$E$6+T198*Guide!$E$7+W198*Guide!$E$8+Z198*Guide!$E$9+AC198*Guide!$E$10+AF198*Guide!$E$11+AI198*Guide!$E$12,"")</x:f>
        <x:v>358.25</x:v>
      </x:c>
      <x:c r="G198" s="4" t="n">
        <x:f>IF(COUNT(O198,R198,U198,X198,AA198,AD198,AG198,AJ198)=8,O198*Guide!$E$5+R198*Guide!$E$6+U198*Guide!$E$7+X198*Guide!$E$8+AA198*Guide!$E$9+AD198*Guide!$E$10+AG198*Guide!$E$11+AJ198*Guide!$E$12,"")</x:f>
        <x:v>232.75</x:v>
      </x:c>
      <x:c r="H198" s="4" t="n">
        <x:f>IF(COUNT(G198,F198)=2,G198-F198,"")</x:f>
        <x:v>-125.5</x:v>
      </x:c>
      <x:c r="I198" s="4" t="n">
        <x:f>IF(AND(ISNUMBER(F198),K198&gt;0),F198/K198,"")</x:f>
        <x:v>4.3689024390243905</x:v>
      </x:c>
      <x:c r="J198" s="4" t="n">
        <x:f>IF(AND(ISNUMBER(G198),L198&gt;0),G198/L198,"")</x:f>
        <x:v>3.232638888888889</x:v>
      </x:c>
      <x:c r="K198" s="10" t="n">
        <x:v>82</x:v>
      </x:c>
      <x:c r="L198" s="10" t="n">
        <x:v>72</x:v>
      </x:c>
      <x:c r="M198" s="10" t="n">
        <x:f>IF(COUNT(L198,K198)=2,L198-K198,"")</x:f>
        <x:v>-10</x:v>
      </x:c>
      <x:c r="N198" s="10" t="n">
        <x:v>33</x:v>
      </x:c>
      <x:c r="O198" s="10" t="n">
        <x:v>18</x:v>
      </x:c>
      <x:c r="P198" s="10" t="n">
        <x:f>IF(COUNT(O198,N198)=2,O198-N198,"")</x:f>
        <x:v>-15</x:v>
      </x:c>
      <x:c r="Q198" s="10" t="n">
        <x:v>36</x:v>
      </x:c>
      <x:c r="R198" s="10" t="n">
        <x:v>28</x:v>
      </x:c>
      <x:c r="S198" s="10" t="n">
        <x:f>IF(COUNT(R198,Q198)=2,R198-Q198,"")</x:f>
        <x:v>-8</x:v>
      </x:c>
      <x:c r="T198" s="10" t="n">
        <x:v>5</x:v>
      </x:c>
      <x:c r="U198" s="10" t="n">
        <x:v>-5</x:v>
      </x:c>
      <x:c r="V198" s="10" t="n">
        <x:f>IF(COUNT(U198,T198)=2,U198-T198,"")</x:f>
        <x:v>-10</x:v>
      </x:c>
      <x:c r="W198" s="10" t="n">
        <x:v>19</x:v>
      </x:c>
      <x:c r="X198" s="10" t="n">
        <x:f>IF(COUNT(AV198,AW198)=2,AV198+AW198,"")</x:f>
        <x:v>14</x:v>
      </x:c>
      <x:c r="Y198" s="10" t="n">
        <x:f>IF(COUNT(X198,W198)=2,X198-W198,"")</x:f>
        <x:v>-5</x:v>
      </x:c>
      <x:c r="Z198" s="10" t="n">
        <x:v>0</x:v>
      </x:c>
      <x:c r="AA198" s="10" t="n">
        <x:f>IF(COUNT(AX198,AY198)=2,AX198+AY198,"")</x:f>
        <x:v>0</x:v>
      </x:c>
      <x:c r="AB198" s="10" t="n">
        <x:f>IF(COUNT(AA198,Z198)=2,AA198-Z198,"")</x:f>
        <x:v>0</x:v>
      </x:c>
      <x:c r="AC198" s="10" t="n">
        <x:v>228</x:v>
      </x:c>
      <x:c r="AD198" s="10" t="n">
        <x:v>173</x:v>
      </x:c>
      <x:c r="AE198" s="10" t="n">
        <x:f>IF(COUNT(AD198,AC198)=2,AD198-AC198,"")</x:f>
        <x:v>-55</x:v>
      </x:c>
      <x:c r="AF198" s="10" t="n">
        <x:v>41</x:v>
      </x:c>
      <x:c r="AG198" s="10" t="n">
        <x:v>14</x:v>
      </x:c>
      <x:c r="AH198" s="10" t="n">
        <x:f>IF(COUNT(AG198,AF198)=2,AG198-AF198,"")</x:f>
        <x:v>-27</x:v>
      </x:c>
      <x:c r="AI198" s="10" t="n">
        <x:v>36</x:v>
      </x:c>
      <x:c r="AJ198" s="10" t="n">
        <x:v>28</x:v>
      </x:c>
      <x:c r="AK198" s="10" t="n">
        <x:f>IF(COUNT(AJ198,AI198)=2,AJ198-AI198,"")</x:f>
        <x:v>-8</x:v>
      </x:c>
      <x:c r="AL198" s="10" t="n">
        <x:v>27</x:v>
      </x:c>
      <x:c r="AM198" s="10" t="n">
        <x:v>27</x:v>
      </x:c>
      <x:c r="AN198" s="4" t="str">
        <x:v>RW</x:v>
      </x:c>
      <x:c r="AO198" s="4" t="str">
        <x:v>C</x:v>
      </x:c>
      <x:c r="AP198" s="4" t="str">
        <x:v>STL</x:v>
      </x:c>
      <x:c r="AQ198" s="4" t="str">
        <x:v>STL</x:v>
      </x:c>
      <x:c r="AR198" s="4" t="n">
        <x:v>17.62</x:v>
      </x:c>
      <x:c r="AS198" s="4" t="n">
        <x:v>15.733333333333333</x:v>
      </x:c>
      <x:c r="AT198" s="4" t="n">
        <x:v>2.33</x:v>
      </x:c>
      <x:c r="AU198" s="4" t="n">
        <x:v>10.4</x:v>
      </x:c>
      <x:c r="AV198" s="10" t="n">
        <x:v>4</x:v>
      </x:c>
      <x:c r="AW198" s="10" t="n">
        <x:v>10</x:v>
      </x:c>
      <x:c r="AX198" s="10" t="n">
        <x:v>0</x:v>
      </x:c>
      <x:c r="AY198" s="10" t="n">
        <x:v>0</x:v>
      </x:c>
      <x:c r="AZ198" s="10" t="n">
        <x:v>967</x:v>
      </x:c>
      <x:c r="BA198" s="10" t="n">
        <x:v>798</x:v>
      </x:c>
      <x:c r="BB198" s="4" t="n">
        <x:v>54.8</x:v>
      </x:c>
      <x:c r="BC198" s="4" t="n">
        <x:v>8.7</x:v>
      </x:c>
      <x:c r="BD198" s="10" t="n">
        <x:v>698</x:v>
      </x:c>
      <x:c r="BE198" s="10" t="n">
        <x:v>586</x:v>
      </x:c>
      <x:c r="BF198" s="4" t="n">
        <x:v>54.4</x:v>
      </x:c>
      <x:c r="BG198" s="4" t="n">
        <x:v>8.6</x:v>
      </x:c>
      <x:c r="BH198" s="4" t="n">
        <x:v>9.9</x:v>
      </x:c>
      <x:c r="BI198" s="4" t="n">
        <x:v>87.4</x:v>
      </x:c>
      <x:c r="BJ198" s="4" t="n">
        <x:v>97.3</x:v>
      </x:c>
      <x:c r="BK198" s="4" t="n">
        <x:v>65.8</x:v>
      </x:c>
      <x:c r="BL198" s="4" t="n">
        <x:v>34.2</x:v>
      </x:c>
      <x:c r="BM198" s="4" t="n">
        <x:v>15.733333333333333</x:v>
      </x:c>
      <x:c r="BN198" s="4" t="n">
        <x:v>13.55</x:v>
      </x:c>
      <x:c r="BO198" s="10" t="n">
        <x:v>22</x:v>
      </x:c>
      <x:c r="BP198" s="10" t="n">
        <x:v>53</x:v>
      </x:c>
      <x:c r="BQ198" s="4" t="n">
        <x:v>12.6</x:v>
      </x:c>
      <x:c r="BR198" s="10" t="n">
        <x:v>359</x:v>
      </x:c>
      <x:c r="BS198" s="4" t="n">
        <x:v>48.2</x:v>
      </x:c>
      <x:c r="BT198" s="10" t="n">
        <x:v>72</x:v>
      </x:c>
      <x:c r="BU198" s="4" t="str">
        <x:v>STL</x:v>
      </x:c>
      <x:c r="BV198" s="10" t="n">
        <x:v>51</x:v>
      </x:c>
      <x:c r="BW198" s="10" t="n">
        <x:v>168</x:v>
      </x:c>
      <x:c r="BX198" s="10" t="n">
        <x:v>557</x:v>
      </x:c>
      <x:c r="BY198" s="4" t="str">
        <x:v>Jordan Kyrou</x:v>
      </x:c>
      <x:c r="BZ198" s="4" t="str">
        <x:v>Jordan Kyrou</x:v>
      </x:c>
      <x:c r="CA198" s="4" t="str">
        <x:v>Jordan Kyrou</x:v>
      </x:c>
      <x:c r="CB198" s="4" t="str">
        <x:v>kyroujo01</x:v>
      </x:c>
    </x:row>
    <x:row r="199" ht="22" customHeight="1">
      <x:c r="A199" s="4" t="str">
        <x:v>Jordan Martinook</x:v>
      </x:c>
      <x:c r="B199" s="4" t="str">
        <x:v>jordanmartinook</x:v>
      </x:c>
      <x:c r="C199" s="10" t="n">
        <x:v>1</x:v>
      </x:c>
      <x:c r="D199" s="10" t="n">
        <x:v>1</x:v>
      </x:c>
      <x:c r="E199" s="10" t="n">
        <x:v>1</x:v>
      </x:c>
      <x:c r="F199" s="4" t="n">
        <x:f>IF(COUNT(N199,Q199,T199,W199,Z199,AC199,AF199,AI199)=8,N199*Guide!$E$5+Q199*Guide!$E$6+T199*Guide!$E$7+W199*Guide!$E$8+Z199*Guide!$E$9+AC199*Guide!$E$10+AF199*Guide!$E$11+AI199*Guide!$E$12,"")</x:f>
        <x:v>210.25</x:v>
      </x:c>
      <x:c r="G199" s="4" t="n">
        <x:f>IF(COUNT(O199,R199,U199,X199,AA199,AD199,AG199,AJ199)=8,O199*Guide!$E$5+R199*Guide!$E$6+U199*Guide!$E$7+X199*Guide!$E$8+AA199*Guide!$E$9+AD199*Guide!$E$10+AG199*Guide!$E$11+AJ199*Guide!$E$12,"")</x:f>
        <x:v>206.75</x:v>
      </x:c>
      <x:c r="H199" s="4" t="n">
        <x:f>IF(COUNT(G199,F199)=2,G199-F199,"")</x:f>
        <x:v>-3.5</x:v>
      </x:c>
      <x:c r="I199" s="4" t="n">
        <x:f>IF(AND(ISNUMBER(F199),K199&gt;0),F199/K199,"")</x:f>
        <x:v>2.628125</x:v>
      </x:c>
      <x:c r="J199" s="4" t="n">
        <x:f>IF(AND(ISNUMBER(G199),L199&gt;0),G199/L199,"")</x:f>
        <x:v>2.685064935064935</x:v>
      </x:c>
      <x:c r="K199" s="10" t="n">
        <x:v>80</x:v>
      </x:c>
      <x:c r="L199" s="10" t="n">
        <x:v>77</x:v>
      </x:c>
      <x:c r="M199" s="10" t="n">
        <x:f>IF(COUNT(L199,K199)=2,L199-K199,"")</x:f>
        <x:v>-3</x:v>
      </x:c>
      <x:c r="N199" s="10" t="n">
        <x:v>15</x:v>
      </x:c>
      <x:c r="O199" s="10" t="n">
        <x:v>12</x:v>
      </x:c>
      <x:c r="P199" s="10" t="n">
        <x:f>IF(COUNT(O199,N199)=2,O199-N199,"")</x:f>
        <x:v>-3</x:v>
      </x:c>
      <x:c r="Q199" s="10" t="n">
        <x:v>18</x:v>
      </x:c>
      <x:c r="R199" s="10" t="n">
        <x:v>17</x:v>
      </x:c>
      <x:c r="S199" s="10" t="n">
        <x:f>IF(COUNT(R199,Q199)=2,R199-Q199,"")</x:f>
        <x:v>-1</x:v>
      </x:c>
      <x:c r="T199" s="10" t="n">
        <x:v>9</x:v>
      </x:c>
      <x:c r="U199" s="10" t="n">
        <x:v>6</x:v>
      </x:c>
      <x:c r="V199" s="10" t="n">
        <x:f>IF(COUNT(U199,T199)=2,U199-T199,"")</x:f>
        <x:v>-3</x:v>
      </x:c>
      <x:c r="W199" s="10" t="n">
        <x:v>0</x:v>
      </x:c>
      <x:c r="X199" s="10" t="n">
        <x:f>IF(COUNT(AV199,AW199)=2,AV199+AW199,"")</x:f>
        <x:v>0</x:v>
      </x:c>
      <x:c r="Y199" s="10" t="n">
        <x:f>IF(COUNT(X199,W199)=2,X199-W199,"")</x:f>
        <x:v>0</x:v>
      </x:c>
      <x:c r="Z199" s="10" t="n">
        <x:v>1</x:v>
      </x:c>
      <x:c r="AA199" s="10" t="n">
        <x:f>IF(COUNT(AX199,AY199)=2,AX199+AY199,"")</x:f>
        <x:v>3</x:v>
      </x:c>
      <x:c r="AB199" s="10" t="n">
        <x:f>IF(COUNT(AA199,Z199)=2,AA199-Z199,"")</x:f>
        <x:v>2</x:v>
      </x:c>
      <x:c r="AC199" s="10" t="n">
        <x:v>126</x:v>
      </x:c>
      <x:c r="AD199" s="10" t="n">
        <x:v>109</x:v>
      </x:c>
      <x:c r="AE199" s="10" t="n">
        <x:f>IF(COUNT(AD199,AC199)=2,AD199-AC199,"")</x:f>
        <x:v>-17</x:v>
      </x:c>
      <x:c r="AF199" s="10" t="n">
        <x:v>76</x:v>
      </x:c>
      <x:c r="AG199" s="10" t="n">
        <x:v>112</x:v>
      </x:c>
      <x:c r="AH199" s="10" t="n">
        <x:f>IF(COUNT(AG199,AF199)=2,AG199-AF199,"")</x:f>
        <x:v>36</x:v>
      </x:c>
      <x:c r="AI199" s="10" t="n">
        <x:v>45</x:v>
      </x:c>
      <x:c r="AJ199" s="10" t="n">
        <x:v>50</x:v>
      </x:c>
      <x:c r="AK199" s="10" t="n">
        <x:f>IF(COUNT(AJ199,AI199)=2,AJ199-AI199,"")</x:f>
        <x:v>5</x:v>
      </x:c>
      <x:c r="AL199" s="10" t="n">
        <x:v>33</x:v>
      </x:c>
      <x:c r="AM199" s="10" t="n">
        <x:v>33</x:v>
      </x:c>
      <x:c r="AN199" s="4" t="str">
        <x:v>LW</x:v>
      </x:c>
      <x:c r="AO199" s="4" t="str">
        <x:v>LW</x:v>
      </x:c>
      <x:c r="AP199" s="4" t="str">
        <x:v>CAR</x:v>
      </x:c>
      <x:c r="AQ199" s="4" t="str">
        <x:v>CAR</x:v>
      </x:c>
      <x:c r="AR199" s="4" t="n">
        <x:v>14.929999999999998</x:v>
      </x:c>
      <x:c r="AS199" s="4" t="n">
        <x:v>14.833333333333334</x:v>
      </x:c>
      <x:c r="AT199" s="4" t="n">
        <x:v>0.12</x:v>
      </x:c>
      <x:c r="AU199" s="4" t="n">
        <x:v>11</x:v>
      </x:c>
      <x:c r="AV199" s="10" t="n">
        <x:v>0</x:v>
      </x:c>
      <x:c r="AW199" s="10" t="n">
        <x:v>0</x:v>
      </x:c>
      <x:c r="AX199" s="10" t="n">
        <x:v>3</x:v>
      </x:c>
      <x:c r="AY199" s="10" t="n">
        <x:v>0</x:v>
      </x:c>
      <x:c r="AZ199" s="10" t="n">
        <x:v>1118</x:v>
      </x:c>
      <x:c r="BA199" s="10" t="n">
        <x:v>785</x:v>
      </x:c>
      <x:c r="BB199" s="4" t="n">
        <x:v>58.7</x:v>
      </x:c>
      <x:c r="BC199" s="4" t="n">
        <x:v>-1.9</x:v>
      </x:c>
      <x:c r="BD199" s="10" t="n">
        <x:v>774</x:v>
      </x:c>
      <x:c r="BE199" s="10" t="n">
        <x:v>574</x:v>
      </x:c>
      <x:c r="BF199" s="4" t="n">
        <x:v>57.4</x:v>
      </x:c>
      <x:c r="BG199" s="4" t="n">
        <x:v>-2.6</x:v>
      </x:c>
      <x:c r="BH199" s="4" t="n">
        <x:v>10.6</x:v>
      </x:c>
      <x:c r="BI199" s="4" t="n">
        <x:v>87.5</x:v>
      </x:c>
      <x:c r="BJ199" s="4" t="n">
        <x:v>98.1</x:v>
      </x:c>
      <x:c r="BK199" s="4" t="n">
        <x:v>48.7</x:v>
      </x:c>
      <x:c r="BL199" s="4" t="n">
        <x:v>51.3</x:v>
      </x:c>
      <x:c r="BM199" s="4" t="n">
        <x:v>14.833333333333334</x:v>
      </x:c>
      <x:c r="BN199" s="4" t="n">
        <x:v>12.633333333333333</x:v>
      </x:c>
      <x:c r="BO199" s="10" t="n">
        <x:v>14</x:v>
      </x:c>
      <x:c r="BP199" s="10" t="n">
        <x:v>45</x:v>
      </x:c>
      <x:c r="BQ199" s="4" t="n">
        <x:v>3.7</x:v>
      </x:c>
      <x:c r="BR199" s="10" t="n">
        <x:v>249</x:v>
      </x:c>
      <x:c r="BS199" s="4" t="n">
        <x:v>43.8</x:v>
      </x:c>
      <x:c r="BT199" s="10" t="n">
        <x:v>77</x:v>
      </x:c>
      <x:c r="BU199" s="4" t="str">
        <x:v>CAR</x:v>
      </x:c>
      <x:c r="BV199" s="10" t="n">
        <x:v>330</x:v>
      </x:c>
      <x:c r="BW199" s="10" t="n">
        <x:v>343</x:v>
      </x:c>
      <x:c r="BX199" s="10" t="n">
        <x:v>652</x:v>
      </x:c>
      <x:c r="BY199" s="4" t="str">
        <x:v>Jordan Martinook</x:v>
      </x:c>
      <x:c r="BZ199" s="4" t="str">
        <x:v>Jordan Martinook</x:v>
      </x:c>
      <x:c r="CA199" s="4" t="str">
        <x:v>Jordan Martinook</x:v>
      </x:c>
      <x:c r="CB199" s="4" t="str">
        <x:v>martijo01</x:v>
      </x:c>
    </x:row>
    <x:row r="200" ht="22" customHeight="1">
      <x:c r="A200" s="4" t="str">
        <x:v>Jordan Spence</x:v>
      </x:c>
      <x:c r="B200" s="4" t="str">
        <x:v>jordanspence</x:v>
      </x:c>
      <x:c r="C200" s="10" t="n">
        <x:v>1</x:v>
      </x:c>
      <x:c r="D200" s="10" t="n">
        <x:v>1</x:v>
      </x:c>
      <x:c r="E200" s="10" t="n">
        <x:v>1</x:v>
      </x:c>
      <x:c r="F200" s="4" t="n">
        <x:f>IF(COUNT(N200,Q200,T200,W200,Z200,AC200,AF200,AI200)=8,N200*Guide!$E$5+Q200*Guide!$E$6+T200*Guide!$E$7+W200*Guide!$E$8+Z200*Guide!$E$9+AC200*Guide!$E$10+AF200*Guide!$E$11+AI200*Guide!$E$12,"")</x:f>
        <x:v>206.75</x:v>
      </x:c>
      <x:c r="G200" s="4" t="n">
        <x:f>IF(COUNT(O200,R200,U200,X200,AA200,AD200,AG200,AJ200)=8,O200*Guide!$E$5+R200*Guide!$E$6+U200*Guide!$E$7+X200*Guide!$E$8+AA200*Guide!$E$9+AD200*Guide!$E$10+AG200*Guide!$E$11+AJ200*Guide!$E$12,"")</x:f>
        <x:v>203</x:v>
      </x:c>
      <x:c r="H200" s="4" t="n">
        <x:f>IF(COUNT(G200,F200)=2,G200-F200,"")</x:f>
        <x:v>-3.75</x:v>
      </x:c>
      <x:c r="I200" s="4" t="n">
        <x:f>IF(AND(ISNUMBER(F200),K200&gt;0),F200/K200,"")</x:f>
        <x:v>2.617088607594937</x:v>
      </x:c>
      <x:c r="J200" s="4" t="n">
        <x:f>IF(AND(ISNUMBER(G200),L200&gt;0),G200/L200,"")</x:f>
        <x:v>2.780821917808219</x:v>
      </x:c>
      <x:c r="K200" s="10" t="n">
        <x:v>79</x:v>
      </x:c>
      <x:c r="L200" s="10" t="n">
        <x:v>73</x:v>
      </x:c>
      <x:c r="M200" s="10" t="n">
        <x:f>IF(COUNT(L200,K200)=2,L200-K200,"")</x:f>
        <x:v>-6</x:v>
      </x:c>
      <x:c r="N200" s="10" t="n">
        <x:v>4</x:v>
      </x:c>
      <x:c r="O200" s="10" t="n">
        <x:v>7</x:v>
      </x:c>
      <x:c r="P200" s="10" t="n">
        <x:f>IF(COUNT(O200,N200)=2,O200-N200,"")</x:f>
        <x:v>3</x:v>
      </x:c>
      <x:c r="Q200" s="10" t="n">
        <x:v>24</x:v>
      </x:c>
      <x:c r="R200" s="10" t="n">
        <x:v>24</x:v>
      </x:c>
      <x:c r="S200" s="10" t="n">
        <x:f>IF(COUNT(R200,Q200)=2,R200-Q200,"")</x:f>
        <x:v>0</x:v>
      </x:c>
      <x:c r="T200" s="10" t="n">
        <x:v>13</x:v>
      </x:c>
      <x:c r="U200" s="10" t="n">
        <x:v>15</x:v>
      </x:c>
      <x:c r="V200" s="10" t="n">
        <x:f>IF(COUNT(U200,T200)=2,U200-T200,"")</x:f>
        <x:v>2</x:v>
      </x:c>
      <x:c r="W200" s="10" t="n">
        <x:v>7</x:v>
      </x:c>
      <x:c r="X200" s="10" t="n">
        <x:f>IF(COUNT(AV200,AW200)=2,AV200+AW200,"")</x:f>
        <x:v>3</x:v>
      </x:c>
      <x:c r="Y200" s="10" t="n">
        <x:f>IF(COUNT(X200,W200)=2,X200-W200,"")</x:f>
        <x:v>-4</x:v>
      </x:c>
      <x:c r="Z200" s="10" t="n">
        <x:v>0</x:v>
      </x:c>
      <x:c r="AA200" s="10" t="n">
        <x:f>IF(COUNT(AX200,AY200)=2,AX200+AY200,"")</x:f>
        <x:v>0</x:v>
      </x:c>
      <x:c r="AB200" s="10" t="n">
        <x:f>IF(COUNT(AA200,Z200)=2,AA200-Z200,"")</x:f>
        <x:v>0</x:v>
      </x:c>
      <x:c r="AC200" s="10" t="n">
        <x:v>93</x:v>
      </x:c>
      <x:c r="AD200" s="10" t="n">
        <x:v>108</x:v>
      </x:c>
      <x:c r="AE200" s="10" t="n">
        <x:f>IF(COUNT(AD200,AC200)=2,AD200-AC200,"")</x:f>
        <x:v>15</x:v>
      </x:c>
      <x:c r="AF200" s="10" t="n">
        <x:v>74</x:v>
      </x:c>
      <x:c r="AG200" s="10" t="n">
        <x:v>55</x:v>
      </x:c>
      <x:c r="AH200" s="10" t="n">
        <x:f>IF(COUNT(AG200,AF200)=2,AG200-AF200,"")</x:f>
        <x:v>-19</x:v>
      </x:c>
      <x:c r="AI200" s="10" t="n">
        <x:v>76</x:v>
      </x:c>
      <x:c r="AJ200" s="10" t="n">
        <x:v>59</x:v>
      </x:c>
      <x:c r="AK200" s="10" t="n">
        <x:f>IF(COUNT(AJ200,AI200)=2,AJ200-AI200,"")</x:f>
        <x:v>-17</x:v>
      </x:c>
      <x:c r="AL200" s="10" t="n">
        <x:v>24</x:v>
      </x:c>
      <x:c r="AM200" s="10" t="n">
        <x:v>24</x:v>
      </x:c>
      <x:c r="AN200" s="4" t="str">
        <x:v>D</x:v>
      </x:c>
      <x:c r="AO200" s="4" t="str">
        <x:v>D</x:v>
      </x:c>
      <x:c r="AP200" s="4" t="str">
        <x:v>OTT</x:v>
      </x:c>
      <x:c r="AQ200" s="4" t="str">
        <x:v>OTT</x:v>
      </x:c>
      <x:c r="AR200" s="4" t="n">
        <x:v>16.43</x:v>
      </x:c>
      <x:c r="AS200" s="4" t="n">
        <x:v>18.733333333333334</x:v>
      </x:c>
      <x:c r="AT200" s="4" t="n">
        <x:v>1.14</x:v>
      </x:c>
      <x:c r="AU200" s="4" t="n">
        <x:v>6.5</x:v>
      </x:c>
      <x:c r="AV200" s="10" t="n">
        <x:v>0</x:v>
      </x:c>
      <x:c r="AW200" s="10" t="n">
        <x:v>3</x:v>
      </x:c>
      <x:c r="AX200" s="10" t="n">
        <x:v>0</x:v>
      </x:c>
      <x:c r="AY200" s="10" t="n">
        <x:v>0</x:v>
      </x:c>
      <x:c r="AZ200" s="10" t="n">
        <x:v>1429</x:v>
      </x:c>
      <x:c r="BA200" s="10" t="n">
        <x:v>936</x:v>
      </x:c>
      <x:c r="BB200" s="4" t="n">
        <x:v>60.4</x:v>
      </x:c>
      <x:c r="BC200" s="4" t="n">
        <x:v>11.1</x:v>
      </x:c>
      <x:c r="BD200" s="10" t="n">
        <x:v>1051</x:v>
      </x:c>
      <x:c r="BE200" s="10" t="n">
        <x:v>678</x:v>
      </x:c>
      <x:c r="BF200" s="4" t="n">
        <x:v>60.8</x:v>
      </x:c>
      <x:c r="BG200" s="4" t="n">
        <x:v>10.6</x:v>
      </x:c>
      <x:c r="BH200" s="4" t="n">
        <x:v>9.3</x:v>
      </x:c>
      <x:c r="BI200" s="4" t="n">
        <x:v>89.8</x:v>
      </x:c>
      <x:c r="BJ200" s="4" t="n">
        <x:v>99.1</x:v>
      </x:c>
      <x:c r="BK200" s="4" t="n">
        <x:v>67.5</x:v>
      </x:c>
      <x:c r="BL200" s="4" t="n">
        <x:v>32.5</x:v>
      </x:c>
      <x:c r="BM200" s="4" t="n">
        <x:v>18.733333333333334</x:v>
      </x:c>
      <x:c r="BN200" s="4" t="n">
        <x:v>17.266666666666666</x:v>
      </x:c>
      <x:c r="BO200" s="10" t="n">
        <x:v>16</x:v>
      </x:c>
      <x:c r="BP200" s="10" t="n">
        <x:v>68</x:v>
      </x:c>
      <x:c r="BQ200" s="4" t="n">
        <x:v>23</x:v>
      </x:c>
      <x:c r="BR200" s="10" t="n">
        <x:v>280</x:v>
      </x:c>
      <x:c r="BS200" s="4" t="n">
        <x:v>38.6</x:v>
      </x:c>
      <x:c r="BT200" s="10" t="n">
        <x:v>73</x:v>
      </x:c>
      <x:c r="BU200" s="4" t="str">
        <x:v>OTT</x:v>
      </x:c>
      <x:c r="BV200" s="10" t="n">
        <x:v>397</x:v>
      </x:c>
      <x:c r="BW200" s="10" t="n">
        <x:v>320</x:v>
      </x:c>
      <x:c r="BX200" s="10" t="n">
        <x:v>964</x:v>
      </x:c>
      <x:c r="BY200" s="4" t="str">
        <x:v>Jordan Spence</x:v>
      </x:c>
      <x:c r="BZ200" s="4" t="str">
        <x:v>Jordan Spence</x:v>
      </x:c>
      <x:c r="CA200" s="4" t="str">
        <x:v>Jordan Spence</x:v>
      </x:c>
      <x:c r="CB200" s="4" t="str">
        <x:v>spencjo01</x:v>
      </x:c>
    </x:row>
    <x:row r="201" ht="22" customHeight="1">
      <x:c r="A201" s="4" t="str">
        <x:v>Jordan Staal</x:v>
      </x:c>
      <x:c r="B201" s="4" t="str">
        <x:v>jordanstaal</x:v>
      </x:c>
      <x:c r="C201" s="10" t="n">
        <x:v>1</x:v>
      </x:c>
      <x:c r="D201" s="10" t="n">
        <x:v>1</x:v>
      </x:c>
      <x:c r="E201" s="10" t="n">
        <x:v>1</x:v>
      </x:c>
      <x:c r="F201" s="4" t="n">
        <x:f>IF(COUNT(N201,Q201,T201,W201,Z201,AC201,AF201,AI201)=8,N201*Guide!$E$5+Q201*Guide!$E$6+T201*Guide!$E$7+W201*Guide!$E$8+Z201*Guide!$E$9+AC201*Guide!$E$10+AF201*Guide!$E$11+AI201*Guide!$E$12,"")</x:f>
        <x:v>208.25</x:v>
      </x:c>
      <x:c r="G201" s="4" t="n">
        <x:f>IF(COUNT(O201,R201,U201,X201,AA201,AD201,AG201,AJ201)=8,O201*Guide!$E$5+R201*Guide!$E$6+U201*Guide!$E$7+X201*Guide!$E$8+AA201*Guide!$E$9+AD201*Guide!$E$10+AG201*Guide!$E$11+AJ201*Guide!$E$12,"")</x:f>
        <x:v>244.25</x:v>
      </x:c>
      <x:c r="H201" s="4" t="n">
        <x:f>IF(COUNT(G201,F201)=2,G201-F201,"")</x:f>
        <x:v>36</x:v>
      </x:c>
      <x:c r="I201" s="4" t="n">
        <x:f>IF(AND(ISNUMBER(F201),K201&gt;0),F201/K201,"")</x:f>
        <x:v>2.814189189189189</x:v>
      </x:c>
      <x:c r="J201" s="4" t="n">
        <x:f>IF(AND(ISNUMBER(G201),L201&gt;0),G201/L201,"")</x:f>
        <x:v>3.256666666666667</x:v>
      </x:c>
      <x:c r="K201" s="10" t="n">
        <x:v>74</x:v>
      </x:c>
      <x:c r="L201" s="10" t="n">
        <x:v>75</x:v>
      </x:c>
      <x:c r="M201" s="10" t="n">
        <x:f>IF(COUNT(L201,K201)=2,L201-K201,"")</x:f>
        <x:v>1</x:v>
      </x:c>
      <x:c r="N201" s="10" t="n">
        <x:v>13</x:v>
      </x:c>
      <x:c r="O201" s="10" t="n">
        <x:v>20</x:v>
      </x:c>
      <x:c r="P201" s="10" t="n">
        <x:f>IF(COUNT(O201,N201)=2,O201-N201,"")</x:f>
        <x:v>7</x:v>
      </x:c>
      <x:c r="Q201" s="10" t="n">
        <x:v>19</x:v>
      </x:c>
      <x:c r="R201" s="10" t="n">
        <x:v>16</x:v>
      </x:c>
      <x:c r="S201" s="10" t="n">
        <x:f>IF(COUNT(R201,Q201)=2,R201-Q201,"")</x:f>
        <x:v>-3</x:v>
      </x:c>
      <x:c r="T201" s="10" t="n">
        <x:v>5</x:v>
      </x:c>
      <x:c r="U201" s="10" t="n">
        <x:v>5</x:v>
      </x:c>
      <x:c r="V201" s="10" t="n">
        <x:f>IF(COUNT(U201,T201)=2,U201-T201,"")</x:f>
        <x:v>0</x:v>
      </x:c>
      <x:c r="W201" s="10" t="n">
        <x:v>0</x:v>
      </x:c>
      <x:c r="X201" s="10" t="n">
        <x:f>IF(COUNT(AV201,AW201)=2,AV201+AW201,"")</x:f>
        <x:v>4</x:v>
      </x:c>
      <x:c r="Y201" s="10" t="n">
        <x:f>IF(COUNT(X201,W201)=2,X201-W201,"")</x:f>
        <x:v>4</x:v>
      </x:c>
      <x:c r="Z201" s="10" t="n">
        <x:v>2</x:v>
      </x:c>
      <x:c r="AA201" s="10" t="n">
        <x:f>IF(COUNT(AX201,AY201)=2,AX201+AY201,"")</x:f>
        <x:v>1</x:v>
      </x:c>
      <x:c r="AB201" s="10" t="n">
        <x:f>IF(COUNT(AA201,Z201)=2,AA201-Z201,"")</x:f>
        <x:v>-1</x:v>
      </x:c>
      <x:c r="AC201" s="10" t="n">
        <x:v>101</x:v>
      </x:c>
      <x:c r="AD201" s="10" t="n">
        <x:v>107</x:v>
      </x:c>
      <x:c r="AE201" s="10" t="n">
        <x:f>IF(COUNT(AD201,AC201)=2,AD201-AC201,"")</x:f>
        <x:v>6</x:v>
      </x:c>
      <x:c r="AF201" s="10" t="n">
        <x:v>132</x:v>
      </x:c>
      <x:c r="AG201" s="10" t="n">
        <x:v>166</x:v>
      </x:c>
      <x:c r="AH201" s="10" t="n">
        <x:f>IF(COUNT(AG201,AF201)=2,AG201-AF201,"")</x:f>
        <x:v>34</x:v>
      </x:c>
      <x:c r="AI201" s="10" t="n">
        <x:v>40</x:v>
      </x:c>
      <x:c r="AJ201" s="10" t="n">
        <x:v>48</x:v>
      </x:c>
      <x:c r="AK201" s="10" t="n">
        <x:f>IF(COUNT(AJ201,AI201)=2,AJ201-AI201,"")</x:f>
        <x:v>8</x:v>
      </x:c>
      <x:c r="AL201" s="10" t="n">
        <x:v>37</x:v>
      </x:c>
      <x:c r="AM201" s="10" t="n">
        <x:v>37</x:v>
      </x:c>
      <x:c r="AN201" s="4" t="str">
        <x:v>C</x:v>
      </x:c>
      <x:c r="AO201" s="4" t="str">
        <x:v>C</x:v>
      </x:c>
      <x:c r="AP201" s="4" t="str">
        <x:v>CAR</x:v>
      </x:c>
      <x:c r="AQ201" s="4" t="str">
        <x:v>CAR</x:v>
      </x:c>
      <x:c r="AR201" s="4" t="n">
        <x:v>15.22</x:v>
      </x:c>
      <x:c r="AS201" s="4" t="n">
        <x:v>16.183333333333334</x:v>
      </x:c>
      <x:c r="AT201" s="4" t="n">
        <x:v>0.15</x:v>
      </x:c>
      <x:c r="AU201" s="4" t="n">
        <x:v>18.7</x:v>
      </x:c>
      <x:c r="AV201" s="10" t="n">
        <x:v>4</x:v>
      </x:c>
      <x:c r="AW201" s="10" t="n">
        <x:v>0</x:v>
      </x:c>
      <x:c r="AX201" s="10" t="n">
        <x:v>0</x:v>
      </x:c>
      <x:c r="AY201" s="10" t="n">
        <x:v>1</x:v>
      </x:c>
      <x:c r="AZ201" s="10" t="n">
        <x:v>1118</x:v>
      </x:c>
      <x:c r="BA201" s="10" t="n">
        <x:v>805</x:v>
      </x:c>
      <x:c r="BB201" s="4" t="n">
        <x:v>58.1</x:v>
      </x:c>
      <x:c r="BC201" s="4" t="n">
        <x:v>-2.1</x:v>
      </x:c>
      <x:c r="BD201" s="10" t="n">
        <x:v>794</x:v>
      </x:c>
      <x:c r="BE201" s="10" t="n">
        <x:v>586</x:v>
      </x:c>
      <x:c r="BF201" s="4" t="n">
        <x:v>57.5</x:v>
      </x:c>
      <x:c r="BG201" s="4" t="n">
        <x:v>-1.7</x:v>
      </x:c>
      <x:c r="BH201" s="4" t="n">
        <x:v>10.3</x:v>
      </x:c>
      <x:c r="BI201" s="4" t="n">
        <x:v>87.4</x:v>
      </x:c>
      <x:c r="BJ201" s="4" t="n">
        <x:v>97.7</x:v>
      </x:c>
      <x:c r="BK201" s="4" t="n">
        <x:v>46.8</x:v>
      </x:c>
      <x:c r="BL201" s="4" t="n">
        <x:v>53.2</x:v>
      </x:c>
      <x:c r="BM201" s="4" t="n">
        <x:v>16.183333333333334</x:v>
      </x:c>
      <x:c r="BN201" s="4" t="n">
        <x:v>13.166666666666666</x:v>
      </x:c>
      <x:c r="BO201" s="10" t="n">
        <x:v>16</x:v>
      </x:c>
      <x:c r="BP201" s="10" t="n">
        <x:v>46</x:v>
      </x:c>
      <x:c r="BQ201" s="4" t="n">
        <x:v>4.8</x:v>
      </x:c>
      <x:c r="BR201" s="10" t="n">
        <x:v>226</x:v>
      </x:c>
      <x:c r="BS201" s="4" t="n">
        <x:v>47.3</x:v>
      </x:c>
      <x:c r="BT201" s="10" t="n">
        <x:v>75</x:v>
      </x:c>
      <x:c r="BU201" s="4" t="str">
        <x:v>CAR</x:v>
      </x:c>
      <x:c r="BV201" s="10" t="n">
        <x:v>351</x:v>
      </x:c>
      <x:c r="BW201" s="10" t="n">
        <x:v>253</x:v>
      </x:c>
      <x:c r="BX201" s="10" t="n">
        <x:v>967</x:v>
      </x:c>
      <x:c r="BY201" s="4" t="str">
        <x:v>Jordan Staal</x:v>
      </x:c>
      <x:c r="BZ201" s="4" t="str">
        <x:v>Jordan Staal</x:v>
      </x:c>
      <x:c r="CA201" s="4" t="str">
        <x:v>Jordan Staal</x:v>
      </x:c>
      <x:c r="CB201" s="4" t="str">
        <x:v>staaljo01</x:v>
      </x:c>
    </x:row>
    <x:row r="202" ht="22" customHeight="1">
      <x:c r="A202" s="4" t="str">
        <x:v>Josh Anderson</x:v>
      </x:c>
      <x:c r="B202" s="4" t="str">
        <x:v>joshanderson</x:v>
      </x:c>
      <x:c r="C202" s="10" t="n">
        <x:v>1</x:v>
      </x:c>
      <x:c r="D202" s="10" t="n">
        <x:v>1</x:v>
      </x:c>
      <x:c r="E202" s="10" t="n">
        <x:v>1</x:v>
      </x:c>
      <x:c r="F202" s="4" t="n">
        <x:f>IF(COUNT(N202,Q202,T202,W202,Z202,AC202,AF202,AI202)=8,N202*Guide!$E$5+Q202*Guide!$E$6+T202*Guide!$E$7+W202*Guide!$E$8+Z202*Guide!$E$9+AC202*Guide!$E$10+AF202*Guide!$E$11+AI202*Guide!$E$12,"")</x:f>
        <x:v>193.75</x:v>
      </x:c>
      <x:c r="G202" s="4" t="n">
        <x:f>IF(COUNT(O202,R202,U202,X202,AA202,AD202,AG202,AJ202)=8,O202*Guide!$E$5+R202*Guide!$E$6+U202*Guide!$E$7+X202*Guide!$E$8+AA202*Guide!$E$9+AD202*Guide!$E$10+AG202*Guide!$E$11+AJ202*Guide!$E$12,"")</x:f>
        <x:v>177.75</x:v>
      </x:c>
      <x:c r="H202" s="4" t="n">
        <x:f>IF(COUNT(G202,F202)=2,G202-F202,"")</x:f>
        <x:v>-16</x:v>
      </x:c>
      <x:c r="I202" s="4" t="n">
        <x:f>IF(AND(ISNUMBER(F202),K202&gt;0),F202/K202,"")</x:f>
        <x:v>2.421875</x:v>
      </x:c>
      <x:c r="J202" s="4" t="n">
        <x:f>IF(AND(ISNUMBER(G202),L202&gt;0),G202/L202,"")</x:f>
        <x:v>2.46875</x:v>
      </x:c>
      <x:c r="K202" s="10" t="n">
        <x:v>80</x:v>
      </x:c>
      <x:c r="L202" s="10" t="n">
        <x:v>72</x:v>
      </x:c>
      <x:c r="M202" s="10" t="n">
        <x:f>IF(COUNT(L202,K202)=2,L202-K202,"")</x:f>
        <x:v>-8</x:v>
      </x:c>
      <x:c r="N202" s="10" t="n">
        <x:v>15</x:v>
      </x:c>
      <x:c r="O202" s="10" t="n">
        <x:v>14</x:v>
      </x:c>
      <x:c r="P202" s="10" t="n">
        <x:f>IF(COUNT(O202,N202)=2,O202-N202,"")</x:f>
        <x:v>-1</x:v>
      </x:c>
      <x:c r="Q202" s="10" t="n">
        <x:v>11</x:v>
      </x:c>
      <x:c r="R202" s="10" t="n">
        <x:v>9</x:v>
      </x:c>
      <x:c r="S202" s="10" t="n">
        <x:f>IF(COUNT(R202,Q202)=2,R202-Q202,"")</x:f>
        <x:v>-2</x:v>
      </x:c>
      <x:c r="T202" s="10" t="n">
        <x:v>-5</x:v>
      </x:c>
      <x:c r="U202" s="10" t="n">
        <x:v>-4</x:v>
      </x:c>
      <x:c r="V202" s="10" t="n">
        <x:f>IF(COUNT(U202,T202)=2,U202-T202,"")</x:f>
        <x:v>1</x:v>
      </x:c>
      <x:c r="W202" s="10" t="n">
        <x:v>2</x:v>
      </x:c>
      <x:c r="X202" s="10" t="n">
        <x:f>IF(COUNT(AV202,AW202)=2,AV202+AW202,"")</x:f>
        <x:v>0</x:v>
      </x:c>
      <x:c r="Y202" s="10" t="n">
        <x:f>IF(COUNT(X202,W202)=2,X202-W202,"")</x:f>
        <x:v>-2</x:v>
      </x:c>
      <x:c r="Z202" s="10" t="n">
        <x:v>1</x:v>
      </x:c>
      <x:c r="AA202" s="10" t="n">
        <x:f>IF(COUNT(AX202,AY202)=2,AX202+AY202,"")</x:f>
        <x:v>4</x:v>
      </x:c>
      <x:c r="AB202" s="10" t="n">
        <x:f>IF(COUNT(AA202,Z202)=2,AA202-Z202,"")</x:f>
        <x:v>3</x:v>
      </x:c>
      <x:c r="AC202" s="10" t="n">
        <x:v>114</x:v>
      </x:c>
      <x:c r="AD202" s="10" t="n">
        <x:v>89</x:v>
      </x:c>
      <x:c r="AE202" s="10" t="n">
        <x:f>IF(COUNT(AD202,AC202)=2,AD202-AC202,"")</x:f>
        <x:v>-25</x:v>
      </x:c>
      <x:c r="AF202" s="10" t="n">
        <x:v>163</x:v>
      </x:c>
      <x:c r="AG202" s="10" t="n">
        <x:v>129</x:v>
      </x:c>
      <x:c r="AH202" s="10" t="n">
        <x:f>IF(COUNT(AG202,AF202)=2,AG202-AF202,"")</x:f>
        <x:v>-34</x:v>
      </x:c>
      <x:c r="AI202" s="10" t="n">
        <x:v>42</x:v>
      </x:c>
      <x:c r="AJ202" s="10" t="n">
        <x:v>43</x:v>
      </x:c>
      <x:c r="AK202" s="10" t="n">
        <x:f>IF(COUNT(AJ202,AI202)=2,AJ202-AI202,"")</x:f>
        <x:v>1</x:v>
      </x:c>
      <x:c r="AL202" s="10" t="n">
        <x:v>31</x:v>
      </x:c>
      <x:c r="AM202" s="10" t="n">
        <x:v>31</x:v>
      </x:c>
      <x:c r="AN202" s="4" t="str">
        <x:v>RW</x:v>
      </x:c>
      <x:c r="AO202" s="4" t="str">
        <x:v>RW</x:v>
      </x:c>
      <x:c r="AP202" s="4" t="str">
        <x:v>MTL</x:v>
      </x:c>
      <x:c r="AQ202" s="4" t="str">
        <x:v>MTL</x:v>
      </x:c>
      <x:c r="AR202" s="4" t="n">
        <x:v>14.25</x:v>
      </x:c>
      <x:c r="AS202" s="4" t="n">
        <x:v>14.016666666666667</x:v>
      </x:c>
      <x:c r="AT202" s="4" t="n">
        <x:v>0.36</x:v>
      </x:c>
      <x:c r="AU202" s="4" t="n">
        <x:v>15.7</x:v>
      </x:c>
      <x:c r="AV202" s="10" t="n">
        <x:v>0</x:v>
      </x:c>
      <x:c r="AW202" s="10" t="n">
        <x:v>0</x:v>
      </x:c>
      <x:c r="AX202" s="10" t="n">
        <x:v>2</x:v>
      </x:c>
      <x:c r="AY202" s="10" t="n">
        <x:v>2</x:v>
      </x:c>
      <x:c r="AZ202" s="10" t="n">
        <x:v>735</x:v>
      </x:c>
      <x:c r="BA202" s="10" t="n">
        <x:v>845</x:v>
      </x:c>
      <x:c r="BB202" s="4" t="n">
        <x:v>46.5</x:v>
      </x:c>
      <x:c r="BC202" s="4" t="n">
        <x:v>-2.4</x:v>
      </x:c>
      <x:c r="BD202" s="10" t="n">
        <x:v>496</x:v>
      </x:c>
      <x:c r="BE202" s="10" t="n">
        <x:v>596</x:v>
      </x:c>
      <x:c r="BF202" s="4" t="n">
        <x:v>45.4</x:v>
      </x:c>
      <x:c r="BG202" s="4" t="n">
        <x:v>-4.8</x:v>
      </x:c>
      <x:c r="BH202" s="4" t="n">
        <x:v>10.8</x:v>
      </x:c>
      <x:c r="BI202" s="4" t="n">
        <x:v>88.2</x:v>
      </x:c>
      <x:c r="BJ202" s="4" t="n">
        <x:v>99</x:v>
      </x:c>
      <x:c r="BK202" s="4" t="n">
        <x:v>33.1</x:v>
      </x:c>
      <x:c r="BL202" s="4" t="n">
        <x:v>66.9</x:v>
      </x:c>
      <x:c r="BM202" s="4" t="n">
        <x:v>14.016666666666667</x:v>
      </x:c>
      <x:c r="BN202" s="4" t="n">
        <x:v>11.7</x:v>
      </x:c>
      <x:c r="BO202" s="10" t="n">
        <x:v>8</x:v>
      </x:c>
      <x:c r="BP202" s="10" t="n">
        <x:v>42</x:v>
      </x:c>
      <x:c r="BQ202" s="4" t="n">
        <x:v>-3.8</x:v>
      </x:c>
      <x:c r="BR202" s="10" t="n">
        <x:v>173</x:v>
      </x:c>
      <x:c r="BS202" s="4" t="n">
        <x:v>51.4</x:v>
      </x:c>
      <x:c r="BT202" s="10" t="n">
        <x:v>72</x:v>
      </x:c>
      <x:c r="BU202" s="4" t="str">
        <x:v>MTL</x:v>
      </x:c>
      <x:c r="BV202" s="10" t="n">
        <x:v>419</x:v>
      </x:c>
      <x:c r="BW202" s="10" t="n">
        <x:v>419</x:v>
      </x:c>
      <x:c r="BX202" s="10" t="n">
        <x:v>11</x:v>
      </x:c>
      <x:c r="BY202" s="4" t="str">
        <x:v>Josh Anderson</x:v>
      </x:c>
      <x:c r="BZ202" s="4" t="str">
        <x:v>Josh Anderson</x:v>
      </x:c>
      <x:c r="CA202" s="4" t="str">
        <x:v>Josh Anderson</x:v>
      </x:c>
      <x:c r="CB202" s="4" t="str">
        <x:v>anderjo05</x:v>
      </x:c>
    </x:row>
    <x:row r="203" ht="22" customHeight="1">
      <x:c r="A203" s="4" t="str">
        <x:v>Josh Doan</x:v>
      </x:c>
      <x:c r="B203" s="4" t="str">
        <x:v>joshdoan</x:v>
      </x:c>
      <x:c r="C203" s="10" t="n">
        <x:v>1</x:v>
      </x:c>
      <x:c r="D203" s="10" t="n">
        <x:v>1</x:v>
      </x:c>
      <x:c r="E203" s="10" t="n">
        <x:v>1</x:v>
      </x:c>
      <x:c r="F203" s="4" t="n">
        <x:f>IF(COUNT(N203,Q203,T203,W203,Z203,AC203,AF203,AI203)=8,N203*Guide!$E$5+Q203*Guide!$E$6+T203*Guide!$E$7+W203*Guide!$E$8+Z203*Guide!$E$9+AC203*Guide!$E$10+AF203*Guide!$E$11+AI203*Guide!$E$12,"")</x:f>
        <x:v>207.75</x:v>
      </x:c>
      <x:c r="G203" s="4" t="n">
        <x:f>IF(COUNT(O203,R203,U203,X203,AA203,AD203,AG203,AJ203)=8,O203*Guide!$E$5+R203*Guide!$E$6+U203*Guide!$E$7+X203*Guide!$E$8+AA203*Guide!$E$9+AD203*Guide!$E$10+AG203*Guide!$E$11+AJ203*Guide!$E$12,"")</x:f>
        <x:v>279.25</x:v>
      </x:c>
      <x:c r="H203" s="4" t="n">
        <x:f>IF(COUNT(G203,F203)=2,G203-F203,"")</x:f>
        <x:v>71.5</x:v>
      </x:c>
      <x:c r="I203" s="4" t="n">
        <x:f>IF(AND(ISNUMBER(F203),K203&gt;0),F203/K203,"")</x:f>
        <x:v>2.7335526315789473</x:v>
      </x:c>
      <x:c r="J203" s="4" t="n">
        <x:f>IF(AND(ISNUMBER(G203),L203&gt;0),G203/L203,"")</x:f>
        <x:v>3.4054878048780486</x:v>
      </x:c>
      <x:c r="K203" s="10" t="n">
        <x:v>76</x:v>
      </x:c>
      <x:c r="L203" s="10" t="n">
        <x:v>82</x:v>
      </x:c>
      <x:c r="M203" s="10" t="n">
        <x:f>IF(COUNT(L203,K203)=2,L203-K203,"")</x:f>
        <x:v>6</x:v>
      </x:c>
      <x:c r="N203" s="10" t="n">
        <x:v>16</x:v>
      </x:c>
      <x:c r="O203" s="10" t="n">
        <x:v>25</x:v>
      </x:c>
      <x:c r="P203" s="10" t="n">
        <x:f>IF(COUNT(O203,N203)=2,O203-N203,"")</x:f>
        <x:v>9</x:v>
      </x:c>
      <x:c r="Q203" s="10" t="n">
        <x:v>21</x:v>
      </x:c>
      <x:c r="R203" s="10" t="n">
        <x:v>27</x:v>
      </x:c>
      <x:c r="S203" s="10" t="n">
        <x:f>IF(COUNT(R203,Q203)=2,R203-Q203,"")</x:f>
        <x:v>6</x:v>
      </x:c>
      <x:c r="T203" s="10" t="n">
        <x:v>2</x:v>
      </x:c>
      <x:c r="U203" s="10" t="n">
        <x:v>-4</x:v>
      </x:c>
      <x:c r="V203" s="10" t="n">
        <x:f>IF(COUNT(U203,T203)=2,U203-T203,"")</x:f>
        <x:v>-6</x:v>
      </x:c>
      <x:c r="W203" s="10" t="n">
        <x:v>9</x:v>
      </x:c>
      <x:c r="X203" s="10" t="n">
        <x:f>IF(COUNT(AV203,AW203)=2,AV203+AW203,"")</x:f>
        <x:v>17</x:v>
      </x:c>
      <x:c r="Y203" s="10" t="n">
        <x:f>IF(COUNT(X203,W203)=2,X203-W203,"")</x:f>
        <x:v>8</x:v>
      </x:c>
      <x:c r="Z203" s="10" t="n">
        <x:v>0</x:v>
      </x:c>
      <x:c r="AA203" s="10" t="n">
        <x:f>IF(COUNT(AX203,AY203)=2,AX203+AY203,"")</x:f>
        <x:v>0</x:v>
      </x:c>
      <x:c r="AB203" s="10" t="n">
        <x:f>IF(COUNT(AA203,Z203)=2,AA203-Z203,"")</x:f>
        <x:v>0</x:v>
      </x:c>
      <x:c r="AC203" s="10" t="n">
        <x:v>141</x:v>
      </x:c>
      <x:c r="AD203" s="10" t="n">
        <x:v>170</x:v>
      </x:c>
      <x:c r="AE203" s="10" t="n">
        <x:f>IF(COUNT(AD203,AC203)=2,AD203-AC203,"")</x:f>
        <x:v>29</x:v>
      </x:c>
      <x:c r="AF203" s="10" t="n">
        <x:v>69</x:v>
      </x:c>
      <x:c r="AG203" s="10" t="n">
        <x:v>78</x:v>
      </x:c>
      <x:c r="AH203" s="10" t="n">
        <x:f>IF(COUNT(AG203,AF203)=2,AG203-AF203,"")</x:f>
        <x:v>9</x:v>
      </x:c>
      <x:c r="AI203" s="10" t="n">
        <x:v>23</x:v>
      </x:c>
      <x:c r="AJ203" s="10" t="n">
        <x:v>31</x:v>
      </x:c>
      <x:c r="AK203" s="10" t="n">
        <x:f>IF(COUNT(AJ203,AI203)=2,AJ203-AI203,"")</x:f>
        <x:v>8</x:v>
      </x:c>
      <x:c r="AL203" s="10" t="n">
        <x:v>23</x:v>
      </x:c>
      <x:c r="AM203" s="10" t="n">
        <x:v>23</x:v>
      </x:c>
      <x:c r="AN203" s="4" t="str">
        <x:v>RW</x:v>
      </x:c>
      <x:c r="AO203" s="4" t="str">
        <x:v>RW</x:v>
      </x:c>
      <x:c r="AP203" s="4" t="str">
        <x:v>BUF</x:v>
      </x:c>
      <x:c r="AQ203" s="4" t="str">
        <x:v>BUF</x:v>
      </x:c>
      <x:c r="AR203" s="4" t="n">
        <x:v>13.97</x:v>
      </x:c>
      <x:c r="AS203" s="4" t="n">
        <x:v>15.866666666666667</x:v>
      </x:c>
      <x:c r="AT203" s="4" t="n">
        <x:v>1.52</x:v>
      </x:c>
      <x:c r="AU203" s="4" t="n">
        <x:v>14.7</x:v>
      </x:c>
      <x:c r="AV203" s="10" t="n">
        <x:v>9</x:v>
      </x:c>
      <x:c r="AW203" s="10" t="n">
        <x:v>8</x:v>
      </x:c>
      <x:c r="AX203" s="10" t="n">
        <x:v>0</x:v>
      </x:c>
      <x:c r="AY203" s="10" t="n">
        <x:v>0</x:v>
      </x:c>
      <x:c r="AZ203" s="10" t="n">
        <x:v>1078</x:v>
      </x:c>
      <x:c r="BA203" s="10" t="n">
        <x:v>1037</x:v>
      </x:c>
      <x:c r="BB203" s="4" t="n">
        <x:v>51</x:v>
      </x:c>
      <x:c r="BC203" s="4" t="n">
        <x:v>2.7</x:v>
      </x:c>
      <x:c r="BD203" s="10" t="n">
        <x:v>811</x:v>
      </x:c>
      <x:c r="BE203" s="10" t="n">
        <x:v>782</x:v>
      </x:c>
      <x:c r="BF203" s="4" t="n">
        <x:v>50.9</x:v>
      </x:c>
      <x:c r="BG203" s="4" t="n">
        <x:v>2.1</x:v>
      </x:c>
      <x:c r="BH203" s="4" t="n">
        <x:v>11.5</x:v>
      </x:c>
      <x:c r="BI203" s="4" t="n">
        <x:v>88.1</x:v>
      </x:c>
      <x:c r="BJ203" s="4" t="n">
        <x:v>99.6</x:v>
      </x:c>
      <x:c r="BK203" s="4" t="n">
        <x:v>50</x:v>
      </x:c>
      <x:c r="BL203" s="4" t="n">
        <x:v>50</x:v>
      </x:c>
      <x:c r="BM203" s="4" t="n">
        <x:v>15.866666666666667</x:v>
      </x:c>
      <x:c r="BN203" s="4" t="n">
        <x:v>13.083333333333334</x:v>
      </x:c>
      <x:c r="BO203" s="10" t="n">
        <x:v>46</x:v>
      </x:c>
      <x:c r="BP203" s="10" t="n">
        <x:v>64</x:v>
      </x:c>
      <x:c r="BQ203" s="4" t="n">
        <x:v>3.4</x:v>
      </x:c>
      <x:c r="BR203" s="10" t="n">
        <x:v>313</x:v>
      </x:c>
      <x:c r="BS203" s="4" t="n">
        <x:v>54.3</x:v>
      </x:c>
      <x:c r="BT203" s="10" t="n">
        <x:v>82</x:v>
      </x:c>
      <x:c r="BU203" s="4" t="str">
        <x:v>BUF</x:v>
      </x:c>
      <x:c r="BV203" s="10" t="n">
        <x:v>287</x:v>
      </x:c>
      <x:c r="BW203" s="10" t="n">
        <x:v>128</x:v>
      </x:c>
      <x:c r="BX203" s="10" t="n">
        <x:v>221</x:v>
      </x:c>
      <x:c r="BY203" s="4" t="str">
        <x:v>Josh Doan</x:v>
      </x:c>
      <x:c r="BZ203" s="4" t="str">
        <x:v>Josh Doan</x:v>
      </x:c>
      <x:c r="CA203" s="4" t="str">
        <x:v>Josh Doan</x:v>
      </x:c>
      <x:c r="CB203" s="4" t="str">
        <x:v>doanjo01</x:v>
      </x:c>
    </x:row>
    <x:row r="204" ht="22" customHeight="1">
      <x:c r="A204" s="4" t="str">
        <x:v>Josh Manson</x:v>
      </x:c>
      <x:c r="B204" s="4" t="str">
        <x:v>joshmanson</x:v>
      </x:c>
      <x:c r="C204" s="10" t="n">
        <x:v>1</x:v>
      </x:c>
      <x:c r="D204" s="10" t="n">
        <x:v>1</x:v>
      </x:c>
      <x:c r="E204" s="10" t="n">
        <x:v>1</x:v>
      </x:c>
      <x:c r="F204" s="4" t="n">
        <x:f>IF(COUNT(N204,Q204,T204,W204,Z204,AC204,AF204,AI204)=8,N204*Guide!$E$5+Q204*Guide!$E$6+T204*Guide!$E$7+W204*Guide!$E$8+Z204*Guide!$E$9+AC204*Guide!$E$10+AF204*Guide!$E$11+AI204*Guide!$E$12,"")</x:f>
        <x:v>216</x:v>
      </x:c>
      <x:c r="G204" s="4" t="n">
        <x:f>IF(COUNT(O204,R204,U204,X204,AA204,AD204,AG204,AJ204)=8,O204*Guide!$E$5+R204*Guide!$E$6+U204*Guide!$E$7+X204*Guide!$E$8+AA204*Guide!$E$9+AD204*Guide!$E$10+AG204*Guide!$E$11+AJ204*Guide!$E$12,"")</x:f>
        <x:v>289.75</x:v>
      </x:c>
      <x:c r="H204" s="4" t="n">
        <x:f>IF(COUNT(G204,F204)=2,G204-F204,"")</x:f>
        <x:v>73.75</x:v>
      </x:c>
      <x:c r="I204" s="4" t="n">
        <x:f>IF(AND(ISNUMBER(F204),K204&gt;0),F204/K204,"")</x:f>
        <x:v>2.918918918918919</x:v>
      </x:c>
      <x:c r="J204" s="4" t="n">
        <x:f>IF(AND(ISNUMBER(G204),L204&gt;0),G204/L204,"")</x:f>
        <x:v>3.6677215189873418</x:v>
      </x:c>
      <x:c r="K204" s="10" t="n">
        <x:v>74</x:v>
      </x:c>
      <x:c r="L204" s="10" t="n">
        <x:v>79</x:v>
      </x:c>
      <x:c r="M204" s="10" t="n">
        <x:f>IF(COUNT(L204,K204)=2,L204-K204,"")</x:f>
        <x:v>5</x:v>
      </x:c>
      <x:c r="N204" s="10" t="n">
        <x:v>5</x:v>
      </x:c>
      <x:c r="O204" s="10" t="n">
        <x:v>5</x:v>
      </x:c>
      <x:c r="P204" s="10" t="n">
        <x:f>IF(COUNT(O204,N204)=2,O204-N204,"")</x:f>
        <x:v>0</x:v>
      </x:c>
      <x:c r="Q204" s="10" t="n">
        <x:v>18</x:v>
      </x:c>
      <x:c r="R204" s="10" t="n">
        <x:v>26</x:v>
      </x:c>
      <x:c r="S204" s="10" t="n">
        <x:f>IF(COUNT(R204,Q204)=2,R204-Q204,"")</x:f>
        <x:v>8</x:v>
      </x:c>
      <x:c r="T204" s="10" t="n">
        <x:v>3</x:v>
      </x:c>
      <x:c r="U204" s="10" t="n">
        <x:v>42</x:v>
      </x:c>
      <x:c r="V204" s="10" t="n">
        <x:f>IF(COUNT(U204,T204)=2,U204-T204,"")</x:f>
        <x:v>39</x:v>
      </x:c>
      <x:c r="W204" s="10" t="n">
        <x:v>0</x:v>
      </x:c>
      <x:c r="X204" s="10" t="n">
        <x:f>IF(COUNT(AV204,AW204)=2,AV204+AW204,"")</x:f>
        <x:v>0</x:v>
      </x:c>
      <x:c r="Y204" s="10" t="n">
        <x:f>IF(COUNT(X204,W204)=2,X204-W204,"")</x:f>
        <x:v>0</x:v>
      </x:c>
      <x:c r="Z204" s="10" t="n">
        <x:v>1</x:v>
      </x:c>
      <x:c r="AA204" s="10" t="n">
        <x:f>IF(COUNT(AX204,AY204)=2,AX204+AY204,"")</x:f>
        <x:v>0</x:v>
      </x:c>
      <x:c r="AB204" s="10" t="n">
        <x:f>IF(COUNT(AA204,Z204)=2,AA204-Z204,"")</x:f>
        <x:v>-1</x:v>
      </x:c>
      <x:c r="AC204" s="10" t="n">
        <x:v>100</x:v>
      </x:c>
      <x:c r="AD204" s="10" t="n">
        <x:v>128</x:v>
      </x:c>
      <x:c r="AE204" s="10" t="n">
        <x:f>IF(COUNT(AD204,AC204)=2,AD204-AC204,"")</x:f>
        <x:v>28</x:v>
      </x:c>
      <x:c r="AF204" s="10" t="n">
        <x:v>153</x:v>
      </x:c>
      <x:c r="AG204" s="10" t="n">
        <x:v>174</x:v>
      </x:c>
      <x:c r="AH204" s="10" t="n">
        <x:f>IF(COUNT(AG204,AF204)=2,AG204-AF204,"")</x:f>
        <x:v>21</x:v>
      </x:c>
      <x:c r="AI204" s="10" t="n">
        <x:v>97</x:v>
      </x:c>
      <x:c r="AJ204" s="10" t="n">
        <x:v>99</x:v>
      </x:c>
      <x:c r="AK204" s="10" t="n">
        <x:f>IF(COUNT(AJ204,AI204)=2,AJ204-AI204,"")</x:f>
        <x:v>2</x:v>
      </x:c>
      <x:c r="AL204" s="10" t="n">
        <x:v>34</x:v>
      </x:c>
      <x:c r="AM204" s="10" t="n">
        <x:v>34</x:v>
      </x:c>
      <x:c r="AN204" s="4" t="str">
        <x:v>D</x:v>
      </x:c>
      <x:c r="AO204" s="4" t="str">
        <x:v>D</x:v>
      </x:c>
      <x:c r="AP204" s="4" t="str">
        <x:v>COL</x:v>
      </x:c>
      <x:c r="AQ204" s="4" t="str">
        <x:v>COL</x:v>
      </x:c>
      <x:c r="AR204" s="4" t="n">
        <x:v>18.099999999999998</x:v>
      </x:c>
      <x:c r="AS204" s="4" t="n">
        <x:v>17.783333333333335</x:v>
      </x:c>
      <x:c r="AT204" s="4" t="n">
        <x:v>0.06</x:v>
      </x:c>
      <x:c r="AU204" s="4" t="n">
        <x:v>3.9</x:v>
      </x:c>
      <x:c r="AV204" s="10" t="n">
        <x:v>0</x:v>
      </x:c>
      <x:c r="AW204" s="10" t="n">
        <x:v>0</x:v>
      </x:c>
      <x:c r="AX204" s="10" t="n">
        <x:v>0</x:v>
      </x:c>
      <x:c r="AY204" s="10" t="n">
        <x:v>0</x:v>
      </x:c>
      <x:c r="AZ204" s="10" t="n">
        <x:v>1448</x:v>
      </x:c>
      <x:c r="BA204" s="10" t="n">
        <x:v>1108</x:v>
      </x:c>
      <x:c r="BB204" s="4" t="n">
        <x:v>56.7</x:v>
      </x:c>
      <x:c r="BC204" s="4" t="n">
        <x:v>0.6</x:v>
      </x:c>
      <x:c r="BD204" s="10" t="n">
        <x:v>1037</x:v>
      </x:c>
      <x:c r="BE204" s="10" t="n">
        <x:v>795</x:v>
      </x:c>
      <x:c r="BF204" s="4" t="n">
        <x:v>56.6</x:v>
      </x:c>
      <x:c r="BG204" s="4" t="n">
        <x:v>1.5</x:v>
      </x:c>
      <x:c r="BH204" s="4" t="n">
        <x:v>12</x:v>
      </x:c>
      <x:c r="BI204" s="4" t="n">
        <x:v>91.3</x:v>
      </x:c>
      <x:c r="BJ204" s="4" t="n">
        <x:v>103.2</x:v>
      </x:c>
      <x:c r="BK204" s="4" t="n">
        <x:v>44.4</x:v>
      </x:c>
      <x:c r="BL204" s="4" t="n">
        <x:v>55.6</x:v>
      </x:c>
      <x:c r="BM204" s="4" t="n">
        <x:v>17.783333333333335</x:v>
      </x:c>
      <x:c r="BN204" s="4" t="n">
        <x:v>15.75</x:v>
      </x:c>
      <x:c r="BO204" s="10" t="n">
        <x:v>26</x:v>
      </x:c>
      <x:c r="BP204" s="10" t="n">
        <x:v>83</x:v>
      </x:c>
      <x:c r="BQ204" s="4" t="n">
        <x:v>13.5</x:v>
      </x:c>
      <x:c r="BR204" s="10" t="n">
        <x:v>260</x:v>
      </x:c>
      <x:c r="BS204" s="4" t="n">
        <x:v>49.2</x:v>
      </x:c>
      <x:c r="BT204" s="10" t="n">
        <x:v>79</x:v>
      </x:c>
      <x:c r="BU204" s="4" t="str">
        <x:v>COL</x:v>
      </x:c>
      <x:c r="BV204" s="10" t="n">
        <x:v>462</x:v>
      </x:c>
      <x:c r="BW204" s="10" t="n">
        <x:v>315</x:v>
      </x:c>
      <x:c r="BX204" s="10" t="n">
        <x:v>641</x:v>
      </x:c>
      <x:c r="BY204" s="4" t="str">
        <x:v>Josh Manson</x:v>
      </x:c>
      <x:c r="BZ204" s="4" t="str">
        <x:v>Josh Manson</x:v>
      </x:c>
      <x:c r="CA204" s="4" t="str">
        <x:v>Josh Manson</x:v>
      </x:c>
      <x:c r="CB204" s="4" t="str">
        <x:v>mansojo01</x:v>
      </x:c>
    </x:row>
    <x:row r="205" ht="22" customHeight="1">
      <x:c r="A205" s="4" t="str">
        <x:v>Josh Morrissey</x:v>
      </x:c>
      <x:c r="B205" s="4" t="str">
        <x:v>joshmorrissey</x:v>
      </x:c>
      <x:c r="C205" s="10" t="n">
        <x:v>1</x:v>
      </x:c>
      <x:c r="D205" s="10" t="n">
        <x:v>1</x:v>
      </x:c>
      <x:c r="E205" s="10" t="n">
        <x:v>1</x:v>
      </x:c>
      <x:c r="F205" s="4" t="n">
        <x:f>IF(COUNT(N205,Q205,T205,W205,Z205,AC205,AF205,AI205)=8,N205*Guide!$E$5+Q205*Guide!$E$6+T205*Guide!$E$7+W205*Guide!$E$8+Z205*Guide!$E$9+AC205*Guide!$E$10+AF205*Guide!$E$11+AI205*Guide!$E$12,"")</x:f>
        <x:v>387</x:v>
      </x:c>
      <x:c r="G205" s="4" t="n">
        <x:f>IF(COUNT(O205,R205,U205,X205,AA205,AD205,AG205,AJ205)=8,O205*Guide!$E$5+R205*Guide!$E$6+U205*Guide!$E$7+X205*Guide!$E$8+AA205*Guide!$E$9+AD205*Guide!$E$10+AG205*Guide!$E$11+AJ205*Guide!$E$12,"")</x:f>
        <x:v>335</x:v>
      </x:c>
      <x:c r="H205" s="4" t="n">
        <x:f>IF(COUNT(G205,F205)=2,G205-F205,"")</x:f>
        <x:v>-52</x:v>
      </x:c>
      <x:c r="I205" s="4" t="n">
        <x:f>IF(AND(ISNUMBER(F205),K205&gt;0),F205/K205,"")</x:f>
        <x:v>4.8375</x:v>
      </x:c>
      <x:c r="J205" s="4" t="n">
        <x:f>IF(AND(ISNUMBER(G205),L205&gt;0),G205/L205,"")</x:f>
        <x:v>4.35064935064935</x:v>
      </x:c>
      <x:c r="K205" s="10" t="n">
        <x:v>80</x:v>
      </x:c>
      <x:c r="L205" s="10" t="n">
        <x:v>77</x:v>
      </x:c>
      <x:c r="M205" s="10" t="n">
        <x:f>IF(COUNT(L205,K205)=2,L205-K205,"")</x:f>
        <x:v>-3</x:v>
      </x:c>
      <x:c r="N205" s="10" t="n">
        <x:v>13</x:v>
      </x:c>
      <x:c r="O205" s="10" t="n">
        <x:v>14</x:v>
      </x:c>
      <x:c r="P205" s="10" t="n">
        <x:f>IF(COUNT(O205,N205)=2,O205-N205,"")</x:f>
        <x:v>1</x:v>
      </x:c>
      <x:c r="Q205" s="10" t="n">
        <x:v>52</x:v>
      </x:c>
      <x:c r="R205" s="10" t="n">
        <x:v>41</x:v>
      </x:c>
      <x:c r="S205" s="10" t="n">
        <x:f>IF(COUNT(R205,Q205)=2,R205-Q205,"")</x:f>
        <x:v>-11</x:v>
      </x:c>
      <x:c r="T205" s="10" t="n">
        <x:v>12</x:v>
      </x:c>
      <x:c r="U205" s="10" t="n">
        <x:v>6</x:v>
      </x:c>
      <x:c r="V205" s="10" t="n">
        <x:f>IF(COUNT(U205,T205)=2,U205-T205,"")</x:f>
        <x:v>-6</x:v>
      </x:c>
      <x:c r="W205" s="10" t="n">
        <x:v>23</x:v>
      </x:c>
      <x:c r="X205" s="10" t="n">
        <x:f>IF(COUNT(AV205,AW205)=2,AV205+AW205,"")</x:f>
        <x:v>16</x:v>
      </x:c>
      <x:c r="Y205" s="10" t="n">
        <x:f>IF(COUNT(X205,W205)=2,X205-W205,"")</x:f>
        <x:v>-7</x:v>
      </x:c>
      <x:c r="Z205" s="10" t="n">
        <x:v>0</x:v>
      </x:c>
      <x:c r="AA205" s="10" t="n">
        <x:f>IF(COUNT(AX205,AY205)=2,AX205+AY205,"")</x:f>
        <x:v>0</x:v>
      </x:c>
      <x:c r="AB205" s="10" t="n">
        <x:f>IF(COUNT(AA205,Z205)=2,AA205-Z205,"")</x:f>
        <x:v>0</x:v>
      </x:c>
      <x:c r="AC205" s="10" t="n">
        <x:v>175</x:v>
      </x:c>
      <x:c r="AD205" s="10" t="n">
        <x:v>146</x:v>
      </x:c>
      <x:c r="AE205" s="10" t="n">
        <x:f>IF(COUNT(AD205,AC205)=2,AD205-AC205,"")</x:f>
        <x:v>-29</x:v>
      </x:c>
      <x:c r="AF205" s="10" t="n">
        <x:v>56</x:v>
      </x:c>
      <x:c r="AG205" s="10" t="n">
        <x:v>36</x:v>
      </x:c>
      <x:c r="AH205" s="10" t="n">
        <x:f>IF(COUNT(AG205,AF205)=2,AG205-AF205,"")</x:f>
        <x:v>-20</x:v>
      </x:c>
      <x:c r="AI205" s="10" t="n">
        <x:v>115</x:v>
      </x:c>
      <x:c r="AJ205" s="10" t="n">
        <x:v>118</x:v>
      </x:c>
      <x:c r="AK205" s="10" t="n">
        <x:f>IF(COUNT(AJ205,AI205)=2,AJ205-AI205,"")</x:f>
        <x:v>3</x:v>
      </x:c>
      <x:c r="AL205" s="10" t="n">
        <x:v>30</x:v>
      </x:c>
      <x:c r="AM205" s="10" t="n">
        <x:v>30</x:v>
      </x:c>
      <x:c r="AN205" s="4" t="str">
        <x:v>D</x:v>
      </x:c>
      <x:c r="AO205" s="4" t="str">
        <x:v>D</x:v>
      </x:c>
      <x:c r="AP205" s="4" t="str">
        <x:v>WPG</x:v>
      </x:c>
      <x:c r="AQ205" s="4" t="str">
        <x:v>WPG</x:v>
      </x:c>
      <x:c r="AR205" s="4" t="n">
        <x:v>24.29</x:v>
      </x:c>
      <x:c r="AS205" s="4" t="n">
        <x:v>24.716666666666665</x:v>
      </x:c>
      <x:c r="AT205" s="4" t="n">
        <x:v>2.9</x:v>
      </x:c>
      <x:c r="AU205" s="4" t="n">
        <x:v>9.6</x:v>
      </x:c>
      <x:c r="AV205" s="10" t="n">
        <x:v>2</x:v>
      </x:c>
      <x:c r="AW205" s="10" t="n">
        <x:v>14</x:v>
      </x:c>
      <x:c r="AX205" s="10" t="n">
        <x:v>0</x:v>
      </x:c>
      <x:c r="AY205" s="10" t="n">
        <x:v>0</x:v>
      </x:c>
      <x:c r="AZ205" s="10" t="n">
        <x:v>1468</x:v>
      </x:c>
      <x:c r="BA205" s="10" t="n">
        <x:v>1499</x:v>
      </x:c>
      <x:c r="BB205" s="4" t="n">
        <x:v>49.5</x:v>
      </x:c>
      <x:c r="BC205" s="4" t="n">
        <x:v>1.6</x:v>
      </x:c>
      <x:c r="BD205" s="10" t="n">
        <x:v>1097</x:v>
      </x:c>
      <x:c r="BE205" s="10" t="n">
        <x:v>1106</x:v>
      </x:c>
      <x:c r="BF205" s="4" t="n">
        <x:v>49.8</x:v>
      </x:c>
      <x:c r="BG205" s="4" t="n">
        <x:v>2</x:v>
      </x:c>
      <x:c r="BH205" s="4" t="n">
        <x:v>12.2</x:v>
      </x:c>
      <x:c r="BI205" s="4" t="n">
        <x:v>89.6</x:v>
      </x:c>
      <x:c r="BJ205" s="4" t="n">
        <x:v>101.7</x:v>
      </x:c>
      <x:c r="BK205" s="4" t="n">
        <x:v>62.8</x:v>
      </x:c>
      <x:c r="BL205" s="4" t="n">
        <x:v>37.2</x:v>
      </x:c>
      <x:c r="BM205" s="4" t="n">
        <x:v>24.716666666666665</x:v>
      </x:c>
      <x:c r="BN205" s="4" t="n">
        <x:v>20.866666666666667</x:v>
      </x:c>
      <x:c r="BO205" s="10" t="n">
        <x:v>17</x:v>
      </x:c>
      <x:c r="BP205" s="10" t="n">
        <x:v>98</x:v>
      </x:c>
      <x:c r="BQ205" s="4" t="n">
        <x:v>4</x:v>
      </x:c>
      <x:c r="BR205" s="10" t="n">
        <x:v>339</x:v>
      </x:c>
      <x:c r="BS205" s="4" t="n">
        <x:v>43.1</x:v>
      </x:c>
      <x:c r="BT205" s="10" t="n">
        <x:v>77</x:v>
      </x:c>
      <x:c r="BU205" s="4" t="str">
        <x:v>WPG</x:v>
      </x:c>
      <x:c r="BV205" s="10" t="n">
        <x:v>64</x:v>
      </x:c>
      <x:c r="BW205" s="10" t="n">
        <x:v>113</x:v>
      </x:c>
      <x:c r="BX205" s="10" t="n">
        <x:v>714</x:v>
      </x:c>
      <x:c r="BY205" s="4" t="str">
        <x:v>Josh Morrissey</x:v>
      </x:c>
      <x:c r="BZ205" s="4" t="str">
        <x:v>Josh Morrissey</x:v>
      </x:c>
      <x:c r="CA205" s="4" t="str">
        <x:v>Josh Morrissey</x:v>
      </x:c>
      <x:c r="CB205" s="4" t="str">
        <x:v>morrijo04</x:v>
      </x:c>
    </x:row>
    <x:row r="206" ht="22" customHeight="1">
      <x:c r="A206" s="4" t="str">
        <x:v>Joshua Norris</x:v>
      </x:c>
      <x:c r="B206" s="4" t="str">
        <x:v>joshnorris</x:v>
      </x:c>
      <x:c r="C206" s="10" t="n">
        <x:v>1</x:v>
      </x:c>
      <x:c r="D206" s="10" t="n">
        <x:v>1</x:v>
      </x:c>
      <x:c r="E206" s="10" t="n">
        <x:v>1</x:v>
      </x:c>
      <x:c r="F206" s="4" t="n">
        <x:f>IF(COUNT(N206,Q206,T206,W206,Z206,AC206,AF206,AI206)=8,N206*Guide!$E$5+Q206*Guide!$E$6+T206*Guide!$E$7+W206*Guide!$E$8+Z206*Guide!$E$9+AC206*Guide!$E$10+AF206*Guide!$E$11+AI206*Guide!$E$12,"")</x:f>
        <x:v>310.75</x:v>
      </x:c>
      <x:c r="G206" s="4" t="n">
        <x:f>IF(COUNT(O206,R206,U206,X206,AA206,AD206,AG206,AJ206)=8,O206*Guide!$E$5+R206*Guide!$E$6+U206*Guide!$E$7+X206*Guide!$E$8+AA206*Guide!$E$9+AD206*Guide!$E$10+AG206*Guide!$E$11+AJ206*Guide!$E$12,"")</x:f>
        <x:v>178.5</x:v>
      </x:c>
      <x:c r="H206" s="4" t="n">
        <x:f>IF(COUNT(G206,F206)=2,G206-F206,"")</x:f>
        <x:v>-132.25</x:v>
      </x:c>
      <x:c r="I206" s="4" t="n">
        <x:f>IF(AND(ISNUMBER(F206),K206&gt;0),F206/K206,"")</x:f>
        <x:v>4.088815789473684</x:v>
      </x:c>
      <x:c r="J206" s="4" t="n">
        <x:f>IF(AND(ISNUMBER(G206),L206&gt;0),G206/L206,"")</x:f>
        <x:v>4.056818181818182</x:v>
      </x:c>
      <x:c r="K206" s="10" t="n">
        <x:v>76</x:v>
      </x:c>
      <x:c r="L206" s="10" t="n">
        <x:v>44</x:v>
      </x:c>
      <x:c r="M206" s="10" t="n">
        <x:f>IF(COUNT(L206,K206)=2,L206-K206,"")</x:f>
        <x:v>-32</x:v>
      </x:c>
      <x:c r="N206" s="10" t="n">
        <x:v>24</x:v>
      </x:c>
      <x:c r="O206" s="10" t="n">
        <x:v>13</x:v>
      </x:c>
      <x:c r="P206" s="10" t="n">
        <x:f>IF(COUNT(O206,N206)=2,O206-N206,"")</x:f>
        <x:v>-11</x:v>
      </x:c>
      <x:c r="Q206" s="10" t="n">
        <x:v>25</x:v>
      </x:c>
      <x:c r="R206" s="10" t="n">
        <x:v>21</x:v>
      </x:c>
      <x:c r="S206" s="10" t="n">
        <x:f>IF(COUNT(R206,Q206)=2,R206-Q206,"")</x:f>
        <x:v>-4</x:v>
      </x:c>
      <x:c r="T206" s="10" t="n">
        <x:v>-6</x:v>
      </x:c>
      <x:c r="U206" s="10" t="n">
        <x:v>11</x:v>
      </x:c>
      <x:c r="V206" s="10" t="n">
        <x:f>IF(COUNT(U206,T206)=2,U206-T206,"")</x:f>
        <x:v>17</x:v>
      </x:c>
      <x:c r="W206" s="10" t="n">
        <x:v>18</x:v>
      </x:c>
      <x:c r="X206" s="10" t="n">
        <x:f>IF(COUNT(AV206,AW206)=2,AV206+AW206,"")</x:f>
        <x:v>9</x:v>
      </x:c>
      <x:c r="Y206" s="10" t="n">
        <x:f>IF(COUNT(X206,W206)=2,X206-W206,"")</x:f>
        <x:v>-9</x:v>
      </x:c>
      <x:c r="Z206" s="10" t="n">
        <x:v>3</x:v>
      </x:c>
      <x:c r="AA206" s="10" t="n">
        <x:f>IF(COUNT(AX206,AY206)=2,AX206+AY206,"")</x:f>
        <x:v>0</x:v>
      </x:c>
      <x:c r="AB206" s="10" t="n">
        <x:f>IF(COUNT(AA206,Z206)=2,AA206-Z206,"")</x:f>
        <x:v>-3</x:v>
      </x:c>
      <x:c r="AC206" s="10" t="n">
        <x:v>139</x:v>
      </x:c>
      <x:c r="AD206" s="10" t="n">
        <x:v>69</x:v>
      </x:c>
      <x:c r="AE206" s="10" t="n">
        <x:f>IF(COUNT(AD206,AC206)=2,AD206-AC206,"")</x:f>
        <x:v>-70</x:v>
      </x:c>
      <x:c r="AF206" s="10" t="n">
        <x:v>165</x:v>
      </x:c>
      <x:c r="AG206" s="10" t="n">
        <x:v>24</x:v>
      </x:c>
      <x:c r="AH206" s="10" t="n">
        <x:f>IF(COUNT(AG206,AF206)=2,AG206-AF206,"")</x:f>
        <x:v>-141</x:v>
      </x:c>
      <x:c r="AI206" s="10" t="n">
        <x:v>57</x:v>
      </x:c>
      <x:c r="AJ206" s="10" t="n">
        <x:v>27</x:v>
      </x:c>
      <x:c r="AK206" s="10" t="n">
        <x:f>IF(COUNT(AJ206,AI206)=2,AJ206-AI206,"")</x:f>
        <x:v>-30</x:v>
      </x:c>
      <x:c r="AL206" s="10" t="n">
        <x:v>26</x:v>
      </x:c>
      <x:c r="AM206" s="10" t="n">
        <x:v>26</x:v>
      </x:c>
      <x:c r="AN206" s="4" t="str">
        <x:v>C</x:v>
      </x:c>
      <x:c r="AO206" s="4" t="str">
        <x:v>C</x:v>
      </x:c>
      <x:c r="AP206" s="4" t="str">
        <x:v>BUF</x:v>
      </x:c>
      <x:c r="AQ206" s="4" t="str">
        <x:v>BUF</x:v>
      </x:c>
      <x:c r="AR206" s="4" t="n">
        <x:v>18.169999999999998</x:v>
      </x:c>
      <x:c r="AS206" s="4" t="n">
        <x:v>15.833333333333334</x:v>
      </x:c>
      <x:c r="AT206" s="4" t="n">
        <x:v>3.02</x:v>
      </x:c>
      <x:c r="AU206" s="4" t="n">
        <x:v>18.8</x:v>
      </x:c>
      <x:c r="AV206" s="10" t="n">
        <x:v>2</x:v>
      </x:c>
      <x:c r="AW206" s="10" t="n">
        <x:v>7</x:v>
      </x:c>
      <x:c r="AX206" s="10" t="n">
        <x:v>0</x:v>
      </x:c>
      <x:c r="AY206" s="10" t="n">
        <x:v>0</x:v>
      </x:c>
      <x:c r="AZ206" s="10" t="n">
        <x:v>541</x:v>
      </x:c>
      <x:c r="BA206" s="10" t="n">
        <x:v>522</x:v>
      </x:c>
      <x:c r="BB206" s="4" t="n">
        <x:v>50.9</x:v>
      </x:c>
      <x:c r="BC206" s="4" t="n">
        <x:v>0.6</x:v>
      </x:c>
      <x:c r="BD206" s="10" t="n">
        <x:v>426</x:v>
      </x:c>
      <x:c r="BE206" s="10" t="n">
        <x:v>378</x:v>
      </x:c>
      <x:c r="BF206" s="4" t="n">
        <x:v>53</x:v>
      </x:c>
      <x:c r="BG206" s="4" t="n">
        <x:v>2.4</x:v>
      </x:c>
      <x:c r="BH206" s="4" t="n">
        <x:v>13.9</x:v>
      </x:c>
      <x:c r="BI206" s="4" t="n">
        <x:v>89.6</x:v>
      </x:c>
      <x:c r="BJ206" s="4" t="n">
        <x:v>103.5</x:v>
      </x:c>
      <x:c r="BK206" s="4" t="n">
        <x:v>47.1</x:v>
      </x:c>
      <x:c r="BL206" s="4" t="n">
        <x:v>52.9</x:v>
      </x:c>
      <x:c r="BM206" s="4" t="n">
        <x:v>15.833333333333334</x:v>
      </x:c>
      <x:c r="BN206" s="4" t="n">
        <x:v>12.516666666666667</x:v>
      </x:c>
      <x:c r="BO206" s="10" t="n">
        <x:v>9</x:v>
      </x:c>
      <x:c r="BP206" s="10" t="n">
        <x:v>20</x:v>
      </x:c>
      <x:c r="BQ206" s="4" t="n">
        <x:v>5.2</x:v>
      </x:c>
      <x:c r="BR206" s="10" t="n">
        <x:v>134</x:v>
      </x:c>
      <x:c r="BS206" s="4" t="n">
        <x:v>51.5</x:v>
      </x:c>
      <x:c r="BT206" s="10" t="n">
        <x:v>44</x:v>
      </x:c>
      <x:c r="BU206" s="4" t="str">
        <x:v>BUF</x:v>
      </x:c>
      <x:c r="BV206" s="10" t="n">
        <x:v>160</x:v>
      </x:c>
      <x:c r="BW206" s="10" t="n">
        <x:v>281</x:v>
      </x:c>
      <x:c r="BX206" s="10" t="n">
        <x:v>743</x:v>
      </x:c>
      <x:c r="BY206" s="4" t="str">
        <x:v>Josh Norris</x:v>
      </x:c>
      <x:c r="BZ206" s="4" t="str">
        <x:v>Joshua Norris</x:v>
      </x:c>
      <x:c r="CA206" s="4" t="str">
        <x:v>Joshua Norris</x:v>
      </x:c>
      <x:c r="CB206" s="4" t="str">
        <x:v>norrijo01</x:v>
      </x:c>
    </x:row>
    <x:row r="207" ht="22" customHeight="1">
      <x:c r="A207" s="4" t="str">
        <x:v>Juraj Slafkovsky</x:v>
      </x:c>
      <x:c r="B207" s="4" t="str">
        <x:v>jurajslafkovsky</x:v>
      </x:c>
      <x:c r="C207" s="10" t="n">
        <x:v>1</x:v>
      </x:c>
      <x:c r="D207" s="10" t="n">
        <x:v>1</x:v>
      </x:c>
      <x:c r="E207" s="10" t="n">
        <x:v>1</x:v>
      </x:c>
      <x:c r="F207" s="4" t="n">
        <x:f>IF(COUNT(N207,Q207,T207,W207,Z207,AC207,AF207,AI207)=8,N207*Guide!$E$5+Q207*Guide!$E$6+T207*Guide!$E$7+W207*Guide!$E$8+Z207*Guide!$E$9+AC207*Guide!$E$10+AF207*Guide!$E$11+AI207*Guide!$E$12,"")</x:f>
        <x:v>319.75</x:v>
      </x:c>
      <x:c r="G207" s="4" t="n">
        <x:f>IF(COUNT(O207,R207,U207,X207,AA207,AD207,AG207,AJ207)=8,O207*Guide!$E$5+R207*Guide!$E$6+U207*Guide!$E$7+X207*Guide!$E$8+AA207*Guide!$E$9+AD207*Guide!$E$10+AG207*Guide!$E$11+AJ207*Guide!$E$12,"")</x:f>
        <x:v>415.75</x:v>
      </x:c>
      <x:c r="H207" s="4" t="n">
        <x:f>IF(COUNT(G207,F207)=2,G207-F207,"")</x:f>
        <x:v>96</x:v>
      </x:c>
      <x:c r="I207" s="4" t="n">
        <x:f>IF(AND(ISNUMBER(F207),K207&gt;0),F207/K207,"")</x:f>
        <x:v>4.0474683544303796</x:v>
      </x:c>
      <x:c r="J207" s="4" t="n">
        <x:f>IF(AND(ISNUMBER(G207),L207&gt;0),G207/L207,"")</x:f>
        <x:v>5.070121951219512</x:v>
      </x:c>
      <x:c r="K207" s="10" t="n">
        <x:v>79</x:v>
      </x:c>
      <x:c r="L207" s="10" t="n">
        <x:v>82</x:v>
      </x:c>
      <x:c r="M207" s="10" t="n">
        <x:f>IF(COUNT(L207,K207)=2,L207-K207,"")</x:f>
        <x:v>3</x:v>
      </x:c>
      <x:c r="N207" s="10" t="n">
        <x:v>22</x:v>
      </x:c>
      <x:c r="O207" s="10" t="n">
        <x:v>30</x:v>
      </x:c>
      <x:c r="P207" s="10" t="n">
        <x:f>IF(COUNT(O207,N207)=2,O207-N207,"")</x:f>
        <x:v>8</x:v>
      </x:c>
      <x:c r="Q207" s="10" t="n">
        <x:v>31</x:v>
      </x:c>
      <x:c r="R207" s="10" t="n">
        <x:v>43</x:v>
      </x:c>
      <x:c r="S207" s="10" t="n">
        <x:f>IF(COUNT(R207,Q207)=2,R207-Q207,"")</x:f>
        <x:v>12</x:v>
      </x:c>
      <x:c r="T207" s="10" t="n">
        <x:v>-6</x:v>
      </x:c>
      <x:c r="U207" s="10" t="n">
        <x:v>9</x:v>
      </x:c>
      <x:c r="V207" s="10" t="n">
        <x:f>IF(COUNT(U207,T207)=2,U207-T207,"")</x:f>
        <x:v>15</x:v>
      </x:c>
      <x:c r="W207" s="10" t="n">
        <x:v>16</x:v>
      </x:c>
      <x:c r="X207" s="10" t="n">
        <x:f>IF(COUNT(AV207,AW207)=2,AV207+AW207,"")</x:f>
        <x:v>28</x:v>
      </x:c>
      <x:c r="Y207" s="10" t="n">
        <x:f>IF(COUNT(X207,W207)=2,X207-W207,"")</x:f>
        <x:v>12</x:v>
      </x:c>
      <x:c r="Z207" s="10" t="n">
        <x:v>0</x:v>
      </x:c>
      <x:c r="AA207" s="10" t="n">
        <x:f>IF(COUNT(AX207,AY207)=2,AX207+AY207,"")</x:f>
        <x:v>0</x:v>
      </x:c>
      <x:c r="AB207" s="10" t="n">
        <x:f>IF(COUNT(AA207,Z207)=2,AA207-Z207,"")</x:f>
        <x:v>0</x:v>
      </x:c>
      <x:c r="AC207" s="10" t="n">
        <x:v>143</x:v>
      </x:c>
      <x:c r="AD207" s="10" t="n">
        <x:v>180</x:v>
      </x:c>
      <x:c r="AE207" s="10" t="n">
        <x:f>IF(COUNT(AD207,AC207)=2,AD207-AC207,"")</x:f>
        <x:v>37</x:v>
      </x:c>
      <x:c r="AF207" s="10" t="n">
        <x:v>180</x:v>
      </x:c>
      <x:c r="AG207" s="10" t="n">
        <x:v>105</x:v>
      </x:c>
      <x:c r="AH207" s="10" t="n">
        <x:f>IF(COUNT(AG207,AF207)=2,AG207-AF207,"")</x:f>
        <x:v>-75</x:v>
      </x:c>
      <x:c r="AI207" s="10" t="n">
        <x:v>64</x:v>
      </x:c>
      <x:c r="AJ207" s="10" t="n">
        <x:v>78</x:v>
      </x:c>
      <x:c r="AK207" s="10" t="n">
        <x:f>IF(COUNT(AJ207,AI207)=2,AJ207-AI207,"")</x:f>
        <x:v>14</x:v>
      </x:c>
      <x:c r="AL207" s="10" t="n">
        <x:v>21</x:v>
      </x:c>
      <x:c r="AM207" s="10" t="n">
        <x:v>21</x:v>
      </x:c>
      <x:c r="AN207" s="4" t="str">
        <x:v>LW,RW</x:v>
      </x:c>
      <x:c r="AO207" s="4" t="str">
        <x:v>LW</x:v>
      </x:c>
      <x:c r="AP207" s="4" t="str">
        <x:v>MTL</x:v>
      </x:c>
      <x:c r="AQ207" s="4" t="str">
        <x:v>MTL</x:v>
      </x:c>
      <x:c r="AR207" s="4" t="n">
        <x:v>17.64</x:v>
      </x:c>
      <x:c r="AS207" s="4" t="n">
        <x:v>18.533333333333335</x:v>
      </x:c>
      <x:c r="AT207" s="4" t="n">
        <x:v>3.12</x:v>
      </x:c>
      <x:c r="AU207" s="4" t="n">
        <x:v>16.7</x:v>
      </x:c>
      <x:c r="AV207" s="10" t="n">
        <x:v>15</x:v>
      </x:c>
      <x:c r="AW207" s="10" t="n">
        <x:v>13</x:v>
      </x:c>
      <x:c r="AX207" s="10" t="n">
        <x:v>0</x:v>
      </x:c>
      <x:c r="AY207" s="10" t="n">
        <x:v>0</x:v>
      </x:c>
      <x:c r="AZ207" s="10" t="n">
        <x:v>1282</x:v>
      </x:c>
      <x:c r="BA207" s="10" t="n">
        <x:v>1289</x:v>
      </x:c>
      <x:c r="BB207" s="4" t="n">
        <x:v>49.9</x:v>
      </x:c>
      <x:c r="BC207" s="4" t="n">
        <x:v>1.8</x:v>
      </x:c>
      <x:c r="BD207" s="10" t="n">
        <x:v>963</x:v>
      </x:c>
      <x:c r="BE207" s="10" t="n">
        <x:v>898</x:v>
      </x:c>
      <x:c r="BF207" s="4" t="n">
        <x:v>51.7</x:v>
      </x:c>
      <x:c r="BG207" s="4" t="n">
        <x:v>3.2</x:v>
      </x:c>
      <x:c r="BH207" s="4" t="n">
        <x:v>12.9</x:v>
      </x:c>
      <x:c r="BI207" s="4" t="n">
        <x:v>89.3</x:v>
      </x:c>
      <x:c r="BJ207" s="4" t="n">
        <x:v>102.1</x:v>
      </x:c>
      <x:c r="BK207" s="4" t="n">
        <x:v>55.6</x:v>
      </x:c>
      <x:c r="BL207" s="4" t="n">
        <x:v>44.4</x:v>
      </x:c>
      <x:c r="BM207" s="4" t="n">
        <x:v>18.533333333333335</x:v>
      </x:c>
      <x:c r="BN207" s="4" t="n">
        <x:v>15.216666666666667</x:v>
      </x:c>
      <x:c r="BO207" s="10" t="n">
        <x:v>16</x:v>
      </x:c>
      <x:c r="BP207" s="10" t="n">
        <x:v>82</x:v>
      </x:c>
      <x:c r="BQ207" s="4" t="n">
        <x:v>0.5</x:v>
      </x:c>
      <x:c r="BR207" s="10" t="n">
        <x:v>396</x:v>
      </x:c>
      <x:c r="BS207" s="4" t="n">
        <x:v>45.7</x:v>
      </x:c>
      <x:c r="BT207" s="10" t="n">
        <x:v>82</x:v>
      </x:c>
      <x:c r="BU207" s="4" t="str">
        <x:v>MTL</x:v>
      </x:c>
      <x:c r="BV207" s="10" t="n">
        <x:v>132</x:v>
      </x:c>
      <x:c r="BW207" s="10" t="n">
        <x:v>50</x:v>
      </x:c>
      <x:c r="BX207" s="10" t="n">
        <x:v>941</x:v>
      </x:c>
      <x:c r="BY207" s="4" t="str">
        <x:v>Juraj Slafkovsky</x:v>
      </x:c>
      <x:c r="BZ207" s="4" t="str">
        <x:v>Juraj Slafkovsky</x:v>
      </x:c>
      <x:c r="CA207" s="4" t="str">
        <x:v>Juraj Slafkovsky</x:v>
      </x:c>
      <x:c r="CB207" s="4" t="str">
        <x:v>slafkju01</x:v>
      </x:c>
    </x:row>
    <x:row r="208" ht="22" customHeight="1">
      <x:c r="A208" s="4" t="str">
        <x:v>Justin Brazeau</x:v>
      </x:c>
      <x:c r="B208" s="4" t="str">
        <x:v>justinbrazeau</x:v>
      </x:c>
      <x:c r="C208" s="10" t="n">
        <x:v>1</x:v>
      </x:c>
      <x:c r="D208" s="10" t="n">
        <x:v>1</x:v>
      </x:c>
      <x:c r="E208" s="10" t="n">
        <x:v>1</x:v>
      </x:c>
      <x:c r="F208" s="4" t="n">
        <x:f>IF(COUNT(N208,Q208,T208,W208,Z208,AC208,AF208,AI208)=8,N208*Guide!$E$5+Q208*Guide!$E$6+T208*Guide!$E$7+W208*Guide!$E$8+Z208*Guide!$E$9+AC208*Guide!$E$10+AF208*Guide!$E$11+AI208*Guide!$E$12,"")</x:f>
        <x:v>169.75</x:v>
      </x:c>
      <x:c r="G208" s="4" t="n">
        <x:f>IF(COUNT(O208,R208,U208,X208,AA208,AD208,AG208,AJ208)=8,O208*Guide!$E$5+R208*Guide!$E$6+U208*Guide!$E$7+X208*Guide!$E$8+AA208*Guide!$E$9+AD208*Guide!$E$10+AG208*Guide!$E$11+AJ208*Guide!$E$12,"")</x:f>
        <x:v>210.5</x:v>
      </x:c>
      <x:c r="H208" s="4" t="n">
        <x:f>IF(COUNT(G208,F208)=2,G208-F208,"")</x:f>
        <x:v>40.75</x:v>
      </x:c>
      <x:c r="I208" s="4" t="n">
        <x:f>IF(AND(ISNUMBER(F208),K208&gt;0),F208/K208,"")</x:f>
        <x:v>2.390845070422535</x:v>
      </x:c>
      <x:c r="J208" s="4" t="n">
        <x:f>IF(AND(ISNUMBER(G208),L208&gt;0),G208/L208,"")</x:f>
        <x:v>3.2890625</x:v>
      </x:c>
      <x:c r="K208" s="10" t="n">
        <x:v>71</x:v>
      </x:c>
      <x:c r="L208" s="10" t="n">
        <x:v>64</x:v>
      </x:c>
      <x:c r="M208" s="10" t="n">
        <x:f>IF(COUNT(L208,K208)=2,L208-K208,"")</x:f>
        <x:v>-7</x:v>
      </x:c>
      <x:c r="N208" s="10" t="n">
        <x:v>12</x:v>
      </x:c>
      <x:c r="O208" s="10" t="n">
        <x:v>17</x:v>
      </x:c>
      <x:c r="P208" s="10" t="n">
        <x:f>IF(COUNT(O208,N208)=2,O208-N208,"")</x:f>
        <x:v>5</x:v>
      </x:c>
      <x:c r="Q208" s="10" t="n">
        <x:v>13</x:v>
      </x:c>
      <x:c r="R208" s="10" t="n">
        <x:v>17</x:v>
      </x:c>
      <x:c r="S208" s="10" t="n">
        <x:f>IF(COUNT(R208,Q208)=2,R208-Q208,"")</x:f>
        <x:v>4</x:v>
      </x:c>
      <x:c r="T208" s="10" t="n">
        <x:v>-2</x:v>
      </x:c>
      <x:c r="U208" s="10" t="n">
        <x:v>5</x:v>
      </x:c>
      <x:c r="V208" s="10" t="n">
        <x:f>IF(COUNT(U208,T208)=2,U208-T208,"")</x:f>
        <x:v>7</x:v>
      </x:c>
      <x:c r="W208" s="10" t="n">
        <x:v>5</x:v>
      </x:c>
      <x:c r="X208" s="10" t="n">
        <x:f>IF(COUNT(AV208,AW208)=2,AV208+AW208,"")</x:f>
        <x:v>5</x:v>
      </x:c>
      <x:c r="Y208" s="10" t="n">
        <x:f>IF(COUNT(X208,W208)=2,X208-W208,"")</x:f>
        <x:v>0</x:v>
      </x:c>
      <x:c r="Z208" s="10" t="n">
        <x:v>0</x:v>
      </x:c>
      <x:c r="AA208" s="10" t="n">
        <x:f>IF(COUNT(AX208,AY208)=2,AX208+AY208,"")</x:f>
        <x:v>0</x:v>
      </x:c>
      <x:c r="AB208" s="10" t="n">
        <x:f>IF(COUNT(AA208,Z208)=2,AA208-Z208,"")</x:f>
        <x:v>0</x:v>
      </x:c>
      <x:c r="AC208" s="10" t="n">
        <x:v>86</x:v>
      </x:c>
      <x:c r="AD208" s="10" t="n">
        <x:v>104</x:v>
      </x:c>
      <x:c r="AE208" s="10" t="n">
        <x:f>IF(COUNT(AD208,AC208)=2,AD208-AC208,"")</x:f>
        <x:v>18</x:v>
      </x:c>
      <x:c r="AF208" s="10" t="n">
        <x:v>122</x:v>
      </x:c>
      <x:c r="AG208" s="10" t="n">
        <x:v>90</x:v>
      </x:c>
      <x:c r="AH208" s="10" t="n">
        <x:f>IF(COUNT(AG208,AF208)=2,AG208-AF208,"")</x:f>
        <x:v>-32</x:v>
      </x:c>
      <x:c r="AI208" s="10" t="n">
        <x:v>37</x:v>
      </x:c>
      <x:c r="AJ208" s="10" t="n">
        <x:v>44</x:v>
      </x:c>
      <x:c r="AK208" s="10" t="n">
        <x:f>IF(COUNT(AJ208,AI208)=2,AJ208-AI208,"")</x:f>
        <x:v>7</x:v>
      </x:c>
      <x:c r="AL208" s="10" t="n">
        <x:v>27</x:v>
      </x:c>
      <x:c r="AM208" s="10" t="n">
        <x:v>27</x:v>
      </x:c>
      <x:c r="AN208" s="4" t="str">
        <x:v>RW</x:v>
      </x:c>
      <x:c r="AO208" s="4" t="str">
        <x:v>F</x:v>
      </x:c>
      <x:c r="AP208" s="4" t="str">
        <x:v>PIT</x:v>
      </x:c>
      <x:c r="AQ208" s="4" t="str">
        <x:v>PIT</x:v>
      </x:c>
      <x:c r="AR208" s="4" t="n">
        <x:v>11.799999999999999</x:v>
      </x:c>
      <x:c r="AS208" s="4" t="n">
        <x:v>12.65</x:v>
      </x:c>
      <x:c r="AT208" s="4" t="n">
        <x:v>1.09</x:v>
      </x:c>
      <x:c r="AU208" s="4" t="n">
        <x:v>16.3</x:v>
      </x:c>
      <x:c r="AV208" s="10" t="n">
        <x:v>3</x:v>
      </x:c>
      <x:c r="AW208" s="10" t="n">
        <x:v>2</x:v>
      </x:c>
      <x:c r="AX208" s="10" t="n">
        <x:v>0</x:v>
      </x:c>
      <x:c r="AY208" s="10" t="n">
        <x:v>0</x:v>
      </x:c>
      <x:c r="AZ208" s="10" t="n">
        <x:v>703</x:v>
      </x:c>
      <x:c r="BA208" s="10" t="n">
        <x:v>727</x:v>
      </x:c>
      <x:c r="BB208" s="4" t="n">
        <x:v>49.2</x:v>
      </x:c>
      <x:c r="BC208" s="4" t="n">
        <x:v>-0.8</x:v>
      </x:c>
      <x:c r="BD208" s="10" t="n">
        <x:v>508</x:v>
      </x:c>
      <x:c r="BE208" s="10" t="n">
        <x:v>524</x:v>
      </x:c>
      <x:c r="BF208" s="4" t="n">
        <x:v>49.2</x:v>
      </x:c>
      <x:c r="BG208" s="4" t="n">
        <x:v>-1.2</x:v>
      </x:c>
      <x:c r="BH208" s="4" t="n">
        <x:v>12.8</x:v>
      </x:c>
      <x:c r="BI208" s="4" t="n">
        <x:v>89.2</x:v>
      </x:c>
      <x:c r="BJ208" s="4" t="n">
        <x:v>102</x:v>
      </x:c>
      <x:c r="BK208" s="4" t="n">
        <x:v>59.8</x:v>
      </x:c>
      <x:c r="BL208" s="4" t="n">
        <x:v>40.2</x:v>
      </x:c>
      <x:c r="BM208" s="4" t="n">
        <x:v>12.65</x:v>
      </x:c>
      <x:c r="BN208" s="4" t="n">
        <x:v>11.616666666666667</x:v>
      </x:c>
      <x:c r="BO208" s="10" t="n">
        <x:v>12</x:v>
      </x:c>
      <x:c r="BP208" s="10" t="n">
        <x:v>40</x:v>
      </x:c>
      <x:c r="BQ208" s="4" t="n">
        <x:v>4</x:v>
      </x:c>
      <x:c r="BR208" s="10" t="n">
        <x:v>183</x:v>
      </x:c>
      <x:c r="BS208" s="4" t="n">
        <x:v>56.8</x:v>
      </x:c>
      <x:c r="BT208" s="10" t="n">
        <x:v>64</x:v>
      </x:c>
      <x:c r="BU208" s="4" t="str">
        <x:v>PIT</x:v>
      </x:c>
      <x:c r="BV208" s="10" t="n">
        <x:v>437</x:v>
      </x:c>
      <x:c r="BW208" s="10" t="n">
        <x:v>278</x:v>
      </x:c>
      <x:c r="BX208" s="10" t="n">
        <x:v>90</x:v>
      </x:c>
      <x:c r="BY208" s="4" t="str">
        <x:v>Justin Brazeau</x:v>
      </x:c>
      <x:c r="BZ208" s="4" t="str">
        <x:v>Justin Brazeau</x:v>
      </x:c>
      <x:c r="CA208" s="4" t="str">
        <x:v>Justin Brazeau</x:v>
      </x:c>
      <x:c r="CB208" s="4" t="str">
        <x:v>brazeju01</x:v>
      </x:c>
    </x:row>
    <x:row r="209" ht="22" customHeight="1">
      <x:c r="A209" s="4" t="str">
        <x:v>Justin Faulk</x:v>
      </x:c>
      <x:c r="B209" s="4" t="str">
        <x:v>justinfaulk</x:v>
      </x:c>
      <x:c r="C209" s="10" t="n">
        <x:v>1</x:v>
      </x:c>
      <x:c r="D209" s="10" t="n">
        <x:v>1</x:v>
      </x:c>
      <x:c r="E209" s="10" t="n">
        <x:v>1</x:v>
      </x:c>
      <x:c r="F209" s="4" t="n">
        <x:f>IF(COUNT(N209,Q209,T209,W209,Z209,AC209,AF209,AI209)=8,N209*Guide!$E$5+Q209*Guide!$E$6+T209*Guide!$E$7+W209*Guide!$E$8+Z209*Guide!$E$9+AC209*Guide!$E$10+AF209*Guide!$E$11+AI209*Guide!$E$12,"")</x:f>
        <x:v>267.75</x:v>
      </x:c>
      <x:c r="G209" s="4" t="n">
        <x:f>IF(COUNT(O209,R209,U209,X209,AA209,AD209,AG209,AJ209)=8,O209*Guide!$E$5+R209*Guide!$E$6+U209*Guide!$E$7+X209*Guide!$E$8+AA209*Guide!$E$9+AD209*Guide!$E$10+AG209*Guide!$E$11+AJ209*Guide!$E$12,"")</x:f>
        <x:v>293.5</x:v>
      </x:c>
      <x:c r="H209" s="4" t="n">
        <x:f>IF(COUNT(G209,F209)=2,G209-F209,"")</x:f>
        <x:v>25.75</x:v>
      </x:c>
      <x:c r="I209" s="4" t="n">
        <x:f>IF(AND(ISNUMBER(F209),K209&gt;0),F209/K209,"")</x:f>
        <x:v>3.523026315789474</x:v>
      </x:c>
      <x:c r="J209" s="4" t="n">
        <x:f>IF(AND(ISNUMBER(G209),L209&gt;0),G209/L209,"")</x:f>
        <x:v>3.7628205128205128</x:v>
      </x:c>
      <x:c r="K209" s="10" t="n">
        <x:v>76</x:v>
      </x:c>
      <x:c r="L209" s="10" t="n">
        <x:v>78</x:v>
      </x:c>
      <x:c r="M209" s="10" t="n">
        <x:f>IF(COUNT(L209,K209)=2,L209-K209,"")</x:f>
        <x:v>2</x:v>
      </x:c>
      <x:c r="N209" s="10" t="n">
        <x:v>7</x:v>
      </x:c>
      <x:c r="O209" s="10" t="n">
        <x:v>16</x:v>
      </x:c>
      <x:c r="P209" s="10" t="n">
        <x:f>IF(COUNT(O209,N209)=2,O209-N209,"")</x:f>
        <x:v>9</x:v>
      </x:c>
      <x:c r="Q209" s="10" t="n">
        <x:v>31</x:v>
      </x:c>
      <x:c r="R209" s="10" t="n">
        <x:v>24</x:v>
      </x:c>
      <x:c r="S209" s="10" t="n">
        <x:f>IF(COUNT(R209,Q209)=2,R209-Q209,"")</x:f>
        <x:v>-7</x:v>
      </x:c>
      <x:c r="T209" s="10" t="n">
        <x:v>-3</x:v>
      </x:c>
      <x:c r="U209" s="10" t="n">
        <x:v>-8</x:v>
      </x:c>
      <x:c r="V209" s="10" t="n">
        <x:f>IF(COUNT(U209,T209)=2,U209-T209,"")</x:f>
        <x:v>-5</x:v>
      </x:c>
      <x:c r="W209" s="10" t="n">
        <x:v>11</x:v>
      </x:c>
      <x:c r="X209" s="10" t="n">
        <x:f>IF(COUNT(AV209,AW209)=2,AV209+AW209,"")</x:f>
        <x:v>9</x:v>
      </x:c>
      <x:c r="Y209" s="10" t="n">
        <x:f>IF(COUNT(X209,W209)=2,X209-W209,"")</x:f>
        <x:v>-2</x:v>
      </x:c>
      <x:c r="Z209" s="10" t="n">
        <x:v>0</x:v>
      </x:c>
      <x:c r="AA209" s="10" t="n">
        <x:f>IF(COUNT(AX209,AY209)=2,AX209+AY209,"")</x:f>
        <x:v>1</x:v>
      </x:c>
      <x:c r="AB209" s="10" t="n">
        <x:f>IF(COUNT(AA209,Z209)=2,AA209-Z209,"")</x:f>
        <x:v>1</x:v>
      </x:c>
      <x:c r="AC209" s="10" t="n">
        <x:v>131</x:v>
      </x:c>
      <x:c r="AD209" s="10" t="n">
        <x:v>148</x:v>
      </x:c>
      <x:c r="AE209" s="10" t="n">
        <x:f>IF(COUNT(AD209,AC209)=2,AD209-AC209,"")</x:f>
        <x:v>17</x:v>
      </x:c>
      <x:c r="AF209" s="10" t="n">
        <x:v>79</x:v>
      </x:c>
      <x:c r="AG209" s="10" t="n">
        <x:v>70</x:v>
      </x:c>
      <x:c r="AH209" s="10" t="n">
        <x:f>IF(COUNT(AG209,AF209)=2,AG209-AF209,"")</x:f>
        <x:v>-9</x:v>
      </x:c>
      <x:c r="AI209" s="10" t="n">
        <x:v>115</x:v>
      </x:c>
      <x:c r="AJ209" s="10" t="n">
        <x:v>132</x:v>
      </x:c>
      <x:c r="AK209" s="10" t="n">
        <x:f>IF(COUNT(AJ209,AI209)=2,AJ209-AI209,"")</x:f>
        <x:v>17</x:v>
      </x:c>
      <x:c r="AL209" s="10" t="n">
        <x:v>33</x:v>
      </x:c>
      <x:c r="AM209" s="10" t="n">
        <x:v>33</x:v>
      </x:c>
      <x:c r="AN209" s="4" t="str">
        <x:v>D</x:v>
      </x:c>
      <x:c r="AO209" s="4" t="str">
        <x:v>D</x:v>
      </x:c>
      <x:c r="AP209" s="4" t="str">
        <x:v>STL</x:v>
      </x:c>
      <x:c r="AQ209" s="4" t="str">
        <x:v>2TM</x:v>
      </x:c>
      <x:c r="AR209" s="4" t="n">
        <x:v>22.429999999999996</x:v>
      </x:c>
      <x:c r="AS209" s="4" t="n">
        <x:v>22.016666666666666</x:v>
      </x:c>
      <x:c r="AT209" s="4" t="n">
        <x:v>1.99</x:v>
      </x:c>
      <x:c r="AU209" s="4" t="n">
        <x:v>10.8</x:v>
      </x:c>
      <x:c r="AV209" s="10" t="n">
        <x:v>2</x:v>
      </x:c>
      <x:c r="AW209" s="10" t="n">
        <x:v>7</x:v>
      </x:c>
      <x:c r="AX209" s="10" t="n">
        <x:v>0</x:v>
      </x:c>
      <x:c r="AY209" s="10" t="n">
        <x:v>1</x:v>
      </x:c>
      <x:c r="AZ209" s="10" t="n">
        <x:v>1254</x:v>
      </x:c>
      <x:c r="BA209" s="10" t="n">
        <x:v>1426</x:v>
      </x:c>
      <x:c r="BB209" s="4" t="n">
        <x:v>46.8</x:v>
      </x:c>
      <x:c r="BC209" s="4" t="n">
        <x:v>-1.3</x:v>
      </x:c>
      <x:c r="BD209" s="10" t="n">
        <x:v>925</x:v>
      </x:c>
      <x:c r="BE209" s="10" t="n">
        <x:v>1039</x:v>
      </x:c>
      <x:c r="BF209" s="4" t="n">
        <x:v>47.1</x:v>
      </x:c>
      <x:c r="BG209" s="4" t="n">
        <x:v>-1.1</x:v>
      </x:c>
      <x:c r="BH209" s="4" t="n">
        <x:v>9.7</x:v>
      </x:c>
      <x:c r="BI209" s="4" t="n">
        <x:v>89</x:v>
      </x:c>
      <x:c r="BJ209" s="4" t="n">
        <x:v>98.7</x:v>
      </x:c>
      <x:c r="BK209" s="4" t="n">
        <x:v>49.6</x:v>
      </x:c>
      <x:c r="BL209" s="4" t="n">
        <x:v>50.4</x:v>
      </x:c>
      <x:c r="BM209" s="4" t="n">
        <x:v>22.016666666666666</x:v>
      </x:c>
      <x:c r="BN209" s="4" t="n">
        <x:v>18.583333333333332</x:v>
      </x:c>
      <x:c r="BO209" s="10" t="n">
        <x:v>27</x:v>
      </x:c>
      <x:c r="BP209" s="10" t="n">
        <x:v>64</x:v>
      </x:c>
      <x:c r="BQ209" s="4" t="n">
        <x:v>1.6</x:v>
      </x:c>
      <x:c r="BR209" s="10" t="n">
        <x:v>305</x:v>
      </x:c>
      <x:c r="BS209" s="4" t="n">
        <x:v>48.5</x:v>
      </x:c>
      <x:c r="BT209" s="10" t="n">
        <x:v>78</x:v>
      </x:c>
      <x:c r="BU209" s="4" t="str">
        <x:v>TOT</x:v>
      </x:c>
      <x:c r="BV209" s="10" t="n">
        <x:v>271</x:v>
      </x:c>
      <x:c r="BW209" s="10" t="n">
        <x:v>216</x:v>
      </x:c>
      <x:c r="BX209" s="10" t="n">
        <x:v>284</x:v>
      </x:c>
      <x:c r="BY209" s="4" t="str">
        <x:v>Justin Faulk</x:v>
      </x:c>
      <x:c r="BZ209" s="4" t="str">
        <x:v>Justin Faulk</x:v>
      </x:c>
      <x:c r="CA209" s="4" t="str">
        <x:v>Justin Faulk</x:v>
      </x:c>
      <x:c r="CB209" s="4" t="str">
        <x:v>faulkju01</x:v>
      </x:c>
    </x:row>
    <x:row r="210" ht="22" customHeight="1">
      <x:c r="A210" s="4" t="str">
        <x:v>Justin Sourdif</x:v>
      </x:c>
      <x:c r="B210" s="4" t="str">
        <x:v>justinsourdif</x:v>
      </x:c>
      <x:c r="C210" s="10" t="n">
        <x:v>1</x:v>
      </x:c>
      <x:c r="D210" s="10" t="n">
        <x:v>1</x:v>
      </x:c>
      <x:c r="E210" s="10" t="n">
        <x:v>1</x:v>
      </x:c>
      <x:c r="F210" s="4" t="n">
        <x:f>IF(COUNT(N210,Q210,T210,W210,Z210,AC210,AF210,AI210)=8,N210*Guide!$E$5+Q210*Guide!$E$6+T210*Guide!$E$7+W210*Guide!$E$8+Z210*Guide!$E$9+AC210*Guide!$E$10+AF210*Guide!$E$11+AI210*Guide!$E$12,"")</x:f>
        <x:v>146</x:v>
      </x:c>
      <x:c r="G210" s="4" t="n">
        <x:f>IF(COUNT(O210,R210,U210,X210,AA210,AD210,AG210,AJ210)=8,O210*Guide!$E$5+R210*Guide!$E$6+U210*Guide!$E$7+X210*Guide!$E$8+AA210*Guide!$E$9+AD210*Guide!$E$10+AG210*Guide!$E$11+AJ210*Guide!$E$12,"")</x:f>
        <x:v>221.5</x:v>
      </x:c>
      <x:c r="H210" s="4" t="n">
        <x:f>IF(COUNT(G210,F210)=2,G210-F210,"")</x:f>
        <x:v>75.5</x:v>
      </x:c>
      <x:c r="I210" s="4" t="n">
        <x:f>IF(AND(ISNUMBER(F210),K210&gt;0),F210/K210,"")</x:f>
        <x:v>2.1470588235294117</x:v>
      </x:c>
      <x:c r="J210" s="4" t="n">
        <x:f>IF(AND(ISNUMBER(G210),L210&gt;0),G210/L210,"")</x:f>
        <x:v>2.83974358974359</x:v>
      </x:c>
      <x:c r="K210" s="10" t="n">
        <x:v>68</x:v>
      </x:c>
      <x:c r="L210" s="10" t="n">
        <x:v>78</x:v>
      </x:c>
      <x:c r="M210" s="10" t="n">
        <x:f>IF(COUNT(L210,K210)=2,L210-K210,"")</x:f>
        <x:v>10</x:v>
      </x:c>
      <x:c r="N210" s="10" t="n">
        <x:v>10</x:v>
      </x:c>
      <x:c r="O210" s="10" t="n">
        <x:v>15</x:v>
      </x:c>
      <x:c r="P210" s="10" t="n">
        <x:f>IF(COUNT(O210,N210)=2,O210-N210,"")</x:f>
        <x:v>5</x:v>
      </x:c>
      <x:c r="Q210" s="10" t="n">
        <x:v>13</x:v>
      </x:c>
      <x:c r="R210" s="10" t="n">
        <x:v>20</x:v>
      </x:c>
      <x:c r="S210" s="10" t="n">
        <x:f>IF(COUNT(R210,Q210)=2,R210-Q210,"")</x:f>
        <x:v>7</x:v>
      </x:c>
      <x:c r="T210" s="10" t="n">
        <x:v>2</x:v>
      </x:c>
      <x:c r="U210" s="10" t="n">
        <x:v>17</x:v>
      </x:c>
      <x:c r="V210" s="10" t="n">
        <x:f>IF(COUNT(U210,T210)=2,U210-T210,"")</x:f>
        <x:v>15</x:v>
      </x:c>
      <x:c r="W210" s="10" t="n">
        <x:v>0</x:v>
      </x:c>
      <x:c r="X210" s="10" t="n">
        <x:f>IF(COUNT(AV210,AW210)=2,AV210+AW210,"")</x:f>
        <x:v>3</x:v>
      </x:c>
      <x:c r="Y210" s="10" t="n">
        <x:f>IF(COUNT(X210,W210)=2,X210-W210,"")</x:f>
        <x:v>3</x:v>
      </x:c>
      <x:c r="Z210" s="10" t="n">
        <x:v>0</x:v>
      </x:c>
      <x:c r="AA210" s="10" t="n">
        <x:f>IF(COUNT(AX210,AY210)=2,AX210+AY210,"")</x:f>
        <x:v>0</x:v>
      </x:c>
      <x:c r="AB210" s="10" t="n">
        <x:f>IF(COUNT(AA210,Z210)=2,AA210-Z210,"")</x:f>
        <x:v>0</x:v>
      </x:c>
      <x:c r="AC210" s="10" t="n">
        <x:v>82</x:v>
      </x:c>
      <x:c r="AD210" s="10" t="n">
        <x:v>108</x:v>
      </x:c>
      <x:c r="AE210" s="10" t="n">
        <x:f>IF(COUNT(AD210,AC210)=2,AD210-AC210,"")</x:f>
        <x:v>26</x:v>
      </x:c>
      <x:c r="AF210" s="10" t="n">
        <x:v>85</x:v>
      </x:c>
      <x:c r="AG210" s="10" t="n">
        <x:v>98</x:v>
      </x:c>
      <x:c r="AH210" s="10" t="n">
        <x:f>IF(COUNT(AG210,AF210)=2,AG210-AF210,"")</x:f>
        <x:v>13</x:v>
      </x:c>
      <x:c r="AI210" s="10" t="n">
        <x:v>31</x:v>
      </x:c>
      <x:c r="AJ210" s="10" t="n">
        <x:v>40</x:v>
      </x:c>
      <x:c r="AK210" s="10" t="n">
        <x:f>IF(COUNT(AJ210,AI210)=2,AJ210-AI210,"")</x:f>
        <x:v>9</x:v>
      </x:c>
      <x:c r="AL210" s="10"/>
      <x:c r="AM210" s="10" t="n">
        <x:v>23</x:v>
      </x:c>
      <x:c r="AN210" s="4" t="str">
        <x:v>RW</x:v>
      </x:c>
      <x:c r="AO210" s="4" t="str">
        <x:v>RW</x:v>
      </x:c>
      <x:c r="AP210" s="4" t="str">
        <x:v>WSH</x:v>
      </x:c>
      <x:c r="AQ210" s="4" t="str">
        <x:v>WSH</x:v>
      </x:c>
      <x:c r="AR210" s="4" t="n">
        <x:v>11.75</x:v>
      </x:c>
      <x:c r="AS210" s="4" t="n">
        <x:v>14.733333333333333</x:v>
      </x:c>
      <x:c r="AT210" s="4" t="n">
        <x:v>0</x:v>
      </x:c>
      <x:c r="AU210" s="4" t="n">
        <x:v>13.9</x:v>
      </x:c>
      <x:c r="AV210" s="10" t="n">
        <x:v>3</x:v>
      </x:c>
      <x:c r="AW210" s="10" t="n">
        <x:v>0</x:v>
      </x:c>
      <x:c r="AX210" s="10" t="n">
        <x:v>0</x:v>
      </x:c>
      <x:c r="AY210" s="10" t="n">
        <x:v>0</x:v>
      </x:c>
      <x:c r="AZ210" s="10" t="n">
        <x:v>995</x:v>
      </x:c>
      <x:c r="BA210" s="10" t="n">
        <x:v>986</x:v>
      </x:c>
      <x:c r="BB210" s="4" t="n">
        <x:v>50.2</x:v>
      </x:c>
      <x:c r="BC210" s="4" t="n">
        <x:v>1</x:v>
      </x:c>
      <x:c r="BD210" s="10" t="n">
        <x:v>723</x:v>
      </x:c>
      <x:c r="BE210" s="10" t="n">
        <x:v>694</x:v>
      </x:c>
      <x:c r="BF210" s="4" t="n">
        <x:v>51</x:v>
      </x:c>
      <x:c r="BG210" s="4" t="n">
        <x:v>1</x:v>
      </x:c>
      <x:c r="BH210" s="4" t="n">
        <x:v>10.9</x:v>
      </x:c>
      <x:c r="BI210" s="4" t="n">
        <x:v>92.2</x:v>
      </x:c>
      <x:c r="BJ210" s="4" t="n">
        <x:v>103.2</x:v>
      </x:c>
      <x:c r="BK210" s="4" t="n">
        <x:v>37.9</x:v>
      </x:c>
      <x:c r="BL210" s="4" t="n">
        <x:v>62.1</x:v>
      </x:c>
      <x:c r="BM210" s="4" t="n">
        <x:v>14.733333333333333</x:v>
      </x:c>
      <x:c r="BN210" s="4" t="n">
        <x:v>13.6</x:v>
      </x:c>
      <x:c r="BO210" s="10" t="n">
        <x:v>21</x:v>
      </x:c>
      <x:c r="BP210" s="10" t="n">
        <x:v>55</x:v>
      </x:c>
      <x:c r="BQ210" s="4" t="n">
        <x:v>2.3</x:v>
      </x:c>
      <x:c r="BR210" s="10" t="n">
        <x:v>225</x:v>
      </x:c>
      <x:c r="BS210" s="4" t="n">
        <x:v>48</x:v>
      </x:c>
      <x:c r="BT210" s="10" t="n">
        <x:v>78</x:v>
      </x:c>
      <x:c r="BU210" s="4" t="str">
        <x:v>WSH</x:v>
      </x:c>
      <x:c r="BV210" s="10" t="n">
        <x:v>476</x:v>
      </x:c>
      <x:c r="BW210" s="10" t="n">
        <x:v>272</x:v>
      </x:c>
      <x:c r="BX210" s="10" t="n">
        <x:v>962</x:v>
      </x:c>
      <x:c r="BY210" s="4" t="str">
        <x:v>Justin Sourdif</x:v>
      </x:c>
      <x:c r="BZ210" s="4" t="str">
        <x:v>Justin Sourdif</x:v>
      </x:c>
      <x:c r="CA210" s="4" t="str">
        <x:v>Justin Sourdif</x:v>
      </x:c>
      <x:c r="CB210" s="4" t="str">
        <x:v>sourdju01</x:v>
      </x:c>
    </x:row>
    <x:row r="211" ht="22" customHeight="1">
      <x:c r="A211" s="4" t="str">
        <x:v>K'Andre Miller</x:v>
      </x:c>
      <x:c r="B211" s="4" t="str">
        <x:v>kandremiller</x:v>
      </x:c>
      <x:c r="C211" s="10" t="n">
        <x:v>1</x:v>
      </x:c>
      <x:c r="D211" s="10" t="n">
        <x:v>1</x:v>
      </x:c>
      <x:c r="E211" s="10" t="n">
        <x:v>1</x:v>
      </x:c>
      <x:c r="F211" s="4" t="n">
        <x:f>IF(COUNT(N211,Q211,T211,W211,Z211,AC211,AF211,AI211)=8,N211*Guide!$E$5+Q211*Guide!$E$6+T211*Guide!$E$7+W211*Guide!$E$8+Z211*Guide!$E$9+AC211*Guide!$E$10+AF211*Guide!$E$11+AI211*Guide!$E$12,"")</x:f>
        <x:v>246.75</x:v>
      </x:c>
      <x:c r="G211" s="4" t="n">
        <x:f>IF(COUNT(O211,R211,U211,X211,AA211,AD211,AG211,AJ211)=8,O211*Guide!$E$5+R211*Guide!$E$6+U211*Guide!$E$7+X211*Guide!$E$8+AA211*Guide!$E$9+AD211*Guide!$E$10+AG211*Guide!$E$11+AJ211*Guide!$E$12,"")</x:f>
        <x:v>253.25</x:v>
      </x:c>
      <x:c r="H211" s="4" t="n">
        <x:f>IF(COUNT(G211,F211)=2,G211-F211,"")</x:f>
        <x:v>6.5</x:v>
      </x:c>
      <x:c r="I211" s="4" t="n">
        <x:f>IF(AND(ISNUMBER(F211),K211&gt;0),F211/K211,"")</x:f>
        <x:v>3.2467105263157894</x:v>
      </x:c>
      <x:c r="J211" s="4" t="n">
        <x:f>IF(AND(ISNUMBER(G211),L211&gt;0),G211/L211,"")</x:f>
        <x:v>3.517361111111111</x:v>
      </x:c>
      <x:c r="K211" s="10" t="n">
        <x:v>76</x:v>
      </x:c>
      <x:c r="L211" s="10" t="n">
        <x:v>72</x:v>
      </x:c>
      <x:c r="M211" s="10" t="n">
        <x:f>IF(COUNT(L211,K211)=2,L211-K211,"")</x:f>
        <x:v>-4</x:v>
      </x:c>
      <x:c r="N211" s="10" t="n">
        <x:v>8</x:v>
      </x:c>
      <x:c r="O211" s="10" t="n">
        <x:v>8</x:v>
      </x:c>
      <x:c r="P211" s="10" t="n">
        <x:f>IF(COUNT(O211,N211)=2,O211-N211,"")</x:f>
        <x:v>0</x:v>
      </x:c>
      <x:c r="Q211" s="10" t="n">
        <x:v>25</x:v>
      </x:c>
      <x:c r="R211" s="10" t="n">
        <x:v>29</x:v>
      </x:c>
      <x:c r="S211" s="10" t="n">
        <x:f>IF(COUNT(R211,Q211)=2,R211-Q211,"")</x:f>
        <x:v>4</x:v>
      </x:c>
      <x:c r="T211" s="10" t="n">
        <x:v>0</x:v>
      </x:c>
      <x:c r="U211" s="10" t="n">
        <x:v>7</x:v>
      </x:c>
      <x:c r="V211" s="10" t="n">
        <x:f>IF(COUNT(U211,T211)=2,U211-T211,"")</x:f>
        <x:v>7</x:v>
      </x:c>
      <x:c r="W211" s="10" t="n">
        <x:v>4</x:v>
      </x:c>
      <x:c r="X211" s="10" t="n">
        <x:f>IF(COUNT(AV211,AW211)=2,AV211+AW211,"")</x:f>
        <x:v>3</x:v>
      </x:c>
      <x:c r="Y211" s="10" t="n">
        <x:f>IF(COUNT(X211,W211)=2,X211-W211,"")</x:f>
        <x:v>-1</x:v>
      </x:c>
      <x:c r="Z211" s="10" t="n">
        <x:v>1</x:v>
      </x:c>
      <x:c r="AA211" s="10" t="n">
        <x:f>IF(COUNT(AX211,AY211)=2,AX211+AY211,"")</x:f>
        <x:v>3</x:v>
      </x:c>
      <x:c r="AB211" s="10" t="n">
        <x:f>IF(COUNT(AA211,Z211)=2,AA211-Z211,"")</x:f>
        <x:v>2</x:v>
      </x:c>
      <x:c r="AC211" s="10" t="n">
        <x:v>104</x:v>
      </x:c>
      <x:c r="AD211" s="10" t="n">
        <x:v>123</x:v>
      </x:c>
      <x:c r="AE211" s="10" t="n">
        <x:f>IF(COUNT(AD211,AC211)=2,AD211-AC211,"")</x:f>
        <x:v>19</x:v>
      </x:c>
      <x:c r="AF211" s="10" t="n">
        <x:v>109</x:v>
      </x:c>
      <x:c r="AG211" s="10" t="n">
        <x:v>101</x:v>
      </x:c>
      <x:c r="AH211" s="10" t="n">
        <x:f>IF(COUNT(AG211,AF211)=2,AG211-AF211,"")</x:f>
        <x:v>-8</x:v>
      </x:c>
      <x:c r="AI211" s="10" t="n">
        <x:v>106</x:v>
      </x:c>
      <x:c r="AJ211" s="10" t="n">
        <x:v>79</x:v>
      </x:c>
      <x:c r="AK211" s="10" t="n">
        <x:f>IF(COUNT(AJ211,AI211)=2,AJ211-AI211,"")</x:f>
        <x:v>-27</x:v>
      </x:c>
      <x:c r="AL211" s="10" t="n">
        <x:v>26</x:v>
      </x:c>
      <x:c r="AM211" s="10" t="n">
        <x:v>26</x:v>
      </x:c>
      <x:c r="AN211" s="4" t="str">
        <x:v>D</x:v>
      </x:c>
      <x:c r="AO211" s="4" t="str">
        <x:v>D</x:v>
      </x:c>
      <x:c r="AP211" s="4" t="str">
        <x:v>CAR</x:v>
      </x:c>
      <x:c r="AQ211" s="4" t="str">
        <x:v>CAR</x:v>
      </x:c>
      <x:c r="AR211" s="4" t="n">
        <x:v>21.84</x:v>
      </x:c>
      <x:c r="AS211" s="4" t="n">
        <x:v>22.4</x:v>
      </x:c>
      <x:c r="AT211" s="4" t="n">
        <x:v>0.73</x:v>
      </x:c>
      <x:c r="AU211" s="4" t="n">
        <x:v>6.5</x:v>
      </x:c>
      <x:c r="AV211" s="10" t="n">
        <x:v>1</x:v>
      </x:c>
      <x:c r="AW211" s="10" t="n">
        <x:v>2</x:v>
      </x:c>
      <x:c r="AX211" s="10" t="n">
        <x:v>1</x:v>
      </x:c>
      <x:c r="AY211" s="10" t="n">
        <x:v>2</x:v>
      </x:c>
      <x:c r="AZ211" s="10" t="n">
        <x:v>1676</x:v>
      </x:c>
      <x:c r="BA211" s="10" t="n">
        <x:v>1036</x:v>
      </x:c>
      <x:c r="BB211" s="4" t="n">
        <x:v>61.8</x:v>
      </x:c>
      <x:c r="BC211" s="4" t="n">
        <x:v>2.7</x:v>
      </x:c>
      <x:c r="BD211" s="10" t="n">
        <x:v>1192</x:v>
      </x:c>
      <x:c r="BE211" s="10" t="n">
        <x:v>739</x:v>
      </x:c>
      <x:c r="BF211" s="4" t="n">
        <x:v>61.7</x:v>
      </x:c>
      <x:c r="BG211" s="4" t="n">
        <x:v>3.8</x:v>
      </x:c>
      <x:c r="BH211" s="4" t="n">
        <x:v>9.7</x:v>
      </x:c>
      <x:c r="BI211" s="4" t="n">
        <x:v>86.4</x:v>
      </x:c>
      <x:c r="BJ211" s="4" t="n">
        <x:v>96.1</x:v>
      </x:c>
      <x:c r="BK211" s="4" t="n">
        <x:v>56.4</x:v>
      </x:c>
      <x:c r="BL211" s="4" t="n">
        <x:v>43.6</x:v>
      </x:c>
      <x:c r="BM211" s="4" t="n">
        <x:v>22.4</x:v>
      </x:c>
      <x:c r="BN211" s="4" t="n">
        <x:v>19.516666666666666</x:v>
      </x:c>
      <x:c r="BO211" s="10" t="n">
        <x:v>44</x:v>
      </x:c>
      <x:c r="BP211" s="10" t="n">
        <x:v>80</x:v>
      </x:c>
      <x:c r="BQ211" s="4" t="n">
        <x:v>17.2</x:v>
      </x:c>
      <x:c r="BR211" s="10" t="n">
        <x:v>309</x:v>
      </x:c>
      <x:c r="BS211" s="4" t="n">
        <x:v>39.8</x:v>
      </x:c>
      <x:c r="BT211" s="10" t="n">
        <x:v>72</x:v>
      </x:c>
      <x:c r="BU211" s="4" t="str">
        <x:v>CAR</x:v>
      </x:c>
      <x:c r="BV211" s="10" t="n">
        <x:v>325</x:v>
      </x:c>
      <x:c r="BW211" s="10" t="n">
        <x:v>234</x:v>
      </x:c>
      <x:c r="BX211" s="10" t="n">
        <x:v>700</x:v>
      </x:c>
      <x:c r="BY211" s="4" t="str">
        <x:v>K'Andre Miller</x:v>
      </x:c>
      <x:c r="BZ211" s="4" t="str">
        <x:v>K'Andre Miller</x:v>
      </x:c>
      <x:c r="CA211" s="4" t="str">
        <x:v>K'Andre Miller</x:v>
      </x:c>
      <x:c r="CB211" s="4" t="str">
        <x:v>milleka01</x:v>
      </x:c>
    </x:row>
    <x:row r="212" ht="22" customHeight="1">
      <x:c r="A212" s="4" t="str">
        <x:v>Kaapo Kakko</x:v>
      </x:c>
      <x:c r="B212" s="4" t="str">
        <x:v>kaapokakko</x:v>
      </x:c>
      <x:c r="C212" s="10" t="n">
        <x:v>1</x:v>
      </x:c>
      <x:c r="D212" s="10" t="n">
        <x:v>1</x:v>
      </x:c>
      <x:c r="E212" s="10" t="n">
        <x:v>1</x:v>
      </x:c>
      <x:c r="F212" s="4" t="n">
        <x:f>IF(COUNT(N212,Q212,T212,W212,Z212,AC212,AF212,AI212)=8,N212*Guide!$E$5+Q212*Guide!$E$6+T212*Guide!$E$7+W212*Guide!$E$8+Z212*Guide!$E$9+AC212*Guide!$E$10+AF212*Guide!$E$11+AI212*Guide!$E$12,"")</x:f>
        <x:v>219.25</x:v>
      </x:c>
      <x:c r="G212" s="4" t="n">
        <x:f>IF(COUNT(O212,R212,U212,X212,AA212,AD212,AG212,AJ212)=8,O212*Guide!$E$5+R212*Guide!$E$6+U212*Guide!$E$7+X212*Guide!$E$8+AA212*Guide!$E$9+AD212*Guide!$E$10+AG212*Guide!$E$11+AJ212*Guide!$E$12,"")</x:f>
        <x:v>191</x:v>
      </x:c>
      <x:c r="H212" s="4" t="n">
        <x:f>IF(COUNT(G212,F212)=2,G212-F212,"")</x:f>
        <x:v>-28.25</x:v>
      </x:c>
      <x:c r="I212" s="4" t="n">
        <x:f>IF(AND(ISNUMBER(F212),K212&gt;0),F212/K212,"")</x:f>
        <x:v>2.740625</x:v>
      </x:c>
      <x:c r="J212" s="4" t="n">
        <x:f>IF(AND(ISNUMBER(G212),L212&gt;0),G212/L212,"")</x:f>
        <x:v>2.9384615384615387</x:v>
      </x:c>
      <x:c r="K212" s="10" t="n">
        <x:v>80</x:v>
      </x:c>
      <x:c r="L212" s="10" t="n">
        <x:v>65</x:v>
      </x:c>
      <x:c r="M212" s="10" t="n">
        <x:f>IF(COUNT(L212,K212)=2,L212-K212,"")</x:f>
        <x:v>-15</x:v>
      </x:c>
      <x:c r="N212" s="10" t="n">
        <x:v>18</x:v>
      </x:c>
      <x:c r="O212" s="10" t="n">
        <x:v>13</x:v>
      </x:c>
      <x:c r="P212" s="10" t="n">
        <x:f>IF(COUNT(O212,N212)=2,O212-N212,"")</x:f>
        <x:v>-5</x:v>
      </x:c>
      <x:c r="Q212" s="10" t="n">
        <x:v>24</x:v>
      </x:c>
      <x:c r="R212" s="10" t="n">
        <x:v>27</x:v>
      </x:c>
      <x:c r="S212" s="10" t="n">
        <x:f>IF(COUNT(R212,Q212)=2,R212-Q212,"")</x:f>
        <x:v>3</x:v>
      </x:c>
      <x:c r="T212" s="10" t="n">
        <x:v>-2</x:v>
      </x:c>
      <x:c r="U212" s="10" t="n">
        <x:v>14</x:v>
      </x:c>
      <x:c r="V212" s="10" t="n">
        <x:f>IF(COUNT(U212,T212)=2,U212-T212,"")</x:f>
        <x:v>16</x:v>
      </x:c>
      <x:c r="W212" s="10" t="n">
        <x:v>8</x:v>
      </x:c>
      <x:c r="X212" s="10" t="n">
        <x:f>IF(COUNT(AV212,AW212)=2,AV212+AW212,"")</x:f>
        <x:v>8</x:v>
      </x:c>
      <x:c r="Y212" s="10" t="n">
        <x:f>IF(COUNT(X212,W212)=2,X212-W212,"")</x:f>
        <x:v>0</x:v>
      </x:c>
      <x:c r="Z212" s="10" t="n">
        <x:v>0</x:v>
      </x:c>
      <x:c r="AA212" s="10" t="n">
        <x:f>IF(COUNT(AX212,AY212)=2,AX212+AY212,"")</x:f>
        <x:v>0</x:v>
      </x:c>
      <x:c r="AB212" s="10" t="n">
        <x:f>IF(COUNT(AA212,Z212)=2,AA212-Z212,"")</x:f>
        <x:v>0</x:v>
      </x:c>
      <x:c r="AC212" s="10" t="n">
        <x:v>127</x:v>
      </x:c>
      <x:c r="AD212" s="10" t="n">
        <x:v>78</x:v>
      </x:c>
      <x:c r="AE212" s="10" t="n">
        <x:f>IF(COUNT(AD212,AC212)=2,AD212-AC212,"")</x:f>
        <x:v>-49</x:v>
      </x:c>
      <x:c r="AF212" s="10" t="n">
        <x:v>60</x:v>
      </x:c>
      <x:c r="AG212" s="10" t="n">
        <x:v>30</x:v>
      </x:c>
      <x:c r="AH212" s="10" t="n">
        <x:f>IF(COUNT(AG212,AF212)=2,AG212-AF212,"")</x:f>
        <x:v>-30</x:v>
      </x:c>
      <x:c r="AI212" s="10" t="n">
        <x:v>30</x:v>
      </x:c>
      <x:c r="AJ212" s="10" t="n">
        <x:v>12</x:v>
      </x:c>
      <x:c r="AK212" s="10" t="n">
        <x:f>IF(COUNT(AJ212,AI212)=2,AJ212-AI212,"")</x:f>
        <x:v>-18</x:v>
      </x:c>
      <x:c r="AL212" s="10" t="n">
        <x:v>24</x:v>
      </x:c>
      <x:c r="AM212" s="10" t="n">
        <x:v>24</x:v>
      </x:c>
      <x:c r="AN212" s="4" t="str">
        <x:v>RW</x:v>
      </x:c>
      <x:c r="AO212" s="4" t="str">
        <x:v>RW</x:v>
      </x:c>
      <x:c r="AP212" s="4" t="str">
        <x:v>SEA</x:v>
      </x:c>
      <x:c r="AQ212" s="4" t="str">
        <x:v>SEA</x:v>
      </x:c>
      <x:c r="AR212" s="4" t="n">
        <x:v>15.829999999999998</x:v>
      </x:c>
      <x:c r="AS212" s="4" t="n">
        <x:v>14.25</x:v>
      </x:c>
      <x:c r="AT212" s="4" t="n">
        <x:v>1.61</x:v>
      </x:c>
      <x:c r="AU212" s="4" t="n">
        <x:v>16.7</x:v>
      </x:c>
      <x:c r="AV212" s="10" t="n">
        <x:v>2</x:v>
      </x:c>
      <x:c r="AW212" s="10" t="n">
        <x:v>6</x:v>
      </x:c>
      <x:c r="AX212" s="10" t="n">
        <x:v>0</x:v>
      </x:c>
      <x:c r="AY212" s="10" t="n">
        <x:v>0</x:v>
      </x:c>
      <x:c r="AZ212" s="10" t="n">
        <x:v>747</x:v>
      </x:c>
      <x:c r="BA212" s="10" t="n">
        <x:v>861</x:v>
      </x:c>
      <x:c r="BB212" s="4" t="n">
        <x:v>46.5</x:v>
      </x:c>
      <x:c r="BC212" s="4" t="n">
        <x:v>0.8</x:v>
      </x:c>
      <x:c r="BD212" s="10" t="n">
        <x:v>544</x:v>
      </x:c>
      <x:c r="BE212" s="10" t="n">
        <x:v>631</x:v>
      </x:c>
      <x:c r="BF212" s="4" t="n">
        <x:v>46.3</x:v>
      </x:c>
      <x:c r="BG212" s="4" t="n">
        <x:v>0.2</x:v>
      </x:c>
      <x:c r="BH212" s="4" t="n">
        <x:v>12.4</x:v>
      </x:c>
      <x:c r="BI212" s="4" t="n">
        <x:v>92.7</x:v>
      </x:c>
      <x:c r="BJ212" s="4" t="n">
        <x:v>105.1</x:v>
      </x:c>
      <x:c r="BK212" s="4" t="n">
        <x:v>61.5</x:v>
      </x:c>
      <x:c r="BL212" s="4" t="n">
        <x:v>38.5</x:v>
      </x:c>
      <x:c r="BM212" s="4" t="n">
        <x:v>14.25</x:v>
      </x:c>
      <x:c r="BN212" s="4" t="n">
        <x:v>12.8</x:v>
      </x:c>
      <x:c r="BO212" s="10" t="n">
        <x:v>19</x:v>
      </x:c>
      <x:c r="BP212" s="10" t="n">
        <x:v>43</x:v>
      </x:c>
      <x:c r="BQ212" s="4" t="n">
        <x:v>-0.7</x:v>
      </x:c>
      <x:c r="BR212" s="10" t="n">
        <x:v>156</x:v>
      </x:c>
      <x:c r="BS212" s="4" t="n">
        <x:v>50</x:v>
      </x:c>
      <x:c r="BT212" s="10" t="n">
        <x:v>65</x:v>
      </x:c>
      <x:c r="BU212" s="4" t="str">
        <x:v>SEA</x:v>
      </x:c>
      <x:c r="BV212" s="10" t="n">
        <x:v>228</x:v>
      </x:c>
      <x:c r="BW212" s="10" t="n">
        <x:v>213</x:v>
      </x:c>
      <x:c r="BX212" s="10" t="n">
        <x:v>489</x:v>
      </x:c>
      <x:c r="BY212" s="4" t="str">
        <x:v>Kaapo Kakko</x:v>
      </x:c>
      <x:c r="BZ212" s="4" t="str">
        <x:v>Kaapo Kakko</x:v>
      </x:c>
      <x:c r="CA212" s="4" t="str">
        <x:v>Kaapo Kakko</x:v>
      </x:c>
      <x:c r="CB212" s="4" t="str">
        <x:v>kakkoka01</x:v>
      </x:c>
    </x:row>
    <x:row r="213" ht="22" customHeight="1">
      <x:c r="A213" s="4" t="str">
        <x:v>Kailer Yamamoto</x:v>
      </x:c>
      <x:c r="B213" s="4" t="str">
        <x:v>kaileryamamoto</x:v>
      </x:c>
      <x:c r="C213" s="10" t="n">
        <x:v>1</x:v>
      </x:c>
      <x:c r="D213" s="10" t="n">
        <x:v>1</x:v>
      </x:c>
      <x:c r="E213" s="10" t="n">
        <x:v>1</x:v>
      </x:c>
      <x:c r="F213" s="4" t="n">
        <x:f>IF(COUNT(N213,Q213,T213,W213,Z213,AC213,AF213,AI213)=8,N213*Guide!$E$5+Q213*Guide!$E$6+T213*Guide!$E$7+W213*Guide!$E$8+Z213*Guide!$E$9+AC213*Guide!$E$10+AF213*Guide!$E$11+AI213*Guide!$E$12,"")</x:f>
        <x:v>75</x:v>
      </x:c>
      <x:c r="G213" s="4" t="n">
        <x:f>IF(COUNT(O213,R213,U213,X213,AA213,AD213,AG213,AJ213)=8,O213*Guide!$E$5+R213*Guide!$E$6+U213*Guide!$E$7+X213*Guide!$E$8+AA213*Guide!$E$9+AD213*Guide!$E$10+AG213*Guide!$E$11+AJ213*Guide!$E$12,"")</x:f>
        <x:v>135</x:v>
      </x:c>
      <x:c r="H213" s="4" t="n">
        <x:f>IF(COUNT(G213,F213)=2,G213-F213,"")</x:f>
        <x:v>60</x:v>
      </x:c>
      <x:c r="I213" s="4" t="n">
        <x:f>IF(AND(ISNUMBER(F213),K213&gt;0),F213/K213,"")</x:f>
        <x:v>2.0833333333333335</x:v>
      </x:c>
      <x:c r="J213" s="4" t="n">
        <x:f>IF(AND(ISNUMBER(G213),L213&gt;0),G213/L213,"")</x:f>
        <x:v>2.288135593220339</x:v>
      </x:c>
      <x:c r="K213" s="10" t="n">
        <x:v>36</x:v>
      </x:c>
      <x:c r="L213" s="10" t="n">
        <x:v>59</x:v>
      </x:c>
      <x:c r="M213" s="10" t="n">
        <x:f>IF(COUNT(L213,K213)=2,L213-K213,"")</x:f>
        <x:v>23</x:v>
      </x:c>
      <x:c r="N213" s="10" t="n">
        <x:v>6</x:v>
      </x:c>
      <x:c r="O213" s="10" t="n">
        <x:v>13</x:v>
      </x:c>
      <x:c r="P213" s="10" t="n">
        <x:f>IF(COUNT(O213,N213)=2,O213-N213,"")</x:f>
        <x:v>7</x:v>
      </x:c>
      <x:c r="Q213" s="10" t="n">
        <x:v>7</x:v>
      </x:c>
      <x:c r="R213" s="10" t="n">
        <x:v>10</x:v>
      </x:c>
      <x:c r="S213" s="10" t="n">
        <x:f>IF(COUNT(R213,Q213)=2,R213-Q213,"")</x:f>
        <x:v>3</x:v>
      </x:c>
      <x:c r="T213" s="10" t="n">
        <x:v>0</x:v>
      </x:c>
      <x:c r="U213" s="10" t="n">
        <x:v>11</x:v>
      </x:c>
      <x:c r="V213" s="10" t="n">
        <x:f>IF(COUNT(U213,T213)=2,U213-T213,"")</x:f>
        <x:v>11</x:v>
      </x:c>
      <x:c r="W213" s="10" t="n">
        <x:v>3</x:v>
      </x:c>
      <x:c r="X213" s="10" t="n">
        <x:f>IF(COUNT(AV213,AW213)=2,AV213+AW213,"")</x:f>
        <x:v>0</x:v>
      </x:c>
      <x:c r="Y213" s="10" t="n">
        <x:f>IF(COUNT(X213,W213)=2,X213-W213,"")</x:f>
        <x:v>-3</x:v>
      </x:c>
      <x:c r="Z213" s="10" t="n">
        <x:v>0</x:v>
      </x:c>
      <x:c r="AA213" s="10" t="n">
        <x:f>IF(COUNT(AX213,AY213)=2,AX213+AY213,"")</x:f>
        <x:v>0</x:v>
      </x:c>
      <x:c r="AB213" s="10" t="n">
        <x:f>IF(COUNT(AA213,Z213)=2,AA213-Z213,"")</x:f>
        <x:v>0</x:v>
      </x:c>
      <x:c r="AC213" s="10" t="n">
        <x:v>41</x:v>
      </x:c>
      <x:c r="AD213" s="10" t="n">
        <x:v>61</x:v>
      </x:c>
      <x:c r="AE213" s="10" t="n">
        <x:f>IF(COUNT(AD213,AC213)=2,AD213-AC213,"")</x:f>
        <x:v>20</x:v>
      </x:c>
      <x:c r="AF213" s="10" t="n">
        <x:v>28</x:v>
      </x:c>
      <x:c r="AG213" s="10" t="n">
        <x:v>47</x:v>
      </x:c>
      <x:c r="AH213" s="10" t="n">
        <x:f>IF(COUNT(AG213,AF213)=2,AG213-AF213,"")</x:f>
        <x:v>19</x:v>
      </x:c>
      <x:c r="AI213" s="10" t="n">
        <x:v>13</x:v>
      </x:c>
      <x:c r="AJ213" s="10" t="n">
        <x:v>20</x:v>
      </x:c>
      <x:c r="AK213" s="10" t="n">
        <x:f>IF(COUNT(AJ213,AI213)=2,AJ213-AI213,"")</x:f>
        <x:v>7</x:v>
      </x:c>
      <x:c r="AL213" s="10" t="n">
        <x:v>27</x:v>
      </x:c>
      <x:c r="AM213" s="10" t="n">
        <x:v>27</x:v>
      </x:c>
      <x:c r="AN213" s="4" t="str">
        <x:v>RW</x:v>
      </x:c>
      <x:c r="AO213" s="4" t="str">
        <x:v>RW</x:v>
      </x:c>
      <x:c r="AP213" s="4" t="str">
        <x:v>UTA</x:v>
      </x:c>
      <x:c r="AQ213" s="4" t="str">
        <x:v>UTA</x:v>
      </x:c>
      <x:c r="AR213" s="4" t="n">
        <x:v>13.169999999999998</x:v>
      </x:c>
      <x:c r="AS213" s="4" t="n">
        <x:v>11.8</x:v>
      </x:c>
      <x:c r="AT213" s="4" t="n">
        <x:v>1.69</x:v>
      </x:c>
      <x:c r="AU213" s="4" t="n">
        <x:v>21.3</x:v>
      </x:c>
      <x:c r="AV213" s="10" t="n">
        <x:v>0</x:v>
      </x:c>
      <x:c r="AW213" s="10" t="n">
        <x:v>0</x:v>
      </x:c>
      <x:c r="AX213" s="10" t="n">
        <x:v>0</x:v>
      </x:c>
      <x:c r="AY213" s="10" t="n">
        <x:v>0</x:v>
      </x:c>
      <x:c r="AZ213" s="10" t="n">
        <x:v>613</x:v>
      </x:c>
      <x:c r="BA213" s="10" t="n">
        <x:v>562</x:v>
      </x:c>
      <x:c r="BB213" s="4" t="n">
        <x:v>52.2</x:v>
      </x:c>
      <x:c r="BC213" s="4" t="n">
        <x:v>-0.9</x:v>
      </x:c>
      <x:c r="BD213" s="10" t="n">
        <x:v>437</x:v>
      </x:c>
      <x:c r="BE213" s="10" t="n">
        <x:v>392</x:v>
      </x:c>
      <x:c r="BF213" s="4" t="n">
        <x:v>52.7</x:v>
      </x:c>
      <x:c r="BG213" s="4" t="n">
        <x:v>0.3</x:v>
      </x:c>
      <x:c r="BH213" s="4" t="n">
        <x:v>13.4</x:v>
      </x:c>
      <x:c r="BI213" s="4" t="n">
        <x:v>89.4</x:v>
      </x:c>
      <x:c r="BJ213" s="4" t="n">
        <x:v>102.8</x:v>
      </x:c>
      <x:c r="BK213" s="4" t="n">
        <x:v>47.5</x:v>
      </x:c>
      <x:c r="BL213" s="4" t="n">
        <x:v>52.5</x:v>
      </x:c>
      <x:c r="BM213" s="4" t="n">
        <x:v>11.8</x:v>
      </x:c>
      <x:c r="BN213" s="4" t="n">
        <x:v>11.3</x:v>
      </x:c>
      <x:c r="BO213" s="10" t="n">
        <x:v>17</x:v>
      </x:c>
      <x:c r="BP213" s="10" t="n">
        <x:v>24</x:v>
      </x:c>
      <x:c r="BQ213" s="4" t="n">
        <x:v>2.8</x:v>
      </x:c>
      <x:c r="BR213" s="10" t="n">
        <x:v>92</x:v>
      </x:c>
      <x:c r="BS213" s="4" t="n">
        <x:v>66.3</x:v>
      </x:c>
      <x:c r="BT213" s="10" t="n">
        <x:v>59</x:v>
      </x:c>
      <x:c r="BU213" s="4" t="str">
        <x:v>UTA</x:v>
      </x:c>
      <x:c r="BV213" s="10" t="n">
        <x:v>681</x:v>
      </x:c>
      <x:c r="BW213" s="10" t="n">
        <x:v>428</x:v>
      </x:c>
      <x:c r="BX213" s="10" t="n">
        <x:v>1090</x:v>
      </x:c>
      <x:c r="BY213" s="4" t="str">
        <x:v>Kailer Yamamoto</x:v>
      </x:c>
      <x:c r="BZ213" s="4" t="str">
        <x:v>Kailer Yamamoto</x:v>
      </x:c>
      <x:c r="CA213" s="4" t="str">
        <x:v>Kailer Yamamoto</x:v>
      </x:c>
      <x:c r="CB213" s="4" t="str">
        <x:v>yamamka01</x:v>
      </x:c>
    </x:row>
    <x:row r="214" ht="22" customHeight="1">
      <x:c r="A214" s="4" t="str">
        <x:v>Kent Johnson</x:v>
      </x:c>
      <x:c r="B214" s="4" t="str">
        <x:v>kentjohnson</x:v>
      </x:c>
      <x:c r="C214" s="10" t="n">
        <x:v>1</x:v>
      </x:c>
      <x:c r="D214" s="10" t="n">
        <x:v>1</x:v>
      </x:c>
      <x:c r="E214" s="10" t="n">
        <x:v>1</x:v>
      </x:c>
      <x:c r="F214" s="4" t="n">
        <x:f>IF(COUNT(N214,Q214,T214,W214,Z214,AC214,AF214,AI214)=8,N214*Guide!$E$5+Q214*Guide!$E$6+T214*Guide!$E$7+W214*Guide!$E$8+Z214*Guide!$E$9+AC214*Guide!$E$10+AF214*Guide!$E$11+AI214*Guide!$E$12,"")</x:f>
        <x:v>264.5</x:v>
      </x:c>
      <x:c r="G214" s="4" t="n">
        <x:f>IF(COUNT(O214,R214,U214,X214,AA214,AD214,AG214,AJ214)=8,O214*Guide!$E$5+R214*Guide!$E$6+U214*Guide!$E$7+X214*Guide!$E$8+AA214*Guide!$E$9+AD214*Guide!$E$10+AG214*Guide!$E$11+AJ214*Guide!$E$12,"")</x:f>
        <x:v>127.75</x:v>
      </x:c>
      <x:c r="H214" s="4" t="n">
        <x:f>IF(COUNT(G214,F214)=2,G214-F214,"")</x:f>
        <x:v>-136.75</x:v>
      </x:c>
      <x:c r="I214" s="4" t="n">
        <x:f>IF(AND(ISNUMBER(F214),K214&gt;0),F214/K214,"")</x:f>
        <x:v>3.391025641025641</x:v>
      </x:c>
      <x:c r="J214" s="4" t="n">
        <x:f>IF(AND(ISNUMBER(G214),L214&gt;0),G214/L214,"")</x:f>
        <x:v>1.680921052631579</x:v>
      </x:c>
      <x:c r="K214" s="10" t="n">
        <x:v>78</x:v>
      </x:c>
      <x:c r="L214" s="10" t="n">
        <x:v>76</x:v>
      </x:c>
      <x:c r="M214" s="10" t="n">
        <x:f>IF(COUNT(L214,K214)=2,L214-K214,"")</x:f>
        <x:v>-2</x:v>
      </x:c>
      <x:c r="N214" s="10" t="n">
        <x:v>22</x:v>
      </x:c>
      <x:c r="O214" s="10" t="n">
        <x:v>7</x:v>
      </x:c>
      <x:c r="P214" s="10" t="n">
        <x:f>IF(COUNT(O214,N214)=2,O214-N214,"")</x:f>
        <x:v>-15</x:v>
      </x:c>
      <x:c r="Q214" s="10" t="n">
        <x:v>32</x:v>
      </x:c>
      <x:c r="R214" s="10" t="n">
        <x:v>15</x:v>
      </x:c>
      <x:c r="S214" s="10" t="n">
        <x:f>IF(COUNT(R214,Q214)=2,R214-Q214,"")</x:f>
        <x:v>-17</x:v>
      </x:c>
      <x:c r="T214" s="10" t="n">
        <x:v>-3</x:v>
      </x:c>
      <x:c r="U214" s="10" t="n">
        <x:v>-8</x:v>
      </x:c>
      <x:c r="V214" s="10" t="n">
        <x:f>IF(COUNT(U214,T214)=2,U214-T214,"")</x:f>
        <x:v>-5</x:v>
      </x:c>
      <x:c r="W214" s="10" t="n">
        <x:v>16</x:v>
      </x:c>
      <x:c r="X214" s="10" t="n">
        <x:f>IF(COUNT(AV214,AW214)=2,AV214+AW214,"")</x:f>
        <x:v>2</x:v>
      </x:c>
      <x:c r="Y214" s="10" t="n">
        <x:f>IF(COUNT(X214,W214)=2,X214-W214,"")</x:f>
        <x:v>-14</x:v>
      </x:c>
      <x:c r="Z214" s="10" t="n">
        <x:v>1</x:v>
      </x:c>
      <x:c r="AA214" s="10" t="n">
        <x:f>IF(COUNT(AX214,AY214)=2,AX214+AY214,"")</x:f>
        <x:v>0</x:v>
      </x:c>
      <x:c r="AB214" s="10" t="n">
        <x:f>IF(COUNT(AA214,Z214)=2,AA214-Z214,"")</x:f>
        <x:v>-1</x:v>
      </x:c>
      <x:c r="AC214" s="10" t="n">
        <x:v>136</x:v>
      </x:c>
      <x:c r="AD214" s="10" t="n">
        <x:v>114</x:v>
      </x:c>
      <x:c r="AE214" s="10" t="n">
        <x:f>IF(COUNT(AD214,AC214)=2,AD214-AC214,"")</x:f>
        <x:v>-22</x:v>
      </x:c>
      <x:c r="AF214" s="10" t="n">
        <x:v>11</x:v>
      </x:c>
      <x:c r="AG214" s="10" t="n">
        <x:v>15</x:v>
      </x:c>
      <x:c r="AH214" s="10" t="n">
        <x:f>IF(COUNT(AG214,AF214)=2,AG214-AF214,"")</x:f>
        <x:v>4</x:v>
      </x:c>
      <x:c r="AI214" s="10" t="n">
        <x:v>37</x:v>
      </x:c>
      <x:c r="AJ214" s="10" t="n">
        <x:v>38</x:v>
      </x:c>
      <x:c r="AK214" s="10" t="n">
        <x:f>IF(COUNT(AJ214,AI214)=2,AJ214-AI214,"")</x:f>
        <x:v>1</x:v>
      </x:c>
      <x:c r="AL214" s="10" t="n">
        <x:v>23</x:v>
      </x:c>
      <x:c r="AM214" s="10" t="n">
        <x:v>23</x:v>
      </x:c>
      <x:c r="AN214" s="4" t="str">
        <x:v>C,LW,RW</x:v>
      </x:c>
      <x:c r="AO214" s="4" t="str">
        <x:v>C</x:v>
      </x:c>
      <x:c r="AP214" s="4" t="str">
        <x:v>CBJ</x:v>
      </x:c>
      <x:c r="AQ214" s="4" t="str">
        <x:v>CBJ</x:v>
      </x:c>
      <x:c r="AR214" s="4" t="n">
        <x:v>17.12</x:v>
      </x:c>
      <x:c r="AS214" s="4" t="n">
        <x:v>13.233333333333333</x:v>
      </x:c>
      <x:c r="AT214" s="4" t="n">
        <x:v>2.54</x:v>
      </x:c>
      <x:c r="AU214" s="4" t="n">
        <x:v>6.1</x:v>
      </x:c>
      <x:c r="AV214" s="10" t="n">
        <x:v>1</x:v>
      </x:c>
      <x:c r="AW214" s="10" t="n">
        <x:v>1</x:v>
      </x:c>
      <x:c r="AX214" s="10" t="n">
        <x:v>0</x:v>
      </x:c>
      <x:c r="AY214" s="10" t="n">
        <x:v>0</x:v>
      </x:c>
      <x:c r="AZ214" s="10" t="n">
        <x:v>928</x:v>
      </x:c>
      <x:c r="BA214" s="10" t="n">
        <x:v>830</x:v>
      </x:c>
      <x:c r="BB214" s="4" t="n">
        <x:v>52.8</x:v>
      </x:c>
      <x:c r="BC214" s="4" t="n">
        <x:v>2.6</x:v>
      </x:c>
      <x:c r="BD214" s="10" t="n">
        <x:v>630</x:v>
      </x:c>
      <x:c r="BE214" s="10" t="n">
        <x:v>595</x:v>
      </x:c>
      <x:c r="BF214" s="4" t="n">
        <x:v>51.4</x:v>
      </x:c>
      <x:c r="BG214" s="4" t="n">
        <x:v>1.4</x:v>
      </x:c>
      <x:c r="BH214" s="4" t="n">
        <x:v>8.4</x:v>
      </x:c>
      <x:c r="BI214" s="4" t="n">
        <x:v>88.5</x:v>
      </x:c>
      <x:c r="BJ214" s="4" t="n">
        <x:v>96.9</x:v>
      </x:c>
      <x:c r="BK214" s="4" t="n">
        <x:v>53.3</x:v>
      </x:c>
      <x:c r="BL214" s="4" t="n">
        <x:v>46.7</x:v>
      </x:c>
      <x:c r="BM214" s="4" t="n">
        <x:v>13.233333333333333</x:v>
      </x:c>
      <x:c r="BN214" s="4" t="n">
        <x:v>11.566666666666666</x:v>
      </x:c>
      <x:c r="BO214" s="10" t="n">
        <x:v>11</x:v>
      </x:c>
      <x:c r="BP214" s="10" t="n">
        <x:v>49</x:v>
      </x:c>
      <x:c r="BQ214" s="4" t="n">
        <x:v>1.6</x:v>
      </x:c>
      <x:c r="BR214" s="10" t="n">
        <x:v>233</x:v>
      </x:c>
      <x:c r="BS214" s="4" t="n">
        <x:v>48.9</x:v>
      </x:c>
      <x:c r="BT214" s="10" t="n">
        <x:v>76</x:v>
      </x:c>
      <x:c r="BU214" s="4" t="str">
        <x:v>CBJ</x:v>
      </x:c>
      <x:c r="BV214" s="10" t="n">
        <x:v>129</x:v>
      </x:c>
      <x:c r="BW214" s="10" t="n">
        <x:v>433</x:v>
      </x:c>
      <x:c r="BX214" s="10" t="n">
        <x:v>468</x:v>
      </x:c>
      <x:c r="BY214" s="4" t="str">
        <x:v>Kent Johnson</x:v>
      </x:c>
      <x:c r="BZ214" s="4" t="str">
        <x:v>Kent Johnson</x:v>
      </x:c>
      <x:c r="CA214" s="4" t="str">
        <x:v>Kent Johnson</x:v>
      </x:c>
      <x:c r="CB214" s="4" t="str">
        <x:v>johnske01</x:v>
      </x:c>
    </x:row>
    <x:row r="215" ht="22" customHeight="1">
      <x:c r="A215" s="4" t="str">
        <x:v>Kevin Bahl</x:v>
      </x:c>
      <x:c r="B215" s="4" t="str">
        <x:v>kevinbahl</x:v>
      </x:c>
      <x:c r="C215" s="10" t="n">
        <x:v>1</x:v>
      </x:c>
      <x:c r="D215" s="10" t="n">
        <x:v>1</x:v>
      </x:c>
      <x:c r="E215" s="10" t="n">
        <x:v>1</x:v>
      </x:c>
      <x:c r="F215" s="4" t="n">
        <x:f>IF(COUNT(N215,Q215,T215,W215,Z215,AC215,AF215,AI215)=8,N215*Guide!$E$5+Q215*Guide!$E$6+T215*Guide!$E$7+W215*Guide!$E$8+Z215*Guide!$E$9+AC215*Guide!$E$10+AF215*Guide!$E$11+AI215*Guide!$E$12,"")</x:f>
        <x:v>200.25</x:v>
      </x:c>
      <x:c r="G215" s="4" t="n">
        <x:f>IF(COUNT(O215,R215,U215,X215,AA215,AD215,AG215,AJ215)=8,O215*Guide!$E$5+R215*Guide!$E$6+U215*Guide!$E$7+X215*Guide!$E$8+AA215*Guide!$E$9+AD215*Guide!$E$10+AG215*Guide!$E$11+AJ215*Guide!$E$12,"")</x:f>
        <x:v>181</x:v>
      </x:c>
      <x:c r="H215" s="4" t="n">
        <x:f>IF(COUNT(G215,F215)=2,G215-F215,"")</x:f>
        <x:v>-19.25</x:v>
      </x:c>
      <x:c r="I215" s="4" t="n">
        <x:f>IF(AND(ISNUMBER(F215),K215&gt;0),F215/K215,"")</x:f>
        <x:v>2.6006493506493507</x:v>
      </x:c>
      <x:c r="J215" s="4" t="n">
        <x:f>IF(AND(ISNUMBER(G215),L215&gt;0),G215/L215,"")</x:f>
        <x:v>2.3815789473684212</x:v>
      </x:c>
      <x:c r="K215" s="10" t="n">
        <x:v>77</x:v>
      </x:c>
      <x:c r="L215" s="10" t="n">
        <x:v>76</x:v>
      </x:c>
      <x:c r="M215" s="10" t="n">
        <x:f>IF(COUNT(L215,K215)=2,L215-K215,"")</x:f>
        <x:v>-1</x:v>
      </x:c>
      <x:c r="N215" s="10" t="n">
        <x:v>4</x:v>
      </x:c>
      <x:c r="O215" s="10" t="n">
        <x:v>4</x:v>
      </x:c>
      <x:c r="P215" s="10" t="n">
        <x:f>IF(COUNT(O215,N215)=2,O215-N215,"")</x:f>
        <x:v>0</x:v>
      </x:c>
      <x:c r="Q215" s="10" t="n">
        <x:v>17</x:v>
      </x:c>
      <x:c r="R215" s="10" t="n">
        <x:v>14</x:v>
      </x:c>
      <x:c r="S215" s="10" t="n">
        <x:f>IF(COUNT(R215,Q215)=2,R215-Q215,"")</x:f>
        <x:v>-3</x:v>
      </x:c>
      <x:c r="T215" s="10" t="n">
        <x:v>-1</x:v>
      </x:c>
      <x:c r="U215" s="10" t="n">
        <x:v>2</x:v>
      </x:c>
      <x:c r="V215" s="10" t="n">
        <x:f>IF(COUNT(U215,T215)=2,U215-T215,"")</x:f>
        <x:v>3</x:v>
      </x:c>
      <x:c r="W215" s="10" t="n">
        <x:v>1</x:v>
      </x:c>
      <x:c r="X215" s="10" t="n">
        <x:f>IF(COUNT(AV215,AW215)=2,AV215+AW215,"")</x:f>
        <x:v>1</x:v>
      </x:c>
      <x:c r="Y215" s="10" t="n">
        <x:f>IF(COUNT(X215,W215)=2,X215-W215,"")</x:f>
        <x:v>0</x:v>
      </x:c>
      <x:c r="Z215" s="10" t="n">
        <x:v>0</x:v>
      </x:c>
      <x:c r="AA215" s="10" t="n">
        <x:f>IF(COUNT(AX215,AY215)=2,AX215+AY215,"")</x:f>
        <x:v>1</x:v>
      </x:c>
      <x:c r="AB215" s="10" t="n">
        <x:f>IF(COUNT(AA215,Z215)=2,AA215-Z215,"")</x:f>
        <x:v>1</x:v>
      </x:c>
      <x:c r="AC215" s="10" t="n">
        <x:v>81</x:v>
      </x:c>
      <x:c r="AD215" s="10" t="n">
        <x:v>57</x:v>
      </x:c>
      <x:c r="AE215" s="10" t="n">
        <x:f>IF(COUNT(AD215,AC215)=2,AD215-AC215,"")</x:f>
        <x:v>-24</x:v>
      </x:c>
      <x:c r="AF215" s="10" t="n">
        <x:v>113</x:v>
      </x:c>
      <x:c r="AG215" s="10" t="n">
        <x:v>114</x:v>
      </x:c>
      <x:c r="AH215" s="10" t="n">
        <x:f>IF(COUNT(AG215,AF215)=2,AG215-AF215,"")</x:f>
        <x:v>1</x:v>
      </x:c>
      <x:c r="AI215" s="10" t="n">
        <x:v>113</x:v>
      </x:c>
      <x:c r="AJ215" s="10" t="n">
        <x:v>99</x:v>
      </x:c>
      <x:c r="AK215" s="10" t="n">
        <x:f>IF(COUNT(AJ215,AI215)=2,AJ215-AI215,"")</x:f>
        <x:v>-14</x:v>
      </x:c>
      <x:c r="AL215" s="10" t="n">
        <x:v>25</x:v>
      </x:c>
      <x:c r="AM215" s="10" t="n">
        <x:v>25</x:v>
      </x:c>
      <x:c r="AN215" s="4" t="str">
        <x:v>D</x:v>
      </x:c>
      <x:c r="AO215" s="4" t="str">
        <x:v>D</x:v>
      </x:c>
      <x:c r="AP215" s="4" t="str">
        <x:v>CGY</x:v>
      </x:c>
      <x:c r="AQ215" s="4" t="str">
        <x:v>CGY</x:v>
      </x:c>
      <x:c r="AR215" s="4" t="n">
        <x:v>20.68</x:v>
      </x:c>
      <x:c r="AS215" s="4" t="n">
        <x:v>21.95</x:v>
      </x:c>
      <x:c r="AT215" s="4" t="n">
        <x:v>0.12</x:v>
      </x:c>
      <x:c r="AU215" s="4" t="n">
        <x:v>7</x:v>
      </x:c>
      <x:c r="AV215" s="10" t="n">
        <x:v>0</x:v>
      </x:c>
      <x:c r="AW215" s="10" t="n">
        <x:v>1</x:v>
      </x:c>
      <x:c r="AX215" s="10" t="n">
        <x:v>0</x:v>
      </x:c>
      <x:c r="AY215" s="10" t="n">
        <x:v>1</x:v>
      </x:c>
      <x:c r="AZ215" s="10" t="n">
        <x:v>1316</x:v>
      </x:c>
      <x:c r="BA215" s="10" t="n">
        <x:v>1530</x:v>
      </x:c>
      <x:c r="BB215" s="4" t="n">
        <x:v>46.2</x:v>
      </x:c>
      <x:c r="BC215" s="4" t="n">
        <x:v>-4.7</x:v>
      </x:c>
      <x:c r="BD215" s="10" t="n">
        <x:v>945</x:v>
      </x:c>
      <x:c r="BE215" s="10" t="n">
        <x:v>1144</x:v>
      </x:c>
      <x:c r="BF215" s="4" t="n">
        <x:v>45.2</x:v>
      </x:c>
      <x:c r="BG215" s="4" t="n">
        <x:v>-5.4</x:v>
      </x:c>
      <x:c r="BH215" s="4" t="n">
        <x:v>10.2</x:v>
      </x:c>
      <x:c r="BI215" s="4" t="n">
        <x:v>91.6</x:v>
      </x:c>
      <x:c r="BJ215" s="4" t="n">
        <x:v>101.8</x:v>
      </x:c>
      <x:c r="BK215" s="4" t="n">
        <x:v>41.2</x:v>
      </x:c>
      <x:c r="BL215" s="4" t="n">
        <x:v>58.8</x:v>
      </x:c>
      <x:c r="BM215" s="4" t="n">
        <x:v>21.95</x:v>
      </x:c>
      <x:c r="BN215" s="4" t="n">
        <x:v>19.1</x:v>
      </x:c>
      <x:c r="BO215" s="10" t="n">
        <x:v>42</x:v>
      </x:c>
      <x:c r="BP215" s="10" t="n">
        <x:v>90</x:v>
      </x:c>
      <x:c r="BQ215" s="4" t="n">
        <x:v>-17.2</x:v>
      </x:c>
      <x:c r="BR215" s="10" t="n">
        <x:v>144</x:v>
      </x:c>
      <x:c r="BS215" s="4" t="n">
        <x:v>39.6</x:v>
      </x:c>
      <x:c r="BT215" s="10" t="n">
        <x:v>76</x:v>
      </x:c>
      <x:c r="BU215" s="4" t="str">
        <x:v>CGY</x:v>
      </x:c>
      <x:c r="BV215" s="10" t="n">
        <x:v>494</x:v>
      </x:c>
      <x:c r="BW215" s="10" t="n">
        <x:v>485</x:v>
      </x:c>
      <x:c r="BX215" s="10" t="n">
        <x:v>25</x:v>
      </x:c>
      <x:c r="BY215" s="4" t="str">
        <x:v>Kevin Bahl</x:v>
      </x:c>
      <x:c r="BZ215" s="4" t="str">
        <x:v>Kevin Bahl</x:v>
      </x:c>
      <x:c r="CA215" s="4" t="str">
        <x:v>Kevin Bahl</x:v>
      </x:c>
      <x:c r="CB215" s="4" t="str">
        <x:v>bahlke01</x:v>
      </x:c>
    </x:row>
    <x:row r="216" ht="22" customHeight="1">
      <x:c r="A216" s="4" t="str">
        <x:v>Kevin Fiala</x:v>
      </x:c>
      <x:c r="B216" s="4" t="str">
        <x:v>kevinfiala</x:v>
      </x:c>
      <x:c r="C216" s="10" t="n">
        <x:v>1</x:v>
      </x:c>
      <x:c r="D216" s="10" t="n">
        <x:v>1</x:v>
      </x:c>
      <x:c r="E216" s="10" t="n">
        <x:v>1</x:v>
      </x:c>
      <x:c r="F216" s="4" t="n">
        <x:f>IF(COUNT(N216,Q216,T216,W216,Z216,AC216,AF216,AI216)=8,N216*Guide!$E$5+Q216*Guide!$E$6+T216*Guide!$E$7+W216*Guide!$E$8+Z216*Guide!$E$9+AC216*Guide!$E$10+AF216*Guide!$E$11+AI216*Guide!$E$12,"")</x:f>
        <x:v>375</x:v>
      </x:c>
      <x:c r="G216" s="4" t="n">
        <x:f>IF(COUNT(O216,R216,U216,X216,AA216,AD216,AG216,AJ216)=8,O216*Guide!$E$5+R216*Guide!$E$6+U216*Guide!$E$7+X216*Guide!$E$8+AA216*Guide!$E$9+AD216*Guide!$E$10+AG216*Guide!$E$11+AJ216*Guide!$E$12,"")</x:f>
        <x:v>208.5</x:v>
      </x:c>
      <x:c r="H216" s="4" t="n">
        <x:f>IF(COUNT(G216,F216)=2,G216-F216,"")</x:f>
        <x:v>-166.5</x:v>
      </x:c>
      <x:c r="I216" s="4" t="n">
        <x:f>IF(AND(ISNUMBER(F216),K216&gt;0),F216/K216,"")</x:f>
        <x:v>4.62962962962963</x:v>
      </x:c>
      <x:c r="J216" s="4" t="n">
        <x:f>IF(AND(ISNUMBER(G216),L216&gt;0),G216/L216,"")</x:f>
        <x:v>3.7232142857142856</x:v>
      </x:c>
      <x:c r="K216" s="10" t="n">
        <x:v>81</x:v>
      </x:c>
      <x:c r="L216" s="10" t="n">
        <x:v>56</x:v>
      </x:c>
      <x:c r="M216" s="10" t="n">
        <x:f>IF(COUNT(L216,K216)=2,L216-K216,"")</x:f>
        <x:v>-25</x:v>
      </x:c>
      <x:c r="N216" s="10" t="n">
        <x:v>30</x:v>
      </x:c>
      <x:c r="O216" s="10" t="n">
        <x:v>18</x:v>
      </x:c>
      <x:c r="P216" s="10" t="n">
        <x:f>IF(COUNT(O216,N216)=2,O216-N216,"")</x:f>
        <x:v>-12</x:v>
      </x:c>
      <x:c r="Q216" s="10" t="n">
        <x:v>42</x:v>
      </x:c>
      <x:c r="R216" s="10" t="n">
        <x:v>22</x:v>
      </x:c>
      <x:c r="S216" s="10" t="n">
        <x:f>IF(COUNT(R216,Q216)=2,R216-Q216,"")</x:f>
        <x:v>-20</x:v>
      </x:c>
      <x:c r="T216" s="10" t="n">
        <x:v>11</x:v>
      </x:c>
      <x:c r="U216" s="10" t="n">
        <x:v>-11</x:v>
      </x:c>
      <x:c r="V216" s="10" t="n">
        <x:f>IF(COUNT(U216,T216)=2,U216-T216,"")</x:f>
        <x:v>-22</x:v>
      </x:c>
      <x:c r="W216" s="10" t="n">
        <x:v>26</x:v>
      </x:c>
      <x:c r="X216" s="10" t="n">
        <x:f>IF(COUNT(AV216,AW216)=2,AV216+AW216,"")</x:f>
        <x:v>17</x:v>
      </x:c>
      <x:c r="Y216" s="10" t="n">
        <x:f>IF(COUNT(X216,W216)=2,X216-W216,"")</x:f>
        <x:v>-9</x:v>
      </x:c>
      <x:c r="Z216" s="10" t="n">
        <x:v>0</x:v>
      </x:c>
      <x:c r="AA216" s="10" t="n">
        <x:f>IF(COUNT(AX216,AY216)=2,AX216+AY216,"")</x:f>
        <x:v>0</x:v>
      </x:c>
      <x:c r="AB216" s="10" t="n">
        <x:f>IF(COUNT(AA216,Z216)=2,AA216-Z216,"")</x:f>
        <x:v>0</x:v>
      </x:c>
      <x:c r="AC216" s="10" t="n">
        <x:v>227</x:v>
      </x:c>
      <x:c r="AD216" s="10" t="n">
        <x:v>147</x:v>
      </x:c>
      <x:c r="AE216" s="10" t="n">
        <x:f>IF(COUNT(AD216,AC216)=2,AD216-AC216,"")</x:f>
        <x:v>-80</x:v>
      </x:c>
      <x:c r="AF216" s="10" t="n">
        <x:v>63</x:v>
      </x:c>
      <x:c r="AG216" s="10" t="n">
        <x:v>39</x:v>
      </x:c>
      <x:c r="AH216" s="10" t="n">
        <x:f>IF(COUNT(AG216,AF216)=2,AG216-AF216,"")</x:f>
        <x:v>-24</x:v>
      </x:c>
      <x:c r="AI216" s="10" t="n">
        <x:v>26</x:v>
      </x:c>
      <x:c r="AJ216" s="10" t="n">
        <x:v>24</x:v>
      </x:c>
      <x:c r="AK216" s="10" t="n">
        <x:f>IF(COUNT(AJ216,AI216)=2,AJ216-AI216,"")</x:f>
        <x:v>-2</x:v>
      </x:c>
      <x:c r="AL216" s="10" t="n">
        <x:v>29</x:v>
      </x:c>
      <x:c r="AM216" s="10" t="n">
        <x:v>29</x:v>
      </x:c>
      <x:c r="AN216" s="4" t="str">
        <x:v>LW</x:v>
      </x:c>
      <x:c r="AO216" s="4" t="str">
        <x:v>LW</x:v>
      </x:c>
      <x:c r="AP216" s="4" t="str">
        <x:v>LA</x:v>
      </x:c>
      <x:c r="AQ216" s="4" t="str">
        <x:v>LAK</x:v>
      </x:c>
      <x:c r="AR216" s="4" t="n">
        <x:v>18.169999999999998</x:v>
      </x:c>
      <x:c r="AS216" s="4" t="n">
        <x:v>19.116666666666667</x:v>
      </x:c>
      <x:c r="AT216" s="4" t="n">
        <x:v>2.91</x:v>
      </x:c>
      <x:c r="AU216" s="4" t="n">
        <x:v>12.2</x:v>
      </x:c>
      <x:c r="AV216" s="10" t="n">
        <x:v>4</x:v>
      </x:c>
      <x:c r="AW216" s="10" t="n">
        <x:v>13</x:v>
      </x:c>
      <x:c r="AX216" s="10" t="n">
        <x:v>0</x:v>
      </x:c>
      <x:c r="AY216" s="10" t="n">
        <x:v>0</x:v>
      </x:c>
      <x:c r="AZ216" s="10" t="n">
        <x:v>928</x:v>
      </x:c>
      <x:c r="BA216" s="10" t="n">
        <x:v>783</x:v>
      </x:c>
      <x:c r="BB216" s="4" t="n">
        <x:v>54.2</x:v>
      </x:c>
      <x:c r="BC216" s="4" t="n">
        <x:v>2.6</x:v>
      </x:c>
      <x:c r="BD216" s="10" t="n">
        <x:v>644</x:v>
      </x:c>
      <x:c r="BE216" s="10" t="n">
        <x:v>563</x:v>
      </x:c>
      <x:c r="BF216" s="4" t="n">
        <x:v>53.4</x:v>
      </x:c>
      <x:c r="BG216" s="4" t="n">
        <x:v>2.5</x:v>
      </x:c>
      <x:c r="BH216" s="4" t="n">
        <x:v>7.6</x:v>
      </x:c>
      <x:c r="BI216" s="4" t="n">
        <x:v>89.2</x:v>
      </x:c>
      <x:c r="BJ216" s="4" t="n">
        <x:v>96.8</x:v>
      </x:c>
      <x:c r="BK216" s="4" t="n">
        <x:v>55.9</x:v>
      </x:c>
      <x:c r="BL216" s="4" t="n">
        <x:v>44.1</x:v>
      </x:c>
      <x:c r="BM216" s="4" t="n">
        <x:v>19.116666666666667</x:v>
      </x:c>
      <x:c r="BN216" s="4" t="n">
        <x:v>15.683333333333334</x:v>
      </x:c>
      <x:c r="BO216" s="10" t="n">
        <x:v>19</x:v>
      </x:c>
      <x:c r="BP216" s="10" t="n">
        <x:v>75</x:v>
      </x:c>
      <x:c r="BQ216" s="4" t="n">
        <x:v>2.7</x:v>
      </x:c>
      <x:c r="BR216" s="10" t="n">
        <x:v>320</x:v>
      </x:c>
      <x:c r="BS216" s="4" t="n">
        <x:v>45.9</x:v>
      </x:c>
      <x:c r="BT216" s="10" t="n">
        <x:v>56</x:v>
      </x:c>
      <x:c r="BU216" s="4" t="str">
        <x:v>LAK</x:v>
      </x:c>
      <x:c r="BV216" s="10" t="n">
        <x:v>41</x:v>
      </x:c>
      <x:c r="BW216" s="10" t="n">
        <x:v>212</x:v>
      </x:c>
      <x:c r="BX216" s="10" t="n">
        <x:v>290</x:v>
      </x:c>
      <x:c r="BY216" s="4" t="str">
        <x:v>Kevin Fiala</x:v>
      </x:c>
      <x:c r="BZ216" s="4" t="str">
        <x:v>Kevin Fiala</x:v>
      </x:c>
      <x:c r="CA216" s="4" t="str">
        <x:v>Kevin Fiala</x:v>
      </x:c>
      <x:c r="CB216" s="4" t="str">
        <x:v>fialake01</x:v>
      </x:c>
    </x:row>
    <x:row r="217" ht="22" customHeight="1">
      <x:c r="A217" s="4" t="str">
        <x:v>Kiefer Sherwood</x:v>
      </x:c>
      <x:c r="B217" s="4" t="str">
        <x:v>kiefersherwood</x:v>
      </x:c>
      <x:c r="C217" s="10" t="n">
        <x:v>1</x:v>
      </x:c>
      <x:c r="D217" s="10" t="n">
        <x:v>1</x:v>
      </x:c>
      <x:c r="E217" s="10" t="n">
        <x:v>1</x:v>
      </x:c>
      <x:c r="F217" s="4" t="n">
        <x:f>IF(COUNT(N217,Q217,T217,W217,Z217,AC217,AF217,AI217)=8,N217*Guide!$E$5+Q217*Guide!$E$6+T217*Guide!$E$7+W217*Guide!$E$8+Z217*Guide!$E$9+AC217*Guide!$E$10+AF217*Guide!$E$11+AI217*Guide!$E$12,"")</x:f>
        <x:v>280</x:v>
      </x:c>
      <x:c r="G217" s="4" t="n">
        <x:f>IF(COUNT(O217,R217,U217,X217,AA217,AD217,AG217,AJ217)=8,O217*Guide!$E$5+R217*Guide!$E$6+U217*Guide!$E$7+X217*Guide!$E$8+AA217*Guide!$E$9+AD217*Guide!$E$10+AG217*Guide!$E$11+AJ217*Guide!$E$12,"")</x:f>
        <x:v>276.25</x:v>
      </x:c>
      <x:c r="H217" s="4" t="n">
        <x:f>IF(COUNT(G217,F217)=2,G217-F217,"")</x:f>
        <x:v>-3.75</x:v>
      </x:c>
      <x:c r="I217" s="4" t="n">
        <x:f>IF(AND(ISNUMBER(F217),K217&gt;0),F217/K217,"")</x:f>
        <x:v>3.58974358974359</x:v>
      </x:c>
      <x:c r="J217" s="4" t="n">
        <x:f>IF(AND(ISNUMBER(G217),L217&gt;0),G217/L217,"")</x:f>
        <x:v>3.8368055555555554</x:v>
      </x:c>
      <x:c r="K217" s="10" t="n">
        <x:v>78</x:v>
      </x:c>
      <x:c r="L217" s="10" t="n">
        <x:v>72</x:v>
      </x:c>
      <x:c r="M217" s="10" t="n">
        <x:f>IF(COUNT(L217,K217)=2,L217-K217,"")</x:f>
        <x:v>-6</x:v>
      </x:c>
      <x:c r="N217" s="10" t="n">
        <x:v>16</x:v>
      </x:c>
      <x:c r="O217" s="10" t="n">
        <x:v>23</x:v>
      </x:c>
      <x:c r="P217" s="10" t="n">
        <x:f>IF(COUNT(O217,N217)=2,O217-N217,"")</x:f>
        <x:v>7</x:v>
      </x:c>
      <x:c r="Q217" s="10" t="n">
        <x:v>18</x:v>
      </x:c>
      <x:c r="R217" s="10" t="n">
        <x:v>13</x:v>
      </x:c>
      <x:c r="S217" s="10" t="n">
        <x:f>IF(COUNT(R217,Q217)=2,R217-Q217,"")</x:f>
        <x:v>-5</x:v>
      </x:c>
      <x:c r="T217" s="10" t="n">
        <x:v>2</x:v>
      </x:c>
      <x:c r="U217" s="10" t="n">
        <x:v>-20</x:v>
      </x:c>
      <x:c r="V217" s="10" t="n">
        <x:f>IF(COUNT(U217,T217)=2,U217-T217,"")</x:f>
        <x:v>-22</x:v>
      </x:c>
      <x:c r="W217" s="10" t="n">
        <x:v>3</x:v>
      </x:c>
      <x:c r="X217" s="10" t="n">
        <x:f>IF(COUNT(AV217,AW217)=2,AV217+AW217,"")</x:f>
        <x:v>12</x:v>
      </x:c>
      <x:c r="Y217" s="10" t="n">
        <x:f>IF(COUNT(X217,W217)=2,X217-W217,"")</x:f>
        <x:v>9</x:v>
      </x:c>
      <x:c r="Z217" s="10" t="n">
        <x:v>1</x:v>
      </x:c>
      <x:c r="AA217" s="10" t="n">
        <x:f>IF(COUNT(AX217,AY217)=2,AX217+AY217,"")</x:f>
        <x:v>1</x:v>
      </x:c>
      <x:c r="AB217" s="10" t="n">
        <x:f>IF(COUNT(AA217,Z217)=2,AA217-Z217,"")</x:f>
        <x:v>0</x:v>
      </x:c>
      <x:c r="AC217" s="10" t="n">
        <x:v>130</x:v>
      </x:c>
      <x:c r="AD217" s="10" t="n">
        <x:v>172</x:v>
      </x:c>
      <x:c r="AE217" s="10" t="n">
        <x:f>IF(COUNT(AD217,AC217)=2,AD217-AC217,"")</x:f>
        <x:v>42</x:v>
      </x:c>
      <x:c r="AF217" s="10" t="n">
        <x:v>387</x:v>
      </x:c>
      <x:c r="AG217" s="10" t="n">
        <x:v>339</x:v>
      </x:c>
      <x:c r="AH217" s="10" t="n">
        <x:f>IF(COUNT(AG217,AF217)=2,AG217-AF217,"")</x:f>
        <x:v>-48</x:v>
      </x:c>
      <x:c r="AI217" s="10" t="n">
        <x:v>33</x:v>
      </x:c>
      <x:c r="AJ217" s="10" t="n">
        <x:v>30</x:v>
      </x:c>
      <x:c r="AK217" s="10" t="n">
        <x:f>IF(COUNT(AJ217,AI217)=2,AJ217-AI217,"")</x:f>
        <x:v>-3</x:v>
      </x:c>
      <x:c r="AL217" s="10" t="n">
        <x:v>30</x:v>
      </x:c>
      <x:c r="AM217" s="10" t="n">
        <x:v>30</x:v>
      </x:c>
      <x:c r="AN217" s="4" t="str">
        <x:v>RW</x:v>
      </x:c>
      <x:c r="AO217" s="4" t="str">
        <x:v>RW</x:v>
      </x:c>
      <x:c r="AP217" s="4" t="str">
        <x:v>VAN</x:v>
      </x:c>
      <x:c r="AQ217" s="4" t="str">
        <x:v>2TM</x:v>
      </x:c>
      <x:c r="AR217" s="4" t="n">
        <x:v>14.24</x:v>
      </x:c>
      <x:c r="AS217" s="4" t="n">
        <x:v>17.266666666666666</x:v>
      </x:c>
      <x:c r="AT217" s="4" t="n">
        <x:v>0.8</x:v>
      </x:c>
      <x:c r="AU217" s="4" t="n">
        <x:v>13.4</x:v>
      </x:c>
      <x:c r="AV217" s="10" t="n">
        <x:v>7</x:v>
      </x:c>
      <x:c r="AW217" s="10" t="n">
        <x:v>5</x:v>
      </x:c>
      <x:c r="AX217" s="10" t="n">
        <x:v>1</x:v>
      </x:c>
      <x:c r="AY217" s="10" t="n">
        <x:v>0</x:v>
      </x:c>
      <x:c r="AZ217" s="10" t="n">
        <x:v>1023</x:v>
      </x:c>
      <x:c r="BA217" s="10" t="n">
        <x:v>892</x:v>
      </x:c>
      <x:c r="BB217" s="4" t="n">
        <x:v>53.4</x:v>
      </x:c>
      <x:c r="BC217" s="4" t="n">
        <x:v>5.5</x:v>
      </x:c>
      <x:c r="BD217" s="10" t="n">
        <x:v>755</x:v>
      </x:c>
      <x:c r="BE217" s="10" t="n">
        <x:v>667</x:v>
      </x:c>
      <x:c r="BF217" s="4" t="n">
        <x:v>53.1</x:v>
      </x:c>
      <x:c r="BG217" s="4" t="n">
        <x:v>5.5</x:v>
      </x:c>
      <x:c r="BH217" s="4" t="n">
        <x:v>9.3</x:v>
      </x:c>
      <x:c r="BI217" s="4" t="n">
        <x:v>86.3</x:v>
      </x:c>
      <x:c r="BJ217" s="4" t="n">
        <x:v>95.6</x:v>
      </x:c>
      <x:c r="BK217" s="4" t="n">
        <x:v>47.5</x:v>
      </x:c>
      <x:c r="BL217" s="4" t="n">
        <x:v>52.5</x:v>
      </x:c>
      <x:c r="BM217" s="4" t="n">
        <x:v>17.266666666666666</x:v>
      </x:c>
      <x:c r="BN217" s="4" t="n">
        <x:v>13.983333333333333</x:v>
      </x:c>
      <x:c r="BO217" s="10" t="n">
        <x:v>26</x:v>
      </x:c>
      <x:c r="BP217" s="10" t="n">
        <x:v>76</x:v>
      </x:c>
      <x:c r="BQ217" s="4" t="n">
        <x:v>-2.4</x:v>
      </x:c>
      <x:c r="BR217" s="10" t="n">
        <x:v>357</x:v>
      </x:c>
      <x:c r="BS217" s="4" t="n">
        <x:v>48.2</x:v>
      </x:c>
      <x:c r="BT217" s="10" t="n">
        <x:v>72</x:v>
      </x:c>
      <x:c r="BU217" s="4" t="str">
        <x:v>TOT</x:v>
      </x:c>
      <x:c r="BV217" s="10" t="n">
        <x:v>312</x:v>
      </x:c>
      <x:c r="BW217" s="10" t="n">
        <x:v>255</x:v>
      </x:c>
      <x:c r="BX217" s="10" t="n">
        <x:v>929</x:v>
      </x:c>
      <x:c r="BY217" s="4" t="str">
        <x:v>Kiefer Sherwood</x:v>
      </x:c>
      <x:c r="BZ217" s="4" t="str">
        <x:v>Kiefer Sherwood</x:v>
      </x:c>
      <x:c r="CA217" s="4" t="str">
        <x:v>Kiefer Sherwood</x:v>
      </x:c>
      <x:c r="CB217" s="4" t="str">
        <x:v>sherwki01</x:v>
      </x:c>
    </x:row>
    <x:row r="218" ht="22" customHeight="1">
      <x:c r="A218" s="4" t="str">
        <x:v>Kirill Kaprizov</x:v>
      </x:c>
      <x:c r="B218" s="4" t="str">
        <x:v>kirillkaprizov</x:v>
      </x:c>
      <x:c r="C218" s="10" t="n">
        <x:v>1</x:v>
      </x:c>
      <x:c r="D218" s="10" t="n">
        <x:v>1</x:v>
      </x:c>
      <x:c r="E218" s="10" t="n">
        <x:v>1</x:v>
      </x:c>
      <x:c r="F218" s="4" t="n">
        <x:f>IF(COUNT(N218,Q218,T218,W218,Z218,AC218,AF218,AI218)=8,N218*Guide!$E$5+Q218*Guide!$E$6+T218*Guide!$E$7+W218*Guide!$E$8+Z218*Guide!$E$9+AC218*Guide!$E$10+AF218*Guide!$E$11+AI218*Guide!$E$12,"")</x:f>
        <x:v>496</x:v>
      </x:c>
      <x:c r="G218" s="4" t="n">
        <x:f>IF(COUNT(O218,R218,U218,X218,AA218,AD218,AG218,AJ218)=8,O218*Guide!$E$5+R218*Guide!$E$6+U218*Guide!$E$7+X218*Guide!$E$8+AA218*Guide!$E$9+AD218*Guide!$E$10+AG218*Guide!$E$11+AJ218*Guide!$E$12,"")</x:f>
        <x:v>454.25</x:v>
      </x:c>
      <x:c r="H218" s="4" t="n">
        <x:f>IF(COUNT(G218,F218)=2,G218-F218,"")</x:f>
        <x:v>-41.75</x:v>
      </x:c>
      <x:c r="I218" s="4" t="n">
        <x:f>IF(AND(ISNUMBER(F218),K218&gt;0),F218/K218,"")</x:f>
        <x:v>6.441558441558442</x:v>
      </x:c>
      <x:c r="J218" s="4" t="n">
        <x:f>IF(AND(ISNUMBER(G218),L218&gt;0),G218/L218,"")</x:f>
        <x:v>5.823717948717949</x:v>
      </x:c>
      <x:c r="K218" s="10" t="n">
        <x:v>77</x:v>
      </x:c>
      <x:c r="L218" s="10" t="n">
        <x:v>78</x:v>
      </x:c>
      <x:c r="M218" s="10" t="n">
        <x:f>IF(COUNT(L218,K218)=2,L218-K218,"")</x:f>
        <x:v>1</x:v>
      </x:c>
      <x:c r="N218" s="10" t="n">
        <x:v>46</x:v>
      </x:c>
      <x:c r="O218" s="10" t="n">
        <x:v>45</x:v>
      </x:c>
      <x:c r="P218" s="10" t="n">
        <x:f>IF(COUNT(O218,N218)=2,O218-N218,"")</x:f>
        <x:v>-1</x:v>
      </x:c>
      <x:c r="Q218" s="10" t="n">
        <x:v>52</x:v>
      </x:c>
      <x:c r="R218" s="10" t="n">
        <x:v>44</x:v>
      </x:c>
      <x:c r="S218" s="10" t="n">
        <x:f>IF(COUNT(R218,Q218)=2,R218-Q218,"")</x:f>
        <x:v>-8</x:v>
      </x:c>
      <x:c r="T218" s="10" t="n">
        <x:v>15</x:v>
      </x:c>
      <x:c r="U218" s="10" t="n">
        <x:v>10</x:v>
      </x:c>
      <x:c r="V218" s="10" t="n">
        <x:f>IF(COUNT(U218,T218)=2,U218-T218,"")</x:f>
        <x:v>-5</x:v>
      </x:c>
      <x:c r="W218" s="10" t="n">
        <x:v>36</x:v>
      </x:c>
      <x:c r="X218" s="10" t="n">
        <x:f>IF(COUNT(AV218,AW218)=2,AV218+AW218,"")</x:f>
        <x:v>32</x:v>
      </x:c>
      <x:c r="Y218" s="10" t="n">
        <x:f>IF(COUNT(X218,W218)=2,X218-W218,"")</x:f>
        <x:v>-4</x:v>
      </x:c>
      <x:c r="Z218" s="10" t="n">
        <x:v>0</x:v>
      </x:c>
      <x:c r="AA218" s="10" t="n">
        <x:f>IF(COUNT(AX218,AY218)=2,AX218+AY218,"")</x:f>
        <x:v>0</x:v>
      </x:c>
      <x:c r="AB218" s="10" t="n">
        <x:f>IF(COUNT(AA218,Z218)=2,AA218-Z218,"")</x:f>
        <x:v>0</x:v>
      </x:c>
      <x:c r="AC218" s="10" t="n">
        <x:v>266</x:v>
      </x:c>
      <x:c r="AD218" s="10" t="n">
        <x:v>268</x:v>
      </x:c>
      <x:c r="AE218" s="10" t="n">
        <x:f>IF(COUNT(AD218,AC218)=2,AD218-AC218,"")</x:f>
        <x:v>2</x:v>
      </x:c>
      <x:c r="AF218" s="10" t="n">
        <x:v>43</x:v>
      </x:c>
      <x:c r="AG218" s="10" t="n">
        <x:v>52</x:v>
      </x:c>
      <x:c r="AH218" s="10" t="n">
        <x:f>IF(COUNT(AG218,AF218)=2,AG218-AF218,"")</x:f>
        <x:v>9</x:v>
      </x:c>
      <x:c r="AI218" s="10" t="n">
        <x:v>37</x:v>
      </x:c>
      <x:c r="AJ218" s="10" t="n">
        <x:v>27</x:v>
      </x:c>
      <x:c r="AK218" s="10" t="n">
        <x:f>IF(COUNT(AJ218,AI218)=2,AJ218-AI218,"")</x:f>
        <x:v>-10</x:v>
      </x:c>
      <x:c r="AL218" s="10" t="n">
        <x:v>28</x:v>
      </x:c>
      <x:c r="AM218" s="10" t="n">
        <x:v>28</x:v>
      </x:c>
      <x:c r="AN218" s="4" t="str">
        <x:v>LW</x:v>
      </x:c>
      <x:c r="AO218" s="4" t="str">
        <x:v>LW</x:v>
      </x:c>
      <x:c r="AP218" s="4" t="str">
        <x:v>MIN</x:v>
      </x:c>
      <x:c r="AQ218" s="4" t="str">
        <x:v>MIN</x:v>
      </x:c>
      <x:c r="AR218" s="4" t="n">
        <x:v>22.52</x:v>
      </x:c>
      <x:c r="AS218" s="4" t="n">
        <x:v>22.15</x:v>
      </x:c>
      <x:c r="AT218" s="4" t="n">
        <x:v>3.65</x:v>
      </x:c>
      <x:c r="AU218" s="4" t="n">
        <x:v>16.8</x:v>
      </x:c>
      <x:c r="AV218" s="10" t="n">
        <x:v>19</x:v>
      </x:c>
      <x:c r="AW218" s="10" t="n">
        <x:v>13</x:v>
      </x:c>
      <x:c r="AX218" s="10" t="n">
        <x:v>0</x:v>
      </x:c>
      <x:c r="AY218" s="10" t="n">
        <x:v>0</x:v>
      </x:c>
      <x:c r="AZ218" s="10" t="n">
        <x:v>1432</x:v>
      </x:c>
      <x:c r="BA218" s="10" t="n">
        <x:v>1351</x:v>
      </x:c>
      <x:c r="BB218" s="4" t="n">
        <x:v>51.5</x:v>
      </x:c>
      <x:c r="BC218" s="4" t="n">
        <x:v>4.7</x:v>
      </x:c>
      <x:c r="BD218" s="10" t="n">
        <x:v>1066</x:v>
      </x:c>
      <x:c r="BE218" s="10" t="n">
        <x:v>1005</x:v>
      </x:c>
      <x:c r="BF218" s="4" t="n">
        <x:v>51.5</x:v>
      </x:c>
      <x:c r="BG218" s="4" t="n">
        <x:v>3.7</x:v>
      </x:c>
      <x:c r="BH218" s="4" t="n">
        <x:v>12</x:v>
      </x:c>
      <x:c r="BI218" s="4" t="n">
        <x:v>89.5</x:v>
      </x:c>
      <x:c r="BJ218" s="4" t="n">
        <x:v>101.5</x:v>
      </x:c>
      <x:c r="BK218" s="4" t="n">
        <x:v>58.6</x:v>
      </x:c>
      <x:c r="BL218" s="4" t="n">
        <x:v>41.4</x:v>
      </x:c>
      <x:c r="BM218" s="4" t="n">
        <x:v>22.15</x:v>
      </x:c>
      <x:c r="BN218" s="4" t="n">
        <x:v>18.133333333333333</x:v>
      </x:c>
      <x:c r="BO218" s="10" t="n">
        <x:v>22</x:v>
      </x:c>
      <x:c r="BP218" s="10" t="n">
        <x:v>112</x:v>
      </x:c>
      <x:c r="BQ218" s="4" t="n">
        <x:v>4.6</x:v>
      </x:c>
      <x:c r="BR218" s="10" t="n">
        <x:v>534</x:v>
      </x:c>
      <x:c r="BS218" s="4" t="n">
        <x:v>50.2</x:v>
      </x:c>
      <x:c r="BT218" s="10" t="n">
        <x:v>78</x:v>
      </x:c>
      <x:c r="BU218" s="4" t="str">
        <x:v>MIN</x:v>
      </x:c>
      <x:c r="BV218" s="10" t="n">
        <x:v>7</x:v>
      </x:c>
      <x:c r="BW218" s="10" t="n">
        <x:v>16</x:v>
      </x:c>
      <x:c r="BX218" s="10" t="n">
        <x:v>498</x:v>
      </x:c>
      <x:c r="BY218" s="4" t="str">
        <x:v>Kirill Kaprizov</x:v>
      </x:c>
      <x:c r="BZ218" s="4" t="str">
        <x:v>Kirill Kaprizov</x:v>
      </x:c>
      <x:c r="CA218" s="4" t="str">
        <x:v>Kirill Kaprizov</x:v>
      </x:c>
      <x:c r="CB218" s="4" t="str">
        <x:v>kapriki01</x:v>
      </x:c>
    </x:row>
    <x:row r="219" ht="22" customHeight="1">
      <x:c r="A219" s="4" t="str">
        <x:v>Kirill Marchenko</x:v>
      </x:c>
      <x:c r="B219" s="4" t="str">
        <x:v>kirillmarchenko</x:v>
      </x:c>
      <x:c r="C219" s="10" t="n">
        <x:v>1</x:v>
      </x:c>
      <x:c r="D219" s="10" t="n">
        <x:v>1</x:v>
      </x:c>
      <x:c r="E219" s="10" t="n">
        <x:v>1</x:v>
      </x:c>
      <x:c r="F219" s="4" t="n">
        <x:f>IF(COUNT(N219,Q219,T219,W219,Z219,AC219,AF219,AI219)=8,N219*Guide!$E$5+Q219*Guide!$E$6+T219*Guide!$E$7+W219*Guide!$E$8+Z219*Guide!$E$9+AC219*Guide!$E$10+AF219*Guide!$E$11+AI219*Guide!$E$12,"")</x:f>
        <x:v>311</x:v>
      </x:c>
      <x:c r="G219" s="4" t="n">
        <x:f>IF(COUNT(O219,R219,U219,X219,AA219,AD219,AG219,AJ219)=8,O219*Guide!$E$5+R219*Guide!$E$6+U219*Guide!$E$7+X219*Guide!$E$8+AA219*Guide!$E$9+AD219*Guide!$E$10+AG219*Guide!$E$11+AJ219*Guide!$E$12,"")</x:f>
        <x:v>360.75</x:v>
      </x:c>
      <x:c r="H219" s="4" t="n">
        <x:f>IF(COUNT(G219,F219)=2,G219-F219,"")</x:f>
        <x:v>49.75</x:v>
      </x:c>
      <x:c r="I219" s="4" t="n">
        <x:f>IF(AND(ISNUMBER(F219),K219&gt;0),F219/K219,"")</x:f>
        <x:v>3.9367088607594938</x:v>
      </x:c>
      <x:c r="J219" s="4" t="n">
        <x:f>IF(AND(ISNUMBER(G219),L219&gt;0),G219/L219,"")</x:f>
        <x:v>4.746710526315789</x:v>
      </x:c>
      <x:c r="K219" s="10" t="n">
        <x:v>79</x:v>
      </x:c>
      <x:c r="L219" s="10" t="n">
        <x:v>76</x:v>
      </x:c>
      <x:c r="M219" s="10" t="n">
        <x:f>IF(COUNT(L219,K219)=2,L219-K219,"")</x:f>
        <x:v>-3</x:v>
      </x:c>
      <x:c r="N219" s="10" t="n">
        <x:v>29</x:v>
      </x:c>
      <x:c r="O219" s="10" t="n">
        <x:v>27</x:v>
      </x:c>
      <x:c r="P219" s="10" t="n">
        <x:f>IF(COUNT(O219,N219)=2,O219-N219,"")</x:f>
        <x:v>-2</x:v>
      </x:c>
      <x:c r="Q219" s="10" t="n">
        <x:v>27</x:v>
      </x:c>
      <x:c r="R219" s="10" t="n">
        <x:v>40</x:v>
      </x:c>
      <x:c r="S219" s="10" t="n">
        <x:f>IF(COUNT(R219,Q219)=2,R219-Q219,"")</x:f>
        <x:v>13</x:v>
      </x:c>
      <x:c r="T219" s="10" t="n">
        <x:v>3</x:v>
      </x:c>
      <x:c r="U219" s="10" t="n">
        <x:v>7</x:v>
      </x:c>
      <x:c r="V219" s="10" t="n">
        <x:f>IF(COUNT(U219,T219)=2,U219-T219,"")</x:f>
        <x:v>4</x:v>
      </x:c>
      <x:c r="W219" s="10" t="n">
        <x:v>15</x:v>
      </x:c>
      <x:c r="X219" s="10" t="n">
        <x:f>IF(COUNT(AV219,AW219)=2,AV219+AW219,"")</x:f>
        <x:v>23</x:v>
      </x:c>
      <x:c r="Y219" s="10" t="n">
        <x:f>IF(COUNT(X219,W219)=2,X219-W219,"")</x:f>
        <x:v>8</x:v>
      </x:c>
      <x:c r="Z219" s="10" t="n">
        <x:v>0</x:v>
      </x:c>
      <x:c r="AA219" s="10" t="n">
        <x:f>IF(COUNT(AX219,AY219)=2,AX219+AY219,"")</x:f>
        <x:v>1</x:v>
      </x:c>
      <x:c r="AB219" s="10" t="n">
        <x:f>IF(COUNT(AA219,Z219)=2,AA219-Z219,"")</x:f>
        <x:v>1</x:v>
      </x:c>
      <x:c r="AC219" s="10" t="n">
        <x:v>194</x:v>
      </x:c>
      <x:c r="AD219" s="10" t="n">
        <x:v>218</x:v>
      </x:c>
      <x:c r="AE219" s="10" t="n">
        <x:f>IF(COUNT(AD219,AC219)=2,AD219-AC219,"")</x:f>
        <x:v>24</x:v>
      </x:c>
      <x:c r="AF219" s="10" t="n">
        <x:v>55</x:v>
      </x:c>
      <x:c r="AG219" s="10" t="n">
        <x:v>61</x:v>
      </x:c>
      <x:c r="AH219" s="10" t="n">
        <x:f>IF(COUNT(AG219,AF219)=2,AG219-AF219,"")</x:f>
        <x:v>6</x:v>
      </x:c>
      <x:c r="AI219" s="10" t="n">
        <x:v>45</x:v>
      </x:c>
      <x:c r="AJ219" s="10" t="n">
        <x:v>40</x:v>
      </x:c>
      <x:c r="AK219" s="10" t="n">
        <x:f>IF(COUNT(AJ219,AI219)=2,AJ219-AI219,"")</x:f>
        <x:v>-5</x:v>
      </x:c>
      <x:c r="AL219" s="10" t="n">
        <x:v>25</x:v>
      </x:c>
      <x:c r="AM219" s="10" t="n">
        <x:v>25</x:v>
      </x:c>
      <x:c r="AN219" s="4" t="str">
        <x:v>RW</x:v>
      </x:c>
      <x:c r="AO219" s="4" t="str">
        <x:v>RW</x:v>
      </x:c>
      <x:c r="AP219" s="4" t="str">
        <x:v>CBJ</x:v>
      </x:c>
      <x:c r="AQ219" s="4" t="str">
        <x:v>CBJ</x:v>
      </x:c>
      <x:c r="AR219" s="4" t="n">
        <x:v>18.36</x:v>
      </x:c>
      <x:c r="AS219" s="4" t="n">
        <x:v>18.95</x:v>
      </x:c>
      <x:c r="AT219" s="4" t="n">
        <x:v>2.53</x:v>
      </x:c>
      <x:c r="AU219" s="4" t="n">
        <x:v>12.4</x:v>
      </x:c>
      <x:c r="AV219" s="10" t="n">
        <x:v>6</x:v>
      </x:c>
      <x:c r="AW219" s="10" t="n">
        <x:v>17</x:v>
      </x:c>
      <x:c r="AX219" s="10" t="n">
        <x:v>1</x:v>
      </x:c>
      <x:c r="AY219" s="10" t="n">
        <x:v>0</x:v>
      </x:c>
      <x:c r="AZ219" s="10" t="n">
        <x:v>1296</x:v>
      </x:c>
      <x:c r="BA219" s="10" t="n">
        <x:v>1142</x:v>
      </x:c>
      <x:c r="BB219" s="4" t="n">
        <x:v>53.2</x:v>
      </x:c>
      <x:c r="BC219" s="4" t="n">
        <x:v>3.7</x:v>
      </x:c>
      <x:c r="BD219" s="10" t="n">
        <x:v>956</x:v>
      </x:c>
      <x:c r="BE219" s="10" t="n">
        <x:v>840</x:v>
      </x:c>
      <x:c r="BF219" s="4" t="n">
        <x:v>53.2</x:v>
      </x:c>
      <x:c r="BG219" s="4" t="n">
        <x:v>4</x:v>
      </x:c>
      <x:c r="BH219" s="4" t="n">
        <x:v>9.9</x:v>
      </x:c>
      <x:c r="BI219" s="4" t="n">
        <x:v>91.1</x:v>
      </x:c>
      <x:c r="BJ219" s="4" t="n">
        <x:v>100.9</x:v>
      </x:c>
      <x:c r="BK219" s="4" t="n">
        <x:v>66.5</x:v>
      </x:c>
      <x:c r="BL219" s="4" t="n">
        <x:v>33.5</x:v>
      </x:c>
      <x:c r="BM219" s="4" t="n">
        <x:v>18.95</x:v>
      </x:c>
      <x:c r="BN219" s="4" t="n">
        <x:v>15.866666666666667</x:v>
      </x:c>
      <x:c r="BO219" s="10" t="n">
        <x:v>45</x:v>
      </x:c>
      <x:c r="BP219" s="10" t="n">
        <x:v>95</x:v>
      </x:c>
      <x:c r="BQ219" s="4" t="n">
        <x:v>6.6</x:v>
      </x:c>
      <x:c r="BR219" s="10" t="n">
        <x:v>446</x:v>
      </x:c>
      <x:c r="BS219" s="4" t="n">
        <x:v>48.9</x:v>
      </x:c>
      <x:c r="BT219" s="10" t="n">
        <x:v>76</x:v>
      </x:c>
      <x:c r="BU219" s="4" t="str">
        <x:v>CBJ</x:v>
      </x:c>
      <x:c r="BV219" s="10" t="n">
        <x:v>111</x:v>
      </x:c>
      <x:c r="BW219" s="10" t="n">
        <x:v>65</x:v>
      </x:c>
      <x:c r="BX219" s="10" t="n">
        <x:v>644</x:v>
      </x:c>
      <x:c r="BY219" s="4" t="str">
        <x:v>Kirill Marchenko</x:v>
      </x:c>
      <x:c r="BZ219" s="4" t="str">
        <x:v>Kirill Marchenko</x:v>
      </x:c>
      <x:c r="CA219" s="4" t="str">
        <x:v>Kirill Marchenko</x:v>
      </x:c>
      <x:c r="CB219" s="4" t="str">
        <x:v>marchki01</x:v>
      </x:c>
    </x:row>
    <x:row r="220" ht="22" customHeight="1">
      <x:c r="A220" s="4" t="str">
        <x:v>Kris Letang</x:v>
      </x:c>
      <x:c r="B220" s="4" t="str">
        <x:v>krisletang</x:v>
      </x:c>
      <x:c r="C220" s="10" t="n">
        <x:v>1</x:v>
      </x:c>
      <x:c r="D220" s="10" t="n">
        <x:v>1</x:v>
      </x:c>
      <x:c r="E220" s="10" t="n">
        <x:v>1</x:v>
      </x:c>
      <x:c r="F220" s="4" t="n">
        <x:f>IF(COUNT(N220,Q220,T220,W220,Z220,AC220,AF220,AI220)=8,N220*Guide!$E$5+Q220*Guide!$E$6+T220*Guide!$E$7+W220*Guide!$E$8+Z220*Guide!$E$9+AC220*Guide!$E$10+AF220*Guide!$E$11+AI220*Guide!$E$12,"")</x:f>
        <x:v>279.25</x:v>
      </x:c>
      <x:c r="G220" s="4" t="n">
        <x:f>IF(COUNT(O220,R220,U220,X220,AA220,AD220,AG220,AJ220)=8,O220*Guide!$E$5+R220*Guide!$E$6+U220*Guide!$E$7+X220*Guide!$E$8+AA220*Guide!$E$9+AD220*Guide!$E$10+AG220*Guide!$E$11+AJ220*Guide!$E$12,"")</x:f>
        <x:v>231.25</x:v>
      </x:c>
      <x:c r="H220" s="4" t="n">
        <x:f>IF(COUNT(G220,F220)=2,G220-F220,"")</x:f>
        <x:v>-48</x:v>
      </x:c>
      <x:c r="I220" s="4" t="n">
        <x:f>IF(AND(ISNUMBER(F220),K220&gt;0),F220/K220,"")</x:f>
        <x:v>3.8253424657534247</x:v>
      </x:c>
      <x:c r="J220" s="4" t="n">
        <x:f>IF(AND(ISNUMBER(G220),L220&gt;0),G220/L220,"")</x:f>
        <x:v>3.125</x:v>
      </x:c>
      <x:c r="K220" s="10" t="n">
        <x:v>73</x:v>
      </x:c>
      <x:c r="L220" s="10" t="n">
        <x:v>74</x:v>
      </x:c>
      <x:c r="M220" s="10" t="n">
        <x:f>IF(COUNT(L220,K220)=2,L220-K220,"")</x:f>
        <x:v>1</x:v>
      </x:c>
      <x:c r="N220" s="10" t="n">
        <x:v>9</x:v>
      </x:c>
      <x:c r="O220" s="10" t="n">
        <x:v>3</x:v>
      </x:c>
      <x:c r="P220" s="10" t="n">
        <x:f>IF(COUNT(O220,N220)=2,O220-N220,"")</x:f>
        <x:v>-6</x:v>
      </x:c>
      <x:c r="Q220" s="10" t="n">
        <x:v>30</x:v>
      </x:c>
      <x:c r="R220" s="10" t="n">
        <x:v>31</x:v>
      </x:c>
      <x:c r="S220" s="10" t="n">
        <x:f>IF(COUNT(R220,Q220)=2,R220-Q220,"")</x:f>
        <x:v>1</x:v>
      </x:c>
      <x:c r="T220" s="10" t="n">
        <x:v>-7</x:v>
      </x:c>
      <x:c r="U220" s="10" t="n">
        <x:v>-4</x:v>
      </x:c>
      <x:c r="V220" s="10" t="n">
        <x:f>IF(COUNT(U220,T220)=2,U220-T220,"")</x:f>
        <x:v>3</x:v>
      </x:c>
      <x:c r="W220" s="10" t="n">
        <x:v>11</x:v>
      </x:c>
      <x:c r="X220" s="10" t="n">
        <x:f>IF(COUNT(AV220,AW220)=2,AV220+AW220,"")</x:f>
        <x:v>10</x:v>
      </x:c>
      <x:c r="Y220" s="10" t="n">
        <x:f>IF(COUNT(X220,W220)=2,X220-W220,"")</x:f>
        <x:v>-1</x:v>
      </x:c>
      <x:c r="Z220" s="10" t="n">
        <x:v>1</x:v>
      </x:c>
      <x:c r="AA220" s="10" t="n">
        <x:f>IF(COUNT(AX220,AY220)=2,AX220+AY220,"")</x:f>
        <x:v>0</x:v>
      </x:c>
      <x:c r="AB220" s="10" t="n">
        <x:f>IF(COUNT(AA220,Z220)=2,AA220-Z220,"")</x:f>
        <x:v>-1</x:v>
      </x:c>
      <x:c r="AC220" s="10" t="n">
        <x:v>145</x:v>
      </x:c>
      <x:c r="AD220" s="10" t="n">
        <x:v>104</x:v>
      </x:c>
      <x:c r="AE220" s="10" t="n">
        <x:f>IF(COUNT(AD220,AC220)=2,AD220-AC220,"")</x:f>
        <x:v>-41</x:v>
      </x:c>
      <x:c r="AF220" s="10" t="n">
        <x:v>113</x:v>
      </x:c>
      <x:c r="AG220" s="10" t="n">
        <x:v>95</x:v>
      </x:c>
      <x:c r="AH220" s="10" t="n">
        <x:f>IF(COUNT(AG220,AF220)=2,AG220-AF220,"")</x:f>
        <x:v>-18</x:v>
      </x:c>
      <x:c r="AI220" s="10" t="n">
        <x:v>109</x:v>
      </x:c>
      <x:c r="AJ220" s="10" t="n">
        <x:v>94</x:v>
      </x:c>
      <x:c r="AK220" s="10" t="n">
        <x:f>IF(COUNT(AJ220,AI220)=2,AJ220-AI220,"")</x:f>
        <x:v>-15</x:v>
      </x:c>
      <x:c r="AL220" s="10" t="n">
        <x:v>38</x:v>
      </x:c>
      <x:c r="AM220" s="10" t="n">
        <x:v>38</x:v>
      </x:c>
      <x:c r="AN220" s="4" t="str">
        <x:v>D</x:v>
      </x:c>
      <x:c r="AO220" s="4" t="str">
        <x:v>D</x:v>
      </x:c>
      <x:c r="AP220" s="4" t="str">
        <x:v>PIT</x:v>
      </x:c>
      <x:c r="AQ220" s="4" t="str">
        <x:v>PIT</x:v>
      </x:c>
      <x:c r="AR220" s="4" t="n">
        <x:v>23.59</x:v>
      </x:c>
      <x:c r="AS220" s="4" t="n">
        <x:v>21.683333333333334</x:v>
      </x:c>
      <x:c r="AT220" s="4" t="n">
        <x:v>1.92</x:v>
      </x:c>
      <x:c r="AU220" s="4" t="n">
        <x:v>2.9</x:v>
      </x:c>
      <x:c r="AV220" s="10" t="n">
        <x:v>1</x:v>
      </x:c>
      <x:c r="AW220" s="10" t="n">
        <x:v>9</x:v>
      </x:c>
      <x:c r="AX220" s="10" t="n">
        <x:v>0</x:v>
      </x:c>
      <x:c r="AY220" s="10" t="n">
        <x:v>0</x:v>
      </x:c>
      <x:c r="AZ220" s="10" t="n">
        <x:v>1380</x:v>
      </x:c>
      <x:c r="BA220" s="10" t="n">
        <x:v>1427</x:v>
      </x:c>
      <x:c r="BB220" s="4" t="n">
        <x:v>49.2</x:v>
      </x:c>
      <x:c r="BC220" s="4" t="n">
        <x:v>-2.1</x:v>
      </x:c>
      <x:c r="BD220" s="10" t="n">
        <x:v>992</x:v>
      </x:c>
      <x:c r="BE220" s="10" t="n">
        <x:v>1037</x:v>
      </x:c>
      <x:c r="BF220" s="4" t="n">
        <x:v>48.9</x:v>
      </x:c>
      <x:c r="BG220" s="4" t="n">
        <x:v>-2.9</x:v>
      </x:c>
      <x:c r="BH220" s="4" t="n">
        <x:v>11.7</x:v>
      </x:c>
      <x:c r="BI220" s="4" t="n">
        <x:v>88.9</x:v>
      </x:c>
      <x:c r="BJ220" s="4" t="n">
        <x:v>100.6</x:v>
      </x:c>
      <x:c r="BK220" s="4" t="n">
        <x:v>58.8</x:v>
      </x:c>
      <x:c r="BL220" s="4" t="n">
        <x:v>41.2</x:v>
      </x:c>
      <x:c r="BM220" s="4" t="n">
        <x:v>21.683333333333334</x:v>
      </x:c>
      <x:c r="BN220" s="4" t="n">
        <x:v>0.7916666666666666</x:v>
      </x:c>
      <x:c r="BO220" s="10" t="n">
        <x:v>26</x:v>
      </x:c>
      <x:c r="BP220" s="10" t="n">
        <x:v>99</x:v>
      </x:c>
      <x:c r="BQ220" s="4" t="n">
        <x:v>-4</x:v>
      </x:c>
      <x:c r="BR220" s="10" t="n">
        <x:v>255</x:v>
      </x:c>
      <x:c r="BS220" s="4" t="n">
        <x:v>40.8</x:v>
      </x:c>
      <x:c r="BT220" s="10" t="n">
        <x:v>74</x:v>
      </x:c>
      <x:c r="BU220" s="4" t="str">
        <x:v>PIT</x:v>
      </x:c>
      <x:c r="BV220" s="10" t="n">
        <x:v>257</x:v>
      </x:c>
      <x:c r="BW220" s="10" t="n">
        <x:v>280</x:v>
      </x:c>
      <x:c r="BX220" s="10" t="n">
        <x:v>593</x:v>
      </x:c>
      <x:c r="BY220" s="4" t="str">
        <x:v>Kris Letang</x:v>
      </x:c>
      <x:c r="BZ220" s="4" t="str">
        <x:v>Kris Letang</x:v>
      </x:c>
      <x:c r="CA220" s="4" t="str">
        <x:v>Kris Letang</x:v>
      </x:c>
      <x:c r="CB220" s="4" t="str">
        <x:v>letankr01</x:v>
      </x:c>
    </x:row>
    <x:row r="221" ht="22" customHeight="1">
      <x:c r="A221" s="4" t="str">
        <x:v>Kyle Connor</x:v>
      </x:c>
      <x:c r="B221" s="4" t="str">
        <x:v>kyleconnor</x:v>
      </x:c>
      <x:c r="C221" s="10" t="n">
        <x:v>1</x:v>
      </x:c>
      <x:c r="D221" s="10" t="n">
        <x:v>1</x:v>
      </x:c>
      <x:c r="E221" s="10" t="n">
        <x:v>1</x:v>
      </x:c>
      <x:c r="F221" s="4" t="n">
        <x:f>IF(COUNT(N221,Q221,T221,W221,Z221,AC221,AF221,AI221)=8,N221*Guide!$E$5+Q221*Guide!$E$6+T221*Guide!$E$7+W221*Guide!$E$8+Z221*Guide!$E$9+AC221*Guide!$E$10+AF221*Guide!$E$11+AI221*Guide!$E$12,"")</x:f>
        <x:v>391.75</x:v>
      </x:c>
      <x:c r="G221" s="4" t="n">
        <x:f>IF(COUNT(O221,R221,U221,X221,AA221,AD221,AG221,AJ221)=8,O221*Guide!$E$5+R221*Guide!$E$6+U221*Guide!$E$7+X221*Guide!$E$8+AA221*Guide!$E$9+AD221*Guide!$E$10+AG221*Guide!$E$11+AJ221*Guide!$E$12,"")</x:f>
        <x:v>432.75</x:v>
      </x:c>
      <x:c r="H221" s="4" t="n">
        <x:f>IF(COUNT(G221,F221)=2,G221-F221,"")</x:f>
        <x:v>41</x:v>
      </x:c>
      <x:c r="I221" s="4" t="n">
        <x:f>IF(AND(ISNUMBER(F221),K221&gt;0),F221/K221,"")</x:f>
        <x:v>4.896875</x:v>
      </x:c>
      <x:c r="J221" s="4" t="n">
        <x:f>IF(AND(ISNUMBER(G221),L221&gt;0),G221/L221,"")</x:f>
        <x:v>5.277439024390244</x:v>
      </x:c>
      <x:c r="K221" s="10" t="n">
        <x:v>80</x:v>
      </x:c>
      <x:c r="L221" s="10" t="n">
        <x:v>82</x:v>
      </x:c>
      <x:c r="M221" s="10" t="n">
        <x:f>IF(COUNT(L221,K221)=2,L221-K221,"")</x:f>
        <x:v>2</x:v>
      </x:c>
      <x:c r="N221" s="10" t="n">
        <x:v>36</x:v>
      </x:c>
      <x:c r="O221" s="10" t="n">
        <x:v>39</x:v>
      </x:c>
      <x:c r="P221" s="10" t="n">
        <x:f>IF(COUNT(O221,N221)=2,O221-N221,"")</x:f>
        <x:v>3</x:v>
      </x:c>
      <x:c r="Q221" s="10" t="n">
        <x:v>43</x:v>
      </x:c>
      <x:c r="R221" s="10" t="n">
        <x:v>53</x:v>
      </x:c>
      <x:c r="S221" s="10" t="n">
        <x:f>IF(COUNT(R221,Q221)=2,R221-Q221,"")</x:f>
        <x:v>10</x:v>
      </x:c>
      <x:c r="T221" s="10" t="n">
        <x:v>0</x:v>
      </x:c>
      <x:c r="U221" s="10" t="n">
        <x:v>-2</x:v>
      </x:c>
      <x:c r="V221" s="10" t="n">
        <x:f>IF(COUNT(U221,T221)=2,U221-T221,"")</x:f>
        <x:v>-2</x:v>
      </x:c>
      <x:c r="W221" s="10" t="n">
        <x:v>24</x:v>
      </x:c>
      <x:c r="X221" s="10" t="n">
        <x:f>IF(COUNT(AV221,AW221)=2,AV221+AW221,"")</x:f>
        <x:v>19</x:v>
      </x:c>
      <x:c r="Y221" s="10" t="n">
        <x:f>IF(COUNT(X221,W221)=2,X221-W221,"")</x:f>
        <x:v>-5</x:v>
      </x:c>
      <x:c r="Z221" s="10" t="n">
        <x:v>1</x:v>
      </x:c>
      <x:c r="AA221" s="10" t="n">
        <x:f>IF(COUNT(AX221,AY221)=2,AX221+AY221,"")</x:f>
        <x:v>3</x:v>
      </x:c>
      <x:c r="AB221" s="10" t="n">
        <x:f>IF(COUNT(AA221,Z221)=2,AA221-Z221,"")</x:f>
        <x:v>2</x:v>
      </x:c>
      <x:c r="AC221" s="10" t="n">
        <x:v>235</x:v>
      </x:c>
      <x:c r="AD221" s="10" t="n">
        <x:v>274</x:v>
      </x:c>
      <x:c r="AE221" s="10" t="n">
        <x:f>IF(COUNT(AD221,AC221)=2,AD221-AC221,"")</x:f>
        <x:v>39</x:v>
      </x:c>
      <x:c r="AF221" s="10" t="n">
        <x:v>24</x:v>
      </x:c>
      <x:c r="AG221" s="10" t="n">
        <x:v>36</x:v>
      </x:c>
      <x:c r="AH221" s="10" t="n">
        <x:f>IF(COUNT(AG221,AF221)=2,AG221-AF221,"")</x:f>
        <x:v>12</x:v>
      </x:c>
      <x:c r="AI221" s="10" t="n">
        <x:v>36</x:v>
      </x:c>
      <x:c r="AJ221" s="10" t="n">
        <x:v>19</x:v>
      </x:c>
      <x:c r="AK221" s="10" t="n">
        <x:f>IF(COUNT(AJ221,AI221)=2,AJ221-AI221,"")</x:f>
        <x:v>-17</x:v>
      </x:c>
      <x:c r="AL221" s="10" t="n">
        <x:v>29</x:v>
      </x:c>
      <x:c r="AM221" s="10" t="n">
        <x:v>29</x:v>
      </x:c>
      <x:c r="AN221" s="4" t="str">
        <x:v>LW</x:v>
      </x:c>
      <x:c r="AO221" s="4" t="str">
        <x:v>LW</x:v>
      </x:c>
      <x:c r="AP221" s="4" t="str">
        <x:v>WPG</x:v>
      </x:c>
      <x:c r="AQ221" s="4" t="str">
        <x:v>WPG</x:v>
      </x:c>
      <x:c r="AR221" s="4" t="n">
        <x:v>20.01</x:v>
      </x:c>
      <x:c r="AS221" s="4" t="n">
        <x:v>21.5</x:v>
      </x:c>
      <x:c r="AT221" s="4" t="n">
        <x:v>2.77</x:v>
      </x:c>
      <x:c r="AU221" s="4" t="n">
        <x:v>14.2</x:v>
      </x:c>
      <x:c r="AV221" s="10" t="n">
        <x:v>5</x:v>
      </x:c>
      <x:c r="AW221" s="10" t="n">
        <x:v>14</x:v>
      </x:c>
      <x:c r="AX221" s="10" t="n">
        <x:v>2</x:v>
      </x:c>
      <x:c r="AY221" s="10" t="n">
        <x:v>1</x:v>
      </x:c>
      <x:c r="AZ221" s="10" t="n">
        <x:v>1381</x:v>
      </x:c>
      <x:c r="BA221" s="10" t="n">
        <x:v>1365</x:v>
      </x:c>
      <x:c r="BB221" s="4" t="n">
        <x:v>50.3</x:v>
      </x:c>
      <x:c r="BC221" s="4" t="n">
        <x:v>2.2</x:v>
      </x:c>
      <x:c r="BD221" s="10" t="n">
        <x:v>1035</x:v>
      </x:c>
      <x:c r="BE221" s="10" t="n">
        <x:v>1033</x:v>
      </x:c>
      <x:c r="BF221" s="4" t="n">
        <x:v>50</x:v>
      </x:c>
      <x:c r="BG221" s="4" t="n">
        <x:v>2.1</x:v>
      </x:c>
      <x:c r="BH221" s="4" t="n">
        <x:v>13.9</x:v>
      </x:c>
      <x:c r="BI221" s="4" t="n">
        <x:v>87.2</x:v>
      </x:c>
      <x:c r="BJ221" s="4" t="n">
        <x:v>101</x:v>
      </x:c>
      <x:c r="BK221" s="4" t="n">
        <x:v>66.4</x:v>
      </x:c>
      <x:c r="BL221" s="4" t="n">
        <x:v>33.6</x:v>
      </x:c>
      <x:c r="BM221" s="4" t="n">
        <x:v>21.5</x:v>
      </x:c>
      <x:c r="BN221" s="4" t="n">
        <x:v>17.35</x:v>
      </x:c>
      <x:c r="BO221" s="10" t="n">
        <x:v>21</x:v>
      </x:c>
      <x:c r="BP221" s="10" t="n">
        <x:v>69</x:v>
      </x:c>
      <x:c r="BQ221" s="4" t="n">
        <x:v>4</x:v>
      </x:c>
      <x:c r="BR221" s="10" t="n">
        <x:v>498</x:v>
      </x:c>
      <x:c r="BS221" s="4" t="n">
        <x:v>55</x:v>
      </x:c>
      <x:c r="BT221" s="10" t="n">
        <x:v>82</x:v>
      </x:c>
      <x:c r="BU221" s="4" t="str">
        <x:v>WPG</x:v>
      </x:c>
      <x:c r="BV221" s="10" t="n">
        <x:v>22</x:v>
      </x:c>
      <x:c r="BW221" s="10" t="n">
        <x:v>14</x:v>
      </x:c>
      <x:c r="BX221" s="10" t="n">
        <x:v>169</x:v>
      </x:c>
      <x:c r="BY221" s="4" t="str">
        <x:v>Kyle Connor</x:v>
      </x:c>
      <x:c r="BZ221" s="4" t="str">
        <x:v>Kyle Connor</x:v>
      </x:c>
      <x:c r="CA221" s="4" t="str">
        <x:v>Kyle Connor</x:v>
      </x:c>
      <x:c r="CB221" s="4" t="str">
        <x:v>connoky01</x:v>
      </x:c>
    </x:row>
    <x:row r="222" ht="22" customHeight="1">
      <x:c r="A222" s="4" t="str">
        <x:v>Kyle Palmieri</x:v>
      </x:c>
      <x:c r="B222" s="4" t="str">
        <x:v>kylepalmieri</x:v>
      </x:c>
      <x:c r="C222" s="10" t="n">
        <x:v>1</x:v>
      </x:c>
      <x:c r="D222" s="10" t="n">
        <x:v>1</x:v>
      </x:c>
      <x:c r="E222" s="10" t="n">
        <x:v>1</x:v>
      </x:c>
      <x:c r="F222" s="4" t="n">
        <x:f>IF(COUNT(N222,Q222,T222,W222,Z222,AC222,AF222,AI222)=8,N222*Guide!$E$5+Q222*Guide!$E$6+T222*Guide!$E$7+W222*Guide!$E$8+Z222*Guide!$E$9+AC222*Guide!$E$10+AF222*Guide!$E$11+AI222*Guide!$E$12,"")</x:f>
        <x:v>269.5</x:v>
      </x:c>
      <x:c r="G222" s="4" t="n">
        <x:f>IF(COUNT(O222,R222,U222,X222,AA222,AD222,AG222,AJ222)=8,O222*Guide!$E$5+R222*Guide!$E$6+U222*Guide!$E$7+X222*Guide!$E$8+AA222*Guide!$E$9+AD222*Guide!$E$10+AG222*Guide!$E$11+AJ222*Guide!$E$12,"")</x:f>
        <x:v>95.25</x:v>
      </x:c>
      <x:c r="H222" s="4" t="n">
        <x:f>IF(COUNT(G222,F222)=2,G222-F222,"")</x:f>
        <x:v>-174.25</x:v>
      </x:c>
      <x:c r="I222" s="4" t="n">
        <x:f>IF(AND(ISNUMBER(F222),K222&gt;0),F222/K222,"")</x:f>
        <x:v>3.2865853658536586</x:v>
      </x:c>
      <x:c r="J222" s="4" t="n">
        <x:f>IF(AND(ISNUMBER(G222),L222&gt;0),G222/L222,"")</x:f>
        <x:v>3.81</x:v>
      </x:c>
      <x:c r="K222" s="10" t="n">
        <x:v>82</x:v>
      </x:c>
      <x:c r="L222" s="10" t="n">
        <x:v>25</x:v>
      </x:c>
      <x:c r="M222" s="10" t="n">
        <x:f>IF(COUNT(L222,K222)=2,L222-K222,"")</x:f>
        <x:v>-57</x:v>
      </x:c>
      <x:c r="N222" s="10" t="n">
        <x:v>25</x:v>
      </x:c>
      <x:c r="O222" s="10" t="n">
        <x:v>6</x:v>
      </x:c>
      <x:c r="P222" s="10" t="n">
        <x:f>IF(COUNT(O222,N222)=2,O222-N222,"")</x:f>
        <x:v>-19</x:v>
      </x:c>
      <x:c r="Q222" s="10" t="n">
        <x:v>24</x:v>
      </x:c>
      <x:c r="R222" s="10" t="n">
        <x:v>12</x:v>
      </x:c>
      <x:c r="S222" s="10" t="n">
        <x:f>IF(COUNT(R222,Q222)=2,R222-Q222,"")</x:f>
        <x:v>-12</x:v>
      </x:c>
      <x:c r="T222" s="10" t="n">
        <x:v>-11</x:v>
      </x:c>
      <x:c r="U222" s="10" t="n">
        <x:v>-2</x:v>
      </x:c>
      <x:c r="V222" s="10" t="n">
        <x:f>IF(COUNT(U222,T222)=2,U222-T222,"")</x:f>
        <x:v>9</x:v>
      </x:c>
      <x:c r="W222" s="10" t="n">
        <x:v>11</x:v>
      </x:c>
      <x:c r="X222" s="10" t="n">
        <x:f>IF(COUNT(AV222,AW222)=2,AV222+AW222,"")</x:f>
        <x:v>5</x:v>
      </x:c>
      <x:c r="Y222" s="10" t="n">
        <x:f>IF(COUNT(X222,W222)=2,X222-W222,"")</x:f>
        <x:v>-6</x:v>
      </x:c>
      <x:c r="Z222" s="10" t="n">
        <x:v>1</x:v>
      </x:c>
      <x:c r="AA222" s="10" t="n">
        <x:f>IF(COUNT(AX222,AY222)=2,AX222+AY222,"")</x:f>
        <x:v>1</x:v>
      </x:c>
      <x:c r="AB222" s="10" t="n">
        <x:f>IF(COUNT(AA222,Z222)=2,AA222-Z222,"")</x:f>
        <x:v>0</x:v>
      </x:c>
      <x:c r="AC222" s="10" t="n">
        <x:v>171</x:v>
      </x:c>
      <x:c r="AD222" s="10" t="n">
        <x:v>71</x:v>
      </x:c>
      <x:c r="AE222" s="10" t="n">
        <x:f>IF(COUNT(AD222,AC222)=2,AD222-AC222,"")</x:f>
        <x:v>-100</x:v>
      </x:c>
      <x:c r="AF222" s="10" t="n">
        <x:v>69</x:v>
      </x:c>
      <x:c r="AG222" s="10" t="n">
        <x:v>19</x:v>
      </x:c>
      <x:c r="AH222" s="10" t="n">
        <x:f>IF(COUNT(AG222,AF222)=2,AG222-AF222,"")</x:f>
        <x:v>-50</x:v>
      </x:c>
      <x:c r="AI222" s="10" t="n">
        <x:v>46</x:v>
      </x:c>
      <x:c r="AJ222" s="10" t="n">
        <x:v>9</x:v>
      </x:c>
      <x:c r="AK222" s="10" t="n">
        <x:f>IF(COUNT(AJ222,AI222)=2,AJ222-AI222,"")</x:f>
        <x:v>-37</x:v>
      </x:c>
      <x:c r="AL222" s="10" t="n">
        <x:v>34</x:v>
      </x:c>
      <x:c r="AM222" s="10" t="n">
        <x:v>34</x:v>
      </x:c>
      <x:c r="AN222" s="4" t="str">
        <x:v>RW</x:v>
      </x:c>
      <x:c r="AO222" s="4" t="str">
        <x:v>RW</x:v>
      </x:c>
      <x:c r="AP222" s="4" t="str">
        <x:v>NYI</x:v>
      </x:c>
      <x:c r="AQ222" s="4" t="str">
        <x:v>NYI</x:v>
      </x:c>
      <x:c r="AR222" s="4" t="n">
        <x:v>17.83</x:v>
      </x:c>
      <x:c r="AS222" s="4" t="n">
        <x:v>18.883333333333333</x:v>
      </x:c>
      <x:c r="AT222" s="4" t="n">
        <x:v>2.25</x:v>
      </x:c>
      <x:c r="AU222" s="4" t="n">
        <x:v>8.5</x:v>
      </x:c>
      <x:c r="AV222" s="10" t="n">
        <x:v>1</x:v>
      </x:c>
      <x:c r="AW222" s="10" t="n">
        <x:v>4</x:v>
      </x:c>
      <x:c r="AX222" s="10" t="n">
        <x:v>1</x:v>
      </x:c>
      <x:c r="AY222" s="10" t="n">
        <x:v>0</x:v>
      </x:c>
      <x:c r="AZ222" s="10" t="n">
        <x:v>336</x:v>
      </x:c>
      <x:c r="BA222" s="10" t="n">
        <x:v>315</x:v>
      </x:c>
      <x:c r="BB222" s="4" t="n">
        <x:v>51.6</x:v>
      </x:c>
      <x:c r="BC222" s="4" t="n">
        <x:v>1.8</x:v>
      </x:c>
      <x:c r="BD222" s="10" t="n">
        <x:v>240</x:v>
      </x:c>
      <x:c r="BE222" s="10" t="n">
        <x:v>223</x:v>
      </x:c>
      <x:c r="BF222" s="4" t="n">
        <x:v>51.8</x:v>
      </x:c>
      <x:c r="BG222" s="4" t="n">
        <x:v>0.3</x:v>
      </x:c>
      <x:c r="BH222" s="4" t="n">
        <x:v>8.5</x:v>
      </x:c>
      <x:c r="BI222" s="4" t="n">
        <x:v>89.6</x:v>
      </x:c>
      <x:c r="BJ222" s="4" t="n">
        <x:v>98.1</x:v>
      </x:c>
      <x:c r="BK222" s="4" t="n">
        <x:v>59.6</x:v>
      </x:c>
      <x:c r="BL222" s="4" t="n">
        <x:v>40.4</x:v>
      </x:c>
      <x:c r="BM222" s="4" t="n">
        <x:v>18.883333333333333</x:v>
      </x:c>
      <x:c r="BN222" s="4" t="n">
        <x:v>13.466666666666667</x:v>
      </x:c>
      <x:c r="BO222" s="10" t="n">
        <x:v>8</x:v>
      </x:c>
      <x:c r="BP222" s="10" t="n">
        <x:v>18</x:v>
      </x:c>
      <x:c r="BQ222" s="4" t="n">
        <x:v>0</x:v>
      </x:c>
      <x:c r="BR222" s="10" t="n">
        <x:v>126</x:v>
      </x:c>
      <x:c r="BS222" s="4" t="n">
        <x:v>56.3</x:v>
      </x:c>
      <x:c r="BT222" s="10" t="n">
        <x:v>25</x:v>
      </x:c>
      <x:c r="BU222" s="4" t="str">
        <x:v>NYI</x:v>
      </x:c>
      <x:c r="BV222" s="10" t="n">
        <x:v>163</x:v>
      </x:c>
      <x:c r="BW222" s="10" t="n">
        <x:v>497</x:v>
      </x:c>
      <x:c r="BX222" s="10" t="n">
        <x:v>778</x:v>
      </x:c>
      <x:c r="BY222" s="4" t="str">
        <x:v>Kyle Palmieri</x:v>
      </x:c>
      <x:c r="BZ222" s="4" t="str">
        <x:v>Kyle Palmieri</x:v>
      </x:c>
      <x:c r="CA222" s="4" t="str">
        <x:v>Kyle Palmieri</x:v>
      </x:c>
      <x:c r="CB222" s="4" t="str">
        <x:v>palmiky01</x:v>
      </x:c>
    </x:row>
    <x:row r="223" ht="22" customHeight="1">
      <x:c r="A223" s="4" t="str">
        <x:v>Lane Hutson</x:v>
      </x:c>
      <x:c r="B223" s="4" t="str">
        <x:v>lanehutson</x:v>
      </x:c>
      <x:c r="C223" s="10" t="n">
        <x:v>1</x:v>
      </x:c>
      <x:c r="D223" s="10" t="n">
        <x:v>1</x:v>
      </x:c>
      <x:c r="E223" s="10" t="n">
        <x:v>1</x:v>
      </x:c>
      <x:c r="F223" s="4" t="n">
        <x:f>IF(COUNT(N223,Q223,T223,W223,Z223,AC223,AF223,AI223)=8,N223*Guide!$E$5+Q223*Guide!$E$6+T223*Guide!$E$7+W223*Guide!$E$8+Z223*Guide!$E$9+AC223*Guide!$E$10+AF223*Guide!$E$11+AI223*Guide!$E$12,"")</x:f>
        <x:v>358.25</x:v>
      </x:c>
      <x:c r="G223" s="4" t="n">
        <x:f>IF(COUNT(O223,R223,U223,X223,AA223,AD223,AG223,AJ223)=8,O223*Guide!$E$5+R223*Guide!$E$6+U223*Guide!$E$7+X223*Guide!$E$8+AA223*Guide!$E$9+AD223*Guide!$E$10+AG223*Guide!$E$11+AJ223*Guide!$E$12,"")</x:f>
        <x:v>443.5</x:v>
      </x:c>
      <x:c r="H223" s="4" t="n">
        <x:f>IF(COUNT(G223,F223)=2,G223-F223,"")</x:f>
        <x:v>85.25</x:v>
      </x:c>
      <x:c r="I223" s="4" t="n">
        <x:f>IF(AND(ISNUMBER(F223),K223&gt;0),F223/K223,"")</x:f>
        <x:v>4.3689024390243905</x:v>
      </x:c>
      <x:c r="J223" s="4" t="n">
        <x:f>IF(AND(ISNUMBER(G223),L223&gt;0),G223/L223,"")</x:f>
        <x:v>5.408536585365853</x:v>
      </x:c>
      <x:c r="K223" s="10" t="n">
        <x:v>82</x:v>
      </x:c>
      <x:c r="L223" s="10" t="n">
        <x:v>82</x:v>
      </x:c>
      <x:c r="M223" s="10" t="n">
        <x:f>IF(COUNT(L223,K223)=2,L223-K223,"")</x:f>
        <x:v>0</x:v>
      </x:c>
      <x:c r="N223" s="10" t="n">
        <x:v>9</x:v>
      </x:c>
      <x:c r="O223" s="10" t="n">
        <x:v>12</x:v>
      </x:c>
      <x:c r="P223" s="10" t="n">
        <x:f>IF(COUNT(O223,N223)=2,O223-N223,"")</x:f>
        <x:v>3</x:v>
      </x:c>
      <x:c r="Q223" s="10" t="n">
        <x:v>57</x:v>
      </x:c>
      <x:c r="R223" s="10" t="n">
        <x:v>66</x:v>
      </x:c>
      <x:c r="S223" s="10" t="n">
        <x:f>IF(COUNT(R223,Q223)=2,R223-Q223,"")</x:f>
        <x:v>9</x:v>
      </x:c>
      <x:c r="T223" s="10" t="n">
        <x:v>-6</x:v>
      </x:c>
      <x:c r="U223" s="10" t="n">
        <x:v>36</x:v>
      </x:c>
      <x:c r="V223" s="10" t="n">
        <x:f>IF(COUNT(U223,T223)=2,U223-T223,"")</x:f>
        <x:v>42</x:v>
      </x:c>
      <x:c r="W223" s="10" t="n">
        <x:v>27</x:v>
      </x:c>
      <x:c r="X223" s="10" t="n">
        <x:f>IF(COUNT(AV223,AW223)=2,AV223+AW223,"")</x:f>
        <x:v>20</x:v>
      </x:c>
      <x:c r="Y223" s="10" t="n">
        <x:f>IF(COUNT(X223,W223)=2,X223-W223,"")</x:f>
        <x:v>-7</x:v>
      </x:c>
      <x:c r="Z223" s="10" t="n">
        <x:v>0</x:v>
      </x:c>
      <x:c r="AA223" s="10" t="n">
        <x:f>IF(COUNT(AX223,AY223)=2,AX223+AY223,"")</x:f>
        <x:v>0</x:v>
      </x:c>
      <x:c r="AB223" s="10" t="n">
        <x:f>IF(COUNT(AA223,Z223)=2,AA223-Z223,"")</x:f>
        <x:v>0</x:v>
      </x:c>
      <x:c r="AC223" s="10" t="n">
        <x:v>109</x:v>
      </x:c>
      <x:c r="AD223" s="10" t="n">
        <x:v>124</x:v>
      </x:c>
      <x:c r="AE223" s="10" t="n">
        <x:f>IF(COUNT(AD223,AC223)=2,AD223-AC223,"")</x:f>
        <x:v>15</x:v>
      </x:c>
      <x:c r="AF223" s="10" t="n">
        <x:v>40</x:v>
      </x:c>
      <x:c r="AG223" s="10" t="n">
        <x:v>31</x:v>
      </x:c>
      <x:c r="AH223" s="10" t="n">
        <x:f>IF(COUNT(AG223,AF223)=2,AG223-AF223,"")</x:f>
        <x:v>-9</x:v>
      </x:c>
      <x:c r="AI223" s="10" t="n">
        <x:v>124</x:v>
      </x:c>
      <x:c r="AJ223" s="10" t="n">
        <x:v>137</x:v>
      </x:c>
      <x:c r="AK223" s="10" t="n">
        <x:f>IF(COUNT(AJ223,AI223)=2,AJ223-AI223,"")</x:f>
        <x:v>13</x:v>
      </x:c>
      <x:c r="AL223" s="10" t="n">
        <x:v>21</x:v>
      </x:c>
      <x:c r="AM223" s="10" t="n">
        <x:v>21</x:v>
      </x:c>
      <x:c r="AN223" s="4" t="str">
        <x:v>D</x:v>
      </x:c>
      <x:c r="AO223" s="4" t="str">
        <x:v>D</x:v>
      </x:c>
      <x:c r="AP223" s="4" t="str">
        <x:v>MTL</x:v>
      </x:c>
      <x:c r="AQ223" s="4" t="str">
        <x:v>MTL</x:v>
      </x:c>
      <x:c r="AR223" s="4" t="n">
        <x:v>23.23</x:v>
      </x:c>
      <x:c r="AS223" s="4" t="n">
        <x:v>23.766666666666666</x:v>
      </x:c>
      <x:c r="AT223" s="4" t="n">
        <x:v>3.33</x:v>
      </x:c>
      <x:c r="AU223" s="4" t="n">
        <x:v>9.7</x:v>
      </x:c>
      <x:c r="AV223" s="10" t="n">
        <x:v>2</x:v>
      </x:c>
      <x:c r="AW223" s="10" t="n">
        <x:v>18</x:v>
      </x:c>
      <x:c r="AX223" s="10" t="n">
        <x:v>0</x:v>
      </x:c>
      <x:c r="AY223" s="10" t="n">
        <x:v>0</x:v>
      </x:c>
      <x:c r="AZ223" s="10" t="n">
        <x:v>1644</x:v>
      </x:c>
      <x:c r="BA223" s="10" t="n">
        <x:v>1421</x:v>
      </x:c>
      <x:c r="BB223" s="4" t="n">
        <x:v>53.6</x:v>
      </x:c>
      <x:c r="BC223" s="4" t="n">
        <x:v>8.1</x:v>
      </x:c>
      <x:c r="BD223" s="10" t="n">
        <x:v>1186</x:v>
      </x:c>
      <x:c r="BE223" s="10" t="n">
        <x:v>996</x:v>
      </x:c>
      <x:c r="BF223" s="4" t="n">
        <x:v>54.4</x:v>
      </x:c>
      <x:c r="BG223" s="4" t="n">
        <x:v>7.8</x:v>
      </x:c>
      <x:c r="BH223" s="4" t="n">
        <x:v>14.1</x:v>
      </x:c>
      <x:c r="BI223" s="4" t="n">
        <x:v>89.3</x:v>
      </x:c>
      <x:c r="BJ223" s="4" t="n">
        <x:v>103.4</x:v>
      </x:c>
      <x:c r="BK223" s="4" t="n">
        <x:v>62</x:v>
      </x:c>
      <x:c r="BL223" s="4" t="n">
        <x:v>38</x:v>
      </x:c>
      <x:c r="BM223" s="4" t="n">
        <x:v>23.766666666666666</x:v>
      </x:c>
      <x:c r="BN223" s="4" t="n">
        <x:v>19.983333333333334</x:v>
      </x:c>
      <x:c r="BO223" s="10" t="n">
        <x:v>43</x:v>
      </x:c>
      <x:c r="BP223" s="10" t="n">
        <x:v>93</x:v>
      </x:c>
      <x:c r="BQ223" s="4" t="n">
        <x:v>16.6</x:v>
      </x:c>
      <x:c r="BR223" s="10" t="n">
        <x:v>300</x:v>
      </x:c>
      <x:c r="BS223" s="4" t="n">
        <x:v>41.3</x:v>
      </x:c>
      <x:c r="BT223" s="10" t="n">
        <x:v>82</x:v>
      </x:c>
      <x:c r="BU223" s="4" t="str">
        <x:v>MTL</x:v>
      </x:c>
      <x:c r="BV223" s="10" t="n">
        <x:v>59</x:v>
      </x:c>
      <x:c r="BW223" s="10" t="n">
        <x:v>33</x:v>
      </x:c>
      <x:c r="BX223" s="10" t="n">
        <x:v>442</x:v>
      </x:c>
      <x:c r="BY223" s="4" t="str">
        <x:v>Lane Hutson</x:v>
      </x:c>
      <x:c r="BZ223" s="4" t="str">
        <x:v>Lane Hutson</x:v>
      </x:c>
      <x:c r="CA223" s="4" t="str">
        <x:v>Lane Hutson</x:v>
      </x:c>
      <x:c r="CB223" s="4" t="str">
        <x:v>hutsola01</x:v>
      </x:c>
    </x:row>
    <x:row r="224" ht="22" customHeight="1">
      <x:c r="A224" s="4" t="str">
        <x:v>Lawson Crouse</x:v>
      </x:c>
      <x:c r="B224" s="4" t="str">
        <x:v>lawsoncrouse</x:v>
      </x:c>
      <x:c r="C224" s="10" t="n">
        <x:v>1</x:v>
      </x:c>
      <x:c r="D224" s="10" t="n">
        <x:v>1</x:v>
      </x:c>
      <x:c r="E224" s="10" t="n">
        <x:v>1</x:v>
      </x:c>
      <x:c r="F224" s="4" t="n">
        <x:f>IF(COUNT(N224,Q224,T224,W224,Z224,AC224,AF224,AI224)=8,N224*Guide!$E$5+Q224*Guide!$E$6+T224*Guide!$E$7+W224*Guide!$E$8+Z224*Guide!$E$9+AC224*Guide!$E$10+AF224*Guide!$E$11+AI224*Guide!$E$12,"")</x:f>
        <x:v>238.5</x:v>
      </x:c>
      <x:c r="G224" s="4" t="n">
        <x:f>IF(COUNT(O224,R224,U224,X224,AA224,AD224,AG224,AJ224)=8,O224*Guide!$E$5+R224*Guide!$E$6+U224*Guide!$E$7+X224*Guide!$E$8+AA224*Guide!$E$9+AD224*Guide!$E$10+AG224*Guide!$E$11+AJ224*Guide!$E$12,"")</x:f>
        <x:v>310.25</x:v>
      </x:c>
      <x:c r="H224" s="4" t="n">
        <x:f>IF(COUNT(G224,F224)=2,G224-F224,"")</x:f>
        <x:v>71.75</x:v>
      </x:c>
      <x:c r="I224" s="4" t="n">
        <x:f>IF(AND(ISNUMBER(F224),K224&gt;0),F224/K224,"")</x:f>
        <x:v>2.98125</x:v>
      </x:c>
      <x:c r="J224" s="4" t="n">
        <x:f>IF(AND(ISNUMBER(G224),L224&gt;0),G224/L224,"")</x:f>
        <x:v>3.830246913580247</x:v>
      </x:c>
      <x:c r="K224" s="10" t="n">
        <x:v>80</x:v>
      </x:c>
      <x:c r="L224" s="10" t="n">
        <x:v>81</x:v>
      </x:c>
      <x:c r="M224" s="10" t="n">
        <x:f>IF(COUNT(L224,K224)=2,L224-K224,"")</x:f>
        <x:v>1</x:v>
      </x:c>
      <x:c r="N224" s="10" t="n">
        <x:v>18</x:v>
      </x:c>
      <x:c r="O224" s="10" t="n">
        <x:v>24</x:v>
      </x:c>
      <x:c r="P224" s="10" t="n">
        <x:f>IF(COUNT(O224,N224)=2,O224-N224,"")</x:f>
        <x:v>6</x:v>
      </x:c>
      <x:c r="Q224" s="10" t="n">
        <x:v>16</x:v>
      </x:c>
      <x:c r="R224" s="10" t="n">
        <x:v>20</x:v>
      </x:c>
      <x:c r="S224" s="10" t="n">
        <x:f>IF(COUNT(R224,Q224)=2,R224-Q224,"")</x:f>
        <x:v>4</x:v>
      </x:c>
      <x:c r="T224" s="10" t="n">
        <x:v>-1</x:v>
      </x:c>
      <x:c r="U224" s="10" t="n">
        <x:v>20</x:v>
      </x:c>
      <x:c r="V224" s="10" t="n">
        <x:f>IF(COUNT(U224,T224)=2,U224-T224,"")</x:f>
        <x:v>21</x:v>
      </x:c>
      <x:c r="W224" s="10" t="n">
        <x:v>5</x:v>
      </x:c>
      <x:c r="X224" s="10" t="n">
        <x:f>IF(COUNT(AV224,AW224)=2,AV224+AW224,"")</x:f>
        <x:v>1</x:v>
      </x:c>
      <x:c r="Y224" s="10" t="n">
        <x:f>IF(COUNT(X224,W224)=2,X224-W224,"")</x:f>
        <x:v>-4</x:v>
      </x:c>
      <x:c r="Z224" s="10" t="n">
        <x:v>0</x:v>
      </x:c>
      <x:c r="AA224" s="10" t="n">
        <x:f>IF(COUNT(AX224,AY224)=2,AX224+AY224,"")</x:f>
        <x:v>2</x:v>
      </x:c>
      <x:c r="AB224" s="10" t="n">
        <x:f>IF(COUNT(AA224,Z224)=2,AA224-Z224,"")</x:f>
        <x:v>2</x:v>
      </x:c>
      <x:c r="AC224" s="10" t="n">
        <x:v>130</x:v>
      </x:c>
      <x:c r="AD224" s="10" t="n">
        <x:v>141</x:v>
      </x:c>
      <x:c r="AE224" s="10" t="n">
        <x:f>IF(COUNT(AD224,AC224)=2,AD224-AC224,"")</x:f>
        <x:v>11</x:v>
      </x:c>
      <x:c r="AF224" s="10" t="n">
        <x:v>184</x:v>
      </x:c>
      <x:c r="AG224" s="10" t="n">
        <x:v>212</x:v>
      </x:c>
      <x:c r="AH224" s="10" t="n">
        <x:f>IF(COUNT(AG224,AF224)=2,AG224-AF224,"")</x:f>
        <x:v>28</x:v>
      </x:c>
      <x:c r="AI224" s="10" t="n">
        <x:v>48</x:v>
      </x:c>
      <x:c r="AJ224" s="10" t="n">
        <x:v>52</x:v>
      </x:c>
      <x:c r="AK224" s="10" t="n">
        <x:f>IF(COUNT(AJ224,AI224)=2,AJ224-AI224,"")</x:f>
        <x:v>4</x:v>
      </x:c>
      <x:c r="AL224" s="10" t="n">
        <x:v>28</x:v>
      </x:c>
      <x:c r="AM224" s="10" t="n">
        <x:v>28</x:v>
      </x:c>
      <x:c r="AN224" s="4" t="str">
        <x:v>LW,RW</x:v>
      </x:c>
      <x:c r="AO224" s="4" t="str">
        <x:v>LW</x:v>
      </x:c>
      <x:c r="AP224" s="4" t="str">
        <x:v>UTA</x:v>
      </x:c>
      <x:c r="AQ224" s="4" t="str">
        <x:v>UTA</x:v>
      </x:c>
      <x:c r="AR224" s="4" t="n">
        <x:v>14.47</x:v>
      </x:c>
      <x:c r="AS224" s="4" t="n">
        <x:v>16.6</x:v>
      </x:c>
      <x:c r="AT224" s="4" t="n">
        <x:v>1.15</x:v>
      </x:c>
      <x:c r="AU224" s="4" t="n">
        <x:v>17</x:v>
      </x:c>
      <x:c r="AV224" s="10" t="n">
        <x:v>1</x:v>
      </x:c>
      <x:c r="AW224" s="10" t="n">
        <x:v>0</x:v>
      </x:c>
      <x:c r="AX224" s="10" t="n">
        <x:v>1</x:v>
      </x:c>
      <x:c r="AY224" s="10" t="n">
        <x:v>1</x:v>
      </x:c>
      <x:c r="AZ224" s="10" t="n">
        <x:v>1078</x:v>
      </x:c>
      <x:c r="BA224" s="10" t="n">
        <x:v>957</x:v>
      </x:c>
      <x:c r="BB224" s="4" t="n">
        <x:v>53</x:v>
      </x:c>
      <x:c r="BC224" s="4" t="n">
        <x:v>-0.5</x:v>
      </x:c>
      <x:c r="BD224" s="10" t="n">
        <x:v>762</x:v>
      </x:c>
      <x:c r="BE224" s="10" t="n">
        <x:v>692</x:v>
      </x:c>
      <x:c r="BF224" s="4" t="n">
        <x:v>52.4</x:v>
      </x:c>
      <x:c r="BG224" s="4" t="n">
        <x:v>-1</x:v>
      </x:c>
      <x:c r="BH224" s="4" t="n">
        <x:v>13.1</x:v>
      </x:c>
      <x:c r="BI224" s="4" t="n">
        <x:v>89</x:v>
      </x:c>
      <x:c r="BJ224" s="4" t="n">
        <x:v>102.1</x:v>
      </x:c>
      <x:c r="BK224" s="4" t="n">
        <x:v>51.1</x:v>
      </x:c>
      <x:c r="BL224" s="4" t="n">
        <x:v>48.9</x:v>
      </x:c>
      <x:c r="BM224" s="4" t="n">
        <x:v>16.6</x:v>
      </x:c>
      <x:c r="BN224" s="4" t="n">
        <x:v>12.833333333333334</x:v>
      </x:c>
      <x:c r="BO224" s="10" t="n">
        <x:v>15</x:v>
      </x:c>
      <x:c r="BP224" s="10" t="n">
        <x:v>51</x:v>
      </x:c>
      <x:c r="BQ224" s="4" t="n">
        <x:v>8</x:v>
      </x:c>
      <x:c r="BR224" s="10" t="n">
        <x:v>284</x:v>
      </x:c>
      <x:c r="BS224" s="4" t="n">
        <x:v>49.6</x:v>
      </x:c>
      <x:c r="BT224" s="10" t="n">
        <x:v>81</x:v>
      </x:c>
      <x:c r="BU224" s="4" t="str">
        <x:v>UTA</x:v>
      </x:c>
      <x:c r="BV224" s="10" t="n">
        <x:v>315</x:v>
      </x:c>
      <x:c r="BW224" s="10" t="n">
        <x:v>181</x:v>
      </x:c>
      <x:c r="BX224" s="10" t="n">
        <x:v>185</x:v>
      </x:c>
      <x:c r="BY224" s="4" t="str">
        <x:v>Lawson Crouse</x:v>
      </x:c>
      <x:c r="BZ224" s="4" t="str">
        <x:v>Lawson Crouse</x:v>
      </x:c>
      <x:c r="CA224" s="4" t="str">
        <x:v>Lawson Crouse</x:v>
      </x:c>
      <x:c r="CB224" s="4" t="str">
        <x:v>crousla01</x:v>
      </x:c>
    </x:row>
    <x:row r="225" ht="22" customHeight="1">
      <x:c r="A225" s="4" t="str">
        <x:v>Leo Carlsson</x:v>
      </x:c>
      <x:c r="B225" s="4" t="str">
        <x:v>leocarlsson</x:v>
      </x:c>
      <x:c r="C225" s="10" t="n">
        <x:v>1</x:v>
      </x:c>
      <x:c r="D225" s="10" t="n">
        <x:v>1</x:v>
      </x:c>
      <x:c r="E225" s="10" t="n">
        <x:v>1</x:v>
      </x:c>
      <x:c r="F225" s="4" t="n">
        <x:f>IF(COUNT(N225,Q225,T225,W225,Z225,AC225,AF225,AI225)=8,N225*Guide!$E$5+Q225*Guide!$E$6+T225*Guide!$E$7+W225*Guide!$E$8+Z225*Guide!$E$9+AC225*Guide!$E$10+AF225*Guide!$E$11+AI225*Guide!$E$12,"")</x:f>
        <x:v>240.25</x:v>
      </x:c>
      <x:c r="G225" s="4" t="n">
        <x:f>IF(COUNT(O225,R225,U225,X225,AA225,AD225,AG225,AJ225)=8,O225*Guide!$E$5+R225*Guide!$E$6+U225*Guide!$E$7+X225*Guide!$E$8+AA225*Guide!$E$9+AD225*Guide!$E$10+AG225*Guide!$E$11+AJ225*Guide!$E$12,"")</x:f>
        <x:v>334.5</x:v>
      </x:c>
      <x:c r="H225" s="4" t="n">
        <x:f>IF(COUNT(G225,F225)=2,G225-F225,"")</x:f>
        <x:v>94.25</x:v>
      </x:c>
      <x:c r="I225" s="4" t="n">
        <x:f>IF(AND(ISNUMBER(F225),K225&gt;0),F225/K225,"")</x:f>
        <x:v>3.203333333333333</x:v>
      </x:c>
      <x:c r="J225" s="4" t="n">
        <x:f>IF(AND(ISNUMBER(G225),L225&gt;0),G225/L225,"")</x:f>
        <x:v>4.7785714285714285</x:v>
      </x:c>
      <x:c r="K225" s="10" t="n">
        <x:v>75</x:v>
      </x:c>
      <x:c r="L225" s="10" t="n">
        <x:v>70</x:v>
      </x:c>
      <x:c r="M225" s="10" t="n">
        <x:f>IF(COUNT(L225,K225)=2,L225-K225,"")</x:f>
        <x:v>-5</x:v>
      </x:c>
      <x:c r="N225" s="10" t="n">
        <x:v>20</x:v>
      </x:c>
      <x:c r="O225" s="10" t="n">
        <x:v>29</x:v>
      </x:c>
      <x:c r="P225" s="10" t="n">
        <x:f>IF(COUNT(O225,N225)=2,O225-N225,"")</x:f>
        <x:v>9</x:v>
      </x:c>
      <x:c r="Q225" s="10" t="n">
        <x:v>28</x:v>
      </x:c>
      <x:c r="R225" s="10" t="n">
        <x:v>38</x:v>
      </x:c>
      <x:c r="S225" s="10" t="n">
        <x:f>IF(COUNT(R225,Q225)=2,R225-Q225,"")</x:f>
        <x:v>10</x:v>
      </x:c>
      <x:c r="T225" s="10" t="n">
        <x:v>-8</x:v>
      </x:c>
      <x:c r="U225" s="10" t="n">
        <x:v>4</x:v>
      </x:c>
      <x:c r="V225" s="10" t="n">
        <x:f>IF(COUNT(U225,T225)=2,U225-T225,"")</x:f>
        <x:v>12</x:v>
      </x:c>
      <x:c r="W225" s="10" t="n">
        <x:v>14</x:v>
      </x:c>
      <x:c r="X225" s="10" t="n">
        <x:f>IF(COUNT(AV225,AW225)=2,AV225+AW225,"")</x:f>
        <x:v>18</x:v>
      </x:c>
      <x:c r="Y225" s="10" t="n">
        <x:f>IF(COUNT(X225,W225)=2,X225-W225,"")</x:f>
        <x:v>4</x:v>
      </x:c>
      <x:c r="Z225" s="10" t="n">
        <x:v>1</x:v>
      </x:c>
      <x:c r="AA225" s="10" t="n">
        <x:f>IF(COUNT(AX225,AY225)=2,AX225+AY225,"")</x:f>
        <x:v>3</x:v>
      </x:c>
      <x:c r="AB225" s="10" t="n">
        <x:f>IF(COUNT(AA225,Z225)=2,AA225-Z225,"")</x:f>
        <x:v>2</x:v>
      </x:c>
      <x:c r="AC225" s="10" t="n">
        <x:v>129</x:v>
      </x:c>
      <x:c r="AD225" s="10" t="n">
        <x:v>193</x:v>
      </x:c>
      <x:c r="AE225" s="10" t="n">
        <x:f>IF(COUNT(AD225,AC225)=2,AD225-AC225,"")</x:f>
        <x:v>64</x:v>
      </x:c>
      <x:c r="AF225" s="10" t="n">
        <x:v>29</x:v>
      </x:c>
      <x:c r="AG225" s="10" t="n">
        <x:v>14</x:v>
      </x:c>
      <x:c r="AH225" s="10" t="n">
        <x:f>IF(COUNT(AG225,AF225)=2,AG225-AF225,"")</x:f>
        <x:v>-15</x:v>
      </x:c>
      <x:c r="AI225" s="10" t="n">
        <x:v>37</x:v>
      </x:c>
      <x:c r="AJ225" s="10" t="n">
        <x:v>29</x:v>
      </x:c>
      <x:c r="AK225" s="10" t="n">
        <x:f>IF(COUNT(AJ225,AI225)=2,AJ225-AI225,"")</x:f>
        <x:v>-8</x:v>
      </x:c>
      <x:c r="AL225" s="10" t="n">
        <x:v>21</x:v>
      </x:c>
      <x:c r="AM225" s="10" t="n">
        <x:v>21</x:v>
      </x:c>
      <x:c r="AN225" s="4" t="str">
        <x:v>C</x:v>
      </x:c>
      <x:c r="AO225" s="4" t="str">
        <x:v>C</x:v>
      </x:c>
      <x:c r="AP225" s="4" t="str">
        <x:v>ANA</x:v>
      </x:c>
      <x:c r="AQ225" s="4" t="str">
        <x:v>ANA</x:v>
      </x:c>
      <x:c r="AR225" s="4" t="n">
        <x:v>17.12</x:v>
      </x:c>
      <x:c r="AS225" s="4" t="n">
        <x:v>19.15</x:v>
      </x:c>
      <x:c r="AT225" s="4" t="n">
        <x:v>2.54</x:v>
      </x:c>
      <x:c r="AU225" s="4" t="n">
        <x:v>15</x:v>
      </x:c>
      <x:c r="AV225" s="10" t="n">
        <x:v>4</x:v>
      </x:c>
      <x:c r="AW225" s="10" t="n">
        <x:v>14</x:v>
      </x:c>
      <x:c r="AX225" s="10" t="n">
        <x:v>2</x:v>
      </x:c>
      <x:c r="AY225" s="10" t="n">
        <x:v>1</x:v>
      </x:c>
      <x:c r="AZ225" s="10" t="n">
        <x:v>1255</x:v>
      </x:c>
      <x:c r="BA225" s="10" t="n">
        <x:v>950</x:v>
      </x:c>
      <x:c r="BB225" s="4" t="n">
        <x:v>56.9</x:v>
      </x:c>
      <x:c r="BC225" s="4" t="n">
        <x:v>6.2</x:v>
      </x:c>
      <x:c r="BD225" s="10" t="n">
        <x:v>926</x:v>
      </x:c>
      <x:c r="BE225" s="10" t="n">
        <x:v>707</x:v>
      </x:c>
      <x:c r="BF225" s="4" t="n">
        <x:v>56.7</x:v>
      </x:c>
      <x:c r="BG225" s="4" t="n">
        <x:v>6.1</x:v>
      </x:c>
      <x:c r="BH225" s="4" t="n">
        <x:v>11</x:v>
      </x:c>
      <x:c r="BI225" s="4" t="n">
        <x:v>85.6</x:v>
      </x:c>
      <x:c r="BJ225" s="4" t="n">
        <x:v>96.7</x:v>
      </x:c>
      <x:c r="BK225" s="4" t="n">
        <x:v>66.2</x:v>
      </x:c>
      <x:c r="BL225" s="4" t="n">
        <x:v>33.8</x:v>
      </x:c>
      <x:c r="BM225" s="4" t="n">
        <x:v>19.15</x:v>
      </x:c>
      <x:c r="BN225" s="4" t="n">
        <x:v>14.8</x:v>
      </x:c>
      <x:c r="BO225" s="10" t="n">
        <x:v>34</x:v>
      </x:c>
      <x:c r="BP225" s="10" t="n">
        <x:v>78</x:v>
      </x:c>
      <x:c r="BQ225" s="4" t="n">
        <x:v>15.8</x:v>
      </x:c>
      <x:c r="BR225" s="10" t="n">
        <x:v>365</x:v>
      </x:c>
      <x:c r="BS225" s="4" t="n">
        <x:v>52.9</x:v>
      </x:c>
      <x:c r="BT225" s="10" t="n">
        <x:v>70</x:v>
      </x:c>
      <x:c r="BU225" s="4" t="str">
        <x:v>ANA</x:v>
      </x:c>
      <x:c r="BV225" s="10" t="n">
        <x:v>172</x:v>
      </x:c>
      <x:c r="BW225" s="10" t="n">
        <x:v>63</x:v>
      </x:c>
      <x:c r="BX225" s="10" t="n">
        <x:v>130</x:v>
      </x:c>
      <x:c r="BY225" s="4" t="str">
        <x:v>Leo Carlsson</x:v>
      </x:c>
      <x:c r="BZ225" s="4" t="str">
        <x:v>Leo Carlsson</x:v>
      </x:c>
      <x:c r="CA225" s="4" t="str">
        <x:v>Leo Carlsson</x:v>
      </x:c>
      <x:c r="CB225" s="4" t="str">
        <x:v>carlsle01</x:v>
      </x:c>
    </x:row>
    <x:row r="226" ht="22" customHeight="1">
      <x:c r="A226" s="4" t="str">
        <x:v>Leon Draisaitl</x:v>
      </x:c>
      <x:c r="B226" s="4" t="str">
        <x:v>leondraisaitl</x:v>
      </x:c>
      <x:c r="C226" s="10" t="n">
        <x:v>1</x:v>
      </x:c>
      <x:c r="D226" s="10" t="n">
        <x:v>1</x:v>
      </x:c>
      <x:c r="E226" s="10" t="n">
        <x:v>1</x:v>
      </x:c>
      <x:c r="F226" s="4" t="n">
        <x:f>IF(COUNT(N226,Q226,T226,W226,Z226,AC226,AF226,AI226)=8,N226*Guide!$E$5+Q226*Guide!$E$6+T226*Guide!$E$7+W226*Guide!$E$8+Z226*Guide!$E$9+AC226*Guide!$E$10+AF226*Guide!$E$11+AI226*Guide!$E$12,"")</x:f>
        <x:v>535</x:v>
      </x:c>
      <x:c r="G226" s="4" t="n">
        <x:f>IF(COUNT(O226,R226,U226,X226,AA226,AD226,AG226,AJ226)=8,O226*Guide!$E$5+R226*Guide!$E$6+U226*Guide!$E$7+X226*Guide!$E$8+AA226*Guide!$E$9+AD226*Guide!$E$10+AG226*Guide!$E$11+AJ226*Guide!$E$12,"")</x:f>
        <x:v>450.25</x:v>
      </x:c>
      <x:c r="H226" s="4" t="n">
        <x:f>IF(COUNT(G226,F226)=2,G226-F226,"")</x:f>
        <x:v>-84.75</x:v>
      </x:c>
      <x:c r="I226" s="4" t="n">
        <x:f>IF(AND(ISNUMBER(F226),K226&gt;0),F226/K226,"")</x:f>
        <x:v>6.858974358974359</x:v>
      </x:c>
      <x:c r="J226" s="4" t="n">
        <x:f>IF(AND(ISNUMBER(G226),L226&gt;0),G226/L226,"")</x:f>
        <x:v>6.926923076923077</x:v>
      </x:c>
      <x:c r="K226" s="10" t="n">
        <x:v>78</x:v>
      </x:c>
      <x:c r="L226" s="10" t="n">
        <x:v>65</x:v>
      </x:c>
      <x:c r="M226" s="10" t="n">
        <x:f>IF(COUNT(L226,K226)=2,L226-K226,"")</x:f>
        <x:v>-13</x:v>
      </x:c>
      <x:c r="N226" s="10" t="n">
        <x:v>46</x:v>
      </x:c>
      <x:c r="O226" s="10" t="n">
        <x:v>35</x:v>
      </x:c>
      <x:c r="P226" s="10" t="n">
        <x:f>IF(COUNT(O226,N226)=2,O226-N226,"")</x:f>
        <x:v>-11</x:v>
      </x:c>
      <x:c r="Q226" s="10" t="n">
        <x:v>64</x:v>
      </x:c>
      <x:c r="R226" s="10" t="n">
        <x:v>62</x:v>
      </x:c>
      <x:c r="S226" s="10" t="n">
        <x:f>IF(COUNT(R226,Q226)=2,R226-Q226,"")</x:f>
        <x:v>-2</x:v>
      </x:c>
      <x:c r="T226" s="10" t="n">
        <x:v>28</x:v>
      </x:c>
      <x:c r="U226" s="10" t="n">
        <x:v>13</x:v>
      </x:c>
      <x:c r="V226" s="10" t="n">
        <x:f>IF(COUNT(U226,T226)=2,U226-T226,"")</x:f>
        <x:v>-15</x:v>
      </x:c>
      <x:c r="W226" s="10" t="n">
        <x:v>40</x:v>
      </x:c>
      <x:c r="X226" s="10" t="n">
        <x:f>IF(COUNT(AV226,AW226)=2,AV226+AW226,"")</x:f>
        <x:v>42</x:v>
      </x:c>
      <x:c r="Y226" s="10" t="n">
        <x:f>IF(COUNT(X226,W226)=2,X226-W226,"")</x:f>
        <x:v>2</x:v>
      </x:c>
      <x:c r="Z226" s="10" t="n">
        <x:v>0</x:v>
      </x:c>
      <x:c r="AA226" s="10" t="n">
        <x:f>IF(COUNT(AX226,AY226)=2,AX226+AY226,"")</x:f>
        <x:v>1</x:v>
      </x:c>
      <x:c r="AB226" s="10" t="n">
        <x:f>IF(COUNT(AA226,Z226)=2,AA226-Z226,"")</x:f>
        <x:v>1</x:v>
      </x:c>
      <x:c r="AC226" s="10" t="n">
        <x:v>227</x:v>
      </x:c>
      <x:c r="AD226" s="10" t="n">
        <x:v>186</x:v>
      </x:c>
      <x:c r="AE226" s="10" t="n">
        <x:f>IF(COUNT(AD226,AC226)=2,AD226-AC226,"")</x:f>
        <x:v>-41</x:v>
      </x:c>
      <x:c r="AF226" s="10" t="n">
        <x:v>38</x:v>
      </x:c>
      <x:c r="AG226" s="10" t="n">
        <x:v>34</x:v>
      </x:c>
      <x:c r="AH226" s="10" t="n">
        <x:f>IF(COUNT(AG226,AF226)=2,AG226-AF226,"")</x:f>
        <x:v>-4</x:v>
      </x:c>
      <x:c r="AI226" s="10" t="n">
        <x:v>33</x:v>
      </x:c>
      <x:c r="AJ226" s="10" t="n">
        <x:v>15</x:v>
      </x:c>
      <x:c r="AK226" s="10" t="n">
        <x:f>IF(COUNT(AJ226,AI226)=2,AJ226-AI226,"")</x:f>
        <x:v>-18</x:v>
      </x:c>
      <x:c r="AL226" s="10" t="n">
        <x:v>30</x:v>
      </x:c>
      <x:c r="AM226" s="10" t="n">
        <x:v>30</x:v>
      </x:c>
      <x:c r="AN226" s="4" t="str">
        <x:v>C,LW</x:v>
      </x:c>
      <x:c r="AO226" s="4" t="str">
        <x:v>C</x:v>
      </x:c>
      <x:c r="AP226" s="4" t="str">
        <x:v>EDM</x:v>
      </x:c>
      <x:c r="AQ226" s="4" t="str">
        <x:v>EDM</x:v>
      </x:c>
      <x:c r="AR226" s="4" t="n">
        <x:v>21.73</x:v>
      </x:c>
      <x:c r="AS226" s="4" t="n">
        <x:v>21.583333333333332</x:v>
      </x:c>
      <x:c r="AT226" s="4" t="n">
        <x:v>3.4</x:v>
      </x:c>
      <x:c r="AU226" s="4" t="n">
        <x:v>18.8</x:v>
      </x:c>
      <x:c r="AV226" s="10" t="n">
        <x:v>16</x:v>
      </x:c>
      <x:c r="AW226" s="10" t="n">
        <x:v>26</x:v>
      </x:c>
      <x:c r="AX226" s="10" t="n">
        <x:v>1</x:v>
      </x:c>
      <x:c r="AY226" s="10" t="n">
        <x:v>0</x:v>
      </x:c>
      <x:c r="AZ226" s="10" t="n">
        <x:v>1206</x:v>
      </x:c>
      <x:c r="BA226" s="10" t="n">
        <x:v>1029</x:v>
      </x:c>
      <x:c r="BB226" s="4" t="n">
        <x:v>54</x:v>
      </x:c>
      <x:c r="BC226" s="4" t="n">
        <x:v>5.3</x:v>
      </x:c>
      <x:c r="BD226" s="10" t="n">
        <x:v>922</x:v>
      </x:c>
      <x:c r="BE226" s="10" t="n">
        <x:v>746</x:v>
      </x:c>
      <x:c r="BF226" s="4" t="n">
        <x:v>55.3</x:v>
      </x:c>
      <x:c r="BG226" s="4" t="n">
        <x:v>6.4</x:v>
      </x:c>
      <x:c r="BH226" s="4" t="n">
        <x:v>12.7</x:v>
      </x:c>
      <x:c r="BI226" s="4" t="n">
        <x:v>86.4</x:v>
      </x:c>
      <x:c r="BJ226" s="4" t="n">
        <x:v>99.1</x:v>
      </x:c>
      <x:c r="BK226" s="4" t="n">
        <x:v>62.4</x:v>
      </x:c>
      <x:c r="BL226" s="4" t="n">
        <x:v>37.6</x:v>
      </x:c>
      <x:c r="BM226" s="4" t="n">
        <x:v>21.583333333333332</x:v>
      </x:c>
      <x:c r="BN226" s="4" t="n">
        <x:v>17.516666666666666</x:v>
      </x:c>
      <x:c r="BO226" s="10" t="n">
        <x:v>26</x:v>
      </x:c>
      <x:c r="BP226" s="10" t="n">
        <x:v>106</x:v>
      </x:c>
      <x:c r="BQ226" s="4" t="n">
        <x:v>14.2</x:v>
      </x:c>
      <x:c r="BR226" s="10" t="n">
        <x:v>369</x:v>
      </x:c>
      <x:c r="BS226" s="4" t="n">
        <x:v>50.4</x:v>
      </x:c>
      <x:c r="BT226" s="10" t="n">
        <x:v>65</x:v>
      </x:c>
      <x:c r="BU226" s="4" t="str">
        <x:v>EDM</x:v>
      </x:c>
      <x:c r="BV226" s="10" t="n">
        <x:v>5</x:v>
      </x:c>
      <x:c r="BW226" s="10" t="n">
        <x:v>11</x:v>
      </x:c>
      <x:c r="BX226" s="10" t="n">
        <x:v>235</x:v>
      </x:c>
      <x:c r="BY226" s="4" t="str">
        <x:v>Leon Draisaitl</x:v>
      </x:c>
      <x:c r="BZ226" s="4" t="str">
        <x:v>Leon Draisaitl</x:v>
      </x:c>
      <x:c r="CA226" s="4" t="str">
        <x:v>Leon Draisaitl</x:v>
      </x:c>
      <x:c r="CB226" s="4" t="str">
        <x:v>draisle01</x:v>
      </x:c>
    </x:row>
    <x:row r="227" ht="22" customHeight="1">
      <x:c r="A227" s="4" t="str">
        <x:v>Liam Ohgren</x:v>
      </x:c>
      <x:c r="B227" s="4" t="str">
        <x:v>liamohgren</x:v>
      </x:c>
      <x:c r="C227" s="10" t="n">
        <x:v>1</x:v>
      </x:c>
      <x:c r="D227" s="10" t="n">
        <x:v>1</x:v>
      </x:c>
      <x:c r="E227" s="10" t="n">
        <x:v>1</x:v>
      </x:c>
      <x:c r="F227" s="4" t="n">
        <x:f>IF(COUNT(N227,Q227,T227,W227,Z227,AC227,AF227,AI227)=8,N227*Guide!$E$5+Q227*Guide!$E$6+T227*Guide!$E$7+W227*Guide!$E$8+Z227*Guide!$E$9+AC227*Guide!$E$10+AF227*Guide!$E$11+AI227*Guide!$E$12,"")</x:f>
        <x:v>210.75</x:v>
      </x:c>
      <x:c r="G227" s="4" t="n">
        <x:f>IF(COUNT(O227,R227,U227,X227,AA227,AD227,AG227,AJ227)=8,O227*Guide!$E$5+R227*Guide!$E$6+U227*Guide!$E$7+X227*Guide!$E$8+AA227*Guide!$E$9+AD227*Guide!$E$10+AG227*Guide!$E$11+AJ227*Guide!$E$12,"")</x:f>
        <x:v>115.75</x:v>
      </x:c>
      <x:c r="H227" s="4" t="n">
        <x:f>IF(COUNT(G227,F227)=2,G227-F227,"")</x:f>
        <x:v>-95</x:v>
      </x:c>
      <x:c r="I227" s="4" t="n">
        <x:f>IF(AND(ISNUMBER(F227),K227&gt;0),F227/K227,"")</x:f>
        <x:v>2.773026315789474</x:v>
      </x:c>
      <x:c r="J227" s="4" t="n">
        <x:f>IF(AND(ISNUMBER(G227),L227&gt;0),G227/L227,"")</x:f>
        <x:v>1.6775362318840579</x:v>
      </x:c>
      <x:c r="K227" s="10" t="n">
        <x:v>76</x:v>
      </x:c>
      <x:c r="L227" s="10" t="n">
        <x:v>69</x:v>
      </x:c>
      <x:c r="M227" s="10" t="n">
        <x:f>IF(COUNT(L227,K227)=2,L227-K227,"")</x:f>
        <x:v>-7</x:v>
      </x:c>
      <x:c r="N227" s="10" t="n">
        <x:v>15</x:v>
      </x:c>
      <x:c r="O227" s="10" t="n">
        <x:v>8</x:v>
      </x:c>
      <x:c r="P227" s="10" t="n">
        <x:f>IF(COUNT(O227,N227)=2,O227-N227,"")</x:f>
        <x:v>-7</x:v>
      </x:c>
      <x:c r="Q227" s="10" t="n">
        <x:v>20</x:v>
      </x:c>
      <x:c r="R227" s="10" t="n">
        <x:v>10</x:v>
      </x:c>
      <x:c r="S227" s="10" t="n">
        <x:f>IF(COUNT(R227,Q227)=2,R227-Q227,"")</x:f>
        <x:v>-10</x:v>
      </x:c>
      <x:c r="T227" s="10" t="n">
        <x:v>-2</x:v>
      </x:c>
      <x:c r="U227" s="10" t="n">
        <x:v>-19</x:v>
      </x:c>
      <x:c r="V227" s="10" t="n">
        <x:f>IF(COUNT(U227,T227)=2,U227-T227,"")</x:f>
        <x:v>-17</x:v>
      </x:c>
      <x:c r="W227" s="10" t="n">
        <x:v>8</x:v>
      </x:c>
      <x:c r="X227" s="10" t="n">
        <x:f>IF(COUNT(AV227,AW227)=2,AV227+AW227,"")</x:f>
        <x:v>0</x:v>
      </x:c>
      <x:c r="Y227" s="10" t="n">
        <x:f>IF(COUNT(X227,W227)=2,X227-W227,"")</x:f>
        <x:v>-8</x:v>
      </x:c>
      <x:c r="Z227" s="10" t="n">
        <x:v>0</x:v>
      </x:c>
      <x:c r="AA227" s="10" t="n">
        <x:f>IF(COUNT(AX227,AY227)=2,AX227+AY227,"")</x:f>
        <x:v>1</x:v>
      </x:c>
      <x:c r="AB227" s="10" t="n">
        <x:f>IF(COUNT(AA227,Z227)=2,AA227-Z227,"")</x:f>
        <x:v>1</x:v>
      </x:c>
      <x:c r="AC227" s="10" t="n">
        <x:v>125</x:v>
      </x:c>
      <x:c r="AD227" s="10" t="n">
        <x:v>87</x:v>
      </x:c>
      <x:c r="AE227" s="10" t="n">
        <x:f>IF(COUNT(AD227,AC227)=2,AD227-AC227,"")</x:f>
        <x:v>-38</x:v>
      </x:c>
      <x:c r="AF227" s="10" t="n">
        <x:v>103</x:v>
      </x:c>
      <x:c r="AG227" s="10" t="n">
        <x:v>69</x:v>
      </x:c>
      <x:c r="AH227" s="10" t="n">
        <x:f>IF(COUNT(AG227,AF227)=2,AG227-AF227,"")</x:f>
        <x:v>-34</x:v>
      </x:c>
      <x:c r="AI227" s="10" t="n">
        <x:v>37</x:v>
      </x:c>
      <x:c r="AJ227" s="10" t="n">
        <x:v>41</x:v>
      </x:c>
      <x:c r="AK227" s="10" t="n">
        <x:f>IF(COUNT(AJ227,AI227)=2,AJ227-AI227,"")</x:f>
        <x:v>4</x:v>
      </x:c>
      <x:c r="AL227" s="10" t="n">
        <x:v>22</x:v>
      </x:c>
      <x:c r="AM227" s="10" t="n">
        <x:v>22</x:v>
      </x:c>
      <x:c r="AN227" s="4" t="str">
        <x:v>LW</x:v>
      </x:c>
      <x:c r="AO227" s="4" t="str">
        <x:v>LW</x:v>
      </x:c>
      <x:c r="AP227" s="4" t="str">
        <x:v>MIN</x:v>
      </x:c>
      <x:c r="AQ227" s="4" t="str">
        <x:v>2TM</x:v>
      </x:c>
      <x:c r="AR227" s="4" t="n">
        <x:v>13.76</x:v>
      </x:c>
      <x:c r="AS227" s="4" t="n">
        <x:v>13.166666666666666</x:v>
      </x:c>
      <x:c r="AT227" s="4" t="n">
        <x:v>1.26</x:v>
      </x:c>
      <x:c r="AU227" s="4" t="n">
        <x:v>9.2</x:v>
      </x:c>
      <x:c r="AV227" s="10" t="n">
        <x:v>0</x:v>
      </x:c>
      <x:c r="AW227" s="10" t="n">
        <x:v>0</x:v>
      </x:c>
      <x:c r="AX227" s="10" t="n">
        <x:v>0</x:v>
      </x:c>
      <x:c r="AY227" s="10" t="n">
        <x:v>1</x:v>
      </x:c>
      <x:c r="AZ227" s="10" t="n">
        <x:v>658</x:v>
      </x:c>
      <x:c r="BA227" s="10" t="n">
        <x:v>892</x:v>
      </x:c>
      <x:c r="BB227" s="4" t="n">
        <x:v>42.5</x:v>
      </x:c>
      <x:c r="BC227" s="4" t="n">
        <x:v>-4</x:v>
      </x:c>
      <x:c r="BD227" s="10" t="n">
        <x:v>458</x:v>
      </x:c>
      <x:c r="BE227" s="10" t="n">
        <x:v>673</x:v>
      </x:c>
      <x:c r="BF227" s="4" t="n">
        <x:v>40.5</x:v>
      </x:c>
      <x:c r="BG227" s="4" t="n">
        <x:v>-6.3</x:v>
      </x:c>
      <x:c r="BH227" s="4" t="n">
        <x:v>7.7</x:v>
      </x:c>
      <x:c r="BI227" s="4" t="n">
        <x:v>90.2</x:v>
      </x:c>
      <x:c r="BJ227" s="4" t="n">
        <x:v>97.9</x:v>
      </x:c>
      <x:c r="BK227" s="4" t="n">
        <x:v>47.5</x:v>
      </x:c>
      <x:c r="BL227" s="4" t="n">
        <x:v>52.5</x:v>
      </x:c>
      <x:c r="BM227" s="4" t="n">
        <x:v>13.166666666666666</x:v>
      </x:c>
      <x:c r="BN227" s="4" t="n">
        <x:v>12.366666666666667</x:v>
      </x:c>
      <x:c r="BO227" s="10" t="n">
        <x:v>16</x:v>
      </x:c>
      <x:c r="BP227" s="10" t="n">
        <x:v>43</x:v>
      </x:c>
      <x:c r="BQ227" s="4" t="n">
        <x:v>-15.3</x:v>
      </x:c>
      <x:c r="BR227" s="10" t="n">
        <x:v>184</x:v>
      </x:c>
      <x:c r="BS227" s="4" t="n">
        <x:v>47.3</x:v>
      </x:c>
      <x:c r="BT227" s="10" t="n">
        <x:v>69</x:v>
      </x:c>
      <x:c r="BU227" s="4" t="str">
        <x:v>TOT</x:v>
      </x:c>
      <x:c r="BV227" s="10" t="n">
        <x:v>305</x:v>
      </x:c>
      <x:c r="BW227" s="10" t="n">
        <x:v>494</x:v>
      </x:c>
      <x:c r="BX227" s="10" t="n">
        <x:v>758</x:v>
      </x:c>
      <x:c r="BY227" s="4" t="str">
        <x:v>Liam Ohgren</x:v>
      </x:c>
      <x:c r="BZ227" s="4" t="str">
        <x:v>Liam Ohgren</x:v>
      </x:c>
      <x:c r="CA227" s="4" t="str">
        <x:v>Liam Ohgren</x:v>
      </x:c>
      <x:c r="CB227" s="4" t="str">
        <x:v>ohgreli01</x:v>
      </x:c>
    </x:row>
    <x:row r="228" ht="22" customHeight="1">
      <x:c r="A228" s="4" t="str">
        <x:v>Linus Karlsson</x:v>
      </x:c>
      <x:c r="B228" s="4" t="str">
        <x:v>linuskarlsson</x:v>
      </x:c>
      <x:c r="C228" s="10" t="n">
        <x:v>1</x:v>
      </x:c>
      <x:c r="D228" s="10" t="n">
        <x:v>1</x:v>
      </x:c>
      <x:c r="E228" s="10" t="n">
        <x:v>1</x:v>
      </x:c>
      <x:c r="F228" s="4" t="n">
        <x:f>IF(COUNT(N228,Q228,T228,W228,Z228,AC228,AF228,AI228)=8,N228*Guide!$E$5+Q228*Guide!$E$6+T228*Guide!$E$7+W228*Guide!$E$8+Z228*Guide!$E$9+AC228*Guide!$E$10+AF228*Guide!$E$11+AI228*Guide!$E$12,"")</x:f>
        <x:v>90.5</x:v>
      </x:c>
      <x:c r="G228" s="4" t="n">
        <x:f>IF(COUNT(O228,R228,U228,X228,AA228,AD228,AG228,AJ228)=8,O228*Guide!$E$5+R228*Guide!$E$6+U228*Guide!$E$7+X228*Guide!$E$8+AA228*Guide!$E$9+AD228*Guide!$E$10+AG228*Guide!$E$11+AJ228*Guide!$E$12,"")</x:f>
        <x:v>162.25</x:v>
      </x:c>
      <x:c r="H228" s="4" t="n">
        <x:f>IF(COUNT(G228,F228)=2,G228-F228,"")</x:f>
        <x:v>71.75</x:v>
      </x:c>
      <x:c r="I228" s="4" t="n">
        <x:f>IF(AND(ISNUMBER(F228),K228&gt;0),F228/K228,"")</x:f>
        <x:v>2.1547619047619047</x:v>
      </x:c>
      <x:c r="J228" s="4" t="n">
        <x:f>IF(AND(ISNUMBER(G228),L228&gt;0),G228/L228,"")</x:f>
        <x:v>2.0537974683544302</x:v>
      </x:c>
      <x:c r="K228" s="10" t="n">
        <x:v>42</x:v>
      </x:c>
      <x:c r="L228" s="10" t="n">
        <x:v>79</x:v>
      </x:c>
      <x:c r="M228" s="10" t="n">
        <x:f>IF(COUNT(L228,K228)=2,L228-K228,"")</x:f>
        <x:v>37</x:v>
      </x:c>
      <x:c r="N228" s="10" t="n">
        <x:v>7</x:v>
      </x:c>
      <x:c r="O228" s="10" t="n">
        <x:v>15</x:v>
      </x:c>
      <x:c r="P228" s="10" t="n">
        <x:f>IF(COUNT(O228,N228)=2,O228-N228,"")</x:f>
        <x:v>8</x:v>
      </x:c>
      <x:c r="Q228" s="10" t="n">
        <x:v>8</x:v>
      </x:c>
      <x:c r="R228" s="10" t="n">
        <x:v>20</x:v>
      </x:c>
      <x:c r="S228" s="10" t="n">
        <x:f>IF(COUNT(R228,Q228)=2,R228-Q228,"")</x:f>
        <x:v>12</x:v>
      </x:c>
      <x:c r="T228" s="10" t="n">
        <x:v>0</x:v>
      </x:c>
      <x:c r="U228" s="10" t="n">
        <x:v>-28</x:v>
      </x:c>
      <x:c r="V228" s="10" t="n">
        <x:f>IF(COUNT(U228,T228)=2,U228-T228,"")</x:f>
        <x:v>-28</x:v>
      </x:c>
      <x:c r="W228" s="10" t="n">
        <x:v>3</x:v>
      </x:c>
      <x:c r="X228" s="10" t="n">
        <x:f>IF(COUNT(AV228,AW228)=2,AV228+AW228,"")</x:f>
        <x:v>4</x:v>
      </x:c>
      <x:c r="Y228" s="10" t="n">
        <x:f>IF(COUNT(X228,W228)=2,X228-W228,"")</x:f>
        <x:v>1</x:v>
      </x:c>
      <x:c r="Z228" s="10" t="n">
        <x:v>0</x:v>
      </x:c>
      <x:c r="AA228" s="10" t="n">
        <x:f>IF(COUNT(AX228,AY228)=2,AX228+AY228,"")</x:f>
        <x:v>0</x:v>
      </x:c>
      <x:c r="AB228" s="10" t="n">
        <x:f>IF(COUNT(AA228,Z228)=2,AA228-Z228,"")</x:f>
        <x:v>0</x:v>
      </x:c>
      <x:c r="AC228" s="10" t="n">
        <x:v>51</x:v>
      </x:c>
      <x:c r="AD228" s="10" t="n">
        <x:v>116</x:v>
      </x:c>
      <x:c r="AE228" s="10" t="n">
        <x:f>IF(COUNT(AD228,AC228)=2,AD228-AC228,"")</x:f>
        <x:v>65</x:v>
      </x:c>
      <x:c r="AF228" s="10" t="n">
        <x:v>46</x:v>
      </x:c>
      <x:c r="AG228" s="10" t="n">
        <x:v>83</x:v>
      </x:c>
      <x:c r="AH228" s="10" t="n">
        <x:f>IF(COUNT(AG228,AF228)=2,AG228-AF228,"")</x:f>
        <x:v>37</x:v>
      </x:c>
      <x:c r="AI228" s="10" t="n">
        <x:v>15</x:v>
      </x:c>
      <x:c r="AJ228" s="10" t="n">
        <x:v>22</x:v>
      </x:c>
      <x:c r="AK228" s="10" t="n">
        <x:f>IF(COUNT(AJ228,AI228)=2,AJ228-AI228,"")</x:f>
        <x:v>7</x:v>
      </x:c>
      <x:c r="AL228" s="10" t="n">
        <x:v>26</x:v>
      </x:c>
      <x:c r="AM228" s="10" t="n">
        <x:v>26</x:v>
      </x:c>
      <x:c r="AN228" s="4" t="str">
        <x:v>C</x:v>
      </x:c>
      <x:c r="AO228" s="4" t="str">
        <x:v>C</x:v>
      </x:c>
      <x:c r="AP228" s="4" t="str">
        <x:v>VAN</x:v>
      </x:c>
      <x:c r="AQ228" s="4" t="str">
        <x:v>VAN</x:v>
      </x:c>
      <x:c r="AR228" s="4" t="n">
        <x:v>11.040000000000001</x:v>
      </x:c>
      <x:c r="AS228" s="4" t="n">
        <x:v>12.516666666666667</x:v>
      </x:c>
      <x:c r="AT228" s="4" t="n">
        <x:v>0.9</x:v>
      </x:c>
      <x:c r="AU228" s="4" t="n">
        <x:v>12.9</x:v>
      </x:c>
      <x:c r="AV228" s="10" t="n">
        <x:v>2</x:v>
      </x:c>
      <x:c r="AW228" s="10" t="n">
        <x:v>2</x:v>
      </x:c>
      <x:c r="AX228" s="10" t="n">
        <x:v>0</x:v>
      </x:c>
      <x:c r="AY228" s="10" t="n">
        <x:v>0</x:v>
      </x:c>
      <x:c r="AZ228" s="10" t="n">
        <x:v>838</x:v>
      </x:c>
      <x:c r="BA228" s="10" t="n">
        <x:v>779</x:v>
      </x:c>
      <x:c r="BB228" s="4" t="n">
        <x:v>51.8</x:v>
      </x:c>
      <x:c r="BC228" s="4" t="n">
        <x:v>6.4</x:v>
      </x:c>
      <x:c r="BD228" s="10" t="n">
        <x:v>611</x:v>
      </x:c>
      <x:c r="BE228" s="10" t="n">
        <x:v>571</x:v>
      </x:c>
      <x:c r="BF228" s="4" t="n">
        <x:v>51.7</x:v>
      </x:c>
      <x:c r="BG228" s="4" t="n">
        <x:v>6.8</x:v>
      </x:c>
      <x:c r="BH228" s="4" t="n">
        <x:v>10.4</x:v>
      </x:c>
      <x:c r="BI228" s="4" t="n">
        <x:v>82.8</x:v>
      </x:c>
      <x:c r="BJ228" s="4" t="n">
        <x:v>93.2</x:v>
      </x:c>
      <x:c r="BK228" s="4" t="n">
        <x:v>49.6</x:v>
      </x:c>
      <x:c r="BL228" s="4" t="n">
        <x:v>50.4</x:v>
      </x:c>
      <x:c r="BM228" s="4" t="n">
        <x:v>12.516666666666667</x:v>
      </x:c>
      <x:c r="BN228" s="4" t="n">
        <x:v>11.133333333333333</x:v>
      </x:c>
      <x:c r="BO228" s="10" t="n">
        <x:v>15</x:v>
      </x:c>
      <x:c r="BP228" s="10" t="n">
        <x:v>49</x:v>
      </x:c>
      <x:c r="BQ228" s="4" t="n">
        <x:v>-1.2</x:v>
      </x:c>
      <x:c r="BR228" s="10" t="n">
        <x:v>213</x:v>
      </x:c>
      <x:c r="BS228" s="4" t="n">
        <x:v>54.5</x:v>
      </x:c>
      <x:c r="BT228" s="10" t="n">
        <x:v>79</x:v>
      </x:c>
      <x:c r="BU228" s="4" t="str">
        <x:v>VAN</x:v>
      </x:c>
      <x:c r="BV228" s="10" t="n">
        <x:v>639</x:v>
      </x:c>
      <x:c r="BW228" s="10" t="n">
        <x:v>265</x:v>
      </x:c>
      <x:c r="BX228" s="10" t="n">
        <x:v>500</x:v>
      </x:c>
      <x:c r="BY228" s="4" t="str">
        <x:v>Linus Karlsson</x:v>
      </x:c>
      <x:c r="BZ228" s="4" t="str">
        <x:v>Linus Karlsson</x:v>
      </x:c>
      <x:c r="CA228" s="4" t="str">
        <x:v>Linus Karlsson</x:v>
      </x:c>
      <x:c r="CB228" s="4" t="str">
        <x:v>karlsli01</x:v>
      </x:c>
    </x:row>
    <x:row r="229" ht="22" customHeight="1">
      <x:c r="A229" s="4" t="str">
        <x:v>Logan Cooley</x:v>
      </x:c>
      <x:c r="B229" s="4" t="str">
        <x:v>logancooley</x:v>
      </x:c>
      <x:c r="C229" s="10" t="n">
        <x:v>1</x:v>
      </x:c>
      <x:c r="D229" s="10" t="n">
        <x:v>1</x:v>
      </x:c>
      <x:c r="E229" s="10" t="n">
        <x:v>1</x:v>
      </x:c>
      <x:c r="F229" s="4" t="n">
        <x:f>IF(COUNT(N229,Q229,T229,W229,Z229,AC229,AF229,AI229)=8,N229*Guide!$E$5+Q229*Guide!$E$6+T229*Guide!$E$7+W229*Guide!$E$8+Z229*Guide!$E$9+AC229*Guide!$E$10+AF229*Guide!$E$11+AI229*Guide!$E$12,"")</x:f>
        <x:v>325.5</x:v>
      </x:c>
      <x:c r="G229" s="4" t="n">
        <x:f>IF(COUNT(O229,R229,U229,X229,AA229,AD229,AG229,AJ229)=8,O229*Guide!$E$5+R229*Guide!$E$6+U229*Guide!$E$7+X229*Guide!$E$8+AA229*Guide!$E$9+AD229*Guide!$E$10+AG229*Guide!$E$11+AJ229*Guide!$E$12,"")</x:f>
        <x:v>231.25</x:v>
      </x:c>
      <x:c r="H229" s="4" t="n">
        <x:f>IF(COUNT(G229,F229)=2,G229-F229,"")</x:f>
        <x:v>-94.25</x:v>
      </x:c>
      <x:c r="I229" s="4" t="n">
        <x:f>IF(AND(ISNUMBER(F229),K229&gt;0),F229/K229,"")</x:f>
        <x:v>4.173076923076923</x:v>
      </x:c>
      <x:c r="J229" s="4" t="n">
        <x:f>IF(AND(ISNUMBER(G229),L229&gt;0),G229/L229,"")</x:f>
        <x:v>4.282407407407407</x:v>
      </x:c>
      <x:c r="K229" s="10" t="n">
        <x:v>78</x:v>
      </x:c>
      <x:c r="L229" s="10" t="n">
        <x:v>54</x:v>
      </x:c>
      <x:c r="M229" s="10" t="n">
        <x:f>IF(COUNT(L229,K229)=2,L229-K229,"")</x:f>
        <x:v>-24</x:v>
      </x:c>
      <x:c r="N229" s="10" t="n">
        <x:v>27</x:v>
      </x:c>
      <x:c r="O229" s="10" t="n">
        <x:v>24</x:v>
      </x:c>
      <x:c r="P229" s="10" t="n">
        <x:f>IF(COUNT(O229,N229)=2,O229-N229,"")</x:f>
        <x:v>-3</x:v>
      </x:c>
      <x:c r="Q229" s="10" t="n">
        <x:v>38</x:v>
      </x:c>
      <x:c r="R229" s="10" t="n">
        <x:v>19</x:v>
      </x:c>
      <x:c r="S229" s="10" t="n">
        <x:f>IF(COUNT(R229,Q229)=2,R229-Q229,"")</x:f>
        <x:v>-19</x:v>
      </x:c>
      <x:c r="T229" s="10" t="n">
        <x:v>-4</x:v>
      </x:c>
      <x:c r="U229" s="10" t="n">
        <x:v>3</x:v>
      </x:c>
      <x:c r="V229" s="10" t="n">
        <x:f>IF(COUNT(U229,T229)=2,U229-T229,"")</x:f>
        <x:v>7</x:v>
      </x:c>
      <x:c r="W229" s="10" t="n">
        <x:v>22</x:v>
      </x:c>
      <x:c r="X229" s="10" t="n">
        <x:f>IF(COUNT(AV229,AW229)=2,AV229+AW229,"")</x:f>
        <x:v>10</x:v>
      </x:c>
      <x:c r="Y229" s="10" t="n">
        <x:f>IF(COUNT(X229,W229)=2,X229-W229,"")</x:f>
        <x:v>-12</x:v>
      </x:c>
      <x:c r="Z229" s="10" t="n">
        <x:v>1</x:v>
      </x:c>
      <x:c r="AA229" s="10" t="n">
        <x:f>IF(COUNT(AX229,AY229)=2,AX229+AY229,"")</x:f>
        <x:v>2</x:v>
      </x:c>
      <x:c r="AB229" s="10" t="n">
        <x:f>IF(COUNT(AA229,Z229)=2,AA229-Z229,"")</x:f>
        <x:v>1</x:v>
      </x:c>
      <x:c r="AC229" s="10" t="n">
        <x:v>169</x:v>
      </x:c>
      <x:c r="AD229" s="10" t="n">
        <x:v>102</x:v>
      </x:c>
      <x:c r="AE229" s="10" t="n">
        <x:f>IF(COUNT(AD229,AC229)=2,AD229-AC229,"")</x:f>
        <x:v>-67</x:v>
      </x:c>
      <x:c r="AF229" s="10" t="n">
        <x:v>62</x:v>
      </x:c>
      <x:c r="AG229" s="10" t="n">
        <x:v>54</x:v>
      </x:c>
      <x:c r="AH229" s="10" t="n">
        <x:f>IF(COUNT(AG229,AF229)=2,AG229-AF229,"")</x:f>
        <x:v>-8</x:v>
      </x:c>
      <x:c r="AI229" s="10" t="n">
        <x:v>33</x:v>
      </x:c>
      <x:c r="AJ229" s="10" t="n">
        <x:v>27</x:v>
      </x:c>
      <x:c r="AK229" s="10" t="n">
        <x:f>IF(COUNT(AJ229,AI229)=2,AJ229-AI229,"")</x:f>
        <x:v>-6</x:v>
      </x:c>
      <x:c r="AL229" s="10" t="n">
        <x:v>21</x:v>
      </x:c>
      <x:c r="AM229" s="10" t="n">
        <x:v>21</x:v>
      </x:c>
      <x:c r="AN229" s="4" t="str">
        <x:v>C</x:v>
      </x:c>
      <x:c r="AO229" s="4" t="str">
        <x:v>C</x:v>
      </x:c>
      <x:c r="AP229" s="4" t="str">
        <x:v>UTA</x:v>
      </x:c>
      <x:c r="AQ229" s="4" t="str">
        <x:v>UTA</x:v>
      </x:c>
      <x:c r="AR229" s="4" t="n">
        <x:v>18.53</x:v>
      </x:c>
      <x:c r="AS229" s="4" t="n">
        <x:v>17.333333333333332</x:v>
      </x:c>
      <x:c r="AT229" s="4" t="n">
        <x:v>2.85</x:v>
      </x:c>
      <x:c r="AU229" s="4" t="n">
        <x:v>23.5</x:v>
      </x:c>
      <x:c r="AV229" s="10" t="n">
        <x:v>6</x:v>
      </x:c>
      <x:c r="AW229" s="10" t="n">
        <x:v>4</x:v>
      </x:c>
      <x:c r="AX229" s="10" t="n">
        <x:v>2</x:v>
      </x:c>
      <x:c r="AY229" s="10" t="n">
        <x:v>0</x:v>
      </x:c>
      <x:c r="AZ229" s="10" t="n">
        <x:v>805</x:v>
      </x:c>
      <x:c r="BA229" s="10" t="n">
        <x:v>755</x:v>
      </x:c>
      <x:c r="BB229" s="4" t="n">
        <x:v>51.6</x:v>
      </x:c>
      <x:c r="BC229" s="4" t="n">
        <x:v>-2.5</x:v>
      </x:c>
      <x:c r="BD229" s="10" t="n">
        <x:v>595</x:v>
      </x:c>
      <x:c r="BE229" s="10" t="n">
        <x:v>561</x:v>
      </x:c>
      <x:c r="BF229" s="4" t="n">
        <x:v>51.5</x:v>
      </x:c>
      <x:c r="BG229" s="4" t="n">
        <x:v>-3.1</x:v>
      </x:c>
      <x:c r="BH229" s="4" t="n">
        <x:v>11.9</x:v>
      </x:c>
      <x:c r="BI229" s="4" t="n">
        <x:v>88.2</x:v>
      </x:c>
      <x:c r="BJ229" s="4" t="n">
        <x:v>100.1</x:v>
      </x:c>
      <x:c r="BK229" s="4" t="n">
        <x:v>57.4</x:v>
      </x:c>
      <x:c r="BL229" s="4" t="n">
        <x:v>42.6</x:v>
      </x:c>
      <x:c r="BM229" s="4" t="n">
        <x:v>17.333333333333332</x:v>
      </x:c>
      <x:c r="BN229" s="4" t="n">
        <x:v>14.283333333333333</x:v>
      </x:c>
      <x:c r="BO229" s="10" t="n">
        <x:v>24</x:v>
      </x:c>
      <x:c r="BP229" s="10" t="n">
        <x:v>66</x:v>
      </x:c>
      <x:c r="BQ229" s="4" t="n">
        <x:v>3.7</x:v>
      </x:c>
      <x:c r="BR229" s="10" t="n">
        <x:v>181</x:v>
      </x:c>
      <x:c r="BS229" s="4" t="n">
        <x:v>56.4</x:v>
      </x:c>
      <x:c r="BT229" s="10" t="n">
        <x:v>54</x:v>
      </x:c>
      <x:c r="BU229" s="4" t="str">
        <x:v>UTA</x:v>
      </x:c>
      <x:c r="BV229" s="10" t="n">
        <x:v>67</x:v>
      </x:c>
      <x:c r="BW229" s="10" t="n">
        <x:v>191</x:v>
      </x:c>
      <x:c r="BX229" s="10" t="n">
        <x:v>171</x:v>
      </x:c>
      <x:c r="BY229" s="4" t="str">
        <x:v>Logan Cooley</x:v>
      </x:c>
      <x:c r="BZ229" s="4" t="str">
        <x:v>Logan Cooley</x:v>
      </x:c>
      <x:c r="CA229" s="4" t="str">
        <x:v>Logan Cooley</x:v>
      </x:c>
      <x:c r="CB229" s="4" t="str">
        <x:v>coolelo01</x:v>
      </x:c>
    </x:row>
    <x:row r="230" ht="22" customHeight="1">
      <x:c r="A230" s="4" t="str">
        <x:v>Logan Stankoven</x:v>
      </x:c>
      <x:c r="B230" s="4" t="str">
        <x:v>loganstankoven</x:v>
      </x:c>
      <x:c r="C230" s="10" t="n">
        <x:v>1</x:v>
      </x:c>
      <x:c r="D230" s="10" t="n">
        <x:v>1</x:v>
      </x:c>
      <x:c r="E230" s="10" t="n">
        <x:v>1</x:v>
      </x:c>
      <x:c r="F230" s="4" t="n">
        <x:f>IF(COUNT(N230,Q230,T230,W230,Z230,AC230,AF230,AI230)=8,N230*Guide!$E$5+Q230*Guide!$E$6+T230*Guide!$E$7+W230*Guide!$E$8+Z230*Guide!$E$9+AC230*Guide!$E$10+AF230*Guide!$E$11+AI230*Guide!$E$12,"")</x:f>
        <x:v>267.75</x:v>
      </x:c>
      <x:c r="G230" s="4" t="n">
        <x:f>IF(COUNT(O230,R230,U230,X230,AA230,AD230,AG230,AJ230)=8,O230*Guide!$E$5+R230*Guide!$E$6+U230*Guide!$E$7+X230*Guide!$E$8+AA230*Guide!$E$9+AD230*Guide!$E$10+AG230*Guide!$E$11+AJ230*Guide!$E$12,"")</x:f>
        <x:v>244.5</x:v>
      </x:c>
      <x:c r="H230" s="4" t="n">
        <x:f>IF(COUNT(G230,F230)=2,G230-F230,"")</x:f>
        <x:v>-23.25</x:v>
      </x:c>
      <x:c r="I230" s="4" t="n">
        <x:f>IF(AND(ISNUMBER(F230),K230&gt;0),F230/K230,"")</x:f>
        <x:v>3.477272727272727</x:v>
      </x:c>
      <x:c r="J230" s="4" t="n">
        <x:f>IF(AND(ISNUMBER(G230),L230&gt;0),G230/L230,"")</x:f>
        <x:v>3.0185185185185186</x:v>
      </x:c>
      <x:c r="K230" s="10" t="n">
        <x:v>77</x:v>
      </x:c>
      <x:c r="L230" s="10" t="n">
        <x:v>81</x:v>
      </x:c>
      <x:c r="M230" s="10" t="n">
        <x:f>IF(COUNT(L230,K230)=2,L230-K230,"")</x:f>
        <x:v>4</x:v>
      </x:c>
      <x:c r="N230" s="10" t="n">
        <x:v>21</x:v>
      </x:c>
      <x:c r="O230" s="10" t="n">
        <x:v>21</x:v>
      </x:c>
      <x:c r="P230" s="10" t="n">
        <x:f>IF(COUNT(O230,N230)=2,O230-N230,"")</x:f>
        <x:v>0</x:v>
      </x:c>
      <x:c r="Q230" s="10" t="n">
        <x:v>27</x:v>
      </x:c>
      <x:c r="R230" s="10" t="n">
        <x:v>23</x:v>
      </x:c>
      <x:c r="S230" s="10" t="n">
        <x:f>IF(COUNT(R230,Q230)=2,R230-Q230,"")</x:f>
        <x:v>-4</x:v>
      </x:c>
      <x:c r="T230" s="10" t="n">
        <x:v>5</x:v>
      </x:c>
      <x:c r="U230" s="10" t="n">
        <x:v>12</x:v>
      </x:c>
      <x:c r="V230" s="10" t="n">
        <x:f>IF(COUNT(U230,T230)=2,U230-T230,"")</x:f>
        <x:v>7</x:v>
      </x:c>
      <x:c r="W230" s="10" t="n">
        <x:v>12</x:v>
      </x:c>
      <x:c r="X230" s="10" t="n">
        <x:f>IF(COUNT(AV230,AW230)=2,AV230+AW230,"")</x:f>
        <x:v>9</x:v>
      </x:c>
      <x:c r="Y230" s="10" t="n">
        <x:f>IF(COUNT(X230,W230)=2,X230-W230,"")</x:f>
        <x:v>-3</x:v>
      </x:c>
      <x:c r="Z230" s="10" t="n">
        <x:v>0</x:v>
      </x:c>
      <x:c r="AA230" s="10" t="n">
        <x:f>IF(COUNT(AX230,AY230)=2,AX230+AY230,"")</x:f>
        <x:v>0</x:v>
      </x:c>
      <x:c r="AB230" s="10" t="n">
        <x:f>IF(COUNT(AA230,Z230)=2,AA230-Z230,"")</x:f>
        <x:v>0</x:v>
      </x:c>
      <x:c r="AC230" s="10" t="n">
        <x:v>180</x:v>
      </x:c>
      <x:c r="AD230" s="10" t="n">
        <x:v>166</x:v>
      </x:c>
      <x:c r="AE230" s="10" t="n">
        <x:f>IF(COUNT(AD230,AC230)=2,AD230-AC230,"")</x:f>
        <x:v>-14</x:v>
      </x:c>
      <x:c r="AF230" s="10" t="n">
        <x:v>55</x:v>
      </x:c>
      <x:c r="AG230" s="10" t="n">
        <x:v>50</x:v>
      </x:c>
      <x:c r="AH230" s="10" t="n">
        <x:f>IF(COUNT(AG230,AF230)=2,AG230-AF230,"")</x:f>
        <x:v>-5</x:v>
      </x:c>
      <x:c r="AI230" s="10" t="n">
        <x:v>36</x:v>
      </x:c>
      <x:c r="AJ230" s="10" t="n">
        <x:v>22</x:v>
      </x:c>
      <x:c r="AK230" s="10" t="n">
        <x:f>IF(COUNT(AJ230,AI230)=2,AJ230-AI230,"")</x:f>
        <x:v>-14</x:v>
      </x:c>
      <x:c r="AL230" s="10" t="n">
        <x:v>22</x:v>
      </x:c>
      <x:c r="AM230" s="10" t="n">
        <x:v>22</x:v>
      </x:c>
      <x:c r="AN230" s="4" t="str">
        <x:v>C,RW</x:v>
      </x:c>
      <x:c r="AO230" s="4" t="str">
        <x:v>C</x:v>
      </x:c>
      <x:c r="AP230" s="4" t="str">
        <x:v>CAR</x:v>
      </x:c>
      <x:c r="AQ230" s="4" t="str">
        <x:v>CAR</x:v>
      </x:c>
      <x:c r="AR230" s="4" t="n">
        <x:v>15.57</x:v>
      </x:c>
      <x:c r="AS230" s="4" t="n">
        <x:v>15.45</x:v>
      </x:c>
      <x:c r="AT230" s="4" t="n">
        <x:v>1.82</x:v>
      </x:c>
      <x:c r="AU230" s="4" t="n">
        <x:v>12.7</x:v>
      </x:c>
      <x:c r="AV230" s="10" t="n">
        <x:v>4</x:v>
      </x:c>
      <x:c r="AW230" s="10" t="n">
        <x:v>5</x:v>
      </x:c>
      <x:c r="AX230" s="10" t="n">
        <x:v>0</x:v>
      </x:c>
      <x:c r="AY230" s="10" t="n">
        <x:v>0</x:v>
      </x:c>
      <x:c r="AZ230" s="10" t="n">
        <x:v>1339</x:v>
      </x:c>
      <x:c r="BA230" s="10" t="n">
        <x:v>834</x:v>
      </x:c>
      <x:c r="BB230" s="4" t="n">
        <x:v>61.6</x:v>
      </x:c>
      <x:c r="BC230" s="4" t="n">
        <x:v>2.7</x:v>
      </x:c>
      <x:c r="BD230" s="10" t="n">
        <x:v>952</x:v>
      </x:c>
      <x:c r="BE230" s="10" t="n">
        <x:v>637</x:v>
      </x:c>
      <x:c r="BF230" s="4" t="n">
        <x:v>59.9</x:v>
      </x:c>
      <x:c r="BG230" s="4" t="n">
        <x:v>1.6</x:v>
      </x:c>
      <x:c r="BH230" s="4" t="n">
        <x:v>10.4</x:v>
      </x:c>
      <x:c r="BI230" s="4" t="n">
        <x:v>88.8</x:v>
      </x:c>
      <x:c r="BJ230" s="4" t="n">
        <x:v>99.2</x:v>
      </x:c>
      <x:c r="BK230" s="4" t="n">
        <x:v>67.6</x:v>
      </x:c>
      <x:c r="BL230" s="4" t="n">
        <x:v>32.4</x:v>
      </x:c>
      <x:c r="BM230" s="4" t="n">
        <x:v>15.45</x:v>
      </x:c>
      <x:c r="BN230" s="4" t="n">
        <x:v>13.85</x:v>
      </x:c>
      <x:c r="BO230" s="10" t="n">
        <x:v>28</x:v>
      </x:c>
      <x:c r="BP230" s="10" t="n">
        <x:v>46</x:v>
      </x:c>
      <x:c r="BQ230" s="4" t="n">
        <x:v>13.3</x:v>
      </x:c>
      <x:c r="BR230" s="10" t="n">
        <x:v>315</x:v>
      </x:c>
      <x:c r="BS230" s="4" t="n">
        <x:v>52.7</x:v>
      </x:c>
      <x:c r="BT230" s="10" t="n">
        <x:v>81</x:v>
      </x:c>
      <x:c r="BU230" s="4" t="str">
        <x:v>CAR</x:v>
      </x:c>
      <x:c r="BV230" s="10" t="n">
        <x:v>168</x:v>
      </x:c>
      <x:c r="BW230" s="10" t="n">
        <x:v>187</x:v>
      </x:c>
      <x:c r="BX230" s="10" t="n">
        <x:v>969</x:v>
      </x:c>
      <x:c r="BY230" s="4" t="str">
        <x:v>Logan Stankoven</x:v>
      </x:c>
      <x:c r="BZ230" s="4" t="str">
        <x:v>Logan Stankoven</x:v>
      </x:c>
      <x:c r="CA230" s="4" t="str">
        <x:v>Logan Stankoven</x:v>
      </x:c>
      <x:c r="CB230" s="4" t="str">
        <x:v>stanklo01</x:v>
      </x:c>
    </x:row>
    <x:row r="231" ht="22" customHeight="1">
      <x:c r="A231" s="4" t="str">
        <x:v>Logan Stanley</x:v>
      </x:c>
      <x:c r="B231" s="4" t="str">
        <x:v>loganstanley</x:v>
      </x:c>
      <x:c r="C231" s="10" t="n">
        <x:v>1</x:v>
      </x:c>
      <x:c r="D231" s="10" t="n">
        <x:v>1</x:v>
      </x:c>
      <x:c r="E231" s="10" t="n">
        <x:v>1</x:v>
      </x:c>
      <x:c r="F231" s="4" t="n">
        <x:f>IF(COUNT(N231,Q231,T231,W231,Z231,AC231,AF231,AI231)=8,N231*Guide!$E$5+Q231*Guide!$E$6+T231*Guide!$E$7+W231*Guide!$E$8+Z231*Guide!$E$9+AC231*Guide!$E$10+AF231*Guide!$E$11+AI231*Guide!$E$12,"")</x:f>
        <x:v>143.25</x:v>
      </x:c>
      <x:c r="G231" s="4" t="n">
        <x:f>IF(COUNT(O231,R231,U231,X231,AA231,AD231,AG231,AJ231)=8,O231*Guide!$E$5+R231*Guide!$E$6+U231*Guide!$E$7+X231*Guide!$E$8+AA231*Guide!$E$9+AD231*Guide!$E$10+AG231*Guide!$E$11+AJ231*Guide!$E$12,"")</x:f>
        <x:v>205.5</x:v>
      </x:c>
      <x:c r="H231" s="4" t="n">
        <x:f>IF(COUNT(G231,F231)=2,G231-F231,"")</x:f>
        <x:v>62.25</x:v>
      </x:c>
      <x:c r="I231" s="4" t="n">
        <x:f>IF(AND(ISNUMBER(F231),K231&gt;0),F231/K231,"")</x:f>
        <x:v>2.1704545454545454</x:v>
      </x:c>
      <x:c r="J231" s="4" t="n">
        <x:f>IF(AND(ISNUMBER(G231),L231&gt;0),G231/L231,"")</x:f>
        <x:v>2.7039473684210527</x:v>
      </x:c>
      <x:c r="K231" s="10" t="n">
        <x:v>66</x:v>
      </x:c>
      <x:c r="L231" s="10" t="n">
        <x:v>76</x:v>
      </x:c>
      <x:c r="M231" s="10" t="n">
        <x:f>IF(COUNT(L231,K231)=2,L231-K231,"")</x:f>
        <x:v>10</x:v>
      </x:c>
      <x:c r="N231" s="10" t="n">
        <x:v>3</x:v>
      </x:c>
      <x:c r="O231" s="10" t="n">
        <x:v>9</x:v>
      </x:c>
      <x:c r="P231" s="10" t="n">
        <x:f>IF(COUNT(O231,N231)=2,O231-N231,"")</x:f>
        <x:v>6</x:v>
      </x:c>
      <x:c r="Q231" s="10" t="n">
        <x:v>11</x:v>
      </x:c>
      <x:c r="R231" s="10" t="n">
        <x:v>17</x:v>
      </x:c>
      <x:c r="S231" s="10" t="n">
        <x:f>IF(COUNT(R231,Q231)=2,R231-Q231,"")</x:f>
        <x:v>6</x:v>
      </x:c>
      <x:c r="T231" s="10" t="n">
        <x:v>0</x:v>
      </x:c>
      <x:c r="U231" s="10" t="n">
        <x:v>3</x:v>
      </x:c>
      <x:c r="V231" s="10" t="n">
        <x:f>IF(COUNT(U231,T231)=2,U231-T231,"")</x:f>
        <x:v>3</x:v>
      </x:c>
      <x:c r="W231" s="10" t="n">
        <x:v>0</x:v>
      </x:c>
      <x:c r="X231" s="10" t="n">
        <x:f>IF(COUNT(AV231,AW231)=2,AV231+AW231,"")</x:f>
        <x:v>1</x:v>
      </x:c>
      <x:c r="Y231" s="10" t="n">
        <x:f>IF(COUNT(X231,W231)=2,X231-W231,"")</x:f>
        <x:v>1</x:v>
      </x:c>
      <x:c r="Z231" s="10" t="n">
        <x:v>0</x:v>
      </x:c>
      <x:c r="AA231" s="10" t="n">
        <x:f>IF(COUNT(AX231,AY231)=2,AX231+AY231,"")</x:f>
        <x:v>0</x:v>
      </x:c>
      <x:c r="AB231" s="10" t="n">
        <x:f>IF(COUNT(AA231,Z231)=2,AA231-Z231,"")</x:f>
        <x:v>0</x:v>
      </x:c>
      <x:c r="AC231" s="10" t="n">
        <x:v>59</x:v>
      </x:c>
      <x:c r="AD231" s="10" t="n">
        <x:v>96</x:v>
      </x:c>
      <x:c r="AE231" s="10" t="n">
        <x:f>IF(COUNT(AD231,AC231)=2,AD231-AC231,"")</x:f>
        <x:v>37</x:v>
      </x:c>
      <x:c r="AF231" s="10" t="n">
        <x:v>91</x:v>
      </x:c>
      <x:c r="AG231" s="10" t="n">
        <x:v>110</x:v>
      </x:c>
      <x:c r="AH231" s="10" t="n">
        <x:f>IF(COUNT(AG231,AF231)=2,AG231-AF231,"")</x:f>
        <x:v>19</x:v>
      </x:c>
      <x:c r="AI231" s="10" t="n">
        <x:v>81</x:v>
      </x:c>
      <x:c r="AJ231" s="10" t="n">
        <x:v>84</x:v>
      </x:c>
      <x:c r="AK231" s="10" t="n">
        <x:f>IF(COUNT(AJ231,AI231)=2,AJ231-AI231,"")</x:f>
        <x:v>3</x:v>
      </x:c>
      <x:c r="AL231" s="10" t="n">
        <x:v>27</x:v>
      </x:c>
      <x:c r="AM231" s="10" t="n">
        <x:v>27</x:v>
      </x:c>
      <x:c r="AN231" s="4" t="str">
        <x:v>D</x:v>
      </x:c>
      <x:c r="AO231" s="4" t="str">
        <x:v>D</x:v>
      </x:c>
      <x:c r="AP231" s="4" t="str">
        <x:v>WPG</x:v>
      </x:c>
      <x:c r="AQ231" s="4" t="str">
        <x:v>2TM</x:v>
      </x:c>
      <x:c r="AR231" s="4" t="n">
        <x:v>15.37</x:v>
      </x:c>
      <x:c r="AS231" s="4" t="n">
        <x:v>16.7</x:v>
      </x:c>
      <x:c r="AT231" s="4" t="n">
        <x:v>0.04</x:v>
      </x:c>
      <x:c r="AU231" s="4" t="n">
        <x:v>9.4</x:v>
      </x:c>
      <x:c r="AV231" s="10" t="n">
        <x:v>0</x:v>
      </x:c>
      <x:c r="AW231" s="10" t="n">
        <x:v>1</x:v>
      </x:c>
      <x:c r="AX231" s="10" t="n">
        <x:v>0</x:v>
      </x:c>
      <x:c r="AY231" s="10" t="n">
        <x:v>0</x:v>
      </x:c>
      <x:c r="AZ231" s="10" t="n">
        <x:v>1065</x:v>
      </x:c>
      <x:c r="BA231" s="10" t="n">
        <x:v>1154</x:v>
      </x:c>
      <x:c r="BB231" s="4" t="n">
        <x:v>48</x:v>
      </x:c>
      <x:c r="BC231" s="4" t="n">
        <x:v>-2.4</x:v>
      </x:c>
      <x:c r="BD231" s="10" t="n">
        <x:v>770</x:v>
      </x:c>
      <x:c r="BE231" s="10" t="n">
        <x:v>859</x:v>
      </x:c>
      <x:c r="BF231" s="4" t="n">
        <x:v>47.3</x:v>
      </x:c>
      <x:c r="BG231" s="4" t="n">
        <x:v>-3.3</x:v>
      </x:c>
      <x:c r="BH231" s="4" t="n">
        <x:v>11.1</x:v>
      </x:c>
      <x:c r="BI231" s="4" t="n">
        <x:v>91.4</x:v>
      </x:c>
      <x:c r="BJ231" s="4" t="n">
        <x:v>102.5</x:v>
      </x:c>
      <x:c r="BK231" s="4" t="n">
        <x:v>46</x:v>
      </x:c>
      <x:c r="BL231" s="4" t="n">
        <x:v>54</x:v>
      </x:c>
      <x:c r="BM231" s="4" t="n">
        <x:v>16.7</x:v>
      </x:c>
      <x:c r="BN231" s="4" t="n">
        <x:v>15.3</x:v>
      </x:c>
      <x:c r="BO231" s="10" t="n">
        <x:v>17</x:v>
      </x:c>
      <x:c r="BP231" s="10" t="n">
        <x:v>66</x:v>
      </x:c>
      <x:c r="BQ231" s="4" t="n">
        <x:v>-9.5</x:v>
      </x:c>
      <x:c r="BR231" s="10" t="n">
        <x:v>260</x:v>
      </x:c>
      <x:c r="BS231" s="4" t="n">
        <x:v>36.5</x:v>
      </x:c>
      <x:c r="BT231" s="10" t="n">
        <x:v>76</x:v>
      </x:c>
      <x:c r="BU231" s="4" t="str">
        <x:v>TOT</x:v>
      </x:c>
      <x:c r="BV231" s="10" t="n">
        <x:v>643</x:v>
      </x:c>
      <x:c r="BW231" s="10" t="n">
        <x:v>383</x:v>
      </x:c>
      <x:c r="BX231" s="10" t="n">
        <x:v>970</x:v>
      </x:c>
      <x:c r="BY231" s="4" t="str">
        <x:v>Logan Stanley</x:v>
      </x:c>
      <x:c r="BZ231" s="4" t="str">
        <x:v>Logan Stanley</x:v>
      </x:c>
      <x:c r="CA231" s="4" t="str">
        <x:v>Logan Stanley</x:v>
      </x:c>
      <x:c r="CB231" s="4" t="str">
        <x:v>stanllo01</x:v>
      </x:c>
    </x:row>
    <x:row r="232" ht="22" customHeight="1">
      <x:c r="A232" s="4" t="str">
        <x:v>Louis Crevier</x:v>
      </x:c>
      <x:c r="B232" s="4" t="str">
        <x:v>louiscrevier</x:v>
      </x:c>
      <x:c r="C232" s="10" t="n">
        <x:v>1</x:v>
      </x:c>
      <x:c r="D232" s="10" t="n">
        <x:v>1</x:v>
      </x:c>
      <x:c r="E232" s="10" t="n">
        <x:v>1</x:v>
      </x:c>
      <x:c r="F232" s="4" t="n">
        <x:f>IF(COUNT(N232,Q232,T232,W232,Z232,AC232,AF232,AI232)=8,N232*Guide!$E$5+Q232*Guide!$E$6+T232*Guide!$E$7+W232*Guide!$E$8+Z232*Guide!$E$9+AC232*Guide!$E$10+AF232*Guide!$E$11+AI232*Guide!$E$12,"")</x:f>
        <x:v>105.75</x:v>
      </x:c>
      <x:c r="G232" s="4" t="n">
        <x:f>IF(COUNT(O232,R232,U232,X232,AA232,AD232,AG232,AJ232)=8,O232*Guide!$E$5+R232*Guide!$E$6+U232*Guide!$E$7+X232*Guide!$E$8+AA232*Guide!$E$9+AD232*Guide!$E$10+AG232*Guide!$E$11+AJ232*Guide!$E$12,"")</x:f>
        <x:v>216.75</x:v>
      </x:c>
      <x:c r="H232" s="4" t="n">
        <x:f>IF(COUNT(G232,F232)=2,G232-F232,"")</x:f>
        <x:v>111</x:v>
      </x:c>
      <x:c r="I232" s="4" t="n">
        <x:f>IF(AND(ISNUMBER(F232),K232&gt;0),F232/K232,"")</x:f>
        <x:v>2.35</x:v>
      </x:c>
      <x:c r="J232" s="4" t="n">
        <x:f>IF(AND(ISNUMBER(G232),L232&gt;0),G232/L232,"")</x:f>
        <x:v>2.7788461538461537</x:v>
      </x:c>
      <x:c r="K232" s="10" t="n">
        <x:v>45</x:v>
      </x:c>
      <x:c r="L232" s="10" t="n">
        <x:v>78</x:v>
      </x:c>
      <x:c r="M232" s="10" t="n">
        <x:f>IF(COUNT(L232,K232)=2,L232-K232,"")</x:f>
        <x:v>33</x:v>
      </x:c>
      <x:c r="N232" s="10" t="n">
        <x:v>2</x:v>
      </x:c>
      <x:c r="O232" s="10" t="n">
        <x:v>7</x:v>
      </x:c>
      <x:c r="P232" s="10" t="n">
        <x:f>IF(COUNT(O232,N232)=2,O232-N232,"")</x:f>
        <x:v>5</x:v>
      </x:c>
      <x:c r="Q232" s="10" t="n">
        <x:v>6</x:v>
      </x:c>
      <x:c r="R232" s="10" t="n">
        <x:v>18</x:v>
      </x:c>
      <x:c r="S232" s="10" t="n">
        <x:f>IF(COUNT(R232,Q232)=2,R232-Q232,"")</x:f>
        <x:v>12</x:v>
      </x:c>
      <x:c r="T232" s="10" t="n">
        <x:v>-5</x:v>
      </x:c>
      <x:c r="U232" s="10" t="n">
        <x:v>-2</x:v>
      </x:c>
      <x:c r="V232" s="10" t="n">
        <x:f>IF(COUNT(U232,T232)=2,U232-T232,"")</x:f>
        <x:v>3</x:v>
      </x:c>
      <x:c r="W232" s="10" t="n">
        <x:v>0</x:v>
      </x:c>
      <x:c r="X232" s="10" t="n">
        <x:f>IF(COUNT(AV232,AW232)=2,AV232+AW232,"")</x:f>
        <x:v>0</x:v>
      </x:c>
      <x:c r="Y232" s="10" t="n">
        <x:f>IF(COUNT(X232,W232)=2,X232-W232,"")</x:f>
        <x:v>0</x:v>
      </x:c>
      <x:c r="Z232" s="10" t="n">
        <x:v>0</x:v>
      </x:c>
      <x:c r="AA232" s="10" t="n">
        <x:f>IF(COUNT(AX232,AY232)=2,AX232+AY232,"")</x:f>
        <x:v>2</x:v>
      </x:c>
      <x:c r="AB232" s="10" t="n">
        <x:f>IF(COUNT(AA232,Z232)=2,AA232-Z232,"")</x:f>
        <x:v>2</x:v>
      </x:c>
      <x:c r="AC232" s="10" t="n">
        <x:v>41</x:v>
      </x:c>
      <x:c r="AD232" s="10" t="n">
        <x:v>114</x:v>
      </x:c>
      <x:c r="AE232" s="10" t="n">
        <x:f>IF(COUNT(AD232,AC232)=2,AD232-AC232,"")</x:f>
        <x:v>73</x:v>
      </x:c>
      <x:c r="AF232" s="10" t="n">
        <x:v>82</x:v>
      </x:c>
      <x:c r="AG232" s="10" t="n">
        <x:v>124</x:v>
      </x:c>
      <x:c r="AH232" s="10" t="n">
        <x:f>IF(COUNT(AG232,AF232)=2,AG232-AF232,"")</x:f>
        <x:v>42</x:v>
      </x:c>
      <x:c r="AI232" s="10" t="n">
        <x:v>72</x:v>
      </x:c>
      <x:c r="AJ232" s="10" t="n">
        <x:v>95</x:v>
      </x:c>
      <x:c r="AK232" s="10" t="n">
        <x:f>IF(COUNT(AJ232,AI232)=2,AJ232-AI232,"")</x:f>
        <x:v>23</x:v>
      </x:c>
      <x:c r="AL232" s="10" t="n">
        <x:v>24</x:v>
      </x:c>
      <x:c r="AM232" s="10" t="n">
        <x:v>24</x:v>
      </x:c>
      <x:c r="AN232" s="4" t="str">
        <x:v>D</x:v>
      </x:c>
      <x:c r="AO232" s="4" t="str">
        <x:v>D</x:v>
      </x:c>
      <x:c r="AP232" s="4" t="str">
        <x:v>CHI</x:v>
      </x:c>
      <x:c r="AQ232" s="4" t="str">
        <x:v>CHI</x:v>
      </x:c>
      <x:c r="AR232" s="4" t="n">
        <x:v>17.06</x:v>
      </x:c>
      <x:c r="AS232" s="4" t="n">
        <x:v>17.133333333333333</x:v>
      </x:c>
      <x:c r="AT232" s="4" t="n">
        <x:v>0.07</x:v>
      </x:c>
      <x:c r="AU232" s="4" t="n">
        <x:v>6.1</x:v>
      </x:c>
      <x:c r="AV232" s="10" t="n">
        <x:v>0</x:v>
      </x:c>
      <x:c r="AW232" s="10" t="n">
        <x:v>0</x:v>
      </x:c>
      <x:c r="AX232" s="10" t="n">
        <x:v>1</x:v>
      </x:c>
      <x:c r="AY232" s="10" t="n">
        <x:v>1</x:v>
      </x:c>
      <x:c r="AZ232" s="10" t="n">
        <x:v>1018</x:v>
      </x:c>
      <x:c r="BA232" s="10" t="n">
        <x:v>1194</x:v>
      </x:c>
      <x:c r="BB232" s="4" t="n">
        <x:v>46</x:v>
      </x:c>
      <x:c r="BC232" s="4" t="n">
        <x:v>-0.2</x:v>
      </x:c>
      <x:c r="BD232" s="10" t="n">
        <x:v>762</x:v>
      </x:c>
      <x:c r="BE232" s="10" t="n">
        <x:v>889</x:v>
      </x:c>
      <x:c r="BF232" s="4" t="n">
        <x:v>46.2</x:v>
      </x:c>
      <x:c r="BG232" s="4" t="n">
        <x:v>0.7</x:v>
      </x:c>
      <x:c r="BH232" s="4" t="n">
        <x:v>10.8</x:v>
      </x:c>
      <x:c r="BI232" s="4" t="n">
        <x:v>89.4</x:v>
      </x:c>
      <x:c r="BJ232" s="4" t="n">
        <x:v>100.1</x:v>
      </x:c>
      <x:c r="BK232" s="4" t="n">
        <x:v>31</x:v>
      </x:c>
      <x:c r="BL232" s="4" t="n">
        <x:v>69</x:v>
      </x:c>
      <x:c r="BM232" s="4" t="n">
        <x:v>17.133333333333333</x:v>
      </x:c>
      <x:c r="BN232" s="4" t="n">
        <x:v>15.15</x:v>
      </x:c>
      <x:c r="BO232" s="10" t="n">
        <x:v>15</x:v>
      </x:c>
      <x:c r="BP232" s="10" t="n">
        <x:v>64</x:v>
      </x:c>
      <x:c r="BQ232" s="4" t="n">
        <x:v>-17</x:v>
      </x:c>
      <x:c r="BR232" s="10" t="n">
        <x:v>246</x:v>
      </x:c>
      <x:c r="BS232" s="4" t="n">
        <x:v>46.3</x:v>
      </x:c>
      <x:c r="BT232" s="10" t="n">
        <x:v>78</x:v>
      </x:c>
      <x:c r="BU232" s="4" t="str">
        <x:v>CHI</x:v>
      </x:c>
      <x:c r="BV232" s="10" t="n">
        <x:v>746</x:v>
      </x:c>
      <x:c r="BW232" s="10" t="n">
        <x:v>391</x:v>
      </x:c>
      <x:c r="BX232" s="10" t="n">
        <x:v>181</x:v>
      </x:c>
      <x:c r="BY232" s="4" t="str">
        <x:v>Louis Crevier</x:v>
      </x:c>
      <x:c r="BZ232" s="4" t="str">
        <x:v>Louis Crevier</x:v>
      </x:c>
      <x:c r="CA232" s="4" t="str">
        <x:v>Louis Crevier</x:v>
      </x:c>
      <x:c r="CB232" s="4" t="str">
        <x:v>crevilo01</x:v>
      </x:c>
    </x:row>
    <x:row r="233" ht="22" customHeight="1">
      <x:c r="A233" s="4" t="str">
        <x:v>Lucas Raymond</x:v>
      </x:c>
      <x:c r="B233" s="4" t="str">
        <x:v>lucasraymond</x:v>
      </x:c>
      <x:c r="C233" s="10" t="n">
        <x:v>1</x:v>
      </x:c>
      <x:c r="D233" s="10" t="n">
        <x:v>1</x:v>
      </x:c>
      <x:c r="E233" s="10" t="n">
        <x:v>1</x:v>
      </x:c>
      <x:c r="F233" s="4" t="n">
        <x:f>IF(COUNT(N233,Q233,T233,W233,Z233,AC233,AF233,AI233)=8,N233*Guide!$E$5+Q233*Guide!$E$6+T233*Guide!$E$7+W233*Guide!$E$8+Z233*Guide!$E$9+AC233*Guide!$E$10+AF233*Guide!$E$11+AI233*Guide!$E$12,"")</x:f>
        <x:v>358.25</x:v>
      </x:c>
      <x:c r="G233" s="4" t="n">
        <x:f>IF(COUNT(O233,R233,U233,X233,AA233,AD233,AG233,AJ233)=8,O233*Guide!$E$5+R233*Guide!$E$6+U233*Guide!$E$7+X233*Guide!$E$8+AA233*Guide!$E$9+AD233*Guide!$E$10+AG233*Guide!$E$11+AJ233*Guide!$E$12,"")</x:f>
        <x:v>356.75</x:v>
      </x:c>
      <x:c r="H233" s="4" t="n">
        <x:f>IF(COUNT(G233,F233)=2,G233-F233,"")</x:f>
        <x:v>-1.5</x:v>
      </x:c>
      <x:c r="I233" s="4" t="n">
        <x:f>IF(AND(ISNUMBER(F233),K233&gt;0),F233/K233,"")</x:f>
        <x:v>4.3689024390243905</x:v>
      </x:c>
      <x:c r="J233" s="4" t="n">
        <x:f>IF(AND(ISNUMBER(G233),L233&gt;0),G233/L233,"")</x:f>
        <x:v>4.459375</x:v>
      </x:c>
      <x:c r="K233" s="10" t="n">
        <x:v>82</x:v>
      </x:c>
      <x:c r="L233" s="10" t="n">
        <x:v>80</x:v>
      </x:c>
      <x:c r="M233" s="10" t="n">
        <x:f>IF(COUNT(L233,K233)=2,L233-K233,"")</x:f>
        <x:v>-2</x:v>
      </x:c>
      <x:c r="N233" s="10" t="n">
        <x:v>29</x:v>
      </x:c>
      <x:c r="O233" s="10" t="n">
        <x:v>25</x:v>
      </x:c>
      <x:c r="P233" s="10" t="n">
        <x:f>IF(COUNT(O233,N233)=2,O233-N233,"")</x:f>
        <x:v>-4</x:v>
      </x:c>
      <x:c r="Q233" s="10" t="n">
        <x:v>45</x:v>
      </x:c>
      <x:c r="R233" s="10" t="n">
        <x:v>51</x:v>
      </x:c>
      <x:c r="S233" s="10" t="n">
        <x:f>IF(COUNT(R233,Q233)=2,R233-Q233,"")</x:f>
        <x:v>6</x:v>
      </x:c>
      <x:c r="T233" s="10" t="n">
        <x:v>-6</x:v>
      </x:c>
      <x:c r="U233" s="10" t="n">
        <x:v>1</x:v>
      </x:c>
      <x:c r="V233" s="10" t="n">
        <x:f>IF(COUNT(U233,T233)=2,U233-T233,"")</x:f>
        <x:v>7</x:v>
      </x:c>
      <x:c r="W233" s="10" t="n">
        <x:v>28</x:v>
      </x:c>
      <x:c r="X233" s="10" t="n">
        <x:f>IF(COUNT(AV233,AW233)=2,AV233+AW233,"")</x:f>
        <x:v>27</x:v>
      </x:c>
      <x:c r="Y233" s="10" t="n">
        <x:f>IF(COUNT(X233,W233)=2,X233-W233,"")</x:f>
        <x:v>-1</x:v>
      </x:c>
      <x:c r="Z233" s="10" t="n">
        <x:v>1</x:v>
      </x:c>
      <x:c r="AA233" s="10" t="n">
        <x:f>IF(COUNT(AX233,AY233)=2,AX233+AY233,"")</x:f>
        <x:v>0</x:v>
      </x:c>
      <x:c r="AB233" s="10" t="n">
        <x:f>IF(COUNT(AA233,Z233)=2,AA233-Z233,"")</x:f>
        <x:v>-1</x:v>
      </x:c>
      <x:c r="AC233" s="10" t="n">
        <x:v>178</x:v>
      </x:c>
      <x:c r="AD233" s="10" t="n">
        <x:v>173</x:v>
      </x:c>
      <x:c r="AE233" s="10" t="n">
        <x:f>IF(COUNT(AD233,AC233)=2,AD233-AC233,"")</x:f>
        <x:v>-5</x:v>
      </x:c>
      <x:c r="AF233" s="10" t="n">
        <x:v>49</x:v>
      </x:c>
      <x:c r="AG233" s="10" t="n">
        <x:v>43</x:v>
      </x:c>
      <x:c r="AH233" s="10" t="n">
        <x:f>IF(COUNT(AG233,AF233)=2,AG233-AF233,"")</x:f>
        <x:v>-6</x:v>
      </x:c>
      <x:c r="AI233" s="10" t="n">
        <x:v>34</x:v>
      </x:c>
      <x:c r="AJ233" s="10" t="n">
        <x:v>29</x:v>
      </x:c>
      <x:c r="AK233" s="10" t="n">
        <x:f>IF(COUNT(AJ233,AI233)=2,AJ233-AI233,"")</x:f>
        <x:v>-5</x:v>
      </x:c>
      <x:c r="AL233" s="10" t="n">
        <x:v>23</x:v>
      </x:c>
      <x:c r="AM233" s="10" t="n">
        <x:v>23</x:v>
      </x:c>
      <x:c r="AN233" s="4" t="str">
        <x:v>RW</x:v>
      </x:c>
      <x:c r="AO233" s="4" t="str">
        <x:v>LW</x:v>
      </x:c>
      <x:c r="AP233" s="4" t="str">
        <x:v>DET</x:v>
      </x:c>
      <x:c r="AQ233" s="4" t="str">
        <x:v>DET</x:v>
      </x:c>
      <x:c r="AR233" s="4" t="n">
        <x:v>18.86</x:v>
      </x:c>
      <x:c r="AS233" s="4" t="n">
        <x:v>18.8</x:v>
      </x:c>
      <x:c r="AT233" s="4" t="n">
        <x:v>3.02</x:v>
      </x:c>
      <x:c r="AU233" s="4" t="n">
        <x:v>14.5</x:v>
      </x:c>
      <x:c r="AV233" s="10" t="n">
        <x:v>7</x:v>
      </x:c>
      <x:c r="AW233" s="10" t="n">
        <x:v>20</x:v>
      </x:c>
      <x:c r="AX233" s="10" t="n">
        <x:v>0</x:v>
      </x:c>
      <x:c r="AY233" s="10" t="n">
        <x:v>0</x:v>
      </x:c>
      <x:c r="AZ233" s="10" t="n">
        <x:v>1225</x:v>
      </x:c>
      <x:c r="BA233" s="10" t="n">
        <x:v>1137</x:v>
      </x:c>
      <x:c r="BB233" s="4" t="n">
        <x:v>51.9</x:v>
      </x:c>
      <x:c r="BC233" s="4" t="n">
        <x:v>4</x:v>
      </x:c>
      <x:c r="BD233" s="10" t="n">
        <x:v>894</x:v>
      </x:c>
      <x:c r="BE233" s="10" t="n">
        <x:v>826</x:v>
      </x:c>
      <x:c r="BF233" s="4" t="n">
        <x:v>52</x:v>
      </x:c>
      <x:c r="BG233" s="4" t="n">
        <x:v>2.9</x:v>
      </x:c>
      <x:c r="BH233" s="4" t="n">
        <x:v>12.3</x:v>
      </x:c>
      <x:c r="BI233" s="4" t="n">
        <x:v>87.5</x:v>
      </x:c>
      <x:c r="BJ233" s="4" t="n">
        <x:v>99.8</x:v>
      </x:c>
      <x:c r="BK233" s="4" t="n">
        <x:v>47.8</x:v>
      </x:c>
      <x:c r="BL233" s="4" t="n">
        <x:v>52.2</x:v>
      </x:c>
      <x:c r="BM233" s="4" t="n">
        <x:v>18.8</x:v>
      </x:c>
      <x:c r="BN233" s="4" t="n">
        <x:v>15.333333333333334</x:v>
      </x:c>
      <x:c r="BO233" s="10" t="n">
        <x:v>31</x:v>
      </x:c>
      <x:c r="BP233" s="10" t="n">
        <x:v>76</x:v>
      </x:c>
      <x:c r="BQ233" s="4" t="n">
        <x:v>2.2</x:v>
      </x:c>
      <x:c r="BR233" s="10" t="n">
        <x:v>367</x:v>
      </x:c>
      <x:c r="BS233" s="4" t="n">
        <x:v>47.1</x:v>
      </x:c>
      <x:c r="BT233" s="10" t="n">
        <x:v>80</x:v>
      </x:c>
      <x:c r="BU233" s="4" t="str">
        <x:v>DET</x:v>
      </x:c>
      <x:c r="BV233" s="10" t="n">
        <x:v>37</x:v>
      </x:c>
      <x:c r="BW233" s="10" t="n">
        <x:v>37</x:v>
      </x:c>
      <x:c r="BX233" s="10" t="n">
        <x:v>844</x:v>
      </x:c>
      <x:c r="BY233" s="4" t="str">
        <x:v>Lucas Raymond</x:v>
      </x:c>
      <x:c r="BZ233" s="4" t="str">
        <x:v>Lucas Raymond</x:v>
      </x:c>
      <x:c r="CA233" s="4" t="str">
        <x:v>Lucas Raymond</x:v>
      </x:c>
      <x:c r="CB233" s="4" t="str">
        <x:v>raymolu01</x:v>
      </x:c>
    </x:row>
    <x:row r="234" ht="22" customHeight="1">
      <x:c r="A234" s="4" t="str">
        <x:v>Luke Evangelista</x:v>
      </x:c>
      <x:c r="B234" s="4" t="str">
        <x:v>lukeevangelista</x:v>
      </x:c>
      <x:c r="C234" s="10" t="n">
        <x:v>1</x:v>
      </x:c>
      <x:c r="D234" s="10" t="n">
        <x:v>1</x:v>
      </x:c>
      <x:c r="E234" s="10" t="n">
        <x:v>1</x:v>
      </x:c>
      <x:c r="F234" s="4" t="n">
        <x:f>IF(COUNT(N234,Q234,T234,W234,Z234,AC234,AF234,AI234)=8,N234*Guide!$E$5+Q234*Guide!$E$6+T234*Guide!$E$7+W234*Guide!$E$8+Z234*Guide!$E$9+AC234*Guide!$E$10+AF234*Guide!$E$11+AI234*Guide!$E$12,"")</x:f>
        <x:v>201.25</x:v>
      </x:c>
      <x:c r="G234" s="4" t="n">
        <x:f>IF(COUNT(O234,R234,U234,X234,AA234,AD234,AG234,AJ234)=8,O234*Guide!$E$5+R234*Guide!$E$6+U234*Guide!$E$7+X234*Guide!$E$8+AA234*Guide!$E$9+AD234*Guide!$E$10+AG234*Guide!$E$11+AJ234*Guide!$E$12,"")</x:f>
        <x:v>263</x:v>
      </x:c>
      <x:c r="H234" s="4" t="n">
        <x:f>IF(COUNT(G234,F234)=2,G234-F234,"")</x:f>
        <x:v>61.75</x:v>
      </x:c>
      <x:c r="I234" s="4" t="n">
        <x:f>IF(AND(ISNUMBER(F234),K234&gt;0),F234/K234,"")</x:f>
        <x:v>2.648026315789474</x:v>
      </x:c>
      <x:c r="J234" s="4" t="n">
        <x:f>IF(AND(ISNUMBER(G234),L234&gt;0),G234/L234,"")</x:f>
        <x:v>3.246913580246914</x:v>
      </x:c>
      <x:c r="K234" s="10" t="n">
        <x:v>76</x:v>
      </x:c>
      <x:c r="L234" s="10" t="n">
        <x:v>81</x:v>
      </x:c>
      <x:c r="M234" s="10" t="n">
        <x:f>IF(COUNT(L234,K234)=2,L234-K234,"")</x:f>
        <x:v>5</x:v>
      </x:c>
      <x:c r="N234" s="10" t="n">
        <x:v>16</x:v>
      </x:c>
      <x:c r="O234" s="10" t="n">
        <x:v>12</x:v>
      </x:c>
      <x:c r="P234" s="10" t="n">
        <x:f>IF(COUNT(O234,N234)=2,O234-N234,"")</x:f>
        <x:v>-4</x:v>
      </x:c>
      <x:c r="Q234" s="10" t="n">
        <x:v>23</x:v>
      </x:c>
      <x:c r="R234" s="10" t="n">
        <x:v>44</x:v>
      </x:c>
      <x:c r="S234" s="10" t="n">
        <x:f>IF(COUNT(R234,Q234)=2,R234-Q234,"")</x:f>
        <x:v>21</x:v>
      </x:c>
      <x:c r="T234" s="10" t="n">
        <x:v>2</x:v>
      </x:c>
      <x:c r="U234" s="10" t="n">
        <x:v>1</x:v>
      </x:c>
      <x:c r="V234" s="10" t="n">
        <x:f>IF(COUNT(U234,T234)=2,U234-T234,"")</x:f>
        <x:v>-1</x:v>
      </x:c>
      <x:c r="W234" s="10" t="n">
        <x:v>7</x:v>
      </x:c>
      <x:c r="X234" s="10" t="n">
        <x:f>IF(COUNT(AV234,AW234)=2,AV234+AW234,"")</x:f>
        <x:v>17</x:v>
      </x:c>
      <x:c r="Y234" s="10" t="n">
        <x:f>IF(COUNT(X234,W234)=2,X234-W234,"")</x:f>
        <x:v>10</x:v>
      </x:c>
      <x:c r="Z234" s="10" t="n">
        <x:v>0</x:v>
      </x:c>
      <x:c r="AA234" s="10" t="n">
        <x:f>IF(COUNT(AX234,AY234)=2,AX234+AY234,"")</x:f>
        <x:v>0</x:v>
      </x:c>
      <x:c r="AB234" s="10" t="n">
        <x:f>IF(COUNT(AA234,Z234)=2,AA234-Z234,"")</x:f>
        <x:v>0</x:v>
      </x:c>
      <x:c r="AC234" s="10" t="n">
        <x:v>145</x:v>
      </x:c>
      <x:c r="AD234" s="10" t="n">
        <x:v>176</x:v>
      </x:c>
      <x:c r="AE234" s="10" t="n">
        <x:f>IF(COUNT(AD234,AC234)=2,AD234-AC234,"")</x:f>
        <x:v>31</x:v>
      </x:c>
      <x:c r="AF234" s="10" t="n">
        <x:v>32</x:v>
      </x:c>
      <x:c r="AG234" s="10" t="n">
        <x:v>21</x:v>
      </x:c>
      <x:c r="AH234" s="10" t="n">
        <x:f>IF(COUNT(AG234,AF234)=2,AG234-AF234,"")</x:f>
        <x:v>-11</x:v>
      </x:c>
      <x:c r="AI234" s="10" t="n">
        <x:v>20</x:v>
      </x:c>
      <x:c r="AJ234" s="10" t="n">
        <x:v>21</x:v>
      </x:c>
      <x:c r="AK234" s="10" t="n">
        <x:f>IF(COUNT(AJ234,AI234)=2,AJ234-AI234,"")</x:f>
        <x:v>1</x:v>
      </x:c>
      <x:c r="AL234" s="10" t="n">
        <x:v>23</x:v>
      </x:c>
      <x:c r="AM234" s="10" t="n">
        <x:v>23</x:v>
      </x:c>
      <x:c r="AN234" s="4" t="str">
        <x:v>RW</x:v>
      </x:c>
      <x:c r="AO234" s="4" t="str">
        <x:v>RW</x:v>
      </x:c>
      <x:c r="AP234" s="4" t="str">
        <x:v>NSH</x:v>
      </x:c>
      <x:c r="AQ234" s="4" t="str">
        <x:v>NSH</x:v>
      </x:c>
      <x:c r="AR234" s="4" t="n">
        <x:v>14.5</x:v>
      </x:c>
      <x:c r="AS234" s="4" t="n">
        <x:v>16.616666666666667</x:v>
      </x:c>
      <x:c r="AT234" s="4" t="n">
        <x:v>1.53</x:v>
      </x:c>
      <x:c r="AU234" s="4" t="n">
        <x:v>6.8</x:v>
      </x:c>
      <x:c r="AV234" s="10" t="n">
        <x:v>1</x:v>
      </x:c>
      <x:c r="AW234" s="10" t="n">
        <x:v>16</x:v>
      </x:c>
      <x:c r="AX234" s="10" t="n">
        <x:v>0</x:v>
      </x:c>
      <x:c r="AY234" s="10" t="n">
        <x:v>0</x:v>
      </x:c>
      <x:c r="AZ234" s="10" t="n">
        <x:v>1347</x:v>
      </x:c>
      <x:c r="BA234" s="10" t="n">
        <x:v>994</x:v>
      </x:c>
      <x:c r="BB234" s="4" t="n">
        <x:v>57.5</x:v>
      </x:c>
      <x:c r="BC234" s="4" t="n">
        <x:v>10.4</x:v>
      </x:c>
      <x:c r="BD234" s="10" t="n">
        <x:v>959</x:v>
      </x:c>
      <x:c r="BE234" s="10" t="n">
        <x:v>767</x:v>
      </x:c>
      <x:c r="BF234" s="4" t="n">
        <x:v>55.6</x:v>
      </x:c>
      <x:c r="BG234" s="4" t="n">
        <x:v>9.8</x:v>
      </x:c>
      <x:c r="BH234" s="4" t="n">
        <x:v>9.6</x:v>
      </x:c>
      <x:c r="BI234" s="4" t="n">
        <x:v>88.6</x:v>
      </x:c>
      <x:c r="BJ234" s="4" t="n">
        <x:v>98.2</x:v>
      </x:c>
      <x:c r="BK234" s="4" t="n">
        <x:v>53</x:v>
      </x:c>
      <x:c r="BL234" s="4" t="n">
        <x:v>47</x:v>
      </x:c>
      <x:c r="BM234" s="4" t="n">
        <x:v>16.616666666666667</x:v>
      </x:c>
      <x:c r="BN234" s="4" t="n">
        <x:v>14.45</x:v>
      </x:c>
      <x:c r="BO234" s="10" t="n">
        <x:v>25</x:v>
      </x:c>
      <x:c r="BP234" s="10" t="n">
        <x:v>58</x:v>
      </x:c>
      <x:c r="BQ234" s="4" t="n">
        <x:v>12.4</x:v>
      </x:c>
      <x:c r="BR234" s="10" t="n">
        <x:v>316</x:v>
      </x:c>
      <x:c r="BS234" s="4" t="n">
        <x:v>55.7</x:v>
      </x:c>
      <x:c r="BT234" s="10" t="n">
        <x:v>81</x:v>
      </x:c>
      <x:c r="BU234" s="4" t="str">
        <x:v>NSH</x:v>
      </x:c>
      <x:c r="BV234" s="10" t="n">
        <x:v>266</x:v>
      </x:c>
      <x:c r="BW234" s="10" t="n">
        <x:v>109</x:v>
      </x:c>
      <x:c r="BX234" s="10" t="n">
        <x:v>272</x:v>
      </x:c>
      <x:c r="BY234" s="4" t="str">
        <x:v>Luke Evangelista</x:v>
      </x:c>
      <x:c r="BZ234" s="4" t="str">
        <x:v>Luke Evangelista</x:v>
      </x:c>
      <x:c r="CA234" s="4" t="str">
        <x:v>Luke Evangelista</x:v>
      </x:c>
      <x:c r="CB234" s="4" t="str">
        <x:v>evanglu01</x:v>
      </x:c>
    </x:row>
    <x:row r="235" ht="22" customHeight="1">
      <x:c r="A235" s="4" t="str">
        <x:v>Luke Hughes</x:v>
      </x:c>
      <x:c r="B235" s="4" t="str">
        <x:v>lukehughes</x:v>
      </x:c>
      <x:c r="C235" s="10" t="n">
        <x:v>1</x:v>
      </x:c>
      <x:c r="D235" s="10" t="n">
        <x:v>1</x:v>
      </x:c>
      <x:c r="E235" s="10" t="n">
        <x:v>1</x:v>
      </x:c>
      <x:c r="F235" s="4" t="n">
        <x:f>IF(COUNT(N235,Q235,T235,W235,Z235,AC235,AF235,AI235)=8,N235*Guide!$E$5+Q235*Guide!$E$6+T235*Guide!$E$7+W235*Guide!$E$8+Z235*Guide!$E$9+AC235*Guide!$E$10+AF235*Guide!$E$11+AI235*Guide!$E$12,"")</x:f>
        <x:v>215</x:v>
      </x:c>
      <x:c r="G235" s="4" t="n">
        <x:f>IF(COUNT(O235,R235,U235,X235,AA235,AD235,AG235,AJ235)=8,O235*Guide!$E$5+R235*Guide!$E$6+U235*Guide!$E$7+X235*Guide!$E$8+AA235*Guide!$E$9+AD235*Guide!$E$10+AG235*Guide!$E$11+AJ235*Guide!$E$12,"")</x:f>
        <x:v>201.25</x:v>
      </x:c>
      <x:c r="H235" s="4" t="n">
        <x:f>IF(COUNT(G235,F235)=2,G235-F235,"")</x:f>
        <x:v>-13.75</x:v>
      </x:c>
      <x:c r="I235" s="4" t="n">
        <x:f>IF(AND(ISNUMBER(F235),K235&gt;0),F235/K235,"")</x:f>
        <x:v>2.9054054054054053</x:v>
      </x:c>
      <x:c r="J235" s="4" t="n">
        <x:f>IF(AND(ISNUMBER(G235),L235&gt;0),G235/L235,"")</x:f>
        <x:v>2.9595588235294117</x:v>
      </x:c>
      <x:c r="K235" s="10" t="n">
        <x:v>74</x:v>
      </x:c>
      <x:c r="L235" s="10" t="n">
        <x:v>68</x:v>
      </x:c>
      <x:c r="M235" s="10" t="n">
        <x:f>IF(COUNT(L235,K235)=2,L235-K235,"")</x:f>
        <x:v>-6</x:v>
      </x:c>
      <x:c r="N235" s="10" t="n">
        <x:v>8</x:v>
      </x:c>
      <x:c r="O235" s="10" t="n">
        <x:v>6</x:v>
      </x:c>
      <x:c r="P235" s="10" t="n">
        <x:f>IF(COUNT(O235,N235)=2,O235-N235,"")</x:f>
        <x:v>-2</x:v>
      </x:c>
      <x:c r="Q235" s="10" t="n">
        <x:v>32</x:v>
      </x:c>
      <x:c r="R235" s="10" t="n">
        <x:v>29</x:v>
      </x:c>
      <x:c r="S235" s="10" t="n">
        <x:f>IF(COUNT(R235,Q235)=2,R235-Q235,"")</x:f>
        <x:v>-3</x:v>
      </x:c>
      <x:c r="T235" s="10" t="n">
        <x:v>-9</x:v>
      </x:c>
      <x:c r="U235" s="10" t="n">
        <x:v>-4</x:v>
      </x:c>
      <x:c r="V235" s="10" t="n">
        <x:f>IF(COUNT(U235,T235)=2,U235-T235,"")</x:f>
        <x:v>5</x:v>
      </x:c>
      <x:c r="W235" s="10" t="n">
        <x:v>13</x:v>
      </x:c>
      <x:c r="X235" s="10" t="n">
        <x:f>IF(COUNT(AV235,AW235)=2,AV235+AW235,"")</x:f>
        <x:v>13</x:v>
      </x:c>
      <x:c r="Y235" s="10" t="n">
        <x:f>IF(COUNT(X235,W235)=2,X235-W235,"")</x:f>
        <x:v>0</x:v>
      </x:c>
      <x:c r="Z235" s="10" t="n">
        <x:v>0</x:v>
      </x:c>
      <x:c r="AA235" s="10" t="n">
        <x:f>IF(COUNT(AX235,AY235)=2,AX235+AY235,"")</x:f>
        <x:v>0</x:v>
      </x:c>
      <x:c r="AB235" s="10" t="n">
        <x:f>IF(COUNT(AA235,Z235)=2,AA235-Z235,"")</x:f>
        <x:v>0</x:v>
      </x:c>
      <x:c r="AC235" s="10" t="n">
        <x:v>123</x:v>
      </x:c>
      <x:c r="AD235" s="10" t="n">
        <x:v>150</x:v>
      </x:c>
      <x:c r="AE235" s="10" t="n">
        <x:f>IF(COUNT(AD235,AC235)=2,AD235-AC235,"")</x:f>
        <x:v>27</x:v>
      </x:c>
      <x:c r="AF235" s="10" t="n">
        <x:v>20</x:v>
      </x:c>
      <x:c r="AG235" s="10" t="n">
        <x:v>19</x:v>
      </x:c>
      <x:c r="AH235" s="10" t="n">
        <x:f>IF(COUNT(AG235,AF235)=2,AG235-AF235,"")</x:f>
        <x:v>-1</x:v>
      </x:c>
      <x:c r="AI235" s="10" t="n">
        <x:v>63</x:v>
      </x:c>
      <x:c r="AJ235" s="10" t="n">
        <x:v>52</x:v>
      </x:c>
      <x:c r="AK235" s="10" t="n">
        <x:f>IF(COUNT(AJ235,AI235)=2,AJ235-AI235,"")</x:f>
        <x:v>-11</x:v>
      </x:c>
      <x:c r="AL235" s="10" t="n">
        <x:v>22</x:v>
      </x:c>
      <x:c r="AM235" s="10" t="n">
        <x:v>22</x:v>
      </x:c>
      <x:c r="AN235" s="4" t="str">
        <x:v>D</x:v>
      </x:c>
      <x:c r="AO235" s="4" t="str">
        <x:v>D</x:v>
      </x:c>
      <x:c r="AP235" s="4" t="str">
        <x:v>NJ</x:v>
      </x:c>
      <x:c r="AQ235" s="4" t="str">
        <x:v>NJD</x:v>
      </x:c>
      <x:c r="AR235" s="4" t="n">
        <x:v>21.2</x:v>
      </x:c>
      <x:c r="AS235" s="4" t="n">
        <x:v>23.016666666666666</x:v>
      </x:c>
      <x:c r="AT235" s="4" t="n">
        <x:v>1.88</x:v>
      </x:c>
      <x:c r="AU235" s="4" t="n">
        <x:v>4</x:v>
      </x:c>
      <x:c r="AV235" s="10" t="n">
        <x:v>2</x:v>
      </x:c>
      <x:c r="AW235" s="10" t="n">
        <x:v>11</x:v>
      </x:c>
      <x:c r="AX235" s="10" t="n">
        <x:v>0</x:v>
      </x:c>
      <x:c r="AY235" s="10" t="n">
        <x:v>0</x:v>
      </x:c>
      <x:c r="AZ235" s="10" t="n">
        <x:v>1436</x:v>
      </x:c>
      <x:c r="BA235" s="10" t="n">
        <x:v>1199</x:v>
      </x:c>
      <x:c r="BB235" s="4" t="n">
        <x:v>54.5</x:v>
      </x:c>
      <x:c r="BC235" s="4" t="n">
        <x:v>4.3</x:v>
      </x:c>
      <x:c r="BD235" s="10" t="n">
        <x:v>1020</x:v>
      </x:c>
      <x:c r="BE235" s="10" t="n">
        <x:v>887</x:v>
      </x:c>
      <x:c r="BF235" s="4" t="n">
        <x:v>53.5</x:v>
      </x:c>
      <x:c r="BG235" s="4" t="n">
        <x:v>2.6</x:v>
      </x:c>
      <x:c r="BH235" s="4" t="n">
        <x:v>8.1</x:v>
      </x:c>
      <x:c r="BI235" s="4" t="n">
        <x:v>90</x:v>
      </x:c>
      <x:c r="BJ235" s="4" t="n">
        <x:v>98.1</x:v>
      </x:c>
      <x:c r="BK235" s="4" t="n">
        <x:v>56.9</x:v>
      </x:c>
      <x:c r="BL235" s="4" t="n">
        <x:v>43.1</x:v>
      </x:c>
      <x:c r="BM235" s="4" t="n">
        <x:v>23.016666666666666</x:v>
      </x:c>
      <x:c r="BN235" s="4" t="n">
        <x:v>19.733333333333334</x:v>
      </x:c>
      <x:c r="BO235" s="10" t="n">
        <x:v>29</x:v>
      </x:c>
      <x:c r="BP235" s="10" t="n">
        <x:v>108</x:v>
      </x:c>
      <x:c r="BQ235" s="4" t="n">
        <x:v>3.1</x:v>
      </x:c>
      <x:c r="BR235" s="10" t="n">
        <x:v>376</x:v>
      </x:c>
      <x:c r="BS235" s="4" t="n">
        <x:v>39.9</x:v>
      </x:c>
      <x:c r="BT235" s="10" t="n">
        <x:v>68</x:v>
      </x:c>
      <x:c r="BU235" s="4" t="str">
        <x:v>NJD</x:v>
      </x:c>
      <x:c r="BV235" s="10" t="n">
        <x:v>248</x:v>
      </x:c>
      <x:c r="BW235" s="10" t="n">
        <x:v>264</x:v>
      </x:c>
      <x:c r="BX235" s="10" t="n">
        <x:v>435</x:v>
      </x:c>
      <x:c r="BY235" s="4" t="str">
        <x:v>Luke Hughes</x:v>
      </x:c>
      <x:c r="BZ235" s="4" t="str">
        <x:v>Luke Hughes</x:v>
      </x:c>
      <x:c r="CA235" s="4" t="str">
        <x:v>Luke Hughes</x:v>
      </x:c>
      <x:c r="CB235" s="4" t="str">
        <x:v>hughelu01</x:v>
      </x:c>
    </x:row>
    <x:row r="236" ht="22" customHeight="1">
      <x:c r="A236" s="4" t="str">
        <x:v>MacKenzie Weegar</x:v>
      </x:c>
      <x:c r="B236" s="4" t="str">
        <x:v>mackenzieweegar</x:v>
      </x:c>
      <x:c r="C236" s="10" t="n">
        <x:v>1</x:v>
      </x:c>
      <x:c r="D236" s="10" t="n">
        <x:v>1</x:v>
      </x:c>
      <x:c r="E236" s="10" t="n">
        <x:v>1</x:v>
      </x:c>
      <x:c r="F236" s="4" t="n">
        <x:f>IF(COUNT(N236,Q236,T236,W236,Z236,AC236,AF236,AI236)=8,N236*Guide!$E$5+Q236*Guide!$E$6+T236*Guide!$E$7+W236*Guide!$E$8+Z236*Guide!$E$9+AC236*Guide!$E$10+AF236*Guide!$E$11+AI236*Guide!$E$12,"")</x:f>
        <x:v>381.5</x:v>
      </x:c>
      <x:c r="G236" s="4" t="n">
        <x:f>IF(COUNT(O236,R236,U236,X236,AA236,AD236,AG236,AJ236)=8,O236*Guide!$E$5+R236*Guide!$E$6+U236*Guide!$E$7+X236*Guide!$E$8+AA236*Guide!$E$9+AD236*Guide!$E$10+AG236*Guide!$E$11+AJ236*Guide!$E$12,"")</x:f>
        <x:v>275.5</x:v>
      </x:c>
      <x:c r="H236" s="4" t="n">
        <x:f>IF(COUNT(G236,F236)=2,G236-F236,"")</x:f>
        <x:v>-106</x:v>
      </x:c>
      <x:c r="I236" s="4" t="n">
        <x:f>IF(AND(ISNUMBER(F236),K236&gt;0),F236/K236,"")</x:f>
        <x:v>4.891025641025641</x:v>
      </x:c>
      <x:c r="J236" s="4" t="n">
        <x:f>IF(AND(ISNUMBER(G236),L236&gt;0),G236/L236,"")</x:f>
        <x:v>3.4873417721518987</x:v>
      </x:c>
      <x:c r="K236" s="10" t="n">
        <x:v>78</x:v>
      </x:c>
      <x:c r="L236" s="10" t="n">
        <x:v>79</x:v>
      </x:c>
      <x:c r="M236" s="10" t="n">
        <x:f>IF(COUNT(L236,K236)=2,L236-K236,"")</x:f>
        <x:v>1</x:v>
      </x:c>
      <x:c r="N236" s="10" t="n">
        <x:v>10</x:v>
      </x:c>
      <x:c r="O236" s="10" t="n">
        <x:v>4</x:v>
      </x:c>
      <x:c r="P236" s="10" t="n">
        <x:f>IF(COUNT(O236,N236)=2,O236-N236,"")</x:f>
        <x:v>-6</x:v>
      </x:c>
      <x:c r="Q236" s="10" t="n">
        <x:v>36</x:v>
      </x:c>
      <x:c r="R236" s="10" t="n">
        <x:v>24</x:v>
      </x:c>
      <x:c r="S236" s="10" t="n">
        <x:f>IF(COUNT(R236,Q236)=2,R236-Q236,"")</x:f>
        <x:v>-12</x:v>
      </x:c>
      <x:c r="T236" s="10" t="n">
        <x:v>-3</x:v>
      </x:c>
      <x:c r="U236" s="10" t="n">
        <x:v>-33</x:v>
      </x:c>
      <x:c r="V236" s="10" t="n">
        <x:f>IF(COUNT(U236,T236)=2,U236-T236,"")</x:f>
        <x:v>-30</x:v>
      </x:c>
      <x:c r="W236" s="10" t="n">
        <x:v>18</x:v>
      </x:c>
      <x:c r="X236" s="10" t="n">
        <x:f>IF(COUNT(AV236,AW236)=2,AV236+AW236,"")</x:f>
        <x:v>6</x:v>
      </x:c>
      <x:c r="Y236" s="10" t="n">
        <x:f>IF(COUNT(X236,W236)=2,X236-W236,"")</x:f>
        <x:v>-12</x:v>
      </x:c>
      <x:c r="Z236" s="10" t="n">
        <x:v>1</x:v>
      </x:c>
      <x:c r="AA236" s="10" t="n">
        <x:f>IF(COUNT(AX236,AY236)=2,AX236+AY236,"")</x:f>
        <x:v>1</x:v>
      </x:c>
      <x:c r="AB236" s="10" t="n">
        <x:f>IF(COUNT(AA236,Z236)=2,AA236-Z236,"")</x:f>
        <x:v>0</x:v>
      </x:c>
      <x:c r="AC236" s="10" t="n">
        <x:v>176</x:v>
      </x:c>
      <x:c r="AD236" s="10" t="n">
        <x:v>154</x:v>
      </x:c>
      <x:c r="AE236" s="10" t="n">
        <x:f>IF(COUNT(AD236,AC236)=2,AD236-AC236,"")</x:f>
        <x:v>-22</x:v>
      </x:c>
      <x:c r="AF236" s="10" t="n">
        <x:v>191</x:v>
      </x:c>
      <x:c r="AG236" s="10" t="n">
        <x:v>167</x:v>
      </x:c>
      <x:c r="AH236" s="10" t="n">
        <x:f>IF(COUNT(AG236,AF236)=2,AG236-AF236,"")</x:f>
        <x:v>-24</x:v>
      </x:c>
      <x:c r="AI236" s="10" t="n">
        <x:v>165</x:v>
      </x:c>
      <x:c r="AJ236" s="10" t="n">
        <x:v>175</x:v>
      </x:c>
      <x:c r="AK236" s="10" t="n">
        <x:f>IF(COUNT(AJ236,AI236)=2,AJ236-AI236,"")</x:f>
        <x:v>10</x:v>
      </x:c>
      <x:c r="AL236" s="10" t="n">
        <x:v>32</x:v>
      </x:c>
      <x:c r="AM236" s="10" t="n">
        <x:v>32</x:v>
      </x:c>
      <x:c r="AN236" s="4" t="str">
        <x:v>D</x:v>
      </x:c>
      <x:c r="AO236" s="4" t="str">
        <x:v>D</x:v>
      </x:c>
      <x:c r="AP236" s="4" t="str">
        <x:v>CGY</x:v>
      </x:c>
      <x:c r="AQ236" s="4" t="str">
        <x:v>2TM</x:v>
      </x:c>
      <x:c r="AR236" s="4" t="n">
        <x:v>23.95</x:v>
      </x:c>
      <x:c r="AS236" s="4" t="n">
        <x:v>22.466666666666665</x:v>
      </x:c>
      <x:c r="AT236" s="4" t="n">
        <x:v>2.66</x:v>
      </x:c>
      <x:c r="AU236" s="4" t="n">
        <x:v>2.6</x:v>
      </x:c>
      <x:c r="AV236" s="10" t="n">
        <x:v>0</x:v>
      </x:c>
      <x:c r="AW236" s="10" t="n">
        <x:v>6</x:v>
      </x:c>
      <x:c r="AX236" s="10" t="n">
        <x:v>0</x:v>
      </x:c>
      <x:c r="AY236" s="10" t="n">
        <x:v>1</x:v>
      </x:c>
      <x:c r="AZ236" s="10" t="n">
        <x:v>1592</x:v>
      </x:c>
      <x:c r="BA236" s="10" t="n">
        <x:v>1473</x:v>
      </x:c>
      <x:c r="BB236" s="4" t="n">
        <x:v>51.9</x:v>
      </x:c>
      <x:c r="BC236" s="4" t="n">
        <x:v>1.3</x:v>
      </x:c>
      <x:c r="BD236" s="10" t="n">
        <x:v>1091</x:v>
      </x:c>
      <x:c r="BE236" s="10" t="n">
        <x:v>1032</x:v>
      </x:c>
      <x:c r="BF236" s="4" t="n">
        <x:v>51.4</x:v>
      </x:c>
      <x:c r="BG236" s="4" t="n">
        <x:v>1.4</x:v>
      </x:c>
      <x:c r="BH236" s="4" t="n">
        <x:v>7.3</x:v>
      </x:c>
      <x:c r="BI236" s="4" t="n">
        <x:v>87</x:v>
      </x:c>
      <x:c r="BJ236" s="4" t="n">
        <x:v>94.3</x:v>
      </x:c>
      <x:c r="BK236" s="4" t="n">
        <x:v>52.3</x:v>
      </x:c>
      <x:c r="BL236" s="4" t="n">
        <x:v>47.7</x:v>
      </x:c>
      <x:c r="BM236" s="4" t="n">
        <x:v>22.466666666666665</x:v>
      </x:c>
      <x:c r="BN236" s="4" t="n">
        <x:v>18.783333333333335</x:v>
      </x:c>
      <x:c r="BO236" s="10" t="n">
        <x:v>32</x:v>
      </x:c>
      <x:c r="BP236" s="10" t="n">
        <x:v>124</x:v>
      </x:c>
      <x:c r="BQ236" s="4" t="n">
        <x:v>-4.8</x:v>
      </x:c>
      <x:c r="BR236" s="10" t="n">
        <x:v>393</x:v>
      </x:c>
      <x:c r="BS236" s="4" t="n">
        <x:v>39.2</x:v>
      </x:c>
      <x:c r="BT236" s="10" t="n">
        <x:v>79</x:v>
      </x:c>
      <x:c r="BU236" s="4" t="str">
        <x:v>TOT</x:v>
      </x:c>
      <x:c r="BV236" s="10" t="n">
        <x:v>183</x:v>
      </x:c>
      <x:c r="BW236" s="10" t="n">
        <x:v>359</x:v>
      </x:c>
      <x:c r="BX236" s="10" t="n">
        <x:v>1065</x:v>
      </x:c>
      <x:c r="BY236" s="4" t="str">
        <x:v>MacKenzie Weegar</x:v>
      </x:c>
      <x:c r="BZ236" s="4" t="str">
        <x:v>MacKenzie Weegar</x:v>
      </x:c>
      <x:c r="CA236" s="4" t="str">
        <x:v>MacKenzie Weegar</x:v>
      </x:c>
      <x:c r="CB236" s="4" t="str">
        <x:v>weegama01</x:v>
      </x:c>
    </x:row>
    <x:row r="237" ht="22" customHeight="1">
      <x:c r="A237" s="4" t="str">
        <x:v>Mackie Samoskevich</x:v>
      </x:c>
      <x:c r="B237" s="4" t="str">
        <x:v>mackiesamoskevich</x:v>
      </x:c>
      <x:c r="C237" s="10" t="n">
        <x:v>1</x:v>
      </x:c>
      <x:c r="D237" s="10" t="n">
        <x:v>1</x:v>
      </x:c>
      <x:c r="E237" s="10" t="n">
        <x:v>1</x:v>
      </x:c>
      <x:c r="F237" s="4" t="n">
        <x:f>IF(COUNT(N237,Q237,T237,W237,Z237,AC237,AF237,AI237)=8,N237*Guide!$E$5+Q237*Guide!$E$6+T237*Guide!$E$7+W237*Guide!$E$8+Z237*Guide!$E$9+AC237*Guide!$E$10+AF237*Guide!$E$11+AI237*Guide!$E$12,"")</x:f>
        <x:v>277.5</x:v>
      </x:c>
      <x:c r="G237" s="4" t="n">
        <x:f>IF(COUNT(O237,R237,U237,X237,AA237,AD237,AG237,AJ237)=8,O237*Guide!$E$5+R237*Guide!$E$6+U237*Guide!$E$7+X237*Guide!$E$8+AA237*Guide!$E$9+AD237*Guide!$E$10+AG237*Guide!$E$11+AJ237*Guide!$E$12,"")</x:f>
        <x:v>212</x:v>
      </x:c>
      <x:c r="H237" s="4" t="n">
        <x:f>IF(COUNT(G237,F237)=2,G237-F237,"")</x:f>
        <x:v>-65.5</x:v>
      </x:c>
      <x:c r="I237" s="4" t="n">
        <x:f>IF(AND(ISNUMBER(F237),K237&gt;0),F237/K237,"")</x:f>
        <x:v>3.8541666666666665</x:v>
      </x:c>
      <x:c r="J237" s="4" t="n">
        <x:f>IF(AND(ISNUMBER(G237),L237&gt;0),G237/L237,"")</x:f>
        <x:v>2.7532467532467533</x:v>
      </x:c>
      <x:c r="K237" s="10" t="n">
        <x:v>72</x:v>
      </x:c>
      <x:c r="L237" s="10" t="n">
        <x:v>77</x:v>
      </x:c>
      <x:c r="M237" s="10" t="n">
        <x:f>IF(COUNT(L237,K237)=2,L237-K237,"")</x:f>
        <x:v>5</x:v>
      </x:c>
      <x:c r="N237" s="10" t="n">
        <x:v>23</x:v>
      </x:c>
      <x:c r="O237" s="10" t="n">
        <x:v>12</x:v>
      </x:c>
      <x:c r="P237" s="10" t="n">
        <x:f>IF(COUNT(O237,N237)=2,O237-N237,"")</x:f>
        <x:v>-11</x:v>
      </x:c>
      <x:c r="Q237" s="10" t="n">
        <x:v>22</x:v>
      </x:c>
      <x:c r="R237" s="10" t="n">
        <x:v>20</x:v>
      </x:c>
      <x:c r="S237" s="10" t="n">
        <x:f>IF(COUNT(R237,Q237)=2,R237-Q237,"")</x:f>
        <x:v>-2</x:v>
      </x:c>
      <x:c r="T237" s="10" t="n">
        <x:v>2</x:v>
      </x:c>
      <x:c r="U237" s="10" t="n">
        <x:v>-5</x:v>
      </x:c>
      <x:c r="V237" s="10" t="n">
        <x:f>IF(COUNT(U237,T237)=2,U237-T237,"")</x:f>
        <x:v>-7</x:v>
      </x:c>
      <x:c r="W237" s="10" t="n">
        <x:v>13</x:v>
      </x:c>
      <x:c r="X237" s="10" t="n">
        <x:f>IF(COUNT(AV237,AW237)=2,AV237+AW237,"")</x:f>
        <x:v>10</x:v>
      </x:c>
      <x:c r="Y237" s="10" t="n">
        <x:f>IF(COUNT(X237,W237)=2,X237-W237,"")</x:f>
        <x:v>-3</x:v>
      </x:c>
      <x:c r="Z237" s="10" t="n">
        <x:v>0</x:v>
      </x:c>
      <x:c r="AA237" s="10" t="n">
        <x:f>IF(COUNT(AX237,AY237)=2,AX237+AY237,"")</x:f>
        <x:v>0</x:v>
      </x:c>
      <x:c r="AB237" s="10" t="n">
        <x:f>IF(COUNT(AA237,Z237)=2,AA237-Z237,"")</x:f>
        <x:v>0</x:v>
      </x:c>
      <x:c r="AC237" s="10" t="n">
        <x:v>156</x:v>
      </x:c>
      <x:c r="AD237" s="10" t="n">
        <x:v>161</x:v>
      </x:c>
      <x:c r="AE237" s="10" t="n">
        <x:f>IF(COUNT(AD237,AC237)=2,AD237-AC237,"")</x:f>
        <x:v>5</x:v>
      </x:c>
      <x:c r="AF237" s="10" t="n">
        <x:v>151</x:v>
      </x:c>
      <x:c r="AG237" s="10" t="n">
        <x:v>136</x:v>
      </x:c>
      <x:c r="AH237" s="10" t="n">
        <x:f>IF(COUNT(AG237,AF237)=2,AG237-AF237,"")</x:f>
        <x:v>-15</x:v>
      </x:c>
      <x:c r="AI237" s="10" t="n">
        <x:v>37</x:v>
      </x:c>
      <x:c r="AJ237" s="10" t="n">
        <x:v>33</x:v>
      </x:c>
      <x:c r="AK237" s="10" t="n">
        <x:f>IF(COUNT(AJ237,AI237)=2,AJ237-AI237,"")</x:f>
        <x:v>-4</x:v>
      </x:c>
      <x:c r="AL237" s="10" t="n">
        <x:v>23</x:v>
      </x:c>
      <x:c r="AM237" s="10" t="n">
        <x:v>23</x:v>
      </x:c>
      <x:c r="AN237" s="4" t="str">
        <x:v>RW</x:v>
      </x:c>
      <x:c r="AO237" s="4" t="str">
        <x:v>RW</x:v>
      </x:c>
      <x:c r="AP237" s="4" t="str">
        <x:v>FLA</x:v>
      </x:c>
      <x:c r="AQ237" s="4" t="str">
        <x:v>FLA</x:v>
      </x:c>
      <x:c r="AR237" s="4" t="n">
        <x:v>15.28</x:v>
      </x:c>
      <x:c r="AS237" s="4" t="n">
        <x:v>14.466666666666667</x:v>
      </x:c>
      <x:c r="AT237" s="4" t="n">
        <x:v>1.76</x:v>
      </x:c>
      <x:c r="AU237" s="4" t="n">
        <x:v>7.5</x:v>
      </x:c>
      <x:c r="AV237" s="10" t="n">
        <x:v>4</x:v>
      </x:c>
      <x:c r="AW237" s="10" t="n">
        <x:v>6</x:v>
      </x:c>
      <x:c r="AX237" s="10" t="n">
        <x:v>0</x:v>
      </x:c>
      <x:c r="AY237" s="10" t="n">
        <x:v>0</x:v>
      </x:c>
      <x:c r="AZ237" s="10" t="n">
        <x:v>1058</x:v>
      </x:c>
      <x:c r="BA237" s="10" t="n">
        <x:v>777</x:v>
      </x:c>
      <x:c r="BB237" s="4" t="n">
        <x:v>57.7</x:v>
      </x:c>
      <x:c r="BC237" s="4" t="n">
        <x:v>7.2</x:v>
      </x:c>
      <x:c r="BD237" s="10" t="n">
        <x:v>773</x:v>
      </x:c>
      <x:c r="BE237" s="10" t="n">
        <x:v>591</x:v>
      </x:c>
      <x:c r="BF237" s="4" t="n">
        <x:v>56.7</x:v>
      </x:c>
      <x:c r="BG237" s="4" t="n">
        <x:v>6.7</x:v>
      </x:c>
      <x:c r="BH237" s="4" t="n">
        <x:v>8.2</x:v>
      </x:c>
      <x:c r="BI237" s="4" t="n">
        <x:v>89.5</x:v>
      </x:c>
      <x:c r="BJ237" s="4" t="n">
        <x:v>97.7</x:v>
      </x:c>
      <x:c r="BK237" s="4" t="n">
        <x:v>52.8</x:v>
      </x:c>
      <x:c r="BL237" s="4" t="n">
        <x:v>47.2</x:v>
      </x:c>
      <x:c r="BM237" s="4" t="n">
        <x:v>14.466666666666667</x:v>
      </x:c>
      <x:c r="BN237" s="4" t="n">
        <x:v>12.333333333333334</x:v>
      </x:c>
      <x:c r="BO237" s="10" t="n">
        <x:v>10</x:v>
      </x:c>
      <x:c r="BP237" s="10" t="n">
        <x:v>52</x:v>
      </x:c>
      <x:c r="BQ237" s="4" t="n">
        <x:v>2</x:v>
      </x:c>
      <x:c r="BR237" s="10" t="n">
        <x:v>332</x:v>
      </x:c>
      <x:c r="BS237" s="4" t="n">
        <x:v>48.5</x:v>
      </x:c>
      <x:c r="BT237" s="10" t="n">
        <x:v>77</x:v>
      </x:c>
      <x:c r="BU237" s="4" t="str">
        <x:v>FLA</x:v>
      </x:c>
      <x:c r="BV237" s="10" t="n">
        <x:v>201</x:v>
      </x:c>
      <x:c r="BW237" s="10" t="n">
        <x:v>307</x:v>
      </x:c>
      <x:c r="BX237" s="10" t="n">
        <x:v>892</x:v>
      </x:c>
      <x:c r="BY237" s="4" t="str">
        <x:v>Mackie Samoskevich</x:v>
      </x:c>
      <x:c r="BZ237" s="4" t="str">
        <x:v>Mackie Samoskevich</x:v>
      </x:c>
      <x:c r="CA237" s="4" t="str">
        <x:v>Mackie Samoskevich</x:v>
      </x:c>
      <x:c r="CB237" s="4" t="str">
        <x:v>samosma01</x:v>
      </x:c>
    </x:row>
    <x:row r="238" ht="22" customHeight="1">
      <x:c r="A238" s="4" t="str">
        <x:v>Macklin Celebrini</x:v>
      </x:c>
      <x:c r="B238" s="4" t="str">
        <x:v>macklincelebrini</x:v>
      </x:c>
      <x:c r="C238" s="10" t="n">
        <x:v>1</x:v>
      </x:c>
      <x:c r="D238" s="10" t="n">
        <x:v>1</x:v>
      </x:c>
      <x:c r="E238" s="10" t="n">
        <x:v>1</x:v>
      </x:c>
      <x:c r="F238" s="4" t="n">
        <x:f>IF(COUNT(N238,Q238,T238,W238,Z238,AC238,AF238,AI238)=8,N238*Guide!$E$5+Q238*Guide!$E$6+T238*Guide!$E$7+W238*Guide!$E$8+Z238*Guide!$E$9+AC238*Guide!$E$10+AF238*Guide!$E$11+AI238*Guide!$E$12,"")</x:f>
        <x:v>399.75</x:v>
      </x:c>
      <x:c r="G238" s="4" t="n">
        <x:f>IF(COUNT(O238,R238,U238,X238,AA238,AD238,AG238,AJ238)=8,O238*Guide!$E$5+R238*Guide!$E$6+U238*Guide!$E$7+X238*Guide!$E$8+AA238*Guide!$E$9+AD238*Guide!$E$10+AG238*Guide!$E$11+AJ238*Guide!$E$12,"")</x:f>
        <x:v>555.75</x:v>
      </x:c>
      <x:c r="H238" s="4" t="n">
        <x:f>IF(COUNT(G238,F238)=2,G238-F238,"")</x:f>
        <x:v>156</x:v>
      </x:c>
      <x:c r="I238" s="4" t="n">
        <x:f>IF(AND(ISNUMBER(F238),K238&gt;0),F238/K238,"")</x:f>
        <x:v>4.996875</x:v>
      </x:c>
      <x:c r="J238" s="4" t="n">
        <x:f>IF(AND(ISNUMBER(G238),L238&gt;0),G238/L238,"")</x:f>
        <x:v>6.777439024390244</x:v>
      </x:c>
      <x:c r="K238" s="10" t="n">
        <x:v>80</x:v>
      </x:c>
      <x:c r="L238" s="10" t="n">
        <x:v>82</x:v>
      </x:c>
      <x:c r="M238" s="10" t="n">
        <x:f>IF(COUNT(L238,K238)=2,L238-K238,"")</x:f>
        <x:v>2</x:v>
      </x:c>
      <x:c r="N238" s="10" t="n">
        <x:v>34</x:v>
      </x:c>
      <x:c r="O238" s="10" t="n">
        <x:v>45</x:v>
      </x:c>
      <x:c r="P238" s="10" t="n">
        <x:f>IF(COUNT(O238,N238)=2,O238-N238,"")</x:f>
        <x:v>11</x:v>
      </x:c>
      <x:c r="Q238" s="10" t="n">
        <x:v>43</x:v>
      </x:c>
      <x:c r="R238" s="10" t="n">
        <x:v>70</x:v>
      </x:c>
      <x:c r="S238" s="10" t="n">
        <x:f>IF(COUNT(R238,Q238)=2,R238-Q238,"")</x:f>
        <x:v>27</x:v>
      </x:c>
      <x:c r="T238" s="10" t="n">
        <x:v>-18</x:v>
      </x:c>
      <x:c r="U238" s="10" t="n">
        <x:v>8</x:v>
      </x:c>
      <x:c r="V238" s="10" t="n">
        <x:f>IF(COUNT(U238,T238)=2,U238-T238,"")</x:f>
        <x:v>26</x:v>
      </x:c>
      <x:c r="W238" s="10" t="n">
        <x:v>26</x:v>
      </x:c>
      <x:c r="X238" s="10" t="n">
        <x:f>IF(COUNT(AV238,AW238)=2,AV238+AW238,"")</x:f>
        <x:v>33</x:v>
      </x:c>
      <x:c r="Y238" s="10" t="n">
        <x:f>IF(COUNT(X238,W238)=2,X238-W238,"")</x:f>
        <x:v>7</x:v>
      </x:c>
      <x:c r="Z238" s="10" t="n">
        <x:v>0</x:v>
      </x:c>
      <x:c r="AA238" s="10" t="n">
        <x:f>IF(COUNT(AX238,AY238)=2,AX238+AY238,"")</x:f>
        <x:v>0</x:v>
      </x:c>
      <x:c r="AB238" s="10" t="n">
        <x:f>IF(COUNT(AA238,Z238)=2,AA238-Z238,"")</x:f>
        <x:v>0</x:v>
      </x:c>
      <x:c r="AC238" s="10" t="n">
        <x:v>278</x:v>
      </x:c>
      <x:c r="AD238" s="10" t="n">
        <x:v>287</x:v>
      </x:c>
      <x:c r="AE238" s="10" t="n">
        <x:f>IF(COUNT(AD238,AC238)=2,AD238-AC238,"")</x:f>
        <x:v>9</x:v>
      </x:c>
      <x:c r="AF238" s="10" t="n">
        <x:v>43</x:v>
      </x:c>
      <x:c r="AG238" s="10" t="n">
        <x:v>53</x:v>
      </x:c>
      <x:c r="AH238" s="10" t="n">
        <x:f>IF(COUNT(AG238,AF238)=2,AG238-AF238,"")</x:f>
        <x:v>10</x:v>
      </x:c>
      <x:c r="AI238" s="10" t="n">
        <x:v>62</x:v>
      </x:c>
      <x:c r="AJ238" s="10" t="n">
        <x:v>53</x:v>
      </x:c>
      <x:c r="AK238" s="10" t="n">
        <x:f>IF(COUNT(AJ238,AI238)=2,AJ238-AI238,"")</x:f>
        <x:v>-9</x:v>
      </x:c>
      <x:c r="AL238" s="10" t="n">
        <x:v>19</x:v>
      </x:c>
      <x:c r="AM238" s="10" t="n">
        <x:v>19</x:v>
      </x:c>
      <x:c r="AN238" s="4" t="str">
        <x:v>C</x:v>
      </x:c>
      <x:c r="AO238" s="4" t="str">
        <x:v>F</x:v>
      </x:c>
      <x:c r="AP238" s="4" t="str">
        <x:v>SJ</x:v>
      </x:c>
      <x:c r="AQ238" s="4" t="str">
        <x:v>SJS</x:v>
      </x:c>
      <x:c r="AR238" s="4" t="n">
        <x:v>20.570000000000004</x:v>
      </x:c>
      <x:c r="AS238" s="4" t="n">
        <x:v>21.316666666666666</x:v>
      </x:c>
      <x:c r="AT238" s="4" t="n">
        <x:v>3.35</x:v>
      </x:c>
      <x:c r="AU238" s="4" t="n">
        <x:v>15.7</x:v>
      </x:c>
      <x:c r="AV238" s="10" t="n">
        <x:v>8</x:v>
      </x:c>
      <x:c r="AW238" s="10" t="n">
        <x:v>25</x:v>
      </x:c>
      <x:c r="AX238" s="10" t="n">
        <x:v>0</x:v>
      </x:c>
      <x:c r="AY238" s="10" t="n">
        <x:v>0</x:v>
      </x:c>
      <x:c r="AZ238" s="10" t="n">
        <x:v>1330</x:v>
      </x:c>
      <x:c r="BA238" s="10" t="n">
        <x:v>1365</x:v>
      </x:c>
      <x:c r="BB238" s="4" t="n">
        <x:v>49.4</x:v>
      </x:c>
      <x:c r="BC238" s="4" t="n">
        <x:v>3.8</x:v>
      </x:c>
      <x:c r="BD238" s="10" t="n">
        <x:v>972</x:v>
      </x:c>
      <x:c r="BE238" s="10" t="n">
        <x:v>1005</x:v>
      </x:c>
      <x:c r="BF238" s="4" t="n">
        <x:v>49.2</x:v>
      </x:c>
      <x:c r="BG238" s="4" t="n">
        <x:v>4.4</x:v>
      </x:c>
      <x:c r="BH238" s="4" t="n">
        <x:v>14.5</x:v>
      </x:c>
      <x:c r="BI238" s="4" t="n">
        <x:v>88.3</x:v>
      </x:c>
      <x:c r="BJ238" s="4" t="n">
        <x:v>102.9</x:v>
      </x:c>
      <x:c r="BK238" s="4" t="n">
        <x:v>58.7</x:v>
      </x:c>
      <x:c r="BL238" s="4" t="n">
        <x:v>41.3</x:v>
      </x:c>
      <x:c r="BM238" s="4" t="n">
        <x:v>21.316666666666666</x:v>
      </x:c>
      <x:c r="BN238" s="4" t="n">
        <x:v>17.466666666666665</x:v>
      </x:c>
      <x:c r="BO238" s="10" t="n">
        <x:v>41</x:v>
      </x:c>
      <x:c r="BP238" s="10" t="n">
        <x:v>150</x:v>
      </x:c>
      <x:c r="BQ238" s="4" t="n">
        <x:v>6.6</x:v>
      </x:c>
      <x:c r="BR238" s="10" t="n">
        <x:v>543</x:v>
      </x:c>
      <x:c r="BS238" s="4" t="n">
        <x:v>52.9</x:v>
      </x:c>
      <x:c r="BT238" s="10" t="n">
        <x:v>82</x:v>
      </x:c>
      <x:c r="BU238" s="4" t="str">
        <x:v>SJS</x:v>
      </x:c>
      <x:c r="BV238" s="10" t="n">
        <x:v>28</x:v>
      </x:c>
      <x:c r="BW238" s="10" t="n">
        <x:v>6</x:v>
      </x:c>
      <x:c r="BX238" s="10" t="n">
        <x:v>141</x:v>
      </x:c>
      <x:c r="BY238" s="4" t="str">
        <x:v>Macklin Celebrini</x:v>
      </x:c>
      <x:c r="BZ238" s="4" t="str">
        <x:v>Macklin Celebrini</x:v>
      </x:c>
      <x:c r="CA238" s="4" t="str">
        <x:v>Macklin Celebrini</x:v>
      </x:c>
      <x:c r="CB238" s="4" t="str">
        <x:v>celebma01</x:v>
      </x:c>
    </x:row>
    <x:row r="239" ht="22" customHeight="1">
      <x:c r="A239" s="4" t="str">
        <x:v>Marat Khusnutdinov</x:v>
      </x:c>
      <x:c r="B239" s="4" t="str">
        <x:v>maratkhusnutdinov</x:v>
      </x:c>
      <x:c r="C239" s="10" t="n">
        <x:v>1</x:v>
      </x:c>
      <x:c r="D239" s="10" t="n">
        <x:v>1</x:v>
      </x:c>
      <x:c r="E239" s="10" t="n">
        <x:v>1</x:v>
      </x:c>
      <x:c r="F239" s="4" t="n">
        <x:f>IF(COUNT(N239,Q239,T239,W239,Z239,AC239,AF239,AI239)=8,N239*Guide!$E$5+Q239*Guide!$E$6+T239*Guide!$E$7+W239*Guide!$E$8+Z239*Guide!$E$9+AC239*Guide!$E$10+AF239*Guide!$E$11+AI239*Guide!$E$12,"")</x:f>
        <x:v>126.5</x:v>
      </x:c>
      <x:c r="G239" s="4" t="n">
        <x:f>IF(COUNT(O239,R239,U239,X239,AA239,AD239,AG239,AJ239)=8,O239*Guide!$E$5+R239*Guide!$E$6+U239*Guide!$E$7+X239*Guide!$E$8+AA239*Guide!$E$9+AD239*Guide!$E$10+AG239*Guide!$E$11+AJ239*Guide!$E$12,"")</x:f>
        <x:v>186.25</x:v>
      </x:c>
      <x:c r="H239" s="4" t="n">
        <x:f>IF(COUNT(G239,F239)=2,G239-F239,"")</x:f>
        <x:v>59.75</x:v>
      </x:c>
      <x:c r="I239" s="4" t="n">
        <x:f>IF(AND(ISNUMBER(F239),K239&gt;0),F239/K239,"")</x:f>
        <x:v>1.8071428571428572</x:v>
      </x:c>
      <x:c r="J239" s="4" t="n">
        <x:f>IF(AND(ISNUMBER(G239),L239&gt;0),G239/L239,"")</x:f>
        <x:v>2.418831168831169</x:v>
      </x:c>
      <x:c r="K239" s="10" t="n">
        <x:v>70</x:v>
      </x:c>
      <x:c r="L239" s="10" t="n">
        <x:v>77</x:v>
      </x:c>
      <x:c r="M239" s="10" t="n">
        <x:f>IF(COUNT(L239,K239)=2,L239-K239,"")</x:f>
        <x:v>7</x:v>
      </x:c>
      <x:c r="N239" s="10" t="n">
        <x:v>8</x:v>
      </x:c>
      <x:c r="O239" s="10" t="n">
        <x:v>15</x:v>
      </x:c>
      <x:c r="P239" s="10" t="n">
        <x:f>IF(COUNT(O239,N239)=2,O239-N239,"")</x:f>
        <x:v>7</x:v>
      </x:c>
      <x:c r="Q239" s="10" t="n">
        <x:v>12</x:v>
      </x:c>
      <x:c r="R239" s="10" t="n">
        <x:v>18</x:v>
      </x:c>
      <x:c r="S239" s="10" t="n">
        <x:f>IF(COUNT(R239,Q239)=2,R239-Q239,"")</x:f>
        <x:v>6</x:v>
      </x:c>
      <x:c r="T239" s="10" t="n">
        <x:v>-6</x:v>
      </x:c>
      <x:c r="U239" s="10" t="n">
        <x:v>12</x:v>
      </x:c>
      <x:c r="V239" s="10" t="n">
        <x:f>IF(COUNT(U239,T239)=2,U239-T239,"")</x:f>
        <x:v>18</x:v>
      </x:c>
      <x:c r="W239" s="10" t="n">
        <x:v>2</x:v>
      </x:c>
      <x:c r="X239" s="10" t="n">
        <x:f>IF(COUNT(AV239,AW239)=2,AV239+AW239,"")</x:f>
        <x:v>1</x:v>
      </x:c>
      <x:c r="Y239" s="10" t="n">
        <x:f>IF(COUNT(X239,W239)=2,X239-W239,"")</x:f>
        <x:v>-1</x:v>
      </x:c>
      <x:c r="Z239" s="10" t="n">
        <x:v>1</x:v>
      </x:c>
      <x:c r="AA239" s="10" t="n">
        <x:f>IF(COUNT(AX239,AY239)=2,AX239+AY239,"")</x:f>
        <x:v>0</x:v>
      </x:c>
      <x:c r="AB239" s="10" t="n">
        <x:f>IF(COUNT(AA239,Z239)=2,AA239-Z239,"")</x:f>
        <x:v>-1</x:v>
      </x:c>
      <x:c r="AC239" s="10" t="n">
        <x:v>53</x:v>
      </x:c>
      <x:c r="AD239" s="10" t="n">
        <x:v>78</x:v>
      </x:c>
      <x:c r="AE239" s="10" t="n">
        <x:f>IF(COUNT(AD239,AC239)=2,AD239-AC239,"")</x:f>
        <x:v>25</x:v>
      </x:c>
      <x:c r="AF239" s="10" t="n">
        <x:v>56</x:v>
      </x:c>
      <x:c r="AG239" s="10" t="n">
        <x:v>42</x:v>
      </x:c>
      <x:c r="AH239" s="10" t="n">
        <x:f>IF(COUNT(AG239,AF239)=2,AG239-AF239,"")</x:f>
        <x:v>-14</x:v>
      </x:c>
      <x:c r="AI239" s="10" t="n">
        <x:v>43</x:v>
      </x:c>
      <x:c r="AJ239" s="10" t="n">
        <x:v>39</x:v>
      </x:c>
      <x:c r="AK239" s="10" t="n">
        <x:f>IF(COUNT(AJ239,AI239)=2,AJ239-AI239,"")</x:f>
        <x:v>-4</x:v>
      </x:c>
      <x:c r="AL239" s="10" t="n">
        <x:v>23</x:v>
      </x:c>
      <x:c r="AM239" s="10" t="n">
        <x:v>23</x:v>
      </x:c>
      <x:c r="AN239" s="4" t="str">
        <x:v>C</x:v>
      </x:c>
      <x:c r="AO239" s="4" t="str">
        <x:v>C</x:v>
      </x:c>
      <x:c r="AP239" s="4" t="str">
        <x:v>BOS</x:v>
      </x:c>
      <x:c r="AQ239" s="4" t="str">
        <x:v>BOS</x:v>
      </x:c>
      <x:c r="AR239" s="4" t="n">
        <x:v>12.72</x:v>
      </x:c>
      <x:c r="AS239" s="4" t="n">
        <x:v>14.5</x:v>
      </x:c>
      <x:c r="AT239" s="4" t="n">
        <x:v>0.46</x:v>
      </x:c>
      <x:c r="AU239" s="4" t="n">
        <x:v>19.2</x:v>
      </x:c>
      <x:c r="AV239" s="10" t="n">
        <x:v>0</x:v>
      </x:c>
      <x:c r="AW239" s="10" t="n">
        <x:v>1</x:v>
      </x:c>
      <x:c r="AX239" s="10" t="n">
        <x:v>0</x:v>
      </x:c>
      <x:c r="AY239" s="10" t="n">
        <x:v>0</x:v>
      </x:c>
      <x:c r="AZ239" s="10" t="n">
        <x:v>888</x:v>
      </x:c>
      <x:c r="BA239" s="10" t="n">
        <x:v>972</x:v>
      </x:c>
      <x:c r="BB239" s="4" t="n">
        <x:v>47.7</x:v>
      </x:c>
      <x:c r="BC239" s="4" t="n">
        <x:v>-1.4</x:v>
      </x:c>
      <x:c r="BD239" s="10" t="n">
        <x:v>638</x:v>
      </x:c>
      <x:c r="BE239" s="10" t="n">
        <x:v>714</x:v>
      </x:c>
      <x:c r="BF239" s="4" t="n">
        <x:v>47.2</x:v>
      </x:c>
      <x:c r="BG239" s="4" t="n">
        <x:v>-2.3</x:v>
      </x:c>
      <x:c r="BH239" s="4" t="n">
        <x:v>12.6</x:v>
      </x:c>
      <x:c r="BI239" s="4" t="n">
        <x:v>91.3</x:v>
      </x:c>
      <x:c r="BJ239" s="4" t="n">
        <x:v>103.9</x:v>
      </x:c>
      <x:c r="BK239" s="4" t="n">
        <x:v>50.9</x:v>
      </x:c>
      <x:c r="BL239" s="4" t="n">
        <x:v>49.1</x:v>
      </x:c>
      <x:c r="BM239" s="4" t="n">
        <x:v>14.5</x:v>
      </x:c>
      <x:c r="BN239" s="4" t="n">
        <x:v>12.833333333333334</x:v>
      </x:c>
      <x:c r="BO239" s="10" t="n">
        <x:v>21</x:v>
      </x:c>
      <x:c r="BP239" s="10" t="n">
        <x:v>47</x:v>
      </x:c>
      <x:c r="BQ239" s="4" t="n">
        <x:v>-2.5</x:v>
      </x:c>
      <x:c r="BR239" s="10" t="n">
        <x:v>147</x:v>
      </x:c>
      <x:c r="BS239" s="4" t="n">
        <x:v>53.1</x:v>
      </x:c>
      <x:c r="BT239" s="10" t="n">
        <x:v>77</x:v>
      </x:c>
      <x:c r="BU239" s="4" t="str">
        <x:v>BOS</x:v>
      </x:c>
      <x:c r="BV239" s="10" t="n">
        <x:v>531</x:v>
      </x:c>
      <x:c r="BW239" s="10" t="n">
        <x:v>285</x:v>
      </x:c>
      <x:c r="BX239" s="10" t="n">
        <x:v>517</x:v>
      </x:c>
      <x:c r="BY239" s="4" t="str">
        <x:v>Marat Khusnutdinov</x:v>
      </x:c>
      <x:c r="BZ239" s="4" t="str">
        <x:v>Marat Khusnutdinov</x:v>
      </x:c>
      <x:c r="CA239" s="4" t="str">
        <x:v>Marat Khusnutdinov</x:v>
      </x:c>
      <x:c r="CB239" s="4" t="str">
        <x:v>khusnma01</x:v>
      </x:c>
    </x:row>
    <x:row r="240" ht="22" customHeight="1">
      <x:c r="A240" s="4" t="str">
        <x:v>Marco Kasper</x:v>
      </x:c>
      <x:c r="B240" s="4" t="str">
        <x:v>marcokasper</x:v>
      </x:c>
      <x:c r="C240" s="10" t="n">
        <x:v>1</x:v>
      </x:c>
      <x:c r="D240" s="10" t="n">
        <x:v>1</x:v>
      </x:c>
      <x:c r="E240" s="10" t="n">
        <x:v>1</x:v>
      </x:c>
      <x:c r="F240" s="4" t="n">
        <x:f>IF(COUNT(N240,Q240,T240,W240,Z240,AC240,AF240,AI240)=8,N240*Guide!$E$5+Q240*Guide!$E$6+T240*Guide!$E$7+W240*Guide!$E$8+Z240*Guide!$E$9+AC240*Guide!$E$10+AF240*Guide!$E$11+AI240*Guide!$E$12,"")</x:f>
        <x:v>289.25</x:v>
      </x:c>
      <x:c r="G240" s="4" t="n">
        <x:f>IF(COUNT(O240,R240,U240,X240,AA240,AD240,AG240,AJ240)=8,O240*Guide!$E$5+R240*Guide!$E$6+U240*Guide!$E$7+X240*Guide!$E$8+AA240*Guide!$E$9+AD240*Guide!$E$10+AG240*Guide!$E$11+AJ240*Guide!$E$12,"")</x:f>
        <x:v>168.5</x:v>
      </x:c>
      <x:c r="H240" s="4" t="n">
        <x:f>IF(COUNT(G240,F240)=2,G240-F240,"")</x:f>
        <x:v>-120.75</x:v>
      </x:c>
      <x:c r="I240" s="4" t="n">
        <x:f>IF(AND(ISNUMBER(F240),K240&gt;0),F240/K240,"")</x:f>
        <x:v>3.7083333333333335</x:v>
      </x:c>
      <x:c r="J240" s="4" t="n">
        <x:f>IF(AND(ISNUMBER(G240),L240&gt;0),G240/L240,"")</x:f>
        <x:v>2.080246913580247</x:v>
      </x:c>
      <x:c r="K240" s="10" t="n">
        <x:v>78</x:v>
      </x:c>
      <x:c r="L240" s="10" t="n">
        <x:v>81</x:v>
      </x:c>
      <x:c r="M240" s="10" t="n">
        <x:f>IF(COUNT(L240,K240)=2,L240-K240,"")</x:f>
        <x:v>3</x:v>
      </x:c>
      <x:c r="N240" s="10" t="n">
        <x:v>24</x:v>
      </x:c>
      <x:c r="O240" s="10" t="n">
        <x:v>9</x:v>
      </x:c>
      <x:c r="P240" s="10" t="n">
        <x:f>IF(COUNT(O240,N240)=2,O240-N240,"")</x:f>
        <x:v>-15</x:v>
      </x:c>
      <x:c r="Q240" s="10" t="n">
        <x:v>23</x:v>
      </x:c>
      <x:c r="R240" s="10" t="n">
        <x:v>10</x:v>
      </x:c>
      <x:c r="S240" s="10" t="n">
        <x:f>IF(COUNT(R240,Q240)=2,R240-Q240,"")</x:f>
        <x:v>-13</x:v>
      </x:c>
      <x:c r="T240" s="10" t="n">
        <x:v>-1</x:v>
      </x:c>
      <x:c r="U240" s="10" t="n">
        <x:v>-20</x:v>
      </x:c>
      <x:c r="V240" s="10" t="n">
        <x:f>IF(COUNT(U240,T240)=2,U240-T240,"")</x:f>
        <x:v>-19</x:v>
      </x:c>
      <x:c r="W240" s="10" t="n">
        <x:v>8</x:v>
      </x:c>
      <x:c r="X240" s="10" t="n">
        <x:f>IF(COUNT(AV240,AW240)=2,AV240+AW240,"")</x:f>
        <x:v>2</x:v>
      </x:c>
      <x:c r="Y240" s="10" t="n">
        <x:f>IF(COUNT(X240,W240)=2,X240-W240,"")</x:f>
        <x:v>-6</x:v>
      </x:c>
      <x:c r="Z240" s="10" t="n">
        <x:v>1</x:v>
      </x:c>
      <x:c r="AA240" s="10" t="n">
        <x:f>IF(COUNT(AX240,AY240)=2,AX240+AY240,"")</x:f>
        <x:v>1</x:v>
      </x:c>
      <x:c r="AB240" s="10" t="n">
        <x:f>IF(COUNT(AA240,Z240)=2,AA240-Z240,"")</x:f>
        <x:v>0</x:v>
      </x:c>
      <x:c r="AC240" s="10" t="n">
        <x:v>150</x:v>
      </x:c>
      <x:c r="AD240" s="10" t="n">
        <x:v>131</x:v>
      </x:c>
      <x:c r="AE240" s="10" t="n">
        <x:f>IF(COUNT(AD240,AC240)=2,AD240-AC240,"")</x:f>
        <x:v>-19</x:v>
      </x:c>
      <x:c r="AF240" s="10" t="n">
        <x:v>160</x:v>
      </x:c>
      <x:c r="AG240" s="10" t="n">
        <x:v>186</x:v>
      </x:c>
      <x:c r="AH240" s="10" t="n">
        <x:f>IF(COUNT(AG240,AF240)=2,AG240-AF240,"")</x:f>
        <x:v>26</x:v>
      </x:c>
      <x:c r="AI240" s="10" t="n">
        <x:v>49</x:v>
      </x:c>
      <x:c r="AJ240" s="10" t="n">
        <x:v>51</x:v>
      </x:c>
      <x:c r="AK240" s="10" t="n">
        <x:f>IF(COUNT(AJ240,AI240)=2,AJ240-AI240,"")</x:f>
        <x:v>2</x:v>
      </x:c>
      <x:c r="AL240" s="10" t="n">
        <x:v>21</x:v>
      </x:c>
      <x:c r="AM240" s="10" t="n">
        <x:v>21</x:v>
      </x:c>
      <x:c r="AN240" s="4" t="str">
        <x:v>C,LW</x:v>
      </x:c>
      <x:c r="AO240" s="4" t="str">
        <x:v>C</x:v>
      </x:c>
      <x:c r="AP240" s="4" t="str">
        <x:v>DET</x:v>
      </x:c>
      <x:c r="AQ240" s="4" t="str">
        <x:v>DET</x:v>
      </x:c>
      <x:c r="AR240" s="4" t="n">
        <x:v>16.07</x:v>
      </x:c>
      <x:c r="AS240" s="4" t="n">
        <x:v>13.8</x:v>
      </x:c>
      <x:c r="AT240" s="4" t="n">
        <x:v>1.26</x:v>
      </x:c>
      <x:c r="AU240" s="4" t="n">
        <x:v>6.9</x:v>
      </x:c>
      <x:c r="AV240" s="10" t="n">
        <x:v>1</x:v>
      </x:c>
      <x:c r="AW240" s="10" t="n">
        <x:v>1</x:v>
      </x:c>
      <x:c r="AX240" s="10" t="n">
        <x:v>0</x:v>
      </x:c>
      <x:c r="AY240" s="10" t="n">
        <x:v>1</x:v>
      </x:c>
      <x:c r="AZ240" s="10" t="n">
        <x:v>956</x:v>
      </x:c>
      <x:c r="BA240" s="10" t="n">
        <x:v>987</x:v>
      </x:c>
      <x:c r="BB240" s="4" t="n">
        <x:v>49.2</x:v>
      </x:c>
      <x:c r="BC240" s="4" t="n">
        <x:v>0.1</x:v>
      </x:c>
      <x:c r="BD240" s="10" t="n">
        <x:v>715</x:v>
      </x:c>
      <x:c r="BE240" s="10" t="n">
        <x:v>695</x:v>
      </x:c>
      <x:c r="BF240" s="4" t="n">
        <x:v>50.7</x:v>
      </x:c>
      <x:c r="BG240" s="4" t="n">
        <x:v>0.9</x:v>
      </x:c>
      <x:c r="BH240" s="4" t="n">
        <x:v>6.6</x:v>
      </x:c>
      <x:c r="BI240" s="4" t="n">
        <x:v>89.1</x:v>
      </x:c>
      <x:c r="BJ240" s="4" t="n">
        <x:v>95.7</x:v>
      </x:c>
      <x:c r="BK240" s="4" t="n">
        <x:v>43.4</x:v>
      </x:c>
      <x:c r="BL240" s="4" t="n">
        <x:v>56.6</x:v>
      </x:c>
      <x:c r="BM240" s="4" t="n">
        <x:v>13.8</x:v>
      </x:c>
      <x:c r="BN240" s="4" t="n">
        <x:v>12.266666666666667</x:v>
      </x:c>
      <x:c r="BO240" s="10" t="n">
        <x:v>14</x:v>
      </x:c>
      <x:c r="BP240" s="10" t="n">
        <x:v>55</x:v>
      </x:c>
      <x:c r="BQ240" s="4" t="n">
        <x:v>-4</x:v>
      </x:c>
      <x:c r="BR240" s="10" t="n">
        <x:v>239</x:v>
      </x:c>
      <x:c r="BS240" s="4" t="n">
        <x:v>54.8</x:v>
      </x:c>
      <x:c r="BT240" s="10" t="n">
        <x:v>81</x:v>
      </x:c>
      <x:c r="BU240" s="4" t="str">
        <x:v>DET</x:v>
      </x:c>
      <x:c r="BV240" s="10" t="n">
        <x:v>174</x:v>
      </x:c>
      <x:c r="BW240" s="10" t="n">
        <x:v>475</x:v>
      </x:c>
      <x:c r="BX240" s="10" t="n">
        <x:v>506</x:v>
      </x:c>
      <x:c r="BY240" s="4" t="str">
        <x:v>Marco Kasper</x:v>
      </x:c>
      <x:c r="BZ240" s="4" t="str">
        <x:v>Marco Kasper</x:v>
      </x:c>
      <x:c r="CA240" s="4" t="str">
        <x:v>Marco Kasper</x:v>
      </x:c>
      <x:c r="CB240" s="4" t="str">
        <x:v>kaspema01</x:v>
      </x:c>
    </x:row>
    <x:row r="241" ht="22" customHeight="1">
      <x:c r="A241" s="4" t="str">
        <x:v>Marco Rossi</x:v>
      </x:c>
      <x:c r="B241" s="4" t="str">
        <x:v>marcorossi</x:v>
      </x:c>
      <x:c r="C241" s="10" t="n">
        <x:v>1</x:v>
      </x:c>
      <x:c r="D241" s="10" t="n">
        <x:v>1</x:v>
      </x:c>
      <x:c r="E241" s="10" t="n">
        <x:v>1</x:v>
      </x:c>
      <x:c r="F241" s="4" t="n">
        <x:f>IF(COUNT(N241,Q241,T241,W241,Z241,AC241,AF241,AI241)=8,N241*Guide!$E$5+Q241*Guide!$E$6+T241*Guide!$E$7+W241*Guide!$E$8+Z241*Guide!$E$9+AC241*Guide!$E$10+AF241*Guide!$E$11+AI241*Guide!$E$12,"")</x:f>
        <x:v>280.5</x:v>
      </x:c>
      <x:c r="G241" s="4" t="n">
        <x:f>IF(COUNT(O241,R241,U241,X241,AA241,AD241,AG241,AJ241)=8,O241*Guide!$E$5+R241*Guide!$E$6+U241*Guide!$E$7+X241*Guide!$E$8+AA241*Guide!$E$9+AD241*Guide!$E$10+AG241*Guide!$E$11+AJ241*Guide!$E$12,"")</x:f>
        <x:v>155.75</x:v>
      </x:c>
      <x:c r="H241" s="4" t="n">
        <x:f>IF(COUNT(G241,F241)=2,G241-F241,"")</x:f>
        <x:v>-124.75</x:v>
      </x:c>
      <x:c r="I241" s="4" t="n">
        <x:f>IF(AND(ISNUMBER(F241),K241&gt;0),F241/K241,"")</x:f>
        <x:v>3.4207317073170733</x:v>
      </x:c>
      <x:c r="J241" s="4" t="n">
        <x:f>IF(AND(ISNUMBER(G241),L241&gt;0),G241/L241,"")</x:f>
        <x:v>3.115</x:v>
      </x:c>
      <x:c r="K241" s="10" t="n">
        <x:v>82</x:v>
      </x:c>
      <x:c r="L241" s="10" t="n">
        <x:v>50</x:v>
      </x:c>
      <x:c r="M241" s="10" t="n">
        <x:f>IF(COUNT(L241,K241)=2,L241-K241,"")</x:f>
        <x:v>-32</x:v>
      </x:c>
      <x:c r="N241" s="10" t="n">
        <x:v>24</x:v>
      </x:c>
      <x:c r="O241" s="10" t="n">
        <x:v>12</x:v>
      </x:c>
      <x:c r="P241" s="10" t="n">
        <x:f>IF(COUNT(O241,N241)=2,O241-N241,"")</x:f>
        <x:v>-12</x:v>
      </x:c>
      <x:c r="Q241" s="10" t="n">
        <x:v>30</x:v>
      </x:c>
      <x:c r="R241" s="10" t="n">
        <x:v>23</x:v>
      </x:c>
      <x:c r="S241" s="10" t="n">
        <x:f>IF(COUNT(R241,Q241)=2,R241-Q241,"")</x:f>
        <x:v>-7</x:v>
      </x:c>
      <x:c r="T241" s="10" t="n">
        <x:v>-2</x:v>
      </x:c>
      <x:c r="U241" s="10" t="n">
        <x:v>-26</x:v>
      </x:c>
      <x:c r="V241" s="10" t="n">
        <x:f>IF(COUNT(U241,T241)=2,U241-T241,"")</x:f>
        <x:v>-24</x:v>
      </x:c>
      <x:c r="W241" s="10" t="n">
        <x:v>15</x:v>
      </x:c>
      <x:c r="X241" s="10" t="n">
        <x:f>IF(COUNT(AV241,AW241)=2,AV241+AW241,"")</x:f>
        <x:v>14</x:v>
      </x:c>
      <x:c r="Y241" s="10" t="n">
        <x:f>IF(COUNT(X241,W241)=2,X241-W241,"")</x:f>
        <x:v>-1</x:v>
      </x:c>
      <x:c r="Z241" s="10" t="n">
        <x:v>0</x:v>
      </x:c>
      <x:c r="AA241" s="10" t="n">
        <x:f>IF(COUNT(AX241,AY241)=2,AX241+AY241,"")</x:f>
        <x:v>0</x:v>
      </x:c>
      <x:c r="AB241" s="10" t="n">
        <x:f>IF(COUNT(AA241,Z241)=2,AA241-Z241,"")</x:f>
        <x:v>0</x:v>
      </x:c>
      <x:c r="AC241" s="10" t="n">
        <x:v>143</x:v>
      </x:c>
      <x:c r="AD241" s="10" t="n">
        <x:v>66</x:v>
      </x:c>
      <x:c r="AE241" s="10" t="n">
        <x:f>IF(COUNT(AD241,AC241)=2,AD241-AC241,"")</x:f>
        <x:v>-77</x:v>
      </x:c>
      <x:c r="AF241" s="10" t="n">
        <x:v>54</x:v>
      </x:c>
      <x:c r="AG241" s="10" t="n">
        <x:v>47</x:v>
      </x:c>
      <x:c r="AH241" s="10" t="n">
        <x:f>IF(COUNT(AG241,AF241)=2,AG241-AF241,"")</x:f>
        <x:v>-7</x:v>
      </x:c>
      <x:c r="AI241" s="10" t="n">
        <x:v>43</x:v>
      </x:c>
      <x:c r="AJ241" s="10" t="n">
        <x:v>30</x:v>
      </x:c>
      <x:c r="AK241" s="10" t="n">
        <x:f>IF(COUNT(AJ241,AI241)=2,AJ241-AI241,"")</x:f>
        <x:v>-13</x:v>
      </x:c>
      <x:c r="AL241" s="10" t="n">
        <x:v>24</x:v>
      </x:c>
      <x:c r="AM241" s="10" t="n">
        <x:v>24</x:v>
      </x:c>
      <x:c r="AN241" s="4" t="str">
        <x:v>C</x:v>
      </x:c>
      <x:c r="AO241" s="4" t="str">
        <x:v>C</x:v>
      </x:c>
      <x:c r="AP241" s="4" t="str">
        <x:v>MIN</x:v>
      </x:c>
      <x:c r="AQ241" s="4" t="str">
        <x:v>2TM</x:v>
      </x:c>
      <x:c r="AR241" s="4" t="n">
        <x:v>18.02</x:v>
      </x:c>
      <x:c r="AS241" s="4" t="n">
        <x:v>17.483333333333334</x:v>
      </x:c>
      <x:c r="AT241" s="4" t="n">
        <x:v>2.38</x:v>
      </x:c>
      <x:c r="AU241" s="4" t="n">
        <x:v>18.2</x:v>
      </x:c>
      <x:c r="AV241" s="10" t="n">
        <x:v>3</x:v>
      </x:c>
      <x:c r="AW241" s="10" t="n">
        <x:v>11</x:v>
      </x:c>
      <x:c r="AX241" s="10" t="n">
        <x:v>0</x:v>
      </x:c>
      <x:c r="AY241" s="10" t="n">
        <x:v>0</x:v>
      </x:c>
      <x:c r="AZ241" s="10" t="n">
        <x:v>644</x:v>
      </x:c>
      <x:c r="BA241" s="10" t="n">
        <x:v>723</x:v>
      </x:c>
      <x:c r="BB241" s="4" t="n">
        <x:v>47.1</x:v>
      </x:c>
      <x:c r="BC241" s="4" t="n">
        <x:v>2</x:v>
      </x:c>
      <x:c r="BD241" s="10" t="n">
        <x:v>458</x:v>
      </x:c>
      <x:c r="BE241" s="10" t="n">
        <x:v>546</x:v>
      </x:c>
      <x:c r="BF241" s="4" t="n">
        <x:v>45.6</x:v>
      </x:c>
      <x:c r="BG241" s="4" t="n">
        <x:v>-0.1</x:v>
      </x:c>
      <x:c r="BH241" s="4" t="n">
        <x:v>10.1</x:v>
      </x:c>
      <x:c r="BI241" s="4" t="n">
        <x:v>84.1</x:v>
      </x:c>
      <x:c r="BJ241" s="4" t="n">
        <x:v>94.2</x:v>
      </x:c>
      <x:c r="BK241" s="4" t="n">
        <x:v>56.8</x:v>
      </x:c>
      <x:c r="BL241" s="4" t="n">
        <x:v>43.2</x:v>
      </x:c>
      <x:c r="BM241" s="4" t="n">
        <x:v>17.483333333333334</x:v>
      </x:c>
      <x:c r="BN241" s="4" t="n">
        <x:v>14.6</x:v>
      </x:c>
      <x:c r="BO241" s="10" t="n">
        <x:v>16</x:v>
      </x:c>
      <x:c r="BP241" s="10" t="n">
        <x:v>43</x:v>
      </x:c>
      <x:c r="BQ241" s="4" t="n">
        <x:v>-5.7</x:v>
      </x:c>
      <x:c r="BR241" s="10" t="n">
        <x:v>129</x:v>
      </x:c>
      <x:c r="BS241" s="4" t="n">
        <x:v>51.2</x:v>
      </x:c>
      <x:c r="BT241" s="10" t="n">
        <x:v>50</x:v>
      </x:c>
      <x:c r="BU241" s="4" t="str">
        <x:v>TOT</x:v>
      </x:c>
      <x:c r="BV241" s="10" t="n">
        <x:v>127</x:v>
      </x:c>
      <x:c r="BW241" s="10" t="n">
        <x:v>275</x:v>
      </x:c>
      <x:c r="BX241" s="10" t="n">
        <x:v>877</x:v>
      </x:c>
      <x:c r="BY241" s="4" t="str">
        <x:v>Marco Rossi</x:v>
      </x:c>
      <x:c r="BZ241" s="4" t="str">
        <x:v>Marco Rossi</x:v>
      </x:c>
      <x:c r="CA241" s="4" t="str">
        <x:v>Marco Rossi</x:v>
      </x:c>
      <x:c r="CB241" s="4" t="str">
        <x:v>rossima01</x:v>
      </x:c>
    </x:row>
    <x:row r="242" ht="22" customHeight="1">
      <x:c r="A242" s="4" t="str">
        <x:v>Marcus Johansson</x:v>
      </x:c>
      <x:c r="B242" s="4" t="str">
        <x:v>marcusjohansson</x:v>
      </x:c>
      <x:c r="C242" s="10" t="n">
        <x:v>1</x:v>
      </x:c>
      <x:c r="D242" s="10" t="n">
        <x:v>1</x:v>
      </x:c>
      <x:c r="E242" s="10" t="n">
        <x:v>1</x:v>
      </x:c>
      <x:c r="F242" s="4" t="n">
        <x:f>IF(COUNT(N242,Q242,T242,W242,Z242,AC242,AF242,AI242)=8,N242*Guide!$E$5+Q242*Guide!$E$6+T242*Guide!$E$7+W242*Guide!$E$8+Z242*Guide!$E$9+AC242*Guide!$E$10+AF242*Guide!$E$11+AI242*Guide!$E$12,"")</x:f>
        <x:v>170.25</x:v>
      </x:c>
      <x:c r="G242" s="4" t="n">
        <x:f>IF(COUNT(O242,R242,U242,X242,AA242,AD242,AG242,AJ242)=8,O242*Guide!$E$5+R242*Guide!$E$6+U242*Guide!$E$7+X242*Guide!$E$8+AA242*Guide!$E$9+AD242*Guide!$E$10+AG242*Guide!$E$11+AJ242*Guide!$E$12,"")</x:f>
        <x:v>242</x:v>
      </x:c>
      <x:c r="H242" s="4" t="n">
        <x:f>IF(COUNT(G242,F242)=2,G242-F242,"")</x:f>
        <x:v>71.75</x:v>
      </x:c>
      <x:c r="I242" s="4" t="n">
        <x:f>IF(AND(ISNUMBER(F242),K242&gt;0),F242/K242,"")</x:f>
        <x:v>2.211038961038961</x:v>
      </x:c>
      <x:c r="J242" s="4" t="n">
        <x:f>IF(AND(ISNUMBER(G242),L242&gt;0),G242/L242,"")</x:f>
        <x:v>3.2266666666666666</x:v>
      </x:c>
      <x:c r="K242" s="10" t="n">
        <x:v>77</x:v>
      </x:c>
      <x:c r="L242" s="10" t="n">
        <x:v>75</x:v>
      </x:c>
      <x:c r="M242" s="10" t="n">
        <x:f>IF(COUNT(L242,K242)=2,L242-K242,"")</x:f>
        <x:v>-2</x:v>
      </x:c>
      <x:c r="N242" s="10" t="n">
        <x:v>12</x:v>
      </x:c>
      <x:c r="O242" s="10" t="n">
        <x:v>15</x:v>
      </x:c>
      <x:c r="P242" s="10" t="n">
        <x:f>IF(COUNT(O242,N242)=2,O242-N242,"")</x:f>
        <x:v>3</x:v>
      </x:c>
      <x:c r="Q242" s="10" t="n">
        <x:v>20</x:v>
      </x:c>
      <x:c r="R242" s="10" t="n">
        <x:v>34</x:v>
      </x:c>
      <x:c r="S242" s="10" t="n">
        <x:f>IF(COUNT(R242,Q242)=2,R242-Q242,"")</x:f>
        <x:v>14</x:v>
      </x:c>
      <x:c r="T242" s="10" t="n">
        <x:v>-5</x:v>
      </x:c>
      <x:c r="U242" s="10" t="n">
        <x:v>18</x:v>
      </x:c>
      <x:c r="V242" s="10" t="n">
        <x:f>IF(COUNT(U242,T242)=2,U242-T242,"")</x:f>
        <x:v>23</x:v>
      </x:c>
      <x:c r="W242" s="10" t="n">
        <x:v>7</x:v>
      </x:c>
      <x:c r="X242" s="10" t="n">
        <x:f>IF(COUNT(AV242,AW242)=2,AV242+AW242,"")</x:f>
        <x:v>9</x:v>
      </x:c>
      <x:c r="Y242" s="10" t="n">
        <x:f>IF(COUNT(X242,W242)=2,X242-W242,"")</x:f>
        <x:v>2</x:v>
      </x:c>
      <x:c r="Z242" s="10" t="n">
        <x:v>0</x:v>
      </x:c>
      <x:c r="AA242" s="10" t="n">
        <x:f>IF(COUNT(AX242,AY242)=2,AX242+AY242,"")</x:f>
        <x:v>1</x:v>
      </x:c>
      <x:c r="AB242" s="10" t="n">
        <x:f>IF(COUNT(AA242,Z242)=2,AA242-Z242,"")</x:f>
        <x:v>1</x:v>
      </x:c>
      <x:c r="AC242" s="10" t="n">
        <x:v>111</x:v>
      </x:c>
      <x:c r="AD242" s="10" t="n">
        <x:v>106</x:v>
      </x:c>
      <x:c r="AE242" s="10" t="n">
        <x:f>IF(COUNT(AD242,AC242)=2,AD242-AC242,"")</x:f>
        <x:v>-5</x:v>
      </x:c>
      <x:c r="AF242" s="10" t="n">
        <x:v>46</x:v>
      </x:c>
      <x:c r="AG242" s="10" t="n">
        <x:v>34</x:v>
      </x:c>
      <x:c r="AH242" s="10" t="n">
        <x:f>IF(COUNT(AG242,AF242)=2,AG242-AF242,"")</x:f>
        <x:v>-12</x:v>
      </x:c>
      <x:c r="AI242" s="10" t="n">
        <x:v>28</x:v>
      </x:c>
      <x:c r="AJ242" s="10" t="n">
        <x:v>20</x:v>
      </x:c>
      <x:c r="AK242" s="10" t="n">
        <x:f>IF(COUNT(AJ242,AI242)=2,AJ242-AI242,"")</x:f>
        <x:v>-8</x:v>
      </x:c>
      <x:c r="AL242" s="10" t="n">
        <x:v>35</x:v>
      </x:c>
      <x:c r="AM242" s="10" t="n">
        <x:v>35</x:v>
      </x:c>
      <x:c r="AN242" s="4" t="str">
        <x:v>LW</x:v>
      </x:c>
      <x:c r="AO242" s="4" t="str">
        <x:v>C</x:v>
      </x:c>
      <x:c r="AP242" s="4" t="str">
        <x:v>MIN</x:v>
      </x:c>
      <x:c r="AQ242" s="4" t="str">
        <x:v>MIN</x:v>
      </x:c>
      <x:c r="AR242" s="4" t="n">
        <x:v>15.950000000000001</x:v>
      </x:c>
      <x:c r="AS242" s="4" t="n">
        <x:v>15.416666666666666</x:v>
      </x:c>
      <x:c r="AT242" s="4" t="n">
        <x:v>1.31</x:v>
      </x:c>
      <x:c r="AU242" s="4" t="n">
        <x:v>14.2</x:v>
      </x:c>
      <x:c r="AV242" s="10" t="n">
        <x:v>3</x:v>
      </x:c>
      <x:c r="AW242" s="10" t="n">
        <x:v>6</x:v>
      </x:c>
      <x:c r="AX242" s="10" t="n">
        <x:v>0</x:v>
      </x:c>
      <x:c r="AY242" s="10" t="n">
        <x:v>1</x:v>
      </x:c>
      <x:c r="AZ242" s="10" t="n">
        <x:v>1043</x:v>
      </x:c>
      <x:c r="BA242" s="10" t="n">
        <x:v>1017</x:v>
      </x:c>
      <x:c r="BB242" s="4" t="n">
        <x:v>50.6</x:v>
      </x:c>
      <x:c r="BC242" s="4" t="n">
        <x:v>3</x:v>
      </x:c>
      <x:c r="BD242" s="10" t="n">
        <x:v>768</x:v>
      </x:c>
      <x:c r="BE242" s="10" t="n">
        <x:v>733</x:v>
      </x:c>
      <x:c r="BF242" s="4" t="n">
        <x:v>51.2</x:v>
      </x:c>
      <x:c r="BG242" s="4" t="n">
        <x:v>2.7</x:v>
      </x:c>
      <x:c r="BH242" s="4" t="n">
        <x:v>12</x:v>
      </x:c>
      <x:c r="BI242" s="4" t="n">
        <x:v>90.8</x:v>
      </x:c>
      <x:c r="BJ242" s="4" t="n">
        <x:v>102.8</x:v>
      </x:c>
      <x:c r="BK242" s="4" t="n">
        <x:v>48.5</x:v>
      </x:c>
      <x:c r="BL242" s="4" t="n">
        <x:v>51.5</x:v>
      </x:c>
      <x:c r="BM242" s="4" t="n">
        <x:v>15.416666666666666</x:v>
      </x:c>
      <x:c r="BN242" s="4" t="n">
        <x:v>13.5</x:v>
      </x:c>
      <x:c r="BO242" s="10" t="n">
        <x:v>22</x:v>
      </x:c>
      <x:c r="BP242" s="10" t="n">
        <x:v>53</x:v>
      </x:c>
      <x:c r="BQ242" s="4" t="n">
        <x:v>3.1</x:v>
      </x:c>
      <x:c r="BR242" s="10" t="n">
        <x:v>204</x:v>
      </x:c>
      <x:c r="BS242" s="4" t="n">
        <x:v>52.5</x:v>
      </x:c>
      <x:c r="BT242" s="10" t="n">
        <x:v>75</x:v>
      </x:c>
      <x:c r="BU242" s="4" t="str">
        <x:v>MIN</x:v>
      </x:c>
      <x:c r="BV242" s="10" t="n">
        <x:v>353</x:v>
      </x:c>
      <x:c r="BW242" s="10" t="n">
        <x:v>150</x:v>
      </x:c>
      <x:c r="BX242" s="10" t="n">
        <x:v>467</x:v>
      </x:c>
      <x:c r="BY242" s="4" t="str">
        <x:v>Marcus Johansson</x:v>
      </x:c>
      <x:c r="BZ242" s="4" t="str">
        <x:v>Marcus Johansson</x:v>
      </x:c>
      <x:c r="CA242" s="4" t="str">
        <x:v>Marcus Johansson</x:v>
      </x:c>
      <x:c r="CB242" s="4" t="str">
        <x:v>johanma03</x:v>
      </x:c>
    </x:row>
    <x:row r="243" ht="22" customHeight="1">
      <x:c r="A243" s="4" t="str">
        <x:v>Marcus Pettersson</x:v>
      </x:c>
      <x:c r="B243" s="4" t="str">
        <x:v>marcuspettersson</x:v>
      </x:c>
      <x:c r="C243" s="10" t="n">
        <x:v>1</x:v>
      </x:c>
      <x:c r="D243" s="10" t="n">
        <x:v>1</x:v>
      </x:c>
      <x:c r="E243" s="10" t="n">
        <x:v>1</x:v>
      </x:c>
      <x:c r="F243" s="4" t="n">
        <x:f>IF(COUNT(N243,Q243,T243,W243,Z243,AC243,AF243,AI243)=8,N243*Guide!$E$5+Q243*Guide!$E$6+T243*Guide!$E$7+W243*Guide!$E$8+Z243*Guide!$E$9+AC243*Guide!$E$10+AF243*Guide!$E$11+AI243*Guide!$E$12,"")</x:f>
        <x:v>258.75</x:v>
      </x:c>
      <x:c r="G243" s="4" t="n">
        <x:f>IF(COUNT(O243,R243,U243,X243,AA243,AD243,AG243,AJ243)=8,O243*Guide!$E$5+R243*Guide!$E$6+U243*Guide!$E$7+X243*Guide!$E$8+AA243*Guide!$E$9+AD243*Guide!$E$10+AG243*Guide!$E$11+AJ243*Guide!$E$12,"")</x:f>
        <x:v>176.25</x:v>
      </x:c>
      <x:c r="H243" s="4" t="n">
        <x:f>IF(COUNT(G243,F243)=2,G243-F243,"")</x:f>
        <x:v>-82.5</x:v>
      </x:c>
      <x:c r="I243" s="4" t="n">
        <x:f>IF(AND(ISNUMBER(F243),K243&gt;0),F243/K243,"")</x:f>
        <x:v>3.3173076923076925</x:v>
      </x:c>
      <x:c r="J243" s="4" t="n">
        <x:f>IF(AND(ISNUMBER(G243),L243&gt;0),G243/L243,"")</x:f>
        <x:v>2.149390243902439</x:v>
      </x:c>
      <x:c r="K243" s="10" t="n">
        <x:v>78</x:v>
      </x:c>
      <x:c r="L243" s="10" t="n">
        <x:v>82</x:v>
      </x:c>
      <x:c r="M243" s="10" t="n">
        <x:f>IF(COUNT(L243,K243)=2,L243-K243,"")</x:f>
        <x:v>4</x:v>
      </x:c>
      <x:c r="N243" s="10" t="n">
        <x:v>4</x:v>
      </x:c>
      <x:c r="O243" s="10" t="n">
        <x:v>3</x:v>
      </x:c>
      <x:c r="P243" s="10" t="n">
        <x:f>IF(COUNT(O243,N243)=2,O243-N243,"")</x:f>
        <x:v>-1</x:v>
      </x:c>
      <x:c r="Q243" s="10" t="n">
        <x:v>26</x:v>
      </x:c>
      <x:c r="R243" s="10" t="n">
        <x:v>15</x:v>
      </x:c>
      <x:c r="S243" s="10" t="n">
        <x:f>IF(COUNT(R243,Q243)=2,R243-Q243,"")</x:f>
        <x:v>-11</x:v>
      </x:c>
      <x:c r="T243" s="10" t="n">
        <x:v>11</x:v>
      </x:c>
      <x:c r="U243" s="10" t="n">
        <x:v>-19</x:v>
      </x:c>
      <x:c r="V243" s="10" t="n">
        <x:f>IF(COUNT(U243,T243)=2,U243-T243,"")</x:f>
        <x:v>-30</x:v>
      </x:c>
      <x:c r="W243" s="10" t="n">
        <x:v>1</x:v>
      </x:c>
      <x:c r="X243" s="10" t="n">
        <x:f>IF(COUNT(AV243,AW243)=2,AV243+AW243,"")</x:f>
        <x:v>0</x:v>
      </x:c>
      <x:c r="Y243" s="10" t="n">
        <x:f>IF(COUNT(X243,W243)=2,X243-W243,"")</x:f>
        <x:v>-1</x:v>
      </x:c>
      <x:c r="Z243" s="10" t="n">
        <x:v>1</x:v>
      </x:c>
      <x:c r="AA243" s="10" t="n">
        <x:f>IF(COUNT(AX243,AY243)=2,AX243+AY243,"")</x:f>
        <x:v>0</x:v>
      </x:c>
      <x:c r="AB243" s="10" t="n">
        <x:f>IF(COUNT(AA243,Z243)=2,AA243-Z243,"")</x:f>
        <x:v>-1</x:v>
      </x:c>
      <x:c r="AC243" s="10" t="n">
        <x:v>85</x:v>
      </x:c>
      <x:c r="AD243" s="10" t="n">
        <x:v>66</x:v>
      </x:c>
      <x:c r="AE243" s="10" t="n">
        <x:f>IF(COUNT(AD243,AC243)=2,AD243-AC243,"")</x:f>
        <x:v>-19</x:v>
      </x:c>
      <x:c r="AF243" s="10" t="n">
        <x:v>85</x:v>
      </x:c>
      <x:c r="AG243" s="10" t="n">
        <x:v>79</x:v>
      </x:c>
      <x:c r="AH243" s="10" t="n">
        <x:f>IF(COUNT(AG243,AF243)=2,AG243-AF243,"")</x:f>
        <x:v>-6</x:v>
      </x:c>
      <x:c r="AI243" s="10" t="n">
        <x:v>143</x:v>
      </x:c>
      <x:c r="AJ243" s="10" t="n">
        <x:v>136</x:v>
      </x:c>
      <x:c r="AK243" s="10" t="n">
        <x:f>IF(COUNT(AJ243,AI243)=2,AJ243-AI243,"")</x:f>
        <x:v>-7</x:v>
      </x:c>
      <x:c r="AL243" s="10" t="n">
        <x:v>29</x:v>
      </x:c>
      <x:c r="AM243" s="10" t="n">
        <x:v>29</x:v>
      </x:c>
      <x:c r="AN243" s="4" t="str">
        <x:v>D</x:v>
      </x:c>
      <x:c r="AO243" s="4" t="str">
        <x:v>D</x:v>
      </x:c>
      <x:c r="AP243" s="4" t="str">
        <x:v>VAN</x:v>
      </x:c>
      <x:c r="AQ243" s="4" t="str">
        <x:v>VAN</x:v>
      </x:c>
      <x:c r="AR243" s="4" t="n">
        <x:v>21.75</x:v>
      </x:c>
      <x:c r="AS243" s="4" t="n">
        <x:v>21.45</x:v>
      </x:c>
      <x:c r="AT243" s="4" t="n">
        <x:v>0.18</x:v>
      </x:c>
      <x:c r="AU243" s="4" t="n">
        <x:v>4.5</x:v>
      </x:c>
      <x:c r="AV243" s="10" t="n">
        <x:v>0</x:v>
      </x:c>
      <x:c r="AW243" s="10" t="n">
        <x:v>0</x:v>
      </x:c>
      <x:c r="AX243" s="10" t="n">
        <x:v>0</x:v>
      </x:c>
      <x:c r="AY243" s="10" t="n">
        <x:v>0</x:v>
      </x:c>
      <x:c r="AZ243" s="10" t="n">
        <x:v>1199</x:v>
      </x:c>
      <x:c r="BA243" s="10" t="n">
        <x:v>1577</x:v>
      </x:c>
      <x:c r="BB243" s="4" t="n">
        <x:v>43.2</x:v>
      </x:c>
      <x:c r="BC243" s="4" t="n">
        <x:v>-5.4</x:v>
      </x:c>
      <x:c r="BD243" s="10" t="n">
        <x:v>873</x:v>
      </x:c>
      <x:c r="BE243" s="10" t="n">
        <x:v>1137</x:v>
      </x:c>
      <x:c r="BF243" s="4" t="n">
        <x:v>43.4</x:v>
      </x:c>
      <x:c r="BG243" s="4" t="n">
        <x:v>-4.3</x:v>
      </x:c>
      <x:c r="BH243" s="4" t="n">
        <x:v>9.6</x:v>
      </x:c>
      <x:c r="BI243" s="4" t="n">
        <x:v>89.6</x:v>
      </x:c>
      <x:c r="BJ243" s="4" t="n">
        <x:v>99.2</x:v>
      </x:c>
      <x:c r="BK243" s="4" t="n">
        <x:v>37.4</x:v>
      </x:c>
      <x:c r="BL243" s="4" t="n">
        <x:v>62.6</x:v>
      </x:c>
      <x:c r="BM243" s="4" t="n">
        <x:v>21.45</x:v>
      </x:c>
      <x:c r="BN243" s="4" t="n">
        <x:v>18.65</x:v>
      </x:c>
      <x:c r="BO243" s="10" t="n">
        <x:v>19</x:v>
      </x:c>
      <x:c r="BP243" s="10" t="n">
        <x:v>86</x:v>
      </x:c>
      <x:c r="BQ243" s="4" t="n">
        <x:v>-21.2</x:v>
      </x:c>
      <x:c r="BR243" s="10" t="n">
        <x:v>181</x:v>
      </x:c>
      <x:c r="BS243" s="4" t="n">
        <x:v>36.5</x:v>
      </x:c>
      <x:c r="BT243" s="10" t="n">
        <x:v>82</x:v>
      </x:c>
      <x:c r="BU243" s="4" t="str">
        <x:v>VAN</x:v>
      </x:c>
      <x:c r="BV243" s="10" t="n">
        <x:v>368</x:v>
      </x:c>
      <x:c r="BW243" s="10" t="n">
        <x:v>499</x:v>
      </x:c>
      <x:c r="BX243" s="10" t="n">
        <x:v>812</x:v>
      </x:c>
      <x:c r="BY243" s="4" t="str">
        <x:v>Marcus Pettersson</x:v>
      </x:c>
      <x:c r="BZ243" s="4" t="str">
        <x:v>Marcus Pettersson</x:v>
      </x:c>
      <x:c r="CA243" s="4" t="str">
        <x:v>Marcus Pettersson</x:v>
      </x:c>
      <x:c r="CB243" s="4" t="str">
        <x:v>pettema01</x:v>
      </x:c>
    </x:row>
    <x:row r="244" ht="22" customHeight="1">
      <x:c r="A244" s="4" t="str">
        <x:v>Mario Ferraro</x:v>
      </x:c>
      <x:c r="B244" s="4" t="str">
        <x:v>marioferraro</x:v>
      </x:c>
      <x:c r="C244" s="10" t="n">
        <x:v>1</x:v>
      </x:c>
      <x:c r="D244" s="10" t="n">
        <x:v>1</x:v>
      </x:c>
      <x:c r="E244" s="10" t="n">
        <x:v>1</x:v>
      </x:c>
      <x:c r="F244" s="4" t="n">
        <x:f>IF(COUNT(N244,Q244,T244,W244,Z244,AC244,AF244,AI244)=8,N244*Guide!$E$5+Q244*Guide!$E$6+T244*Guide!$E$7+W244*Guide!$E$8+Z244*Guide!$E$9+AC244*Guide!$E$10+AF244*Guide!$E$11+AI244*Guide!$E$12,"")</x:f>
        <x:v>206.25</x:v>
      </x:c>
      <x:c r="G244" s="4" t="n">
        <x:f>IF(COUNT(O244,R244,U244,X244,AA244,AD244,AG244,AJ244)=8,O244*Guide!$E$5+R244*Guide!$E$6+U244*Guide!$E$7+X244*Guide!$E$8+AA244*Guide!$E$9+AD244*Guide!$E$10+AG244*Guide!$E$11+AJ244*Guide!$E$12,"")</x:f>
        <x:v>245.25</x:v>
      </x:c>
      <x:c r="H244" s="4" t="n">
        <x:f>IF(COUNT(G244,F244)=2,G244-F244,"")</x:f>
        <x:v>39</x:v>
      </x:c>
      <x:c r="I244" s="4" t="n">
        <x:f>IF(AND(ISNUMBER(F244),K244&gt;0),F244/K244,"")</x:f>
        <x:v>2.644230769230769</x:v>
      </x:c>
      <x:c r="J244" s="4" t="n">
        <x:f>IF(AND(ISNUMBER(G244),L244&gt;0),G244/L244,"")</x:f>
        <x:v>2.9908536585365852</x:v>
      </x:c>
      <x:c r="K244" s="10" t="n">
        <x:v>78</x:v>
      </x:c>
      <x:c r="L244" s="10" t="n">
        <x:v>82</x:v>
      </x:c>
      <x:c r="M244" s="10" t="n">
        <x:f>IF(COUNT(L244,K244)=2,L244-K244,"")</x:f>
        <x:v>4</x:v>
      </x:c>
      <x:c r="N244" s="10" t="n">
        <x:v>5</x:v>
      </x:c>
      <x:c r="O244" s="10" t="n">
        <x:v>7</x:v>
      </x:c>
      <x:c r="P244" s="10" t="n">
        <x:f>IF(COUNT(O244,N244)=2,O244-N244,"")</x:f>
        <x:v>2</x:v>
      </x:c>
      <x:c r="Q244" s="10" t="n">
        <x:v>13</x:v>
      </x:c>
      <x:c r="R244" s="10" t="n">
        <x:v>16</x:v>
      </x:c>
      <x:c r="S244" s="10" t="n">
        <x:f>IF(COUNT(R244,Q244)=2,R244-Q244,"")</x:f>
        <x:v>3</x:v>
      </x:c>
      <x:c r="T244" s="10" t="n">
        <x:v>-18</x:v>
      </x:c>
      <x:c r="U244" s="10" t="n">
        <x:v>-1</x:v>
      </x:c>
      <x:c r="V244" s="10" t="n">
        <x:f>IF(COUNT(U244,T244)=2,U244-T244,"")</x:f>
        <x:v>17</x:v>
      </x:c>
      <x:c r="W244" s="10" t="n">
        <x:v>1</x:v>
      </x:c>
      <x:c r="X244" s="10" t="n">
        <x:f>IF(COUNT(AV244,AW244)=2,AV244+AW244,"")</x:f>
        <x:v>0</x:v>
      </x:c>
      <x:c r="Y244" s="10" t="n">
        <x:f>IF(COUNT(X244,W244)=2,X244-W244,"")</x:f>
        <x:v>-1</x:v>
      </x:c>
      <x:c r="Z244" s="10" t="n">
        <x:v>1</x:v>
      </x:c>
      <x:c r="AA244" s="10" t="n">
        <x:f>IF(COUNT(AX244,AY244)=2,AX244+AY244,"")</x:f>
        <x:v>0</x:v>
      </x:c>
      <x:c r="AB244" s="10" t="n">
        <x:f>IF(COUNT(AA244,Z244)=2,AA244-Z244,"")</x:f>
        <x:v>-1</x:v>
      </x:c>
      <x:c r="AC244" s="10" t="n">
        <x:v>88</x:v>
      </x:c>
      <x:c r="AD244" s="10" t="n">
        <x:v>94</x:v>
      </x:c>
      <x:c r="AE244" s="10" t="n">
        <x:f>IF(COUNT(AD244,AC244)=2,AD244-AC244,"")</x:f>
        <x:v>6</x:v>
      </x:c>
      <x:c r="AF244" s="10" t="n">
        <x:v>134</x:v>
      </x:c>
      <x:c r="AG244" s="10" t="n">
        <x:v>137</x:v>
      </x:c>
      <x:c r="AH244" s="10" t="n">
        <x:f>IF(COUNT(AG244,AF244)=2,AG244-AF244,"")</x:f>
        <x:v>3</x:v>
      </x:c>
      <x:c r="AI244" s="10" t="n">
        <x:v>141</x:v>
      </x:c>
      <x:c r="AJ244" s="10" t="n">
        <x:v>150</x:v>
      </x:c>
      <x:c r="AK244" s="10" t="n">
        <x:f>IF(COUNT(AJ244,AI244)=2,AJ244-AI244,"")</x:f>
        <x:v>9</x:v>
      </x:c>
      <x:c r="AL244" s="10" t="n">
        <x:v>27</x:v>
      </x:c>
      <x:c r="AM244" s="10" t="n">
        <x:v>27</x:v>
      </x:c>
      <x:c r="AN244" s="4" t="str">
        <x:v>D</x:v>
      </x:c>
      <x:c r="AO244" s="4" t="str">
        <x:v>D</x:v>
      </x:c>
      <x:c r="AP244" s="4" t="str">
        <x:v>SJ</x:v>
      </x:c>
      <x:c r="AQ244" s="4" t="str">
        <x:v>SJS</x:v>
      </x:c>
      <x:c r="AR244" s="4" t="n">
        <x:v>21.63</x:v>
      </x:c>
      <x:c r="AS244" s="4" t="n">
        <x:v>21.033333333333335</x:v>
      </x:c>
      <x:c r="AT244" s="4" t="n">
        <x:v>0.13</x:v>
      </x:c>
      <x:c r="AU244" s="4" t="n">
        <x:v>7.4</x:v>
      </x:c>
      <x:c r="AV244" s="10" t="n">
        <x:v>0</x:v>
      </x:c>
      <x:c r="AW244" s="10" t="n">
        <x:v>0</x:v>
      </x:c>
      <x:c r="AX244" s="10" t="n">
        <x:v>0</x:v>
      </x:c>
      <x:c r="AY244" s="10" t="n">
        <x:v>0</x:v>
      </x:c>
      <x:c r="AZ244" s="10" t="n">
        <x:v>1201</x:v>
      </x:c>
      <x:c r="BA244" s="10" t="n">
        <x:v>1493</x:v>
      </x:c>
      <x:c r="BB244" s="4" t="n">
        <x:v>44.6</x:v>
      </x:c>
      <x:c r="BC244" s="4" t="n">
        <x:v>-3.5</x:v>
      </x:c>
      <x:c r="BD244" s="10" t="n">
        <x:v>865</x:v>
      </x:c>
      <x:c r="BE244" s="10" t="n">
        <x:v>1060</x:v>
      </x:c>
      <x:c r="BF244" s="4" t="n">
        <x:v>44.9</x:v>
      </x:c>
      <x:c r="BG244" s="4" t="n">
        <x:v>-2.1</x:v>
      </x:c>
      <x:c r="BH244" s="4" t="n">
        <x:v>11.1</x:v>
      </x:c>
      <x:c r="BI244" s="4" t="n">
        <x:v>90.2</x:v>
      </x:c>
      <x:c r="BJ244" s="4" t="n">
        <x:v>101.3</x:v>
      </x:c>
      <x:c r="BK244" s="4" t="n">
        <x:v>39.4</x:v>
      </x:c>
      <x:c r="BL244" s="4" t="n">
        <x:v>60.6</x:v>
      </x:c>
      <x:c r="BM244" s="4" t="n">
        <x:v>21.033333333333335</x:v>
      </x:c>
      <x:c r="BN244" s="4" t="n">
        <x:v>17.583333333333332</x:v>
      </x:c>
      <x:c r="BO244" s="10" t="n">
        <x:v>36</x:v>
      </x:c>
      <x:c r="BP244" s="10" t="n">
        <x:v>88</x:v>
      </x:c>
      <x:c r="BQ244" s="4" t="n">
        <x:v>-3.2</x:v>
      </x:c>
      <x:c r="BR244" s="10" t="n">
        <x:v>207</x:v>
      </x:c>
      <x:c r="BS244" s="4" t="n">
        <x:v>45.4</x:v>
      </x:c>
      <x:c r="BT244" s="10" t="n">
        <x:v>82</x:v>
      </x:c>
      <x:c r="BU244" s="4" t="str">
        <x:v>SJS</x:v>
      </x:c>
      <x:c r="BV244" s="10" t="n">
        <x:v>560</x:v>
      </x:c>
      <x:c r="BW244" s="10" t="n">
        <x:v>425</x:v>
      </x:c>
      <x:c r="BX244" s="10" t="n">
        <x:v>289</x:v>
      </x:c>
      <x:c r="BY244" s="4" t="str">
        <x:v>Mario Ferraro</x:v>
      </x:c>
      <x:c r="BZ244" s="4" t="str">
        <x:v>Mario Ferraro</x:v>
      </x:c>
      <x:c r="CA244" s="4" t="str">
        <x:v>Mario Ferraro</x:v>
      </x:c>
      <x:c r="CB244" s="4" t="str">
        <x:v>ferrama01</x:v>
      </x:c>
    </x:row>
    <x:row r="245" ht="22" customHeight="1">
      <x:c r="A245" s="4" t="str">
        <x:v>Mark Jankowski</x:v>
      </x:c>
      <x:c r="B245" s="4" t="str">
        <x:v>markjankowski</x:v>
      </x:c>
      <x:c r="C245" s="10" t="n">
        <x:v>1</x:v>
      </x:c>
      <x:c r="D245" s="10" t="n">
        <x:v>1</x:v>
      </x:c>
      <x:c r="E245" s="10" t="n">
        <x:v>1</x:v>
      </x:c>
      <x:c r="F245" s="4" t="n">
        <x:f>IF(COUNT(N245,Q245,T245,W245,Z245,AC245,AF245,AI245)=8,N245*Guide!$E$5+Q245*Guide!$E$6+T245*Guide!$E$7+W245*Guide!$E$8+Z245*Guide!$E$9+AC245*Guide!$E$10+AF245*Guide!$E$11+AI245*Guide!$E$12,"")</x:f>
        <x:v>150.75</x:v>
      </x:c>
      <x:c r="G245" s="4" t="n">
        <x:f>IF(COUNT(O245,R245,U245,X245,AA245,AD245,AG245,AJ245)=8,O245*Guide!$E$5+R245*Guide!$E$6+U245*Guide!$E$7+X245*Guide!$E$8+AA245*Guide!$E$9+AD245*Guide!$E$10+AG245*Guide!$E$11+AJ245*Guide!$E$12,"")</x:f>
        <x:v>143.75</x:v>
      </x:c>
      <x:c r="H245" s="4" t="n">
        <x:f>IF(COUNT(G245,F245)=2,G245-F245,"")</x:f>
        <x:v>-7</x:v>
      </x:c>
      <x:c r="I245" s="4" t="n">
        <x:f>IF(AND(ISNUMBER(F245),K245&gt;0),F245/K245,"")</x:f>
        <x:v>2.2169117647058822</x:v>
      </x:c>
      <x:c r="J245" s="4" t="n">
        <x:f>IF(AND(ISNUMBER(G245),L245&gt;0),G245/L245,"")</x:f>
        <x:v>2.113970588235294</x:v>
      </x:c>
      <x:c r="K245" s="10" t="n">
        <x:v>68</x:v>
      </x:c>
      <x:c r="L245" s="10" t="n">
        <x:v>68</x:v>
      </x:c>
      <x:c r="M245" s="10" t="n">
        <x:f>IF(COUNT(L245,K245)=2,L245-K245,"")</x:f>
        <x:v>0</x:v>
      </x:c>
      <x:c r="N245" s="10" t="n">
        <x:v>12</x:v>
      </x:c>
      <x:c r="O245" s="10" t="n">
        <x:v>11</x:v>
      </x:c>
      <x:c r="P245" s="10" t="n">
        <x:f>IF(COUNT(O245,N245)=2,O245-N245,"")</x:f>
        <x:v>-1</x:v>
      </x:c>
      <x:c r="Q245" s="10" t="n">
        <x:v>13</x:v>
      </x:c>
      <x:c r="R245" s="10" t="n">
        <x:v>10</x:v>
      </x:c>
      <x:c r="S245" s="10" t="n">
        <x:f>IF(COUNT(R245,Q245)=2,R245-Q245,"")</x:f>
        <x:v>-3</x:v>
      </x:c>
      <x:c r="T245" s="10" t="n">
        <x:v>4</x:v>
      </x:c>
      <x:c r="U245" s="10" t="n">
        <x:v>7</x:v>
      </x:c>
      <x:c r="V245" s="10" t="n">
        <x:f>IF(COUNT(U245,T245)=2,U245-T245,"")</x:f>
        <x:v>3</x:v>
      </x:c>
      <x:c r="W245" s="10" t="n">
        <x:v>2</x:v>
      </x:c>
      <x:c r="X245" s="10" t="n">
        <x:f>IF(COUNT(AV245,AW245)=2,AV245+AW245,"")</x:f>
        <x:v>2</x:v>
      </x:c>
      <x:c r="Y245" s="10" t="n">
        <x:f>IF(COUNT(X245,W245)=2,X245-W245,"")</x:f>
        <x:v>0</x:v>
      </x:c>
      <x:c r="Z245" s="10" t="n">
        <x:v>1</x:v>
      </x:c>
      <x:c r="AA245" s="10" t="n">
        <x:f>IF(COUNT(AX245,AY245)=2,AX245+AY245,"")</x:f>
        <x:v>0</x:v>
      </x:c>
      <x:c r="AB245" s="10" t="n">
        <x:f>IF(COUNT(AA245,Z245)=2,AA245-Z245,"")</x:f>
        <x:v>-1</x:v>
      </x:c>
      <x:c r="AC245" s="10" t="n">
        <x:v>78</x:v>
      </x:c>
      <x:c r="AD245" s="10" t="n">
        <x:v>63</x:v>
      </x:c>
      <x:c r="AE245" s="10" t="n">
        <x:f>IF(COUNT(AD245,AC245)=2,AD245-AC245,"")</x:f>
        <x:v>-15</x:v>
      </x:c>
      <x:c r="AF245" s="10" t="n">
        <x:v>33</x:v>
      </x:c>
      <x:c r="AG245" s="10" t="n">
        <x:v>45</x:v>
      </x:c>
      <x:c r="AH245" s="10" t="n">
        <x:f>IF(COUNT(AG245,AF245)=2,AG245-AF245,"")</x:f>
        <x:v>12</x:v>
      </x:c>
      <x:c r="AI245" s="10" t="n">
        <x:v>36</x:v>
      </x:c>
      <x:c r="AJ245" s="10" t="n">
        <x:v>45</x:v>
      </x:c>
      <x:c r="AK245" s="10" t="n">
        <x:f>IF(COUNT(AJ245,AI245)=2,AJ245-AI245,"")</x:f>
        <x:v>9</x:v>
      </x:c>
      <x:c r="AL245" s="10" t="n">
        <x:v>31</x:v>
      </x:c>
      <x:c r="AM245" s="10" t="n">
        <x:v>31</x:v>
      </x:c>
      <x:c r="AN245" s="4" t="str">
        <x:v>C</x:v>
      </x:c>
      <x:c r="AO245" s="4" t="str">
        <x:v>C</x:v>
      </x:c>
      <x:c r="AP245" s="4" t="str">
        <x:v>CAR</x:v>
      </x:c>
      <x:c r="AQ245" s="4" t="str">
        <x:v>CAR</x:v>
      </x:c>
      <x:c r="AR245" s="4" t="n">
        <x:v>12.34</x:v>
      </x:c>
      <x:c r="AS245" s="4" t="n">
        <x:v>11.15</x:v>
      </x:c>
      <x:c r="AT245" s="4" t="n">
        <x:v>0.32</x:v>
      </x:c>
      <x:c r="AU245" s="4" t="n">
        <x:v>17.5</x:v>
      </x:c>
      <x:c r="AV245" s="10" t="n">
        <x:v>0</x:v>
      </x:c>
      <x:c r="AW245" s="10" t="n">
        <x:v>2</x:v>
      </x:c>
      <x:c r="AX245" s="10" t="n">
        <x:v>0</x:v>
      </x:c>
      <x:c r="AY245" s="10" t="n">
        <x:v>0</x:v>
      </x:c>
      <x:c r="AZ245" s="10" t="n">
        <x:v>745</x:v>
      </x:c>
      <x:c r="BA245" s="10" t="n">
        <x:v>522</x:v>
      </x:c>
      <x:c r="BB245" s="4" t="n">
        <x:v>58.8</x:v>
      </x:c>
      <x:c r="BC245" s="4" t="n">
        <x:v>-0.9</x:v>
      </x:c>
      <x:c r="BD245" s="10" t="n">
        <x:v>516</x:v>
      </x:c>
      <x:c r="BE245" s="10" t="n">
        <x:v>348</x:v>
      </x:c>
      <x:c r="BF245" s="4" t="n">
        <x:v>59.7</x:v>
      </x:c>
      <x:c r="BG245" s="4" t="n">
        <x:v>1.3</x:v>
      </x:c>
      <x:c r="BH245" s="4" t="n">
        <x:v>8.5</x:v>
      </x:c>
      <x:c r="BI245" s="4" t="n">
        <x:v>90.8</x:v>
      </x:c>
      <x:c r="BJ245" s="4" t="n">
        <x:v>99.3</x:v>
      </x:c>
      <x:c r="BK245" s="4" t="n">
        <x:v>58.3</x:v>
      </x:c>
      <x:c r="BL245" s="4" t="n">
        <x:v>41.7</x:v>
      </x:c>
      <x:c r="BM245" s="4" t="n">
        <x:v>11.15</x:v>
      </x:c>
      <x:c r="BN245" s="4" t="n">
        <x:v>9.883333333333333</x:v>
      </x:c>
      <x:c r="BO245" s="10" t="n">
        <x:v>11</x:v>
      </x:c>
      <x:c r="BP245" s="10" t="n">
        <x:v>35</x:v>
      </x:c>
      <x:c r="BQ245" s="4" t="n">
        <x:v>7</x:v>
      </x:c>
      <x:c r="BR245" s="10" t="n">
        <x:v>135</x:v>
      </x:c>
      <x:c r="BS245" s="4" t="n">
        <x:v>46.7</x:v>
      </x:c>
      <x:c r="BT245" s="10" t="n">
        <x:v>68</x:v>
      </x:c>
      <x:c r="BU245" s="4" t="str">
        <x:v>CAR</x:v>
      </x:c>
      <x:c r="BV245" s="10" t="n">
        <x:v>441</x:v>
      </x:c>
      <x:c r="BW245" s="10" t="n">
        <x:v>448</x:v>
      </x:c>
      <x:c r="BX245" s="10" t="n">
        <x:v>454</x:v>
      </x:c>
      <x:c r="BY245" s="4" t="str">
        <x:v>Mark Jankowski</x:v>
      </x:c>
      <x:c r="BZ245" s="4" t="str">
        <x:v>Mark Jankowski</x:v>
      </x:c>
      <x:c r="CA245" s="4" t="str">
        <x:v>Mark Jankowski</x:v>
      </x:c>
      <x:c r="CB245" s="4" t="str">
        <x:v>jankoma01</x:v>
      </x:c>
    </x:row>
    <x:row r="246" ht="22" customHeight="1">
      <x:c r="A246" s="4" t="str">
        <x:v>Mark Kastelic</x:v>
      </x:c>
      <x:c r="B246" s="4" t="str">
        <x:v>markkastelic</x:v>
      </x:c>
      <x:c r="C246" s="10" t="n">
        <x:v>1</x:v>
      </x:c>
      <x:c r="D246" s="10" t="n">
        <x:v>1</x:v>
      </x:c>
      <x:c r="E246" s="10" t="n">
        <x:v>1</x:v>
      </x:c>
      <x:c r="F246" s="4" t="n">
        <x:f>IF(COUNT(N246,Q246,T246,W246,Z246,AC246,AF246,AI246)=8,N246*Guide!$E$5+Q246*Guide!$E$6+T246*Guide!$E$7+W246*Guide!$E$8+Z246*Guide!$E$9+AC246*Guide!$E$10+AF246*Guide!$E$11+AI246*Guide!$E$12,"")</x:f>
        <x:v>176.75</x:v>
      </x:c>
      <x:c r="G246" s="4" t="n">
        <x:f>IF(COUNT(O246,R246,U246,X246,AA246,AD246,AG246,AJ246)=8,O246*Guide!$E$5+R246*Guide!$E$6+U246*Guide!$E$7+X246*Guide!$E$8+AA246*Guide!$E$9+AD246*Guide!$E$10+AG246*Guide!$E$11+AJ246*Guide!$E$12,"")</x:f>
        <x:v>213.75</x:v>
      </x:c>
      <x:c r="H246" s="4" t="n">
        <x:f>IF(COUNT(G246,F246)=2,G246-F246,"")</x:f>
        <x:v>37</x:v>
      </x:c>
      <x:c r="I246" s="4" t="n">
        <x:f>IF(AND(ISNUMBER(F246),K246&gt;0),F246/K246,"")</x:f>
        <x:v>2.454861111111111</x:v>
      </x:c>
      <x:c r="J246" s="4" t="n">
        <x:f>IF(AND(ISNUMBER(G246),L246&gt;0),G246/L246,"")</x:f>
        <x:v>2.606707317073171</x:v>
      </x:c>
      <x:c r="K246" s="10" t="n">
        <x:v>72</x:v>
      </x:c>
      <x:c r="L246" s="10" t="n">
        <x:v>82</x:v>
      </x:c>
      <x:c r="M246" s="10" t="n">
        <x:f>IF(COUNT(L246,K246)=2,L246-K246,"")</x:f>
        <x:v>10</x:v>
      </x:c>
      <x:c r="N246" s="10" t="n">
        <x:v>9</x:v>
      </x:c>
      <x:c r="O246" s="10" t="n">
        <x:v>12</x:v>
      </x:c>
      <x:c r="P246" s="10" t="n">
        <x:f>IF(COUNT(O246,N246)=2,O246-N246,"")</x:f>
        <x:v>3</x:v>
      </x:c>
      <x:c r="Q246" s="10" t="n">
        <x:v>10</x:v>
      </x:c>
      <x:c r="R246" s="10" t="n">
        <x:v>10</x:v>
      </x:c>
      <x:c r="S246" s="10" t="n">
        <x:f>IF(COUNT(R246,Q246)=2,R246-Q246,"")</x:f>
        <x:v>0</x:v>
      </x:c>
      <x:c r="T246" s="10" t="n">
        <x:v>-3</x:v>
      </x:c>
      <x:c r="U246" s="10" t="n">
        <x:v>5</x:v>
      </x:c>
      <x:c r="V246" s="10" t="n">
        <x:f>IF(COUNT(U246,T246)=2,U246-T246,"")</x:f>
        <x:v>8</x:v>
      </x:c>
      <x:c r="W246" s="10" t="n">
        <x:v>2</x:v>
      </x:c>
      <x:c r="X246" s="10" t="n">
        <x:f>IF(COUNT(AV246,AW246)=2,AV246+AW246,"")</x:f>
        <x:v>1</x:v>
      </x:c>
      <x:c r="Y246" s="10" t="n">
        <x:f>IF(COUNT(X246,W246)=2,X246-W246,"")</x:f>
        <x:v>-1</x:v>
      </x:c>
      <x:c r="Z246" s="10" t="n">
        <x:v>0</x:v>
      </x:c>
      <x:c r="AA246" s="10" t="n">
        <x:f>IF(COUNT(AX246,AY246)=2,AX246+AY246,"")</x:f>
        <x:v>1</x:v>
      </x:c>
      <x:c r="AB246" s="10" t="n">
        <x:f>IF(COUNT(AA246,Z246)=2,AA246-Z246,"")</x:f>
        <x:v>1</x:v>
      </x:c>
      <x:c r="AC246" s="10" t="n">
        <x:v>82</x:v>
      </x:c>
      <x:c r="AD246" s="10" t="n">
        <x:v>100</x:v>
      </x:c>
      <x:c r="AE246" s="10" t="n">
        <x:f>IF(COUNT(AD246,AC246)=2,AD246-AC246,"")</x:f>
        <x:v>18</x:v>
      </x:c>
      <x:c r="AF246" s="10" t="n">
        <x:v>230</x:v>
      </x:c>
      <x:c r="AG246" s="10" t="n">
        <x:v>215</x:v>
      </x:c>
      <x:c r="AH246" s="10" t="n">
        <x:f>IF(COUNT(AG246,AF246)=2,AG246-AF246,"")</x:f>
        <x:v>-15</x:v>
      </x:c>
      <x:c r="AI246" s="10" t="n">
        <x:v>45</x:v>
      </x:c>
      <x:c r="AJ246" s="10" t="n">
        <x:v>64</x:v>
      </x:c>
      <x:c r="AK246" s="10" t="n">
        <x:f>IF(COUNT(AJ246,AI246)=2,AJ246-AI246,"")</x:f>
        <x:v>19</x:v>
      </x:c>
      <x:c r="AL246" s="10" t="n">
        <x:v>26</x:v>
      </x:c>
      <x:c r="AM246" s="10" t="n">
        <x:v>26</x:v>
      </x:c>
      <x:c r="AN246" s="4" t="str">
        <x:v>C,RW</x:v>
      </x:c>
      <x:c r="AO246" s="4" t="str">
        <x:v>C</x:v>
      </x:c>
      <x:c r="AP246" s="4" t="str">
        <x:v>BOS</x:v>
      </x:c>
      <x:c r="AQ246" s="4" t="str">
        <x:v>BOS</x:v>
      </x:c>
      <x:c r="AR246" s="4" t="n">
        <x:v>10.549999999999999</x:v>
      </x:c>
      <x:c r="AS246" s="4" t="n">
        <x:v>12.616666666666667</x:v>
      </x:c>
      <x:c r="AT246" s="4" t="n">
        <x:v>0.28</x:v>
      </x:c>
      <x:c r="AU246" s="4" t="n">
        <x:v>12</x:v>
      </x:c>
      <x:c r="AV246" s="10" t="n">
        <x:v>0</x:v>
      </x:c>
      <x:c r="AW246" s="10" t="n">
        <x:v>1</x:v>
      </x:c>
      <x:c r="AX246" s="10" t="n">
        <x:v>1</x:v>
      </x:c>
      <x:c r="AY246" s="10" t="n">
        <x:v>0</x:v>
      </x:c>
      <x:c r="AZ246" s="10" t="n">
        <x:v>814</x:v>
      </x:c>
      <x:c r="BA246" s="10" t="n">
        <x:v>908</x:v>
      </x:c>
      <x:c r="BB246" s="4" t="n">
        <x:v>47.3</x:v>
      </x:c>
      <x:c r="BC246" s="4" t="n">
        <x:v>-1.7</x:v>
      </x:c>
      <x:c r="BD246" s="10" t="n">
        <x:v>579</x:v>
      </x:c>
      <x:c r="BE246" s="10" t="n">
        <x:v>636</x:v>
      </x:c>
      <x:c r="BF246" s="4" t="n">
        <x:v>47.7</x:v>
      </x:c>
      <x:c r="BG246" s="4" t="n">
        <x:v>-1.5</x:v>
      </x:c>
      <x:c r="BH246" s="4" t="n">
        <x:v>9.2</x:v>
      </x:c>
      <x:c r="BI246" s="4" t="n">
        <x:v>93.1</x:v>
      </x:c>
      <x:c r="BJ246" s="4" t="n">
        <x:v>102.3</x:v>
      </x:c>
      <x:c r="BK246" s="4" t="n">
        <x:v>34</x:v>
      </x:c>
      <x:c r="BL246" s="4" t="n">
        <x:v>66</x:v>
      </x:c>
      <x:c r="BM246" s="4" t="n">
        <x:v>12.616666666666667</x:v>
      </x:c>
      <x:c r="BN246" s="4" t="n">
        <x:v>10.483333333333333</x:v>
      </x:c>
      <x:c r="BO246" s="10" t="n">
        <x:v>30</x:v>
      </x:c>
      <x:c r="BP246" s="10" t="n">
        <x:v>42</x:v>
      </x:c>
      <x:c r="BQ246" s="4" t="n">
        <x:v>-9.3</x:v>
      </x:c>
      <x:c r="BR246" s="10" t="n">
        <x:v>219</x:v>
      </x:c>
      <x:c r="BS246" s="4" t="n">
        <x:v>45.7</x:v>
      </x:c>
      <x:c r="BT246" s="10" t="n">
        <x:v>82</x:v>
      </x:c>
      <x:c r="BU246" s="4" t="str">
        <x:v>BOS</x:v>
      </x:c>
      <x:c r="BV246" s="10" t="n">
        <x:v>534</x:v>
      </x:c>
      <x:c r="BW246" s="10" t="n">
        <x:v>434</x:v>
      </x:c>
      <x:c r="BX246" s="10" t="n">
        <x:v>507</x:v>
      </x:c>
      <x:c r="BY246" s="4" t="str">
        <x:v>Mark Kastelic</x:v>
      </x:c>
      <x:c r="BZ246" s="4" t="str">
        <x:v>Mark Kastelic</x:v>
      </x:c>
      <x:c r="CA246" s="4" t="str">
        <x:v>Mark Kastelic</x:v>
      </x:c>
      <x:c r="CB246" s="4" t="str">
        <x:v>kastema01</x:v>
      </x:c>
    </x:row>
    <x:row r="247" ht="22" customHeight="1">
      <x:c r="A247" s="4" t="str">
        <x:v>Mark Scheifele</x:v>
      </x:c>
      <x:c r="B247" s="4" t="str">
        <x:v>markscheifele</x:v>
      </x:c>
      <x:c r="C247" s="10" t="n">
        <x:v>1</x:v>
      </x:c>
      <x:c r="D247" s="10" t="n">
        <x:v>1</x:v>
      </x:c>
      <x:c r="E247" s="10" t="n">
        <x:v>1</x:v>
      </x:c>
      <x:c r="F247" s="4" t="n">
        <x:f>IF(COUNT(N247,Q247,T247,W247,Z247,AC247,AF247,AI247)=8,N247*Guide!$E$5+Q247*Guide!$E$6+T247*Guide!$E$7+W247*Guide!$E$8+Z247*Guide!$E$9+AC247*Guide!$E$10+AF247*Guide!$E$11+AI247*Guide!$E$12,"")</x:f>
        <x:v>371.25</x:v>
      </x:c>
      <x:c r="G247" s="4" t="n">
        <x:f>IF(COUNT(O247,R247,U247,X247,AA247,AD247,AG247,AJ247)=8,O247*Guide!$E$5+R247*Guide!$E$6+U247*Guide!$E$7+X247*Guide!$E$8+AA247*Guide!$E$9+AD247*Guide!$E$10+AG247*Guide!$E$11+AJ247*Guide!$E$12,"")</x:f>
        <x:v>457</x:v>
      </x:c>
      <x:c r="H247" s="4" t="n">
        <x:f>IF(COUNT(G247,F247)=2,G247-F247,"")</x:f>
        <x:v>85.75</x:v>
      </x:c>
      <x:c r="I247" s="4" t="n">
        <x:f>IF(AND(ISNUMBER(F247),K247&gt;0),F247/K247,"")</x:f>
        <x:v>4.640625</x:v>
      </x:c>
      <x:c r="J247" s="4" t="n">
        <x:f>IF(AND(ISNUMBER(G247),L247&gt;0),G247/L247,"")</x:f>
        <x:v>5.573170731707317</x:v>
      </x:c>
      <x:c r="K247" s="10" t="n">
        <x:v>80</x:v>
      </x:c>
      <x:c r="L247" s="10" t="n">
        <x:v>82</x:v>
      </x:c>
      <x:c r="M247" s="10" t="n">
        <x:f>IF(COUNT(L247,K247)=2,L247-K247,"")</x:f>
        <x:v>2</x:v>
      </x:c>
      <x:c r="N247" s="10" t="n">
        <x:v>33</x:v>
      </x:c>
      <x:c r="O247" s="10" t="n">
        <x:v>36</x:v>
      </x:c>
      <x:c r="P247" s="10" t="n">
        <x:f>IF(COUNT(O247,N247)=2,O247-N247,"")</x:f>
        <x:v>3</x:v>
      </x:c>
      <x:c r="Q247" s="10" t="n">
        <x:v>40</x:v>
      </x:c>
      <x:c r="R247" s="10" t="n">
        <x:v>67</x:v>
      </x:c>
      <x:c r="S247" s="10" t="n">
        <x:f>IF(COUNT(R247,Q247)=2,R247-Q247,"")</x:f>
        <x:v>27</x:v>
      </x:c>
      <x:c r="T247" s="10" t="n">
        <x:v>3</x:v>
      </x:c>
      <x:c r="U247" s="10" t="n">
        <x:v>0</x:v>
      </x:c>
      <x:c r="V247" s="10" t="n">
        <x:f>IF(COUNT(U247,T247)=2,U247-T247,"")</x:f>
        <x:v>-3</x:v>
      </x:c>
      <x:c r="W247" s="10" t="n">
        <x:v>19</x:v>
      </x:c>
      <x:c r="X247" s="10" t="n">
        <x:f>IF(COUNT(AV247,AW247)=2,AV247+AW247,"")</x:f>
        <x:v>22</x:v>
      </x:c>
      <x:c r="Y247" s="10" t="n">
        <x:f>IF(COUNT(X247,W247)=2,X247-W247,"")</x:f>
        <x:v>3</x:v>
      </x:c>
      <x:c r="Z247" s="10" t="n">
        <x:v>0</x:v>
      </x:c>
      <x:c r="AA247" s="10" t="n">
        <x:f>IF(COUNT(AX247,AY247)=2,AX247+AY247,"")</x:f>
        <x:v>1</x:v>
      </x:c>
      <x:c r="AB247" s="10" t="n">
        <x:f>IF(COUNT(AA247,Z247)=2,AA247-Z247,"")</x:f>
        <x:v>1</x:v>
      </x:c>
      <x:c r="AC247" s="10" t="n">
        <x:v>166</x:v>
      </x:c>
      <x:c r="AD247" s="10" t="n">
        <x:v>175</x:v>
      </x:c>
      <x:c r="AE247" s="10" t="n">
        <x:f>IF(COUNT(AD247,AC247)=2,AD247-AC247,"")</x:f>
        <x:v>9</x:v>
      </x:c>
      <x:c r="AF247" s="10" t="n">
        <x:v>67</x:v>
      </x:c>
      <x:c r="AG247" s="10" t="n">
        <x:v>32</x:v>
      </x:c>
      <x:c r="AH247" s="10" t="n">
        <x:f>IF(COUNT(AG247,AF247)=2,AG247-AF247,"")</x:f>
        <x:v>-35</x:v>
      </x:c>
      <x:c r="AI247" s="10" t="n">
        <x:v>52</x:v>
      </x:c>
      <x:c r="AJ247" s="10" t="n">
        <x:v>47</x:v>
      </x:c>
      <x:c r="AK247" s="10" t="n">
        <x:f>IF(COUNT(AJ247,AI247)=2,AJ247-AI247,"")</x:f>
        <x:v>-5</x:v>
      </x:c>
      <x:c r="AL247" s="10" t="n">
        <x:v>32</x:v>
      </x:c>
      <x:c r="AM247" s="10" t="n">
        <x:v>32</x:v>
      </x:c>
      <x:c r="AN247" s="4" t="str">
        <x:v>C</x:v>
      </x:c>
      <x:c r="AO247" s="4" t="str">
        <x:v>C</x:v>
      </x:c>
      <x:c r="AP247" s="4" t="str">
        <x:v>WPG</x:v>
      </x:c>
      <x:c r="AQ247" s="4" t="str">
        <x:v>WPG</x:v>
      </x:c>
      <x:c r="AR247" s="4" t="n">
        <x:v>19.97</x:v>
      </x:c>
      <x:c r="AS247" s="4" t="n">
        <x:v>21.5</x:v>
      </x:c>
      <x:c r="AT247" s="4" t="n">
        <x:v>2.69</x:v>
      </x:c>
      <x:c r="AU247" s="4" t="n">
        <x:v>20.6</x:v>
      </x:c>
      <x:c r="AV247" s="10" t="n">
        <x:v>7</x:v>
      </x:c>
      <x:c r="AW247" s="10" t="n">
        <x:v>15</x:v>
      </x:c>
      <x:c r="AX247" s="10" t="n">
        <x:v>0</x:v>
      </x:c>
      <x:c r="AY247" s="10" t="n">
        <x:v>1</x:v>
      </x:c>
      <x:c r="AZ247" s="10" t="n">
        <x:v>1451</x:v>
      </x:c>
      <x:c r="BA247" s="10" t="n">
        <x:v>1427</x:v>
      </x:c>
      <x:c r="BB247" s="4" t="n">
        <x:v>50.4</x:v>
      </x:c>
      <x:c r="BC247" s="4" t="n">
        <x:v>2.5</x:v>
      </x:c>
      <x:c r="BD247" s="10" t="n">
        <x:v>1088</x:v>
      </x:c>
      <x:c r="BE247" s="10" t="n">
        <x:v>1088</x:v>
      </x:c>
      <x:c r="BF247" s="4" t="n">
        <x:v>50</x:v>
      </x:c>
      <x:c r="BG247" s="4" t="n">
        <x:v>2</x:v>
      </x:c>
      <x:c r="BH247" s="4" t="n">
        <x:v>13.9</x:v>
      </x:c>
      <x:c r="BI247" s="4" t="n">
        <x:v>87.6</x:v>
      </x:c>
      <x:c r="BJ247" s="4" t="n">
        <x:v>101.4</x:v>
      </x:c>
      <x:c r="BK247" s="4" t="n">
        <x:v>65.8</x:v>
      </x:c>
      <x:c r="BL247" s="4" t="n">
        <x:v>34.2</x:v>
      </x:c>
      <x:c r="BM247" s="4" t="n">
        <x:v>21.5</x:v>
      </x:c>
      <x:c r="BN247" s="4" t="n">
        <x:v>18.033333333333335</x:v>
      </x:c>
      <x:c r="BO247" s="10" t="n">
        <x:v>31</x:v>
      </x:c>
      <x:c r="BP247" s="10" t="n">
        <x:v>129</x:v>
      </x:c>
      <x:c r="BQ247" s="4" t="n">
        <x:v>2.5</x:v>
      </x:c>
      <x:c r="BR247" s="10" t="n">
        <x:v>328</x:v>
      </x:c>
      <x:c r="BS247" s="4" t="n">
        <x:v>53.4</x:v>
      </x:c>
      <x:c r="BT247" s="10" t="n">
        <x:v>82</x:v>
      </x:c>
      <x:c r="BU247" s="4" t="str">
        <x:v>WPG</x:v>
      </x:c>
      <x:c r="BV247" s="10" t="n">
        <x:v>39</x:v>
      </x:c>
      <x:c r="BW247" s="10" t="n">
        <x:v>7</x:v>
      </x:c>
      <x:c r="BX247" s="10" t="n">
        <x:v>903</x:v>
      </x:c>
      <x:c r="BY247" s="4" t="str">
        <x:v>Mark Scheifele</x:v>
      </x:c>
      <x:c r="BZ247" s="4" t="str">
        <x:v>Mark Scheifele</x:v>
      </x:c>
      <x:c r="CA247" s="4" t="str">
        <x:v>Mark Scheifele</x:v>
      </x:c>
      <x:c r="CB247" s="4" t="str">
        <x:v>scheima01</x:v>
      </x:c>
    </x:row>
    <x:row r="248" ht="22" customHeight="1">
      <x:c r="A248" s="4" t="str">
        <x:v>Mark Stone</x:v>
      </x:c>
      <x:c r="B248" s="4" t="str">
        <x:v>markstone</x:v>
      </x:c>
      <x:c r="C248" s="10" t="n">
        <x:v>1</x:v>
      </x:c>
      <x:c r="D248" s="10" t="n">
        <x:v>1</x:v>
      </x:c>
      <x:c r="E248" s="10" t="n">
        <x:v>1</x:v>
      </x:c>
      <x:c r="F248" s="4" t="n">
        <x:f>IF(COUNT(N248,Q248,T248,W248,Z248,AC248,AF248,AI248)=8,N248*Guide!$E$5+Q248*Guide!$E$6+T248*Guide!$E$7+W248*Guide!$E$8+Z248*Guide!$E$9+AC248*Guide!$E$10+AF248*Guide!$E$11+AI248*Guide!$E$12,"")</x:f>
        <x:v>296.25</x:v>
      </x:c>
      <x:c r="G248" s="4" t="n">
        <x:f>IF(COUNT(O248,R248,U248,X248,AA248,AD248,AG248,AJ248)=8,O248*Guide!$E$5+R248*Guide!$E$6+U248*Guide!$E$7+X248*Guide!$E$8+AA248*Guide!$E$9+AD248*Guide!$E$10+AG248*Guide!$E$11+AJ248*Guide!$E$12,"")</x:f>
        <x:v>381.5</x:v>
      </x:c>
      <x:c r="H248" s="4" t="n">
        <x:f>IF(COUNT(G248,F248)=2,G248-F248,"")</x:f>
        <x:v>85.25</x:v>
      </x:c>
      <x:c r="I248" s="4" t="n">
        <x:f>IF(AND(ISNUMBER(F248),K248&gt;0),F248/K248,"")</x:f>
        <x:v>4.356617647058823</x:v>
      </x:c>
      <x:c r="J248" s="4" t="n">
        <x:f>IF(AND(ISNUMBER(G248),L248&gt;0),G248/L248,"")</x:f>
        <x:v>6.358333333333333</x:v>
      </x:c>
      <x:c r="K248" s="10" t="n">
        <x:v>68</x:v>
      </x:c>
      <x:c r="L248" s="10" t="n">
        <x:v>60</x:v>
      </x:c>
      <x:c r="M248" s="10" t="n">
        <x:f>IF(COUNT(L248,K248)=2,L248-K248,"")</x:f>
        <x:v>-8</x:v>
      </x:c>
      <x:c r="N248" s="10" t="n">
        <x:v>19</x:v>
      </x:c>
      <x:c r="O248" s="10" t="n">
        <x:v>28</x:v>
      </x:c>
      <x:c r="P248" s="10" t="n">
        <x:f>IF(COUNT(O248,N248)=2,O248-N248,"")</x:f>
        <x:v>9</x:v>
      </x:c>
      <x:c r="Q248" s="10" t="n">
        <x:v>38</x:v>
      </x:c>
      <x:c r="R248" s="10" t="n">
        <x:v>45</x:v>
      </x:c>
      <x:c r="S248" s="10" t="n">
        <x:f>IF(COUNT(R248,Q248)=2,R248-Q248,"")</x:f>
        <x:v>7</x:v>
      </x:c>
      <x:c r="T248" s="10" t="n">
        <x:v>9</x:v>
      </x:c>
      <x:c r="U248" s="10" t="n">
        <x:v>26</x:v>
      </x:c>
      <x:c r="V248" s="10" t="n">
        <x:f>IF(COUNT(U248,T248)=2,U248-T248,"")</x:f>
        <x:v>17</x:v>
      </x:c>
      <x:c r="W248" s="10" t="n">
        <x:v>16</x:v>
      </x:c>
      <x:c r="X248" s="10" t="n">
        <x:f>IF(COUNT(AV248,AW248)=2,AV248+AW248,"")</x:f>
        <x:v>27</x:v>
      </x:c>
      <x:c r="Y248" s="10" t="n">
        <x:f>IF(COUNT(X248,W248)=2,X248-W248,"")</x:f>
        <x:v>11</x:v>
      </x:c>
      <x:c r="Z248" s="10" t="n">
        <x:v>2</x:v>
      </x:c>
      <x:c r="AA248" s="10" t="n">
        <x:f>IF(COUNT(AX248,AY248)=2,AX248+AY248,"")</x:f>
        <x:v>2</x:v>
      </x:c>
      <x:c r="AB248" s="10" t="n">
        <x:f>IF(COUNT(AA248,Z248)=2,AA248-Z248,"")</x:f>
        <x:v>0</x:v>
      </x:c>
      <x:c r="AC248" s="10" t="n">
        <x:v>129</x:v>
      </x:c>
      <x:c r="AD248" s="10" t="n">
        <x:v>130</x:v>
      </x:c>
      <x:c r="AE248" s="10" t="n">
        <x:f>IF(COUNT(AD248,AC248)=2,AD248-AC248,"")</x:f>
        <x:v>1</x:v>
      </x:c>
      <x:c r="AF248" s="10" t="n">
        <x:v>37</x:v>
      </x:c>
      <x:c r="AG248" s="10" t="n">
        <x:v>31</x:v>
      </x:c>
      <x:c r="AH248" s="10" t="n">
        <x:f>IF(COUNT(AG248,AF248)=2,AG248-AF248,"")</x:f>
        <x:v>-6</x:v>
      </x:c>
      <x:c r="AI248" s="10" t="n">
        <x:v>45</x:v>
      </x:c>
      <x:c r="AJ248" s="10" t="n">
        <x:v>47</x:v>
      </x:c>
      <x:c r="AK248" s="10" t="n">
        <x:f>IF(COUNT(AJ248,AI248)=2,AJ248-AI248,"")</x:f>
        <x:v>2</x:v>
      </x:c>
      <x:c r="AL248" s="10" t="n">
        <x:v>33</x:v>
      </x:c>
      <x:c r="AM248" s="10" t="n">
        <x:v>33</x:v>
      </x:c>
      <x:c r="AN248" s="4" t="str">
        <x:v>RW</x:v>
      </x:c>
      <x:c r="AO248" s="4" t="str">
        <x:v>RW</x:v>
      </x:c>
      <x:c r="AP248" s="4" t="str">
        <x:v>VGK</x:v>
      </x:c>
      <x:c r="AQ248" s="4" t="str">
        <x:v>VEG</x:v>
      </x:c>
      <x:c r="AR248" s="4" t="n">
        <x:v>18.909999999999997</x:v>
      </x:c>
      <x:c r="AS248" s="4" t="n">
        <x:v>19.216666666666665</x:v>
      </x:c>
      <x:c r="AT248" s="4" t="n">
        <x:v>2.59</x:v>
      </x:c>
      <x:c r="AU248" s="4" t="n">
        <x:v>21.5</x:v>
      </x:c>
      <x:c r="AV248" s="10" t="n">
        <x:v>9</x:v>
      </x:c>
      <x:c r="AW248" s="10" t="n">
        <x:v>18</x:v>
      </x:c>
      <x:c r="AX248" s="10" t="n">
        <x:v>1</x:v>
      </x:c>
      <x:c r="AY248" s="10" t="n">
        <x:v>1</x:v>
      </x:c>
      <x:c r="AZ248" s="10" t="n">
        <x:v>967</x:v>
      </x:c>
      <x:c r="BA248" s="10" t="n">
        <x:v>739</x:v>
      </x:c>
      <x:c r="BB248" s="4" t="n">
        <x:v>56.7</x:v>
      </x:c>
      <x:c r="BC248" s="4" t="n">
        <x:v>6</x:v>
      </x:c>
      <x:c r="BD248" s="10" t="n">
        <x:v>709</x:v>
      </x:c>
      <x:c r="BE248" s="10" t="n">
        <x:v>513</x:v>
      </x:c>
      <x:c r="BF248" s="4" t="n">
        <x:v>58</x:v>
      </x:c>
      <x:c r="BG248" s="4" t="n">
        <x:v>7.9</x:v>
      </x:c>
      <x:c r="BH248" s="4" t="n">
        <x:v>14.2</x:v>
      </x:c>
      <x:c r="BI248" s="4" t="n">
        <x:v>87.6</x:v>
      </x:c>
      <x:c r="BJ248" s="4" t="n">
        <x:v>101.8</x:v>
      </x:c>
      <x:c r="BK248" s="4" t="n">
        <x:v>61.2</x:v>
      </x:c>
      <x:c r="BL248" s="4" t="n">
        <x:v>38.8</x:v>
      </x:c>
      <x:c r="BM248" s="4" t="n">
        <x:v>19.216666666666665</x:v>
      </x:c>
      <x:c r="BN248" s="4" t="n">
        <x:v>14.6</x:v>
      </x:c>
      <x:c r="BO248" s="10" t="n">
        <x:v>28</x:v>
      </x:c>
      <x:c r="BP248" s="10" t="n">
        <x:v>70</x:v>
      </x:c>
      <x:c r="BQ248" s="4" t="n">
        <x:v>16.3</x:v>
      </x:c>
      <x:c r="BR248" s="10" t="n">
        <x:v>241</x:v>
      </x:c>
      <x:c r="BS248" s="4" t="n">
        <x:v>53.9</x:v>
      </x:c>
      <x:c r="BT248" s="10" t="n">
        <x:v>60</x:v>
      </x:c>
      <x:c r="BU248" s="4" t="str">
        <x:v>VEG</x:v>
      </x:c>
      <x:c r="BV248" s="10" t="n">
        <x:v>107</x:v>
      </x:c>
      <x:c r="BW248" s="10" t="n">
        <x:v>51</x:v>
      </x:c>
      <x:c r="BX248" s="10" t="n">
        <x:v>985</x:v>
      </x:c>
      <x:c r="BY248" s="4" t="str">
        <x:v>Mark Stone</x:v>
      </x:c>
      <x:c r="BZ248" s="4" t="str">
        <x:v>Mark Stone</x:v>
      </x:c>
      <x:c r="CA248" s="4" t="str">
        <x:v>Mark Stone</x:v>
      </x:c>
      <x:c r="CB248" s="4" t="str">
        <x:v>stonema01</x:v>
      </x:c>
    </x:row>
    <x:row r="249" ht="22" customHeight="1">
      <x:c r="A249" s="4" t="str">
        <x:v>Martin Fehérváry</x:v>
      </x:c>
      <x:c r="B249" s="4" t="str">
        <x:v>martinfehervary</x:v>
      </x:c>
      <x:c r="C249" s="10" t="n">
        <x:v>1</x:v>
      </x:c>
      <x:c r="D249" s="10" t="n">
        <x:v>1</x:v>
      </x:c>
      <x:c r="E249" s="10" t="n">
        <x:v>1</x:v>
      </x:c>
      <x:c r="F249" s="4" t="n">
        <x:f>IF(COUNT(N249,Q249,T249,W249,Z249,AC249,AF249,AI249)=8,N249*Guide!$E$5+Q249*Guide!$E$6+T249*Guide!$E$7+W249*Guide!$E$8+Z249*Guide!$E$9+AC249*Guide!$E$10+AF249*Guide!$E$11+AI249*Guide!$E$12,"")</x:f>
        <x:v>231.25</x:v>
      </x:c>
      <x:c r="G249" s="4" t="n">
        <x:f>IF(COUNT(O249,R249,U249,X249,AA249,AD249,AG249,AJ249)=8,O249*Guide!$E$5+R249*Guide!$E$6+U249*Guide!$E$7+X249*Guide!$E$8+AA249*Guide!$E$9+AD249*Guide!$E$10+AG249*Guide!$E$11+AJ249*Guide!$E$12,"")</x:f>
        <x:v>278.75</x:v>
      </x:c>
      <x:c r="H249" s="4" t="n">
        <x:f>IF(COUNT(G249,F249)=2,G249-F249,"")</x:f>
        <x:v>47.5</x:v>
      </x:c>
      <x:c r="I249" s="4" t="n">
        <x:f>IF(AND(ISNUMBER(F249),K249&gt;0),F249/K249,"")</x:f>
        <x:v>2.890625</x:v>
      </x:c>
      <x:c r="J249" s="4" t="n">
        <x:f>IF(AND(ISNUMBER(G249),L249&gt;0),G249/L249,"")</x:f>
        <x:v>3.441358024691358</x:v>
      </x:c>
      <x:c r="K249" s="10" t="n">
        <x:v>80</x:v>
      </x:c>
      <x:c r="L249" s="10" t="n">
        <x:v>81</x:v>
      </x:c>
      <x:c r="M249" s="10" t="n">
        <x:f>IF(COUNT(L249,K249)=2,L249-K249,"")</x:f>
        <x:v>1</x:v>
      </x:c>
      <x:c r="N249" s="10" t="n">
        <x:v>5</x:v>
      </x:c>
      <x:c r="O249" s="10" t="n">
        <x:v>5</x:v>
      </x:c>
      <x:c r="P249" s="10" t="n">
        <x:f>IF(COUNT(O249,N249)=2,O249-N249,"")</x:f>
        <x:v>0</x:v>
      </x:c>
      <x:c r="Q249" s="10" t="n">
        <x:v>16</x:v>
      </x:c>
      <x:c r="R249" s="10" t="n">
        <x:v>22</x:v>
      </x:c>
      <x:c r="S249" s="10" t="n">
        <x:f>IF(COUNT(R249,Q249)=2,R249-Q249,"")</x:f>
        <x:v>6</x:v>
      </x:c>
      <x:c r="T249" s="10" t="n">
        <x:v>2</x:v>
      </x:c>
      <x:c r="U249" s="10" t="n">
        <x:v>15</x:v>
      </x:c>
      <x:c r="V249" s="10" t="n">
        <x:f>IF(COUNT(U249,T249)=2,U249-T249,"")</x:f>
        <x:v>13</x:v>
      </x:c>
      <x:c r="W249" s="10" t="n">
        <x:v>0</x:v>
      </x:c>
      <x:c r="X249" s="10" t="n">
        <x:f>IF(COUNT(AV249,AW249)=2,AV249+AW249,"")</x:f>
        <x:v>0</x:v>
      </x:c>
      <x:c r="Y249" s="10" t="n">
        <x:f>IF(COUNT(X249,W249)=2,X249-W249,"")</x:f>
        <x:v>0</x:v>
      </x:c>
      <x:c r="Z249" s="10" t="n">
        <x:v>1</x:v>
      </x:c>
      <x:c r="AA249" s="10" t="n">
        <x:f>IF(COUNT(AX249,AY249)=2,AX249+AY249,"")</x:f>
        <x:v>0</x:v>
      </x:c>
      <x:c r="AB249" s="10" t="n">
        <x:f>IF(COUNT(AA249,Z249)=2,AA249-Z249,"")</x:f>
        <x:v>-1</x:v>
      </x:c>
      <x:c r="AC249" s="10" t="n">
        <x:v>76</x:v>
      </x:c>
      <x:c r="AD249" s="10" t="n">
        <x:v>73</x:v>
      </x:c>
      <x:c r="AE249" s="10" t="n">
        <x:f>IF(COUNT(AD249,AC249)=2,AD249-AC249,"")</x:f>
        <x:v>-3</x:v>
      </x:c>
      <x:c r="AF249" s="10" t="n">
        <x:v>143</x:v>
      </x:c>
      <x:c r="AG249" s="10" t="n">
        <x:v>110</x:v>
      </x:c>
      <x:c r="AH249" s="10" t="n">
        <x:f>IF(COUNT(AG249,AF249)=2,AG249-AF249,"")</x:f>
        <x:v>-33</x:v>
      </x:c>
      <x:c r="AI249" s="10" t="n">
        <x:v>138</x:v>
      </x:c>
      <x:c r="AJ249" s="10" t="n">
        <x:v>176</x:v>
      </x:c>
      <x:c r="AK249" s="10" t="n">
        <x:f>IF(COUNT(AJ249,AI249)=2,AJ249-AI249,"")</x:f>
        <x:v>38</x:v>
      </x:c>
      <x:c r="AL249" s="10" t="n">
        <x:v>26</x:v>
      </x:c>
      <x:c r="AM249" s="10" t="n">
        <x:v>26</x:v>
      </x:c>
      <x:c r="AN249" s="4" t="str">
        <x:v>D</x:v>
      </x:c>
      <x:c r="AO249" s="4" t="str">
        <x:v>D</x:v>
      </x:c>
      <x:c r="AP249" s="4" t="str">
        <x:v>WSH</x:v>
      </x:c>
      <x:c r="AQ249" s="4" t="str">
        <x:v>WSH</x:v>
      </x:c>
      <x:c r="AR249" s="4" t="n">
        <x:v>18.869999999999997</x:v>
      </x:c>
      <x:c r="AS249" s="4" t="n">
        <x:v>19.283333333333335</x:v>
      </x:c>
      <x:c r="AT249" s="4" t="n">
        <x:v>0.06</x:v>
      </x:c>
      <x:c r="AU249" s="4" t="n">
        <x:v>6.8</x:v>
      </x:c>
      <x:c r="AV249" s="10" t="n">
        <x:v>0</x:v>
      </x:c>
      <x:c r="AW249" s="10" t="n">
        <x:v>0</x:v>
      </x:c>
      <x:c r="AX249" s="10" t="n">
        <x:v>0</x:v>
      </x:c>
      <x:c r="AY249" s="10" t="n">
        <x:v>0</x:v>
      </x:c>
      <x:c r="AZ249" s="10" t="n">
        <x:v>1203</x:v>
      </x:c>
      <x:c r="BA249" s="10" t="n">
        <x:v>1381</x:v>
      </x:c>
      <x:c r="BB249" s="4" t="n">
        <x:v>46.6</x:v>
      </x:c>
      <x:c r="BC249" s="4" t="n">
        <x:v>-4.3</x:v>
      </x:c>
      <x:c r="BD249" s="10" t="n">
        <x:v>901</x:v>
      </x:c>
      <x:c r="BE249" s="10" t="n">
        <x:v>938</x:v>
      </x:c>
      <x:c r="BF249" s="4" t="n">
        <x:v>49</x:v>
      </x:c>
      <x:c r="BG249" s="4" t="n">
        <x:v>-2</x:v>
      </x:c>
      <x:c r="BH249" s="4" t="n">
        <x:v>11.7</x:v>
      </x:c>
      <x:c r="BI249" s="4" t="n">
        <x:v>90.8</x:v>
      </x:c>
      <x:c r="BJ249" s="4" t="n">
        <x:v>102.5</x:v>
      </x:c>
      <x:c r="BK249" s="4" t="n">
        <x:v>34.7</x:v>
      </x:c>
      <x:c r="BL249" s="4" t="n">
        <x:v>65.3</x:v>
      </x:c>
      <x:c r="BM249" s="4" t="n">
        <x:v>19.283333333333335</x:v>
      </x:c>
      <x:c r="BN249" s="4" t="n">
        <x:v>16.4</x:v>
      </x:c>
      <x:c r="BO249" s="10" t="n">
        <x:v>16</x:v>
      </x:c>
      <x:c r="BP249" s="10" t="n">
        <x:v>54</x:v>
      </x:c>
      <x:c r="BQ249" s="4" t="n">
        <x:v>-2</x:v>
      </x:c>
      <x:c r="BR249" s="10" t="n">
        <x:v>166</x:v>
      </x:c>
      <x:c r="BS249" s="4" t="n">
        <x:v>44</x:v>
      </x:c>
      <x:c r="BT249" s="10" t="n">
        <x:v>81</x:v>
      </x:c>
      <x:c r="BU249" s="4" t="str">
        <x:v>WSH</x:v>
      </x:c>
      <x:c r="BV249" s="10" t="n">
        <x:v>495</x:v>
      </x:c>
      <x:c r="BW249" s="10" t="n">
        <x:v>365</x:v>
      </x:c>
      <x:c r="BX249" s="10" t="n">
        <x:v>287</x:v>
      </x:c>
      <x:c r="BY249" s="4" t="str">
        <x:v>Martin Fehervary</x:v>
      </x:c>
      <x:c r="BZ249" s="4" t="str">
        <x:v>Martin Fehérváry</x:v>
      </x:c>
      <x:c r="CA249" s="4" t="str">
        <x:v>Martin Fehérváry</x:v>
      </x:c>
      <x:c r="CB249" s="4" t="str">
        <x:v>feherma01</x:v>
      </x:c>
    </x:row>
    <x:row r="250" ht="22" customHeight="1">
      <x:c r="A250" s="4" t="str">
        <x:v>Martin Nečas</x:v>
      </x:c>
      <x:c r="B250" s="4" t="str">
        <x:v>martinnecas</x:v>
      </x:c>
      <x:c r="C250" s="10" t="n">
        <x:v>1</x:v>
      </x:c>
      <x:c r="D250" s="10" t="n">
        <x:v>1</x:v>
      </x:c>
      <x:c r="E250" s="10" t="n">
        <x:v>1</x:v>
      </x:c>
      <x:c r="F250" s="4" t="n">
        <x:f>IF(COUNT(N250,Q250,T250,W250,Z250,AC250,AF250,AI250)=8,N250*Guide!$E$5+Q250*Guide!$E$6+T250*Guide!$E$7+W250*Guide!$E$8+Z250*Guide!$E$9+AC250*Guide!$E$10+AF250*Guide!$E$11+AI250*Guide!$E$12,"")</x:f>
        <x:v>351</x:v>
      </x:c>
      <x:c r="G250" s="4" t="n">
        <x:f>IF(COUNT(O250,R250,U250,X250,AA250,AD250,AG250,AJ250)=8,O250*Guide!$E$5+R250*Guide!$E$6+U250*Guide!$E$7+X250*Guide!$E$8+AA250*Guide!$E$9+AD250*Guide!$E$10+AG250*Guide!$E$11+AJ250*Guide!$E$12,"")</x:f>
        <x:v>501.25</x:v>
      </x:c>
      <x:c r="H250" s="4" t="n">
        <x:f>IF(COUNT(G250,F250)=2,G250-F250,"")</x:f>
        <x:v>150.25</x:v>
      </x:c>
      <x:c r="I250" s="4" t="n">
        <x:f>IF(AND(ISNUMBER(F250),K250&gt;0),F250/K250,"")</x:f>
        <x:v>4.5</x:v>
      </x:c>
      <x:c r="J250" s="4" t="n">
        <x:f>IF(AND(ISNUMBER(G250),L250&gt;0),G250/L250,"")</x:f>
        <x:v>6.426282051282051</x:v>
      </x:c>
      <x:c r="K250" s="10" t="n">
        <x:v>78</x:v>
      </x:c>
      <x:c r="L250" s="10" t="n">
        <x:v>78</x:v>
      </x:c>
      <x:c r="M250" s="10" t="n">
        <x:f>IF(COUNT(L250,K250)=2,L250-K250,"")</x:f>
        <x:v>0</x:v>
      </x:c>
      <x:c r="N250" s="10" t="n">
        <x:v>26</x:v>
      </x:c>
      <x:c r="O250" s="10" t="n">
        <x:v>38</x:v>
      </x:c>
      <x:c r="P250" s="10" t="n">
        <x:f>IF(COUNT(O250,N250)=2,O250-N250,"")</x:f>
        <x:v>12</x:v>
      </x:c>
      <x:c r="Q250" s="10" t="n">
        <x:v>44</x:v>
      </x:c>
      <x:c r="R250" s="10" t="n">
        <x:v>62</x:v>
      </x:c>
      <x:c r="S250" s="10" t="n">
        <x:f>IF(COUNT(R250,Q250)=2,R250-Q250,"")</x:f>
        <x:v>18</x:v>
      </x:c>
      <x:c r="T250" s="10" t="n">
        <x:v>2</x:v>
      </x:c>
      <x:c r="U250" s="10" t="n">
        <x:v>47</x:v>
      </x:c>
      <x:c r="V250" s="10" t="n">
        <x:f>IF(COUNT(U250,T250)=2,U250-T250,"")</x:f>
        <x:v>45</x:v>
      </x:c>
      <x:c r="W250" s="10" t="n">
        <x:v>26</x:v>
      </x:c>
      <x:c r="X250" s="10" t="n">
        <x:f>IF(COUNT(AV250,AW250)=2,AV250+AW250,"")</x:f>
        <x:v>24</x:v>
      </x:c>
      <x:c r="Y250" s="10" t="n">
        <x:f>IF(COUNT(X250,W250)=2,X250-W250,"")</x:f>
        <x:v>-2</x:v>
      </x:c>
      <x:c r="Z250" s="10" t="n">
        <x:v>0</x:v>
      </x:c>
      <x:c r="AA250" s="10" t="n">
        <x:f>IF(COUNT(AX250,AY250)=2,AX250+AY250,"")</x:f>
        <x:v>0</x:v>
      </x:c>
      <x:c r="AB250" s="10" t="n">
        <x:f>IF(COUNT(AA250,Z250)=2,AA250-Z250,"")</x:f>
        <x:v>0</x:v>
      </x:c>
      <x:c r="AC250" s="10" t="n">
        <x:v>203</x:v>
      </x:c>
      <x:c r="AD250" s="10" t="n">
        <x:v>206</x:v>
      </x:c>
      <x:c r="AE250" s="10" t="n">
        <x:f>IF(COUNT(AD250,AC250)=2,AD250-AC250,"")</x:f>
        <x:v>3</x:v>
      </x:c>
      <x:c r="AF250" s="10" t="n">
        <x:v>64</x:v>
      </x:c>
      <x:c r="AG250" s="10" t="n">
        <x:v>85</x:v>
      </x:c>
      <x:c r="AH250" s="10" t="n">
        <x:f>IF(COUNT(AG250,AF250)=2,AG250-AF250,"")</x:f>
        <x:v>21</x:v>
      </x:c>
      <x:c r="AI250" s="10" t="n">
        <x:v>27</x:v>
      </x:c>
      <x:c r="AJ250" s="10" t="n">
        <x:v>26</x:v>
      </x:c>
      <x:c r="AK250" s="10" t="n">
        <x:f>IF(COUNT(AJ250,AI250)=2,AJ250-AI250,"")</x:f>
        <x:v>-1</x:v>
      </x:c>
      <x:c r="AL250" s="10" t="n">
        <x:v>27</x:v>
      </x:c>
      <x:c r="AM250" s="10" t="n">
        <x:v>27</x:v>
      </x:c>
      <x:c r="AN250" s="4" t="str">
        <x:v>RW</x:v>
      </x:c>
      <x:c r="AO250" s="4" t="str">
        <x:v>C</x:v>
      </x:c>
      <x:c r="AP250" s="4" t="str">
        <x:v>COL</x:v>
      </x:c>
      <x:c r="AQ250" s="4" t="str">
        <x:v>COL</x:v>
      </x:c>
      <x:c r="AR250" s="4" t="n">
        <x:v>18.730000000000004</x:v>
      </x:c>
      <x:c r="AS250" s="4" t="n">
        <x:v>21.5</x:v>
      </x:c>
      <x:c r="AT250" s="4" t="n">
        <x:v>3.25</x:v>
      </x:c>
      <x:c r="AU250" s="4" t="n">
        <x:v>18.4</x:v>
      </x:c>
      <x:c r="AV250" s="10" t="n">
        <x:v>9</x:v>
      </x:c>
      <x:c r="AW250" s="10" t="n">
        <x:v>15</x:v>
      </x:c>
      <x:c r="AX250" s="10" t="n">
        <x:v>0</x:v>
      </x:c>
      <x:c r="AY250" s="10" t="n">
        <x:v>0</x:v>
      </x:c>
      <x:c r="AZ250" s="10" t="n">
        <x:v>1676</x:v>
      </x:c>
      <x:c r="BA250" s="10" t="n">
        <x:v>1294</x:v>
      </x:c>
      <x:c r="BB250" s="4" t="n">
        <x:v>56.4</x:v>
      </x:c>
      <x:c r="BC250" s="4" t="n">
        <x:v>0.3</x:v>
      </x:c>
      <x:c r="BD250" s="10" t="n">
        <x:v>1170</x:v>
      </x:c>
      <x:c r="BE250" s="10" t="n">
        <x:v>965</x:v>
      </x:c>
      <x:c r="BF250" s="4" t="n">
        <x:v>54.8</x:v>
      </x:c>
      <x:c r="BG250" s="4" t="n">
        <x:v>-1.3</x:v>
      </x:c>
      <x:c r="BH250" s="4" t="n">
        <x:v>13.8</x:v>
      </x:c>
      <x:c r="BI250" s="4" t="n">
        <x:v>91.2</x:v>
      </x:c>
      <x:c r="BJ250" s="4" t="n">
        <x:v>105</x:v>
      </x:c>
      <x:c r="BK250" s="4" t="n">
        <x:v>61.8</x:v>
      </x:c>
      <x:c r="BL250" s="4" t="n">
        <x:v>38.2</x:v>
      </x:c>
      <x:c r="BM250" s="4" t="n">
        <x:v>21.5</x:v>
      </x:c>
      <x:c r="BN250" s="4" t="n">
        <x:v>17.4</x:v>
      </x:c>
      <x:c r="BO250" s="10" t="n">
        <x:v>23</x:v>
      </x:c>
      <x:c r="BP250" s="10" t="n">
        <x:v>123</x:v>
      </x:c>
      <x:c r="BQ250" s="4" t="n">
        <x:v>22.8</x:v>
      </x:c>
      <x:c r="BR250" s="10" t="n">
        <x:v>417</x:v>
      </x:c>
      <x:c r="BS250" s="4" t="n">
        <x:v>49.4</x:v>
      </x:c>
      <x:c r="BT250" s="10" t="n">
        <x:v>78</x:v>
      </x:c>
      <x:c r="BU250" s="4" t="str">
        <x:v>COL</x:v>
      </x:c>
      <x:c r="BV250" s="10" t="n">
        <x:v>49</x:v>
      </x:c>
      <x:c r="BW250" s="10" t="n">
        <x:v>9</x:v>
      </x:c>
      <x:c r="BX250" s="10" t="n">
        <x:v>732</x:v>
      </x:c>
      <x:c r="BY250" s="4" t="str">
        <x:v>Martin Necas</x:v>
      </x:c>
      <x:c r="BZ250" s="4" t="str">
        <x:v>Martin Nečas</x:v>
      </x:c>
      <x:c r="CA250" s="4" t="str">
        <x:v>Martin Nečas</x:v>
      </x:c>
      <x:c r="CB250" s="4" t="str">
        <x:v>necasma01</x:v>
      </x:c>
    </x:row>
    <x:row r="251" ht="22" customHeight="1">
      <x:c r="A251" s="4" t="str">
        <x:v>Mason Lohrei</x:v>
      </x:c>
      <x:c r="B251" s="4" t="str">
        <x:v>masonlohrei</x:v>
      </x:c>
      <x:c r="C251" s="10" t="n">
        <x:v>1</x:v>
      </x:c>
      <x:c r="D251" s="10" t="n">
        <x:v>1</x:v>
      </x:c>
      <x:c r="E251" s="10" t="n">
        <x:v>1</x:v>
      </x:c>
      <x:c r="F251" s="4" t="n">
        <x:f>IF(COUNT(N251,Q251,T251,W251,Z251,AC251,AF251,AI251)=8,N251*Guide!$E$5+Q251*Guide!$E$6+T251*Guide!$E$7+W251*Guide!$E$8+Z251*Guide!$E$9+AC251*Guide!$E$10+AF251*Guide!$E$11+AI251*Guide!$E$12,"")</x:f>
        <x:v>204.5</x:v>
      </x:c>
      <x:c r="G251" s="4" t="n">
        <x:f>IF(COUNT(O251,R251,U251,X251,AA251,AD251,AG251,AJ251)=8,O251*Guide!$E$5+R251*Guide!$E$6+U251*Guide!$E$7+X251*Guide!$E$8+AA251*Guide!$E$9+AD251*Guide!$E$10+AG251*Guide!$E$11+AJ251*Guide!$E$12,"")</x:f>
        <x:v>201.75</x:v>
      </x:c>
      <x:c r="H251" s="4" t="n">
        <x:f>IF(COUNT(G251,F251)=2,G251-F251,"")</x:f>
        <x:v>-2.75</x:v>
      </x:c>
      <x:c r="I251" s="4" t="n">
        <x:f>IF(AND(ISNUMBER(F251),K251&gt;0),F251/K251,"")</x:f>
        <x:v>2.7635135135135136</x:v>
      </x:c>
      <x:c r="J251" s="4" t="n">
        <x:f>IF(AND(ISNUMBER(G251),L251&gt;0),G251/L251,"")</x:f>
        <x:v>2.7636986301369864</x:v>
      </x:c>
      <x:c r="K251" s="10" t="n">
        <x:v>74</x:v>
      </x:c>
      <x:c r="L251" s="10" t="n">
        <x:v>73</x:v>
      </x:c>
      <x:c r="M251" s="10" t="n">
        <x:f>IF(COUNT(L251,K251)=2,L251-K251,"")</x:f>
        <x:v>-1</x:v>
      </x:c>
      <x:c r="N251" s="10" t="n">
        <x:v>6</x:v>
      </x:c>
      <x:c r="O251" s="10" t="n">
        <x:v>7</x:v>
      </x:c>
      <x:c r="P251" s="10" t="n">
        <x:f>IF(COUNT(O251,N251)=2,O251-N251,"")</x:f>
        <x:v>1</x:v>
      </x:c>
      <x:c r="Q251" s="10" t="n">
        <x:v>24</x:v>
      </x:c>
      <x:c r="R251" s="10" t="n">
        <x:v>19</x:v>
      </x:c>
      <x:c r="S251" s="10" t="n">
        <x:f>IF(COUNT(R251,Q251)=2,R251-Q251,"")</x:f>
        <x:v>-5</x:v>
      </x:c>
      <x:c r="T251" s="10" t="n">
        <x:v>-11</x:v>
      </x:c>
      <x:c r="U251" s="10" t="n">
        <x:v>17</x:v>
      </x:c>
      <x:c r="V251" s="10" t="n">
        <x:f>IF(COUNT(U251,T251)=2,U251-T251,"")</x:f>
        <x:v>28</x:v>
      </x:c>
      <x:c r="W251" s="10" t="n">
        <x:v>11</x:v>
      </x:c>
      <x:c r="X251" s="10" t="n">
        <x:f>IF(COUNT(AV251,AW251)=2,AV251+AW251,"")</x:f>
        <x:v>5</x:v>
      </x:c>
      <x:c r="Y251" s="10" t="n">
        <x:f>IF(COUNT(X251,W251)=2,X251-W251,"")</x:f>
        <x:v>-6</x:v>
      </x:c>
      <x:c r="Z251" s="10" t="n">
        <x:v>0</x:v>
      </x:c>
      <x:c r="AA251" s="10" t="n">
        <x:f>IF(COUNT(AX251,AY251)=2,AX251+AY251,"")</x:f>
        <x:v>0</x:v>
      </x:c>
      <x:c r="AB251" s="10" t="n">
        <x:f>IF(COUNT(AA251,Z251)=2,AA251-Z251,"")</x:f>
        <x:v>0</x:v>
      </x:c>
      <x:c r="AC251" s="10" t="n">
        <x:v>91</x:v>
      </x:c>
      <x:c r="AD251" s="10" t="n">
        <x:v>73</x:v>
      </x:c>
      <x:c r="AE251" s="10" t="n">
        <x:f>IF(COUNT(AD251,AC251)=2,AD251-AC251,"")</x:f>
        <x:v>-18</x:v>
      </x:c>
      <x:c r="AF251" s="10" t="n">
        <x:v>31</x:v>
      </x:c>
      <x:c r="AG251" s="10" t="n">
        <x:v>30</x:v>
      </x:c>
      <x:c r="AH251" s="10" t="n">
        <x:f>IF(COUNT(AG251,AF251)=2,AG251-AF251,"")</x:f>
        <x:v>-1</x:v>
      </x:c>
      <x:c r="AI251" s="10" t="n">
        <x:v>104</x:v>
      </x:c>
      <x:c r="AJ251" s="10" t="n">
        <x:v>92</x:v>
      </x:c>
      <x:c r="AK251" s="10" t="n">
        <x:f>IF(COUNT(AJ251,AI251)=2,AJ251-AI251,"")</x:f>
        <x:v>-12</x:v>
      </x:c>
      <x:c r="AL251" s="10" t="n">
        <x:v>25</x:v>
      </x:c>
      <x:c r="AM251" s="10" t="n">
        <x:v>25</x:v>
      </x:c>
      <x:c r="AN251" s="4" t="str">
        <x:v>D</x:v>
      </x:c>
      <x:c r="AO251" s="4" t="str">
        <x:v>D</x:v>
      </x:c>
      <x:c r="AP251" s="4" t="str">
        <x:v>BOS</x:v>
      </x:c>
      <x:c r="AQ251" s="4" t="str">
        <x:v>BOS</x:v>
      </x:c>
      <x:c r="AR251" s="4" t="n">
        <x:v>19.189999999999998</x:v>
      </x:c>
      <x:c r="AS251" s="4" t="n">
        <x:v>16.9</x:v>
      </x:c>
      <x:c r="AT251" s="4" t="n">
        <x:v>1.84</x:v>
      </x:c>
      <x:c r="AU251" s="4" t="n">
        <x:v>9.6</x:v>
      </x:c>
      <x:c r="AV251" s="10" t="n">
        <x:v>2</x:v>
      </x:c>
      <x:c r="AW251" s="10" t="n">
        <x:v>3</x:v>
      </x:c>
      <x:c r="AX251" s="10" t="n">
        <x:v>0</x:v>
      </x:c>
      <x:c r="AY251" s="10" t="n">
        <x:v>0</x:v>
      </x:c>
      <x:c r="AZ251" s="10" t="n">
        <x:v>1046</x:v>
      </x:c>
      <x:c r="BA251" s="10" t="n">
        <x:v>1160</x:v>
      </x:c>
      <x:c r="BB251" s="4" t="n">
        <x:v>47.4</x:v>
      </x:c>
      <x:c r="BC251" s="4" t="n">
        <x:v>-1.2</x:v>
      </x:c>
      <x:c r="BD251" s="10" t="n">
        <x:v>736</x:v>
      </x:c>
      <x:c r="BE251" s="10" t="n">
        <x:v>832</x:v>
      </x:c>
      <x:c r="BF251" s="4" t="n">
        <x:v>46.9</x:v>
      </x:c>
      <x:c r="BG251" s="4" t="n">
        <x:v>-2.1</x:v>
      </x:c>
      <x:c r="BH251" s="4" t="n">
        <x:v>10.5</x:v>
      </x:c>
      <x:c r="BI251" s="4" t="n">
        <x:v>93.8</x:v>
      </x:c>
      <x:c r="BJ251" s="4" t="n">
        <x:v>104.4</x:v>
      </x:c>
      <x:c r="BK251" s="4" t="n">
        <x:v>52.4</x:v>
      </x:c>
      <x:c r="BL251" s="4" t="n">
        <x:v>47.6</x:v>
      </x:c>
      <x:c r="BM251" s="4" t="n">
        <x:v>16.9</x:v>
      </x:c>
      <x:c r="BN251" s="4" t="n">
        <x:v>15.416666666666666</x:v>
      </x:c>
      <x:c r="BO251" s="10" t="n">
        <x:v>20</x:v>
      </x:c>
      <x:c r="BP251" s="10" t="n">
        <x:v>93</x:v>
      </x:c>
      <x:c r="BQ251" s="4" t="n">
        <x:v>-3.9</x:v>
      </x:c>
      <x:c r="BR251" s="10" t="n">
        <x:v>200</x:v>
      </x:c>
      <x:c r="BS251" s="4" t="n">
        <x:v>36.5</x:v>
      </x:c>
      <x:c r="BT251" s="10" t="n">
        <x:v>73</x:v>
      </x:c>
      <x:c r="BU251" s="4" t="str">
        <x:v>BOS</x:v>
      </x:c>
      <x:c r="BV251" s="10" t="n">
        <x:v>371</x:v>
      </x:c>
      <x:c r="BW251" s="10" t="n">
        <x:v>376</x:v>
      </x:c>
      <x:c r="BX251" s="10" t="n">
        <x:v>605</x:v>
      </x:c>
      <x:c r="BY251" s="4" t="str">
        <x:v>Mason Lohrei</x:v>
      </x:c>
      <x:c r="BZ251" s="4" t="str">
        <x:v>Mason Lohrei</x:v>
      </x:c>
      <x:c r="CA251" s="4" t="str">
        <x:v>Mason Lohrei</x:v>
      </x:c>
      <x:c r="CB251" s="4" t="str">
        <x:v>lohrema01</x:v>
      </x:c>
    </x:row>
    <x:row r="252" ht="22" customHeight="1">
      <x:c r="A252" s="4" t="str">
        <x:v>Mason Marchment</x:v>
      </x:c>
      <x:c r="B252" s="4" t="str">
        <x:v>masonmarchment</x:v>
      </x:c>
      <x:c r="C252" s="10" t="n">
        <x:v>1</x:v>
      </x:c>
      <x:c r="D252" s="10" t="n">
        <x:v>1</x:v>
      </x:c>
      <x:c r="E252" s="10" t="n">
        <x:v>1</x:v>
      </x:c>
      <x:c r="F252" s="4" t="n">
        <x:f>IF(COUNT(N252,Q252,T252,W252,Z252,AC252,AF252,AI252)=8,N252*Guide!$E$5+Q252*Guide!$E$6+T252*Guide!$E$7+W252*Guide!$E$8+Z252*Guide!$E$9+AC252*Guide!$E$10+AF252*Guide!$E$11+AI252*Guide!$E$12,"")</x:f>
        <x:v>276</x:v>
      </x:c>
      <x:c r="G252" s="4" t="n">
        <x:f>IF(COUNT(O252,R252,U252,X252,AA252,AD252,AG252,AJ252)=8,O252*Guide!$E$5+R252*Guide!$E$6+U252*Guide!$E$7+X252*Guide!$E$8+AA252*Guide!$E$9+AD252*Guide!$E$10+AG252*Guide!$E$11+AJ252*Guide!$E$12,"")</x:f>
        <x:v>249.75</x:v>
      </x:c>
      <x:c r="H252" s="4" t="n">
        <x:f>IF(COUNT(G252,F252)=2,G252-F252,"")</x:f>
        <x:v>-26.25</x:v>
      </x:c>
      <x:c r="I252" s="4" t="n">
        <x:f>IF(AND(ISNUMBER(F252),K252&gt;0),F252/K252,"")</x:f>
        <x:v>3.5844155844155843</x:v>
      </x:c>
      <x:c r="J252" s="4" t="n">
        <x:f>IF(AND(ISNUMBER(G252),L252&gt;0),G252/L252,"")</x:f>
        <x:v>3.672794117647059</x:v>
      </x:c>
      <x:c r="K252" s="10" t="n">
        <x:v>77</x:v>
      </x:c>
      <x:c r="L252" s="10" t="n">
        <x:v>68</x:v>
      </x:c>
      <x:c r="M252" s="10" t="n">
        <x:f>IF(COUNT(L252,K252)=2,L252-K252,"")</x:f>
        <x:v>-9</x:v>
      </x:c>
      <x:c r="N252" s="10" t="n">
        <x:v>23</x:v>
      </x:c>
      <x:c r="O252" s="10" t="n">
        <x:v>19</x:v>
      </x:c>
      <x:c r="P252" s="10" t="n">
        <x:f>IF(COUNT(O252,N252)=2,O252-N252,"")</x:f>
        <x:v>-4</x:v>
      </x:c>
      <x:c r="Q252" s="10" t="n">
        <x:v>27</x:v>
      </x:c>
      <x:c r="R252" s="10" t="n">
        <x:v>26</x:v>
      </x:c>
      <x:c r="S252" s="10" t="n">
        <x:f>IF(COUNT(R252,Q252)=2,R252-Q252,"")</x:f>
        <x:v>-1</x:v>
      </x:c>
      <x:c r="T252" s="10" t="n">
        <x:v>5</x:v>
      </x:c>
      <x:c r="U252" s="10" t="n">
        <x:v>17</x:v>
      </x:c>
      <x:c r="V252" s="10" t="n">
        <x:f>IF(COUNT(U252,T252)=2,U252-T252,"")</x:f>
        <x:v>12</x:v>
      </x:c>
      <x:c r="W252" s="10" t="n">
        <x:v>12</x:v>
      </x:c>
      <x:c r="X252" s="10" t="n">
        <x:f>IF(COUNT(AV252,AW252)=2,AV252+AW252,"")</x:f>
        <x:v>7</x:v>
      </x:c>
      <x:c r="Y252" s="10" t="n">
        <x:f>IF(COUNT(X252,W252)=2,X252-W252,"")</x:f>
        <x:v>-5</x:v>
      </x:c>
      <x:c r="Z252" s="10" t="n">
        <x:v>0</x:v>
      </x:c>
      <x:c r="AA252" s="10" t="n">
        <x:f>IF(COUNT(AX252,AY252)=2,AX252+AY252,"")</x:f>
        <x:v>0</x:v>
      </x:c>
      <x:c r="AB252" s="10" t="n">
        <x:f>IF(COUNT(AA252,Z252)=2,AA252-Z252,"")</x:f>
        <x:v>0</x:v>
      </x:c>
      <x:c r="AC252" s="10" t="n">
        <x:v>150</x:v>
      </x:c>
      <x:c r="AD252" s="10" t="n">
        <x:v>119</x:v>
      </x:c>
      <x:c r="AE252" s="10" t="n">
        <x:f>IF(COUNT(AD252,AC252)=2,AD252-AC252,"")</x:f>
        <x:v>-31</x:v>
      </x:c>
      <x:c r="AF252" s="10" t="n">
        <x:v>98</x:v>
      </x:c>
      <x:c r="AG252" s="10" t="n">
        <x:v>84</x:v>
      </x:c>
      <x:c r="AH252" s="10" t="n">
        <x:f>IF(COUNT(AG252,AF252)=2,AG252-AF252,"")</x:f>
        <x:v>-14</x:v>
      </x:c>
      <x:c r="AI252" s="10" t="n">
        <x:v>32</x:v>
      </x:c>
      <x:c r="AJ252" s="10" t="n">
        <x:v>28</x:v>
      </x:c>
      <x:c r="AK252" s="10" t="n">
        <x:f>IF(COUNT(AJ252,AI252)=2,AJ252-AI252,"")</x:f>
        <x:v>-4</x:v>
      </x:c>
      <x:c r="AL252" s="10" t="n">
        <x:v>30</x:v>
      </x:c>
      <x:c r="AM252" s="10" t="n">
        <x:v>30</x:v>
      </x:c>
      <x:c r="AN252" s="4" t="str">
        <x:v>LW</x:v>
      </x:c>
      <x:c r="AO252" s="4" t="str">
        <x:v>F</x:v>
      </x:c>
      <x:c r="AP252" s="4" t="str">
        <x:v>SEA</x:v>
      </x:c>
      <x:c r="AQ252" s="4" t="str">
        <x:v>2TM</x:v>
      </x:c>
      <x:c r="AR252" s="4" t="n">
        <x:v>15.17</x:v>
      </x:c>
      <x:c r="AS252" s="4" t="n">
        <x:v>17.366666666666667</x:v>
      </x:c>
      <x:c r="AT252" s="4" t="n">
        <x:v>1.82</x:v>
      </x:c>
      <x:c r="AU252" s="4" t="n">
        <x:v>16</x:v>
      </x:c>
      <x:c r="AV252" s="10" t="n">
        <x:v>3</x:v>
      </x:c>
      <x:c r="AW252" s="10" t="n">
        <x:v>4</x:v>
      </x:c>
      <x:c r="AX252" s="10" t="n">
        <x:v>0</x:v>
      </x:c>
      <x:c r="AY252" s="10" t="n">
        <x:v>0</x:v>
      </x:c>
      <x:c r="AZ252" s="10" t="n">
        <x:v>1005</x:v>
      </x:c>
      <x:c r="BA252" s="10" t="n">
        <x:v>934</x:v>
      </x:c>
      <x:c r="BB252" s="4" t="n">
        <x:v>51.8</x:v>
      </x:c>
      <x:c r="BC252" s="4" t="n">
        <x:v>4</x:v>
      </x:c>
      <x:c r="BD252" s="10" t="n">
        <x:v>713</x:v>
      </x:c>
      <x:c r="BE252" s="10" t="n">
        <x:v>671</x:v>
      </x:c>
      <x:c r="BF252" s="4" t="n">
        <x:v>51.5</x:v>
      </x:c>
      <x:c r="BG252" s="4" t="n">
        <x:v>3.5</x:v>
      </x:c>
      <x:c r="BH252" s="4" t="n">
        <x:v>11.4</x:v>
      </x:c>
      <x:c r="BI252" s="4" t="n">
        <x:v>92</x:v>
      </x:c>
      <x:c r="BJ252" s="4" t="n">
        <x:v>103.4</x:v>
      </x:c>
      <x:c r="BK252" s="4" t="n">
        <x:v>62.8</x:v>
      </x:c>
      <x:c r="BL252" s="4" t="n">
        <x:v>37.2</x:v>
      </x:c>
      <x:c r="BM252" s="4" t="n">
        <x:v>17.366666666666667</x:v>
      </x:c>
      <x:c r="BN252" s="4" t="n">
        <x:v>15.05</x:v>
      </x:c>
      <x:c r="BO252" s="10" t="n">
        <x:v>29</x:v>
      </x:c>
      <x:c r="BP252" s="10" t="n">
        <x:v>86</x:v>
      </x:c>
      <x:c r="BQ252" s="4" t="n">
        <x:v>6.2</x:v>
      </x:c>
      <x:c r="BR252" s="10" t="n">
        <x:v>262</x:v>
      </x:c>
      <x:c r="BS252" s="4" t="n">
        <x:v>45.4</x:v>
      </x:c>
      <x:c r="BT252" s="10" t="n">
        <x:v>68</x:v>
      </x:c>
      <x:c r="BU252" s="4" t="str">
        <x:v>TOT</x:v>
      </x:c>
      <x:c r="BV252" s="10" t="n">
        <x:v>153</x:v>
      </x:c>
      <x:c r="BW252" s="10" t="n">
        <x:v>178</x:v>
      </x:c>
      <x:c r="BX252" s="10" t="n">
        <x:v>646</x:v>
      </x:c>
      <x:c r="BY252" s="4" t="str">
        <x:v>Mason Marchment</x:v>
      </x:c>
      <x:c r="BZ252" s="4" t="str">
        <x:v>Mason Marchment</x:v>
      </x:c>
      <x:c r="CA252" s="4" t="str">
        <x:v>Mason Marchment</x:v>
      </x:c>
      <x:c r="CB252" s="4" t="str">
        <x:v>marchma01</x:v>
      </x:c>
    </x:row>
    <x:row r="253" ht="22" customHeight="1">
      <x:c r="A253" s="4" t="str">
        <x:v>Mason McTavish</x:v>
      </x:c>
      <x:c r="B253" s="4" t="str">
        <x:v>masonmctavish</x:v>
      </x:c>
      <x:c r="C253" s="10" t="n">
        <x:v>1</x:v>
      </x:c>
      <x:c r="D253" s="10" t="n">
        <x:v>1</x:v>
      </x:c>
      <x:c r="E253" s="10" t="n">
        <x:v>1</x:v>
      </x:c>
      <x:c r="F253" s="4" t="n">
        <x:f>IF(COUNT(N253,Q253,T253,W253,Z253,AC253,AF253,AI253)=8,N253*Guide!$E$5+Q253*Guide!$E$6+T253*Guide!$E$7+W253*Guide!$E$8+Z253*Guide!$E$9+AC253*Guide!$E$10+AF253*Guide!$E$11+AI253*Guide!$E$12,"")</x:f>
        <x:v>275.75</x:v>
      </x:c>
      <x:c r="G253" s="4" t="n">
        <x:f>IF(COUNT(O253,R253,U253,X253,AA253,AD253,AG253,AJ253)=8,O253*Guide!$E$5+R253*Guide!$E$6+U253*Guide!$E$7+X253*Guide!$E$8+AA253*Guide!$E$9+AD253*Guide!$E$10+AG253*Guide!$E$11+AJ253*Guide!$E$12,"")</x:f>
        <x:v>221</x:v>
      </x:c>
      <x:c r="H253" s="4" t="n">
        <x:f>IF(COUNT(G253,F253)=2,G253-F253,"")</x:f>
        <x:v>-54.75</x:v>
      </x:c>
      <x:c r="I253" s="4" t="n">
        <x:f>IF(AND(ISNUMBER(F253),K253&gt;0),F253/K253,"")</x:f>
        <x:v>3.6282894736842106</x:v>
      </x:c>
      <x:c r="J253" s="4" t="n">
        <x:f>IF(AND(ISNUMBER(G253),L253&gt;0),G253/L253,"")</x:f>
        <x:v>2.9466666666666668</x:v>
      </x:c>
      <x:c r="K253" s="10" t="n">
        <x:v>76</x:v>
      </x:c>
      <x:c r="L253" s="10" t="n">
        <x:v>75</x:v>
      </x:c>
      <x:c r="M253" s="10" t="n">
        <x:f>IF(COUNT(L253,K253)=2,L253-K253,"")</x:f>
        <x:v>-1</x:v>
      </x:c>
      <x:c r="N253" s="10" t="n">
        <x:v>26</x:v>
      </x:c>
      <x:c r="O253" s="10" t="n">
        <x:v>17</x:v>
      </x:c>
      <x:c r="P253" s="10" t="n">
        <x:f>IF(COUNT(O253,N253)=2,O253-N253,"")</x:f>
        <x:v>-9</x:v>
      </x:c>
      <x:c r="Q253" s="10" t="n">
        <x:v>27</x:v>
      </x:c>
      <x:c r="R253" s="10" t="n">
        <x:v>24</x:v>
      </x:c>
      <x:c r="S253" s="10" t="n">
        <x:f>IF(COUNT(R253,Q253)=2,R253-Q253,"")</x:f>
        <x:v>-3</x:v>
      </x:c>
      <x:c r="T253" s="10" t="n">
        <x:v>-14</x:v>
      </x:c>
      <x:c r="U253" s="10" t="n">
        <x:v>-15</x:v>
      </x:c>
      <x:c r="V253" s="10" t="n">
        <x:f>IF(COUNT(U253,T253)=2,U253-T253,"")</x:f>
        <x:v>-1</x:v>
      </x:c>
      <x:c r="W253" s="10" t="n">
        <x:v>16</x:v>
      </x:c>
      <x:c r="X253" s="10" t="n">
        <x:f>IF(COUNT(AV253,AW253)=2,AV253+AW253,"")</x:f>
        <x:v>11</x:v>
      </x:c>
      <x:c r="Y253" s="10" t="n">
        <x:f>IF(COUNT(X253,W253)=2,X253-W253,"")</x:f>
        <x:v>-5</x:v>
      </x:c>
      <x:c r="Z253" s="10" t="n">
        <x:v>0</x:v>
      </x:c>
      <x:c r="AA253" s="10" t="n">
        <x:f>IF(COUNT(AX253,AY253)=2,AX253+AY253,"")</x:f>
        <x:v>0</x:v>
      </x:c>
      <x:c r="AB253" s="10" t="n">
        <x:f>IF(COUNT(AA253,Z253)=2,AA253-Z253,"")</x:f>
        <x:v>0</x:v>
      </x:c>
      <x:c r="AC253" s="10" t="n">
        <x:v>172</x:v>
      </x:c>
      <x:c r="AD253" s="10" t="n">
        <x:v>146</x:v>
      </x:c>
      <x:c r="AE253" s="10" t="n">
        <x:f>IF(COUNT(AD253,AC253)=2,AD253-AC253,"")</x:f>
        <x:v>-26</x:v>
      </x:c>
      <x:c r="AF253" s="10" t="n">
        <x:v>72</x:v>
      </x:c>
      <x:c r="AG253" s="10" t="n">
        <x:v>95</x:v>
      </x:c>
      <x:c r="AH253" s="10" t="n">
        <x:f>IF(COUNT(AG253,AF253)=2,AG253-AF253,"")</x:f>
        <x:v>23</x:v>
      </x:c>
      <x:c r="AI253" s="10" t="n">
        <x:v>37</x:v>
      </x:c>
      <x:c r="AJ253" s="10" t="n">
        <x:v>33</x:v>
      </x:c>
      <x:c r="AK253" s="10" t="n">
        <x:f>IF(COUNT(AJ253,AI253)=2,AJ253-AI253,"")</x:f>
        <x:v>-4</x:v>
      </x:c>
      <x:c r="AL253" s="10" t="n">
        <x:v>23</x:v>
      </x:c>
      <x:c r="AM253" s="10" t="n">
        <x:v>23</x:v>
      </x:c>
      <x:c r="AN253" s="4" t="str">
        <x:v>C</x:v>
      </x:c>
      <x:c r="AO253" s="4" t="str">
        <x:v>C</x:v>
      </x:c>
      <x:c r="AP253" s="4" t="str">
        <x:v>ANA</x:v>
      </x:c>
      <x:c r="AQ253" s="4" t="str">
        <x:v>ANA</x:v>
      </x:c>
      <x:c r="AR253" s="4" t="n">
        <x:v>17.080000000000002</x:v>
      </x:c>
      <x:c r="AS253" s="4" t="n">
        <x:v>15.316666666666666</x:v>
      </x:c>
      <x:c r="AT253" s="4" t="n">
        <x:v>2.54</x:v>
      </x:c>
      <x:c r="AU253" s="4" t="n">
        <x:v>11.6</x:v>
      </x:c>
      <x:c r="AV253" s="10" t="n">
        <x:v>6</x:v>
      </x:c>
      <x:c r="AW253" s="10" t="n">
        <x:v>5</x:v>
      </x:c>
      <x:c r="AX253" s="10" t="n">
        <x:v>0</x:v>
      </x:c>
      <x:c r="AY253" s="10" t="n">
        <x:v>0</x:v>
      </x:c>
      <x:c r="AZ253" s="10" t="n">
        <x:v>1168</x:v>
      </x:c>
      <x:c r="BA253" s="10" t="n">
        <x:v>1026</x:v>
      </x:c>
      <x:c r="BB253" s="4" t="n">
        <x:v>53.2</x:v>
      </x:c>
      <x:c r="BC253" s="4" t="n">
        <x:v>0.9</x:v>
      </x:c>
      <x:c r="BD253" s="10" t="n">
        <x:v>847</x:v>
      </x:c>
      <x:c r="BE253" s="10" t="n">
        <x:v>768</x:v>
      </x:c>
      <x:c r="BF253" s="4" t="n">
        <x:v>52.4</x:v>
      </x:c>
      <x:c r="BG253" s="4" t="n">
        <x:v>-0.4</x:v>
      </x:c>
      <x:c r="BH253" s="4" t="n">
        <x:v>10.2</x:v>
      </x:c>
      <x:c r="BI253" s="4" t="n">
        <x:v>86.3</x:v>
      </x:c>
      <x:c r="BJ253" s="4" t="n">
        <x:v>96.5</x:v>
      </x:c>
      <x:c r="BK253" s="4" t="n">
        <x:v>60.5</x:v>
      </x:c>
      <x:c r="BL253" s="4" t="n">
        <x:v>39.5</x:v>
      </x:c>
      <x:c r="BM253" s="4" t="n">
        <x:v>15.316666666666666</x:v>
      </x:c>
      <x:c r="BN253" s="4" t="n">
        <x:v>13.183333333333334</x:v>
      </x:c>
      <x:c r="BO253" s="10" t="n">
        <x:v>16</x:v>
      </x:c>
      <x:c r="BP253" s="10" t="n">
        <x:v>55</x:v>
      </x:c>
      <x:c r="BQ253" s="4" t="n">
        <x:v>1</x:v>
      </x:c>
      <x:c r="BR253" s="10" t="n">
        <x:v>325</x:v>
      </x:c>
      <x:c r="BS253" s="4" t="n">
        <x:v>44.9</x:v>
      </x:c>
      <x:c r="BT253" s="10" t="n">
        <x:v>75</x:v>
      </x:c>
      <x:c r="BU253" s="4" t="str">
        <x:v>ANA</x:v>
      </x:c>
      <x:c r="BV253" s="10" t="n">
        <x:v>134</x:v>
      </x:c>
      <x:c r="BW253" s="10" t="n">
        <x:v>208</x:v>
      </x:c>
      <x:c r="BX253" s="10" t="n">
        <x:v>682</x:v>
      </x:c>
      <x:c r="BY253" s="4" t="str">
        <x:v>Mason McTavish</x:v>
      </x:c>
      <x:c r="BZ253" s="4" t="str">
        <x:v>Mason McTavish</x:v>
      </x:c>
      <x:c r="CA253" s="4" t="str">
        <x:v>Mason McTavish</x:v>
      </x:c>
      <x:c r="CB253" s="4" t="str">
        <x:v>mctavma01</x:v>
      </x:c>
    </x:row>
    <x:row r="254" ht="22" customHeight="1">
      <x:c r="A254" s="4" t="str">
        <x:v>Mathew Barzal</x:v>
      </x:c>
      <x:c r="B254" s="4" t="str">
        <x:v>mathewbarzal</x:v>
      </x:c>
      <x:c r="C254" s="10" t="n">
        <x:v>1</x:v>
      </x:c>
      <x:c r="D254" s="10" t="n">
        <x:v>1</x:v>
      </x:c>
      <x:c r="E254" s="10" t="n">
        <x:v>1</x:v>
      </x:c>
      <x:c r="F254" s="4" t="n">
        <x:f>IF(COUNT(N254,Q254,T254,W254,Z254,AC254,AF254,AI254)=8,N254*Guide!$E$5+Q254*Guide!$E$6+T254*Guide!$E$7+W254*Guide!$E$8+Z254*Guide!$E$9+AC254*Guide!$E$10+AF254*Guide!$E$11+AI254*Guide!$E$12,"")</x:f>
        <x:v>361.25</x:v>
      </x:c>
      <x:c r="G254" s="4" t="n">
        <x:f>IF(COUNT(O254,R254,U254,X254,AA254,AD254,AG254,AJ254)=8,O254*Guide!$E$5+R254*Guide!$E$6+U254*Guide!$E$7+X254*Guide!$E$8+AA254*Guide!$E$9+AD254*Guide!$E$10+AG254*Guide!$E$11+AJ254*Guide!$E$12,"")</x:f>
        <x:v>355.75</x:v>
      </x:c>
      <x:c r="H254" s="4" t="n">
        <x:f>IF(COUNT(G254,F254)=2,G254-F254,"")</x:f>
        <x:v>-5.5</x:v>
      </x:c>
      <x:c r="I254" s="4" t="n">
        <x:f>IF(AND(ISNUMBER(F254),K254&gt;0),F254/K254,"")</x:f>
        <x:v>4.631410256410256</x:v>
      </x:c>
      <x:c r="J254" s="4" t="n">
        <x:f>IF(AND(ISNUMBER(G254),L254&gt;0),G254/L254,"")</x:f>
        <x:v>4.3919753086419755</x:v>
      </x:c>
      <x:c r="K254" s="10" t="n">
        <x:v>78</x:v>
      </x:c>
      <x:c r="L254" s="10" t="n">
        <x:v>81</x:v>
      </x:c>
      <x:c r="M254" s="10" t="n">
        <x:f>IF(COUNT(L254,K254)=2,L254-K254,"")</x:f>
        <x:v>3</x:v>
      </x:c>
      <x:c r="N254" s="10" t="n">
        <x:v>21</x:v>
      </x:c>
      <x:c r="O254" s="10" t="n">
        <x:v>19</x:v>
      </x:c>
      <x:c r="P254" s="10" t="n">
        <x:f>IF(COUNT(O254,N254)=2,O254-N254,"")</x:f>
        <x:v>-2</x:v>
      </x:c>
      <x:c r="Q254" s="10" t="n">
        <x:v>48</x:v>
      </x:c>
      <x:c r="R254" s="10" t="n">
        <x:v>53</x:v>
      </x:c>
      <x:c r="S254" s="10" t="n">
        <x:f>IF(COUNT(R254,Q254)=2,R254-Q254,"")</x:f>
        <x:v>5</x:v>
      </x:c>
      <x:c r="T254" s="10" t="n">
        <x:v>10</x:v>
      </x:c>
      <x:c r="U254" s="10" t="n">
        <x:v>10</x:v>
      </x:c>
      <x:c r="V254" s="10" t="n">
        <x:f>IF(COUNT(U254,T254)=2,U254-T254,"")</x:f>
        <x:v>0</x:v>
      </x:c>
      <x:c r="W254" s="10" t="n">
        <x:v>19</x:v>
      </x:c>
      <x:c r="X254" s="10" t="n">
        <x:f>IF(COUNT(AV254,AW254)=2,AV254+AW254,"")</x:f>
        <x:v>20</x:v>
      </x:c>
      <x:c r="Y254" s="10" t="n">
        <x:f>IF(COUNT(X254,W254)=2,X254-W254,"")</x:f>
        <x:v>1</x:v>
      </x:c>
      <x:c r="Z254" s="10" t="n">
        <x:v>0</x:v>
      </x:c>
      <x:c r="AA254" s="10" t="n">
        <x:f>IF(COUNT(AX254,AY254)=2,AX254+AY254,"")</x:f>
        <x:v>0</x:v>
      </x:c>
      <x:c r="AB254" s="10" t="n">
        <x:f>IF(COUNT(AA254,Z254)=2,AA254-Z254,"")</x:f>
        <x:v>0</x:v>
      </x:c>
      <x:c r="AC254" s="10" t="n">
        <x:v>193</x:v>
      </x:c>
      <x:c r="AD254" s="10" t="n">
        <x:v>184</x:v>
      </x:c>
      <x:c r="AE254" s="10" t="n">
        <x:f>IF(COUNT(AD254,AC254)=2,AD254-AC254,"")</x:f>
        <x:v>-9</x:v>
      </x:c>
      <x:c r="AF254" s="10" t="n">
        <x:v>56</x:v>
      </x:c>
      <x:c r="AG254" s="10" t="n">
        <x:v>29</x:v>
      </x:c>
      <x:c r="AH254" s="10" t="n">
        <x:f>IF(COUNT(AG254,AF254)=2,AG254-AF254,"")</x:f>
        <x:v>-27</x:v>
      </x:c>
      <x:c r="AI254" s="10" t="n">
        <x:v>56</x:v>
      </x:c>
      <x:c r="AJ254" s="10" t="n">
        <x:v>50</x:v>
      </x:c>
      <x:c r="AK254" s="10" t="n">
        <x:f>IF(COUNT(AJ254,AI254)=2,AJ254-AI254,"")</x:f>
        <x:v>-6</x:v>
      </x:c>
      <x:c r="AL254" s="10" t="n">
        <x:v>28</x:v>
      </x:c>
      <x:c r="AM254" s="10" t="n">
        <x:v>28</x:v>
      </x:c>
      <x:c r="AN254" s="4" t="str">
        <x:v>C,RW</x:v>
      </x:c>
      <x:c r="AO254" s="4" t="str">
        <x:v>C</x:v>
      </x:c>
      <x:c r="AP254" s="4" t="str">
        <x:v>NYI</x:v>
      </x:c>
      <x:c r="AQ254" s="4" t="str">
        <x:v>NYI</x:v>
      </x:c>
      <x:c r="AR254" s="4" t="n">
        <x:v>20.03</x:v>
      </x:c>
      <x:c r="AS254" s="4" t="n">
        <x:v>20.65</x:v>
      </x:c>
      <x:c r="AT254" s="4" t="n">
        <x:v>2.78</x:v>
      </x:c>
      <x:c r="AU254" s="4" t="n">
        <x:v>10.3</x:v>
      </x:c>
      <x:c r="AV254" s="10" t="n">
        <x:v>2</x:v>
      </x:c>
      <x:c r="AW254" s="10" t="n">
        <x:v>18</x:v>
      </x:c>
      <x:c r="AX254" s="10" t="n">
        <x:v>0</x:v>
      </x:c>
      <x:c r="AY254" s="10" t="n">
        <x:v>0</x:v>
      </x:c>
      <x:c r="AZ254" s="10" t="n">
        <x:v>1525</x:v>
      </x:c>
      <x:c r="BA254" s="10" t="n">
        <x:v>1332</x:v>
      </x:c>
      <x:c r="BB254" s="4" t="n">
        <x:v>53.4</x:v>
      </x:c>
      <x:c r="BC254" s="4" t="n">
        <x:v>5.8</x:v>
      </x:c>
      <x:c r="BD254" s="10" t="n">
        <x:v>1127</x:v>
      </x:c>
      <x:c r="BE254" s="10" t="n">
        <x:v>966</x:v>
      </x:c>
      <x:c r="BF254" s="4" t="n">
        <x:v>53.8</x:v>
      </x:c>
      <x:c r="BG254" s="4" t="n">
        <x:v>6</x:v>
      </x:c>
      <x:c r="BH254" s="4" t="n">
        <x:v>10.8</x:v>
      </x:c>
      <x:c r="BI254" s="4" t="n">
        <x:v>89.3</x:v>
      </x:c>
      <x:c r="BJ254" s="4" t="n">
        <x:v>100.1</x:v>
      </x:c>
      <x:c r="BK254" s="4" t="n">
        <x:v>60.2</x:v>
      </x:c>
      <x:c r="BL254" s="4" t="n">
        <x:v>39.8</x:v>
      </x:c>
      <x:c r="BM254" s="4" t="n">
        <x:v>20.65</x:v>
      </x:c>
      <x:c r="BN254" s="4" t="n">
        <x:v>17.15</x:v>
      </x:c>
      <x:c r="BO254" s="10" t="n">
        <x:v>42</x:v>
      </x:c>
      <x:c r="BP254" s="10" t="n">
        <x:v>93</x:v>
      </x:c>
      <x:c r="BQ254" s="4" t="n">
        <x:v>7.8</x:v>
      </x:c>
      <x:c r="BR254" s="10" t="n">
        <x:v>380</x:v>
      </x:c>
      <x:c r="BS254" s="4" t="n">
        <x:v>48.4</x:v>
      </x:c>
      <x:c r="BT254" s="10" t="n">
        <x:v>81</x:v>
      </x:c>
      <x:c r="BU254" s="4" t="str">
        <x:v>NYI</x:v>
      </x:c>
      <x:c r="BV254" s="10" t="n">
        <x:v>50</x:v>
      </x:c>
      <x:c r="BW254" s="10" t="n">
        <x:v>52</x:v>
      </x:c>
      <x:c r="BX254" s="10" t="n">
        <x:v>34</x:v>
      </x:c>
      <x:c r="BY254" s="4" t="str">
        <x:v>Mathew Barzal</x:v>
      </x:c>
      <x:c r="BZ254" s="4" t="str">
        <x:v>Mathew Barzal</x:v>
      </x:c>
      <x:c r="CA254" s="4" t="str">
        <x:v>Mathew Barzal</x:v>
      </x:c>
      <x:c r="CB254" s="4" t="str">
        <x:v>barzama01</x:v>
      </x:c>
    </x:row>
    <x:row r="255" ht="22" customHeight="1">
      <x:c r="A255" s="4" t="str">
        <x:v>Mathieu Olivier</x:v>
      </x:c>
      <x:c r="B255" s="4" t="str">
        <x:v>mathieuolivier</x:v>
      </x:c>
      <x:c r="C255" s="10" t="n">
        <x:v>1</x:v>
      </x:c>
      <x:c r="D255" s="10" t="n">
        <x:v>1</x:v>
      </x:c>
      <x:c r="E255" s="10" t="n">
        <x:v>1</x:v>
      </x:c>
      <x:c r="F255" s="4" t="n">
        <x:f>IF(COUNT(N255,Q255,T255,W255,Z255,AC255,AF255,AI255)=8,N255*Guide!$E$5+Q255*Guide!$E$6+T255*Guide!$E$7+W255*Guide!$E$8+Z255*Guide!$E$9+AC255*Guide!$E$10+AF255*Guide!$E$11+AI255*Guide!$E$12,"")</x:f>
        <x:v>238.5</x:v>
      </x:c>
      <x:c r="G255" s="4" t="n">
        <x:f>IF(COUNT(O255,R255,U255,X255,AA255,AD255,AG255,AJ255)=8,O255*Guide!$E$5+R255*Guide!$E$6+U255*Guide!$E$7+X255*Guide!$E$8+AA255*Guide!$E$9+AD255*Guide!$E$10+AG255*Guide!$E$11+AJ255*Guide!$E$12,"")</x:f>
        <x:v>213</x:v>
      </x:c>
      <x:c r="H255" s="4" t="n">
        <x:f>IF(COUNT(G255,F255)=2,G255-F255,"")</x:f>
        <x:v>-25.5</x:v>
      </x:c>
      <x:c r="I255" s="4" t="n">
        <x:f>IF(AND(ISNUMBER(F255),K255&gt;0),F255/K255,"")</x:f>
        <x:v>3.0576923076923075</x:v>
      </x:c>
      <x:c r="J255" s="4" t="n">
        <x:f>IF(AND(ISNUMBER(G255),L255&gt;0),G255/L255,"")</x:f>
        <x:v>3.4918032786885247</x:v>
      </x:c>
      <x:c r="K255" s="10" t="n">
        <x:v>78</x:v>
      </x:c>
      <x:c r="L255" s="10" t="n">
        <x:v>61</x:v>
      </x:c>
      <x:c r="M255" s="10" t="n">
        <x:f>IF(COUNT(L255,K255)=2,L255-K255,"")</x:f>
        <x:v>-17</x:v>
      </x:c>
      <x:c r="N255" s="10" t="n">
        <x:v>12</x:v>
      </x:c>
      <x:c r="O255" s="10" t="n">
        <x:v>15</x:v>
      </x:c>
      <x:c r="P255" s="10" t="n">
        <x:f>IF(COUNT(O255,N255)=2,O255-N255,"")</x:f>
        <x:v>3</x:v>
      </x:c>
      <x:c r="Q255" s="10" t="n">
        <x:v>15</x:v>
      </x:c>
      <x:c r="R255" s="10" t="n">
        <x:v>11</x:v>
      </x:c>
      <x:c r="S255" s="10" t="n">
        <x:f>IF(COUNT(R255,Q255)=2,R255-Q255,"")</x:f>
        <x:v>-4</x:v>
      </x:c>
      <x:c r="T255" s="10" t="n">
        <x:v>-4</x:v>
      </x:c>
      <x:c r="U255" s="10" t="n">
        <x:v>13</x:v>
      </x:c>
      <x:c r="V255" s="10" t="n">
        <x:f>IF(COUNT(U255,T255)=2,U255-T255,"")</x:f>
        <x:v>17</x:v>
      </x:c>
      <x:c r="W255" s="10" t="n">
        <x:v>2</x:v>
      </x:c>
      <x:c r="X255" s="10" t="n">
        <x:f>IF(COUNT(AV255,AW255)=2,AV255+AW255,"")</x:f>
        <x:v>0</x:v>
      </x:c>
      <x:c r="Y255" s="10" t="n">
        <x:f>IF(COUNT(X255,W255)=2,X255-W255,"")</x:f>
        <x:v>-2</x:v>
      </x:c>
      <x:c r="Z255" s="10" t="n">
        <x:v>1</x:v>
      </x:c>
      <x:c r="AA255" s="10" t="n">
        <x:f>IF(COUNT(AX255,AY255)=2,AX255+AY255,"")</x:f>
        <x:v>0</x:v>
      </x:c>
      <x:c r="AB255" s="10" t="n">
        <x:f>IF(COUNT(AA255,Z255)=2,AA255-Z255,"")</x:f>
        <x:v>-1</x:v>
      </x:c>
      <x:c r="AC255" s="10" t="n">
        <x:v>97</x:v>
      </x:c>
      <x:c r="AD255" s="10" t="n">
        <x:v>93</x:v>
      </x:c>
      <x:c r="AE255" s="10" t="n">
        <x:f>IF(COUNT(AD255,AC255)=2,AD255-AC255,"")</x:f>
        <x:v>-4</x:v>
      </x:c>
      <x:c r="AF255" s="10" t="n">
        <x:v>271</x:v>
      </x:c>
      <x:c r="AG255" s="10" t="n">
        <x:v>209</x:v>
      </x:c>
      <x:c r="AH255" s="10" t="n">
        <x:f>IF(COUNT(AG255,AF255)=2,AG255-AF255,"")</x:f>
        <x:v>-62</x:v>
      </x:c>
      <x:c r="AI255" s="10" t="n">
        <x:v>70</x:v>
      </x:c>
      <x:c r="AJ255" s="10" t="n">
        <x:v>42</x:v>
      </x:c>
      <x:c r="AK255" s="10" t="n">
        <x:f>IF(COUNT(AJ255,AI255)=2,AJ255-AI255,"")</x:f>
        <x:v>-28</x:v>
      </x:c>
      <x:c r="AL255" s="10" t="n">
        <x:v>28</x:v>
      </x:c>
      <x:c r="AM255" s="10" t="n">
        <x:v>28</x:v>
      </x:c>
      <x:c r="AN255" s="4" t="str">
        <x:v>RW</x:v>
      </x:c>
      <x:c r="AO255" s="4" t="str">
        <x:v>F</x:v>
      </x:c>
      <x:c r="AP255" s="4" t="str">
        <x:v>CBJ</x:v>
      </x:c>
      <x:c r="AQ255" s="4" t="str">
        <x:v>CBJ</x:v>
      </x:c>
      <x:c r="AR255" s="4" t="n">
        <x:v>13.96</x:v>
      </x:c>
      <x:c r="AS255" s="4" t="n">
        <x:v>14.233333333333333</x:v>
      </x:c>
      <x:c r="AT255" s="4" t="n">
        <x:v>0.33</x:v>
      </x:c>
      <x:c r="AU255" s="4" t="n">
        <x:v>16.1</x:v>
      </x:c>
      <x:c r="AV255" s="10" t="n">
        <x:v>0</x:v>
      </x:c>
      <x:c r="AW255" s="10" t="n">
        <x:v>0</x:v>
      </x:c>
      <x:c r="AX255" s="10" t="n">
        <x:v>0</x:v>
      </x:c>
      <x:c r="AY255" s="10" t="n">
        <x:v>0</x:v>
      </x:c>
      <x:c r="AZ255" s="10" t="n">
        <x:v>795</x:v>
      </x:c>
      <x:c r="BA255" s="10" t="n">
        <x:v>806</x:v>
      </x:c>
      <x:c r="BB255" s="4" t="n">
        <x:v>49.7</x:v>
      </x:c>
      <x:c r="BC255" s="4" t="n">
        <x:v>-1.3</x:v>
      </x:c>
      <x:c r="BD255" s="10" t="n">
        <x:v>599</x:v>
      </x:c>
      <x:c r="BE255" s="10" t="n">
        <x:v>563</x:v>
      </x:c>
      <x:c r="BF255" s="4" t="n">
        <x:v>51.5</x:v>
      </x:c>
      <x:c r="BG255" s="4" t="n">
        <x:v>0.9</x:v>
      </x:c>
      <x:c r="BH255" s="4" t="n">
        <x:v>11.4</x:v>
      </x:c>
      <x:c r="BI255" s="4" t="n">
        <x:v>91.7</x:v>
      </x:c>
      <x:c r="BJ255" s="4" t="n">
        <x:v>103</x:v>
      </x:c>
      <x:c r="BK255" s="4" t="n">
        <x:v>41</x:v>
      </x:c>
      <x:c r="BL255" s="4" t="n">
        <x:v>59</x:v>
      </x:c>
      <x:c r="BM255" s="4" t="n">
        <x:v>14.233333333333333</x:v>
      </x:c>
      <x:c r="BN255" s="4" t="n">
        <x:v>13.366666666666667</x:v>
      </x:c>
      <x:c r="BO255" s="10" t="n">
        <x:v>12</x:v>
      </x:c>
      <x:c r="BP255" s="10" t="n">
        <x:v>23</x:v>
      </x:c>
      <x:c r="BQ255" s="4" t="n">
        <x:v>2.3</x:v>
      </x:c>
      <x:c r="BR255" s="10" t="n">
        <x:v>186</x:v>
      </x:c>
      <x:c r="BS255" s="4" t="n">
        <x:v>50.5</x:v>
      </x:c>
      <x:c r="BT255" s="10" t="n">
        <x:v>61</x:v>
      </x:c>
      <x:c r="BU255" s="4" t="str">
        <x:v>CBJ</x:v>
      </x:c>
      <x:c r="BV255" s="10" t="n">
        <x:v>404</x:v>
      </x:c>
      <x:c r="BW255" s="10" t="n">
        <x:v>378</x:v>
      </x:c>
      <x:c r="BX255" s="10" t="n">
        <x:v>762</x:v>
      </x:c>
      <x:c r="BY255" s="4" t="str">
        <x:v>Mathieu Olivier</x:v>
      </x:c>
      <x:c r="BZ255" s="4" t="str">
        <x:v>Mathieu Olivier</x:v>
      </x:c>
      <x:c r="CA255" s="4" t="str">
        <x:v>Mathieu Olivier</x:v>
      </x:c>
      <x:c r="CB255" s="4" t="str">
        <x:v>olivima01</x:v>
      </x:c>
    </x:row>
    <x:row r="256" ht="22" customHeight="1">
      <x:c r="A256" s="4" t="str">
        <x:v>Matias Maccelli</x:v>
      </x:c>
      <x:c r="B256" s="4" t="str">
        <x:v>matiasmaccelli</x:v>
      </x:c>
      <x:c r="C256" s="10" t="n">
        <x:v>1</x:v>
      </x:c>
      <x:c r="D256" s="10" t="n">
        <x:v>1</x:v>
      </x:c>
      <x:c r="E256" s="10" t="n">
        <x:v>1</x:v>
      </x:c>
      <x:c r="F256" s="4" t="n">
        <x:f>IF(COUNT(N256,Q256,T256,W256,Z256,AC256,AF256,AI256)=8,N256*Guide!$E$5+Q256*Guide!$E$6+T256*Guide!$E$7+W256*Guide!$E$8+Z256*Guide!$E$9+AC256*Guide!$E$10+AF256*Guide!$E$11+AI256*Guide!$E$12,"")</x:f>
        <x:v>202</x:v>
      </x:c>
      <x:c r="G256" s="4" t="n">
        <x:f>IF(COUNT(O256,R256,U256,X256,AA256,AD256,AG256,AJ256)=8,O256*Guide!$E$5+R256*Guide!$E$6+U256*Guide!$E$7+X256*Guide!$E$8+AA256*Guide!$E$9+AD256*Guide!$E$10+AG256*Guide!$E$11+AJ256*Guide!$E$12,"")</x:f>
        <x:v>157.25</x:v>
      </x:c>
      <x:c r="H256" s="4" t="n">
        <x:f>IF(COUNT(G256,F256)=2,G256-F256,"")</x:f>
        <x:v>-44.75</x:v>
      </x:c>
      <x:c r="I256" s="4" t="n">
        <x:f>IF(AND(ISNUMBER(F256),K256&gt;0),F256/K256,"")</x:f>
        <x:v>2.58974358974359</x:v>
      </x:c>
      <x:c r="J256" s="4" t="n">
        <x:f>IF(AND(ISNUMBER(G256),L256&gt;0),G256/L256,"")</x:f>
        <x:v>2.214788732394366</x:v>
      </x:c>
      <x:c r="K256" s="10" t="n">
        <x:v>78</x:v>
      </x:c>
      <x:c r="L256" s="10" t="n">
        <x:v>71</x:v>
      </x:c>
      <x:c r="M256" s="10" t="n">
        <x:f>IF(COUNT(L256,K256)=2,L256-K256,"")</x:f>
        <x:v>-7</x:v>
      </x:c>
      <x:c r="N256" s="10" t="n">
        <x:v>16</x:v>
      </x:c>
      <x:c r="O256" s="10" t="n">
        <x:v>14</x:v>
      </x:c>
      <x:c r="P256" s="10" t="n">
        <x:f>IF(COUNT(O256,N256)=2,O256-N256,"")</x:f>
        <x:v>-2</x:v>
      </x:c>
      <x:c r="Q256" s="10" t="n">
        <x:v>29</x:v>
      </x:c>
      <x:c r="R256" s="10" t="n">
        <x:v>25</x:v>
      </x:c>
      <x:c r="S256" s="10" t="n">
        <x:f>IF(COUNT(R256,Q256)=2,R256-Q256,"")</x:f>
        <x:v>-4</x:v>
      </x:c>
      <x:c r="T256" s="10" t="n">
        <x:v>-6</x:v>
      </x:c>
      <x:c r="U256" s="10" t="n">
        <x:v>-23</x:v>
      </x:c>
      <x:c r="V256" s="10" t="n">
        <x:f>IF(COUNT(U256,T256)=2,U256-T256,"")</x:f>
        <x:v>-17</x:v>
      </x:c>
      <x:c r="W256" s="10" t="n">
        <x:v>11</x:v>
      </x:c>
      <x:c r="X256" s="10" t="n">
        <x:f>IF(COUNT(AV256,AW256)=2,AV256+AW256,"")</x:f>
        <x:v>8</x:v>
      </x:c>
      <x:c r="Y256" s="10" t="n">
        <x:f>IF(COUNT(X256,W256)=2,X256-W256,"")</x:f>
        <x:v>-3</x:v>
      </x:c>
      <x:c r="Z256" s="10" t="n">
        <x:v>0</x:v>
      </x:c>
      <x:c r="AA256" s="10" t="n">
        <x:f>IF(COUNT(AX256,AY256)=2,AX256+AY256,"")</x:f>
        <x:v>0</x:v>
      </x:c>
      <x:c r="AB256" s="10" t="n">
        <x:f>IF(COUNT(AA256,Z256)=2,AA256-Z256,"")</x:f>
        <x:v>0</x:v>
      </x:c>
      <x:c r="AC256" s="10" t="n">
        <x:v>116</x:v>
      </x:c>
      <x:c r="AD256" s="10" t="n">
        <x:v>90</x:v>
      </x:c>
      <x:c r="AE256" s="10" t="n">
        <x:f>IF(COUNT(AD256,AC256)=2,AD256-AC256,"")</x:f>
        <x:v>-26</x:v>
      </x:c>
      <x:c r="AF256" s="10" t="n">
        <x:v>14</x:v>
      </x:c>
      <x:c r="AG256" s="10" t="n">
        <x:v>24</x:v>
      </x:c>
      <x:c r="AH256" s="10" t="n">
        <x:f>IF(COUNT(AG256,AF256)=2,AG256-AF256,"")</x:f>
        <x:v>10</x:v>
      </x:c>
      <x:c r="AI256" s="10" t="n">
        <x:v>18</x:v>
      </x:c>
      <x:c r="AJ256" s="10" t="n">
        <x:v>17</x:v>
      </x:c>
      <x:c r="AK256" s="10" t="n">
        <x:f>IF(COUNT(AJ256,AI256)=2,AJ256-AI256,"")</x:f>
        <x:v>-1</x:v>
      </x:c>
      <x:c r="AL256" s="10" t="n">
        <x:v>25</x:v>
      </x:c>
      <x:c r="AM256" s="10" t="n">
        <x:v>25</x:v>
      </x:c>
      <x:c r="AN256" s="4" t="str">
        <x:v>LW</x:v>
      </x:c>
      <x:c r="AO256" s="4" t="str">
        <x:v>LW</x:v>
      </x:c>
      <x:c r="AP256" s="4" t="str">
        <x:v>TOR</x:v>
      </x:c>
      <x:c r="AQ256" s="4" t="str">
        <x:v>TOR</x:v>
      </x:c>
      <x:c r="AR256" s="4" t="n">
        <x:v>14.39</x:v>
      </x:c>
      <x:c r="AS256" s="4" t="n">
        <x:v>14.566666666666666</x:v>
      </x:c>
      <x:c r="AT256" s="4" t="n">
        <x:v>1.54</x:v>
      </x:c>
      <x:c r="AU256" s="4" t="n">
        <x:v>15.6</x:v>
      </x:c>
      <x:c r="AV256" s="10" t="n">
        <x:v>2</x:v>
      </x:c>
      <x:c r="AW256" s="10" t="n">
        <x:v>6</x:v>
      </x:c>
      <x:c r="AX256" s="10" t="n">
        <x:v>0</x:v>
      </x:c>
      <x:c r="AY256" s="10" t="n">
        <x:v>0</x:v>
      </x:c>
      <x:c r="AZ256" s="10" t="n">
        <x:v>815</x:v>
      </x:c>
      <x:c r="BA256" s="10" t="n">
        <x:v>921</x:v>
      </x:c>
      <x:c r="BB256" s="4" t="n">
        <x:v>46.9</x:v>
      </x:c>
      <x:c r="BC256" s="4" t="n">
        <x:v>2.3</x:v>
      </x:c>
      <x:c r="BD256" s="10" t="n">
        <x:v>624</x:v>
      </x:c>
      <x:c r="BE256" s="10" t="n">
        <x:v>667</x:v>
      </x:c>
      <x:c r="BF256" s="4" t="n">
        <x:v>48.3</x:v>
      </x:c>
      <x:c r="BG256" s="4" t="n">
        <x:v>3.8</x:v>
      </x:c>
      <x:c r="BH256" s="4" t="n">
        <x:v>10.9</x:v>
      </x:c>
      <x:c r="BI256" s="4" t="n">
        <x:v>86.2</x:v>
      </x:c>
      <x:c r="BJ256" s="4" t="n">
        <x:v>97.1</x:v>
      </x:c>
      <x:c r="BK256" s="4" t="n">
        <x:v>58.2</x:v>
      </x:c>
      <x:c r="BL256" s="4" t="n">
        <x:v>41.8</x:v>
      </x:c>
      <x:c r="BM256" s="4" t="n">
        <x:v>14.566666666666666</x:v>
      </x:c>
      <x:c r="BN256" s="4" t="n">
        <x:v>12.833333333333334</x:v>
      </x:c>
      <x:c r="BO256" s="10" t="n">
        <x:v>15</x:v>
      </x:c>
      <x:c r="BP256" s="10" t="n">
        <x:v>67</x:v>
      </x:c>
      <x:c r="BQ256" s="4" t="n">
        <x:v>-3.7</x:v>
      </x:c>
      <x:c r="BR256" s="10" t="n">
        <x:v>176</x:v>
      </x:c>
      <x:c r="BS256" s="4" t="n">
        <x:v>51.1</x:v>
      </x:c>
      <x:c r="BT256" s="10" t="n">
        <x:v>71</x:v>
      </x:c>
      <x:c r="BU256" s="4" t="str">
        <x:v>TOR</x:v>
      </x:c>
      <x:c r="BV256" s="10" t="n">
        <x:v>204</x:v>
      </x:c>
      <x:c r="BW256" s="10" t="n">
        <x:v>222</x:v>
      </x:c>
      <x:c r="BX256" s="10" t="n">
        <x:v>622</x:v>
      </x:c>
      <x:c r="BY256" s="4" t="str">
        <x:v>Matias Maccelli</x:v>
      </x:c>
      <x:c r="BZ256" s="4" t="str">
        <x:v>Matias Maccelli</x:v>
      </x:c>
      <x:c r="CA256" s="4" t="str">
        <x:v>Matias Maccelli</x:v>
      </x:c>
      <x:c r="CB256" s="4" t="str">
        <x:v>maccema01</x:v>
      </x:c>
    </x:row>
    <x:row r="257" ht="22" customHeight="1">
      <x:c r="A257" s="4" t="str">
        <x:v>Mats Zuccarello</x:v>
      </x:c>
      <x:c r="B257" s="4" t="str">
        <x:v>matszuccarello</x:v>
      </x:c>
      <x:c r="C257" s="10" t="n">
        <x:v>1</x:v>
      </x:c>
      <x:c r="D257" s="10" t="n">
        <x:v>1</x:v>
      </x:c>
      <x:c r="E257" s="10" t="n">
        <x:v>1</x:v>
      </x:c>
      <x:c r="F257" s="4" t="n">
        <x:f>IF(COUNT(N257,Q257,T257,W257,Z257,AC257,AF257,AI257)=8,N257*Guide!$E$5+Q257*Guide!$E$6+T257*Guide!$E$7+W257*Guide!$E$8+Z257*Guide!$E$9+AC257*Guide!$E$10+AF257*Guide!$E$11+AI257*Guide!$E$12,"")</x:f>
        <x:v>327</x:v>
      </x:c>
      <x:c r="G257" s="4" t="n">
        <x:f>IF(COUNT(O257,R257,U257,X257,AA257,AD257,AG257,AJ257)=8,O257*Guide!$E$5+R257*Guide!$E$6+U257*Guide!$E$7+X257*Guide!$E$8+AA257*Guide!$E$9+AD257*Guide!$E$10+AG257*Guide!$E$11+AJ257*Guide!$E$12,"")</x:f>
        <x:v>247</x:v>
      </x:c>
      <x:c r="H257" s="4" t="n">
        <x:f>IF(COUNT(G257,F257)=2,G257-F257,"")</x:f>
        <x:v>-80</x:v>
      </x:c>
      <x:c r="I257" s="4" t="n">
        <x:f>IF(AND(ISNUMBER(F257),K257&gt;0),F257/K257,"")</x:f>
        <x:v>4.139240506329114</x:v>
      </x:c>
      <x:c r="J257" s="4" t="n">
        <x:f>IF(AND(ISNUMBER(G257),L257&gt;0),G257/L257,"")</x:f>
        <x:v>4.186440677966102</x:v>
      </x:c>
      <x:c r="K257" s="10" t="n">
        <x:v>79</x:v>
      </x:c>
      <x:c r="L257" s="10" t="n">
        <x:v>59</x:v>
      </x:c>
      <x:c r="M257" s="10" t="n">
        <x:f>IF(COUNT(L257,K257)=2,L257-K257,"")</x:f>
        <x:v>-20</x:v>
      </x:c>
      <x:c r="N257" s="10" t="n">
        <x:v>18</x:v>
      </x:c>
      <x:c r="O257" s="10" t="n">
        <x:v>15</x:v>
      </x:c>
      <x:c r="P257" s="10" t="n">
        <x:f>IF(COUNT(O257,N257)=2,O257-N257,"")</x:f>
        <x:v>-3</x:v>
      </x:c>
      <x:c r="Q257" s="10" t="n">
        <x:v>46</x:v>
      </x:c>
      <x:c r="R257" s="10" t="n">
        <x:v>39</x:v>
      </x:c>
      <x:c r="S257" s="10" t="n">
        <x:f>IF(COUNT(R257,Q257)=2,R257-Q257,"")</x:f>
        <x:v>-7</x:v>
      </x:c>
      <x:c r="T257" s="10" t="n">
        <x:v>0</x:v>
      </x:c>
      <x:c r="U257" s="10" t="n">
        <x:v>-5</x:v>
      </x:c>
      <x:c r="V257" s="10" t="n">
        <x:f>IF(COUNT(U257,T257)=2,U257-T257,"")</x:f>
        <x:v>-5</x:v>
      </x:c>
      <x:c r="W257" s="10" t="n">
        <x:v>25</x:v>
      </x:c>
      <x:c r="X257" s="10" t="n">
        <x:f>IF(COUNT(AV257,AW257)=2,AV257+AW257,"")</x:f>
        <x:v>21</x:v>
      </x:c>
      <x:c r="Y257" s="10" t="n">
        <x:f>IF(COUNT(X257,W257)=2,X257-W257,"")</x:f>
        <x:v>-4</x:v>
      </x:c>
      <x:c r="Z257" s="10" t="n">
        <x:v>0</x:v>
      </x:c>
      <x:c r="AA257" s="10" t="n">
        <x:f>IF(COUNT(AX257,AY257)=2,AX257+AY257,"")</x:f>
        <x:v>0</x:v>
      </x:c>
      <x:c r="AB257" s="10" t="n">
        <x:f>IF(COUNT(AA257,Z257)=2,AA257-Z257,"")</x:f>
        <x:v>0</x:v>
      </x:c>
      <x:c r="AC257" s="10" t="n">
        <x:v>162</x:v>
      </x:c>
      <x:c r="AD257" s="10" t="n">
        <x:v>122</x:v>
      </x:c>
      <x:c r="AE257" s="10" t="n">
        <x:f>IF(COUNT(AD257,AC257)=2,AD257-AC257,"")</x:f>
        <x:v>-40</x:v>
      </x:c>
      <x:c r="AF257" s="10" t="n">
        <x:v>38</x:v>
      </x:c>
      <x:c r="AG257" s="10" t="n">
        <x:v>16</x:v>
      </x:c>
      <x:c r="AH257" s="10" t="n">
        <x:f>IF(COUNT(AG257,AF257)=2,AG257-AF257,"")</x:f>
        <x:v>-22</x:v>
      </x:c>
      <x:c r="AI257" s="10" t="n">
        <x:v>56</x:v>
      </x:c>
      <x:c r="AJ257" s="10" t="n">
        <x:v>26</x:v>
      </x:c>
      <x:c r="AK257" s="10" t="n">
        <x:f>IF(COUNT(AJ257,AI257)=2,AJ257-AI257,"")</x:f>
        <x:v>-30</x:v>
      </x:c>
      <x:c r="AL257" s="10" t="n">
        <x:v>38</x:v>
      </x:c>
      <x:c r="AM257" s="10" t="n">
        <x:v>38</x:v>
      </x:c>
      <x:c r="AN257" s="4" t="str">
        <x:v>RW</x:v>
      </x:c>
      <x:c r="AO257" s="4" t="str">
        <x:v>LW</x:v>
      </x:c>
      <x:c r="AP257" s="4" t="str">
        <x:v>MIN</x:v>
      </x:c>
      <x:c r="AQ257" s="4" t="str">
        <x:v>MIN</x:v>
      </x:c>
      <x:c r="AR257" s="4" t="n">
        <x:v>19.16</x:v>
      </x:c>
      <x:c r="AS257" s="4" t="n">
        <x:v>18.65</x:v>
      </x:c>
      <x:c r="AT257" s="4" t="n">
        <x:v>3.19</x:v>
      </x:c>
      <x:c r="AU257" s="4" t="n">
        <x:v>12.3</x:v>
      </x:c>
      <x:c r="AV257" s="10" t="n">
        <x:v>6</x:v>
      </x:c>
      <x:c r="AW257" s="10" t="n">
        <x:v>15</x:v>
      </x:c>
      <x:c r="AX257" s="10" t="n">
        <x:v>0</x:v>
      </x:c>
      <x:c r="AY257" s="10" t="n">
        <x:v>0</x:v>
      </x:c>
      <x:c r="AZ257" s="10" t="n">
        <x:v>897</x:v>
      </x:c>
      <x:c r="BA257" s="10" t="n">
        <x:v>883</x:v>
      </x:c>
      <x:c r="BB257" s="4" t="n">
        <x:v>50.4</x:v>
      </x:c>
      <x:c r="BC257" s="4" t="n">
        <x:v>3.1</x:v>
      </x:c>
      <x:c r="BD257" s="10" t="n">
        <x:v>675</x:v>
      </x:c>
      <x:c r="BE257" s="10" t="n">
        <x:v>635</x:v>
      </x:c>
      <x:c r="BF257" s="4" t="n">
        <x:v>51.5</x:v>
      </x:c>
      <x:c r="BG257" s="4" t="n">
        <x:v>3.6</x:v>
      </x:c>
      <x:c r="BH257" s="4" t="n">
        <x:v>10</x:v>
      </x:c>
      <x:c r="BI257" s="4" t="n">
        <x:v>88.8</x:v>
      </x:c>
      <x:c r="BJ257" s="4" t="n">
        <x:v>98.8</x:v>
      </x:c>
      <x:c r="BK257" s="4" t="n">
        <x:v>61.3</x:v>
      </x:c>
      <x:c r="BL257" s="4" t="n">
        <x:v>38.7</x:v>
      </x:c>
      <x:c r="BM257" s="4" t="n">
        <x:v>18.65</x:v>
      </x:c>
      <x:c r="BN257" s="4" t="n">
        <x:v>15.016666666666667</x:v>
      </x:c>
      <x:c r="BO257" s="10" t="n">
        <x:v>13</x:v>
      </x:c>
      <x:c r="BP257" s="10" t="n">
        <x:v>62</x:v>
      </x:c>
      <x:c r="BQ257" s="4" t="n">
        <x:v>4.7</x:v>
      </x:c>
      <x:c r="BR257" s="10" t="n">
        <x:v>251</x:v>
      </x:c>
      <x:c r="BS257" s="4" t="n">
        <x:v>48.6</x:v>
      </x:c>
      <x:c r="BT257" s="10" t="n">
        <x:v>59</x:v>
      </x:c>
      <x:c r="BU257" s="4" t="str">
        <x:v>MIN</x:v>
      </x:c>
      <x:c r="BV257" s="10" t="n">
        <x:v>74</x:v>
      </x:c>
      <x:c r="BW257" s="10" t="n">
        <x:v>120</x:v>
      </x:c>
      <x:c r="BX257" s="10" t="n">
        <x:v>1105</x:v>
      </x:c>
      <x:c r="BY257" s="4" t="str">
        <x:v>Mats Zuccarello</x:v>
      </x:c>
      <x:c r="BZ257" s="4" t="str">
        <x:v>Mats Zuccarello</x:v>
      </x:c>
      <x:c r="CA257" s="4" t="str">
        <x:v>Mats Zuccarello</x:v>
      </x:c>
      <x:c r="CB257" s="4" t="str">
        <x:v>zuccama01</x:v>
      </x:c>
    </x:row>
    <x:row r="258" ht="22" customHeight="1">
      <x:c r="A258" s="4" t="str">
        <x:v>Matt Boldy</x:v>
      </x:c>
      <x:c r="B258" s="4" t="str">
        <x:v>mattboldy</x:v>
      </x:c>
      <x:c r="C258" s="10" t="n">
        <x:v>1</x:v>
      </x:c>
      <x:c r="D258" s="10" t="n">
        <x:v>1</x:v>
      </x:c>
      <x:c r="E258" s="10" t="n">
        <x:v>1</x:v>
      </x:c>
      <x:c r="F258" s="4" t="n">
        <x:f>IF(COUNT(N258,Q258,T258,W258,Z258,AC258,AF258,AI258)=8,N258*Guide!$E$5+Q258*Guide!$E$6+T258*Guide!$E$7+W258*Guide!$E$8+Z258*Guide!$E$9+AC258*Guide!$E$10+AF258*Guide!$E$11+AI258*Guide!$E$12,"")</x:f>
        <x:v>406.75</x:v>
      </x:c>
      <x:c r="G258" s="4" t="n">
        <x:f>IF(COUNT(O258,R258,U258,X258,AA258,AD258,AG258,AJ258)=8,O258*Guide!$E$5+R258*Guide!$E$6+U258*Guide!$E$7+X258*Guide!$E$8+AA258*Guide!$E$9+AD258*Guide!$E$10+AG258*Guide!$E$11+AJ258*Guide!$E$12,"")</x:f>
        <x:v>479</x:v>
      </x:c>
      <x:c r="H258" s="4" t="n">
        <x:f>IF(COUNT(G258,F258)=2,G258-F258,"")</x:f>
        <x:v>72.25</x:v>
      </x:c>
      <x:c r="I258" s="4" t="n">
        <x:f>IF(AND(ISNUMBER(F258),K258&gt;0),F258/K258,"")</x:f>
        <x:v>4.960365853658536</x:v>
      </x:c>
      <x:c r="J258" s="4" t="n">
        <x:f>IF(AND(ISNUMBER(G258),L258&gt;0),G258/L258,"")</x:f>
        <x:v>6.302631578947368</x:v>
      </x:c>
      <x:c r="K258" s="10" t="n">
        <x:v>82</x:v>
      </x:c>
      <x:c r="L258" s="10" t="n">
        <x:v>76</x:v>
      </x:c>
      <x:c r="M258" s="10" t="n">
        <x:f>IF(COUNT(L258,K258)=2,L258-K258,"")</x:f>
        <x:v>-6</x:v>
      </x:c>
      <x:c r="N258" s="10" t="n">
        <x:v>34</x:v>
      </x:c>
      <x:c r="O258" s="10" t="n">
        <x:v>42</x:v>
      </x:c>
      <x:c r="P258" s="10" t="n">
        <x:f>IF(COUNT(O258,N258)=2,O258-N258,"")</x:f>
        <x:v>8</x:v>
      </x:c>
      <x:c r="Q258" s="10" t="n">
        <x:v>41</x:v>
      </x:c>
      <x:c r="R258" s="10" t="n">
        <x:v>43</x:v>
      </x:c>
      <x:c r="S258" s="10" t="n">
        <x:f>IF(COUNT(R258,Q258)=2,R258-Q258,"")</x:f>
        <x:v>2</x:v>
      </x:c>
      <x:c r="T258" s="10" t="n">
        <x:v>3</x:v>
      </x:c>
      <x:c r="U258" s="10" t="n">
        <x:v>18</x:v>
      </x:c>
      <x:c r="V258" s="10" t="n">
        <x:f>IF(COUNT(U258,T258)=2,U258-T258,"")</x:f>
        <x:v>15</x:v>
      </x:c>
      <x:c r="W258" s="10" t="n">
        <x:v>24</x:v>
      </x:c>
      <x:c r="X258" s="10" t="n">
        <x:f>IF(COUNT(AV258,AW258)=2,AV258+AW258,"")</x:f>
        <x:v>30</x:v>
      </x:c>
      <x:c r="Y258" s="10" t="n">
        <x:f>IF(COUNT(X258,W258)=2,X258-W258,"")</x:f>
        <x:v>6</x:v>
      </x:c>
      <x:c r="Z258" s="10" t="n">
        <x:v>0</x:v>
      </x:c>
      <x:c r="AA258" s="10" t="n">
        <x:f>IF(COUNT(AX258,AY258)=2,AX258+AY258,"")</x:f>
        <x:v>4</x:v>
      </x:c>
      <x:c r="AB258" s="10" t="n">
        <x:f>IF(COUNT(AA258,Z258)=2,AA258-Z258,"")</x:f>
        <x:v>4</x:v>
      </x:c>
      <x:c r="AC258" s="10" t="n">
        <x:v>261</x:v>
      </x:c>
      <x:c r="AD258" s="10" t="n">
        <x:v>254</x:v>
      </x:c>
      <x:c r="AE258" s="10" t="n">
        <x:f>IF(COUNT(AD258,AC258)=2,AD258-AC258,"")</x:f>
        <x:v>-7</x:v>
      </x:c>
      <x:c r="AF258" s="10" t="n">
        <x:v>54</x:v>
      </x:c>
      <x:c r="AG258" s="10" t="n">
        <x:v>60</x:v>
      </x:c>
      <x:c r="AH258" s="10" t="n">
        <x:f>IF(COUNT(AG258,AF258)=2,AG258-AF258,"")</x:f>
        <x:v>6</x:v>
      </x:c>
      <x:c r="AI258" s="10" t="n">
        <x:v>56</x:v>
      </x:c>
      <x:c r="AJ258" s="10" t="n">
        <x:v>58</x:v>
      </x:c>
      <x:c r="AK258" s="10" t="n">
        <x:f>IF(COUNT(AJ258,AI258)=2,AJ258-AI258,"")</x:f>
        <x:v>2</x:v>
      </x:c>
      <x:c r="AL258" s="10" t="n">
        <x:v>24</x:v>
      </x:c>
      <x:c r="AM258" s="10" t="n">
        <x:v>24</x:v>
      </x:c>
      <x:c r="AN258" s="4" t="str">
        <x:v>LW,RW</x:v>
      </x:c>
      <x:c r="AO258" s="4" t="str">
        <x:v>LW</x:v>
      </x:c>
      <x:c r="AP258" s="4" t="str">
        <x:v>MIN</x:v>
      </x:c>
      <x:c r="AQ258" s="4" t="str">
        <x:v>MIN</x:v>
      </x:c>
      <x:c r="AR258" s="4" t="n">
        <x:v>20.210000000000004</x:v>
      </x:c>
      <x:c r="AS258" s="4" t="n">
        <x:v>20.566666666666666</x:v>
      </x:c>
      <x:c r="AT258" s="4" t="n">
        <x:v>3.24</x:v>
      </x:c>
      <x:c r="AU258" s="4" t="n">
        <x:v>16.5</x:v>
      </x:c>
      <x:c r="AV258" s="10" t="n">
        <x:v>11</x:v>
      </x:c>
      <x:c r="AW258" s="10" t="n">
        <x:v>19</x:v>
      </x:c>
      <x:c r="AX258" s="10" t="n">
        <x:v>4</x:v>
      </x:c>
      <x:c r="AY258" s="10" t="n">
        <x:v>0</x:v>
      </x:c>
      <x:c r="AZ258" s="10" t="n">
        <x:v>1210</x:v>
      </x:c>
      <x:c r="BA258" s="10" t="n">
        <x:v>1129</x:v>
      </x:c>
      <x:c r="BB258" s="4" t="n">
        <x:v>51.7</x:v>
      </x:c>
      <x:c r="BC258" s="4" t="n">
        <x:v>4.7</x:v>
      </x:c>
      <x:c r="BD258" s="10" t="n">
        <x:v>898</x:v>
      </x:c>
      <x:c r="BE258" s="10" t="n">
        <x:v>832</x:v>
      </x:c>
      <x:c r="BF258" s="4" t="n">
        <x:v>51.9</x:v>
      </x:c>
      <x:c r="BG258" s="4" t="n">
        <x:v>3.9</x:v>
      </x:c>
      <x:c r="BH258" s="4" t="n">
        <x:v>12.2</x:v>
      </x:c>
      <x:c r="BI258" s="4" t="n">
        <x:v>89.6</x:v>
      </x:c>
      <x:c r="BJ258" s="4" t="n">
        <x:v>101.8</x:v>
      </x:c>
      <x:c r="BK258" s="4" t="n">
        <x:v>48.5</x:v>
      </x:c>
      <x:c r="BL258" s="4" t="n">
        <x:v>51.5</x:v>
      </x:c>
      <x:c r="BM258" s="4" t="n">
        <x:v>20.566666666666666</x:v>
      </x:c>
      <x:c r="BN258" s="4" t="n">
        <x:v>15</x:v>
      </x:c>
      <x:c r="BO258" s="10" t="n">
        <x:v>34</x:v>
      </x:c>
      <x:c r="BP258" s="10" t="n">
        <x:v>86</x:v>
      </x:c>
      <x:c r="BQ258" s="4" t="n">
        <x:v>2.7</x:v>
      </x:c>
      <x:c r="BR258" s="10" t="n">
        <x:v>501</x:v>
      </x:c>
      <x:c r="BS258" s="4" t="n">
        <x:v>50.7</x:v>
      </x:c>
      <x:c r="BT258" s="10" t="n">
        <x:v>76</x:v>
      </x:c>
      <x:c r="BU258" s="4" t="str">
        <x:v>MIN</x:v>
      </x:c>
      <x:c r="BV258" s="10" t="n">
        <x:v>31</x:v>
      </x:c>
      <x:c r="BW258" s="10" t="n">
        <x:v>21</x:v>
      </x:c>
      <x:c r="BX258" s="10" t="n">
        <x:v>78</x:v>
      </x:c>
      <x:c r="BY258" s="4" t="str">
        <x:v>Matt Boldy</x:v>
      </x:c>
      <x:c r="BZ258" s="4" t="str">
        <x:v>Matt Boldy</x:v>
      </x:c>
      <x:c r="CA258" s="4" t="str">
        <x:v>Matt Boldy</x:v>
      </x:c>
      <x:c r="CB258" s="4" t="str">
        <x:v>boldyma01</x:v>
      </x:c>
    </x:row>
    <x:row r="259" ht="22" customHeight="1">
      <x:c r="A259" s="4" t="str">
        <x:v>Matt Duchene</x:v>
      </x:c>
      <x:c r="B259" s="4" t="str">
        <x:v>mattduchene</x:v>
      </x:c>
      <x:c r="C259" s="10" t="n">
        <x:v>1</x:v>
      </x:c>
      <x:c r="D259" s="10" t="n">
        <x:v>1</x:v>
      </x:c>
      <x:c r="E259" s="10" t="n">
        <x:v>1</x:v>
      </x:c>
      <x:c r="F259" s="4" t="n">
        <x:f>IF(COUNT(N259,Q259,T259,W259,Z259,AC259,AF259,AI259)=8,N259*Guide!$E$5+Q259*Guide!$E$6+T259*Guide!$E$7+W259*Guide!$E$8+Z259*Guide!$E$9+AC259*Guide!$E$10+AF259*Guide!$E$11+AI259*Guide!$E$12,"")</x:f>
        <x:v>307.5</x:v>
      </x:c>
      <x:c r="G259" s="4" t="n">
        <x:f>IF(COUNT(O259,R259,U259,X259,AA259,AD259,AG259,AJ259)=8,O259*Guide!$E$5+R259*Guide!$E$6+U259*Guide!$E$7+X259*Guide!$E$8+AA259*Guide!$E$9+AD259*Guide!$E$10+AG259*Guide!$E$11+AJ259*Guide!$E$12,"")</x:f>
        <x:v>208.75</x:v>
      </x:c>
      <x:c r="H259" s="4" t="n">
        <x:f>IF(COUNT(G259,F259)=2,G259-F259,"")</x:f>
        <x:v>-98.75</x:v>
      </x:c>
      <x:c r="I259" s="4" t="n">
        <x:f>IF(AND(ISNUMBER(F259),K259&gt;0),F259/K259,"")</x:f>
        <x:v>3.7962962962962963</x:v>
      </x:c>
      <x:c r="J259" s="4" t="n">
        <x:f>IF(AND(ISNUMBER(G259),L259&gt;0),G259/L259,"")</x:f>
        <x:v>3.662280701754386</x:v>
      </x:c>
      <x:c r="K259" s="10" t="n">
        <x:v>81</x:v>
      </x:c>
      <x:c r="L259" s="10" t="n">
        <x:v>57</x:v>
      </x:c>
      <x:c r="M259" s="10" t="n">
        <x:f>IF(COUNT(L259,K259)=2,L259-K259,"")</x:f>
        <x:v>-24</x:v>
      </x:c>
      <x:c r="N259" s="10" t="n">
        <x:v>24</x:v>
      </x:c>
      <x:c r="O259" s="10" t="n">
        <x:v>16</x:v>
      </x:c>
      <x:c r="P259" s="10" t="n">
        <x:f>IF(COUNT(O259,N259)=2,O259-N259,"")</x:f>
        <x:v>-8</x:v>
      </x:c>
      <x:c r="Q259" s="10" t="n">
        <x:v>40</x:v>
      </x:c>
      <x:c r="R259" s="10" t="n">
        <x:v>29</x:v>
      </x:c>
      <x:c r="S259" s="10" t="n">
        <x:f>IF(COUNT(R259,Q259)=2,R259-Q259,"")</x:f>
        <x:v>-11</x:v>
      </x:c>
      <x:c r="T259" s="10" t="n">
        <x:v>6</x:v>
      </x:c>
      <x:c r="U259" s="10" t="n">
        <x:v>-3</x:v>
      </x:c>
      <x:c r="V259" s="10" t="n">
        <x:f>IF(COUNT(U259,T259)=2,U259-T259,"")</x:f>
        <x:v>-9</x:v>
      </x:c>
      <x:c r="W259" s="10" t="n">
        <x:v>17</x:v>
      </x:c>
      <x:c r="X259" s="10" t="n">
        <x:f>IF(COUNT(AV259,AW259)=2,AV259+AW259,"")</x:f>
        <x:v>14</x:v>
      </x:c>
      <x:c r="Y259" s="10" t="n">
        <x:f>IF(COUNT(X259,W259)=2,X259-W259,"")</x:f>
        <x:v>-3</x:v>
      </x:c>
      <x:c r="Z259" s="10" t="n">
        <x:v>0</x:v>
      </x:c>
      <x:c r="AA259" s="10" t="n">
        <x:f>IF(COUNT(AX259,AY259)=2,AX259+AY259,"")</x:f>
        <x:v>0</x:v>
      </x:c>
      <x:c r="AB259" s="10" t="n">
        <x:f>IF(COUNT(AA259,Z259)=2,AA259-Z259,"")</x:f>
        <x:v>0</x:v>
      </x:c>
      <x:c r="AC259" s="10" t="n">
        <x:v>145</x:v>
      </x:c>
      <x:c r="AD259" s="10" t="n">
        <x:v>89</x:v>
      </x:c>
      <x:c r="AE259" s="10" t="n">
        <x:f>IF(COUNT(AD259,AC259)=2,AD259-AC259,"")</x:f>
        <x:v>-56</x:v>
      </x:c>
      <x:c r="AF259" s="10" t="n">
        <x:v>30</x:v>
      </x:c>
      <x:c r="AG259" s="10" t="n">
        <x:v>29</x:v>
      </x:c>
      <x:c r="AH259" s="10" t="n">
        <x:f>IF(COUNT(AG259,AF259)=2,AG259-AF259,"")</x:f>
        <x:v>-1</x:v>
      </x:c>
      <x:c r="AI259" s="10" t="n">
        <x:v>33</x:v>
      </x:c>
      <x:c r="AJ259" s="10" t="n">
        <x:v>23</x:v>
      </x:c>
      <x:c r="AK259" s="10" t="n">
        <x:f>IF(COUNT(AJ259,AI259)=2,AJ259-AI259,"")</x:f>
        <x:v>-10</x:v>
      </x:c>
      <x:c r="AL259" s="10" t="n">
        <x:v>35</x:v>
      </x:c>
      <x:c r="AM259" s="10" t="n">
        <x:v>35</x:v>
      </x:c>
      <x:c r="AN259" s="4" t="str">
        <x:v>C,RW</x:v>
      </x:c>
      <x:c r="AO259" s="4" t="str">
        <x:v>C</x:v>
      </x:c>
      <x:c r="AP259" s="4" t="str">
        <x:v>DAL</x:v>
      </x:c>
      <x:c r="AQ259" s="4" t="str">
        <x:v>DAL</x:v>
      </x:c>
      <x:c r="AR259" s="4" t="n">
        <x:v>16.759999999999998</x:v>
      </x:c>
      <x:c r="AS259" s="4" t="n">
        <x:v>16.516666666666666</x:v>
      </x:c>
      <x:c r="AT259" s="4" t="n">
        <x:v>2.3</x:v>
      </x:c>
      <x:c r="AU259" s="4" t="n">
        <x:v>18</x:v>
      </x:c>
      <x:c r="AV259" s="10" t="n">
        <x:v>5</x:v>
      </x:c>
      <x:c r="AW259" s="10" t="n">
        <x:v>9</x:v>
      </x:c>
      <x:c r="AX259" s="10" t="n">
        <x:v>0</x:v>
      </x:c>
      <x:c r="AY259" s="10" t="n">
        <x:v>0</x:v>
      </x:c>
      <x:c r="AZ259" s="10" t="n">
        <x:v>698</x:v>
      </x:c>
      <x:c r="BA259" s="10" t="n">
        <x:v>798</x:v>
      </x:c>
      <x:c r="BB259" s="4" t="n">
        <x:v>46.7</x:v>
      </x:c>
      <x:c r="BC259" s="4" t="n">
        <x:v>-2.5</x:v>
      </x:c>
      <x:c r="BD259" s="10" t="n">
        <x:v>489</x:v>
      </x:c>
      <x:c r="BE259" s="10" t="n">
        <x:v>561</x:v>
      </x:c>
      <x:c r="BF259" s="4" t="n">
        <x:v>46.6</x:v>
      </x:c>
      <x:c r="BG259" s="4" t="n">
        <x:v>-3.5</x:v>
      </x:c>
      <x:c r="BH259" s="4" t="n">
        <x:v>15.3</x:v>
      </x:c>
      <x:c r="BI259" s="4" t="n">
        <x:v>86.5</x:v>
      </x:c>
      <x:c r="BJ259" s="4" t="n">
        <x:v>101.8</x:v>
      </x:c>
      <x:c r="BK259" s="4" t="n">
        <x:v>56.3</x:v>
      </x:c>
      <x:c r="BL259" s="4" t="n">
        <x:v>43.7</x:v>
      </x:c>
      <x:c r="BM259" s="4" t="n">
        <x:v>16.516666666666666</x:v>
      </x:c>
      <x:c r="BN259" s="4" t="n">
        <x:v>14.166666666666666</x:v>
      </x:c>
      <x:c r="BO259" s="10" t="n">
        <x:v>11</x:v>
      </x:c>
      <x:c r="BP259" s="10" t="n">
        <x:v>61</x:v>
      </x:c>
      <x:c r="BQ259" s="4" t="n">
        <x:v>-1.3</x:v>
      </x:c>
      <x:c r="BR259" s="10" t="n">
        <x:v>176</x:v>
      </x:c>
      <x:c r="BS259" s="4" t="n">
        <x:v>50.6</x:v>
      </x:c>
      <x:c r="BT259" s="10" t="n">
        <x:v>57</x:v>
      </x:c>
      <x:c r="BU259" s="4" t="str">
        <x:v>DAL</x:v>
      </x:c>
      <x:c r="BV259" s="10" t="n">
        <x:v>75</x:v>
      </x:c>
      <x:c r="BW259" s="10" t="n">
        <x:v>175</x:v>
      </x:c>
      <x:c r="BX259" s="10" t="n">
        <x:v>243</x:v>
      </x:c>
      <x:c r="BY259" s="4" t="str">
        <x:v>Matt Duchene</x:v>
      </x:c>
      <x:c r="BZ259" s="4" t="str">
        <x:v>Matt Duchene</x:v>
      </x:c>
      <x:c r="CA259" s="4" t="str">
        <x:v>Matt Duchene</x:v>
      </x:c>
      <x:c r="CB259" s="4" t="str">
        <x:v>duchema01</x:v>
      </x:c>
    </x:row>
    <x:row r="260" ht="22" customHeight="1">
      <x:c r="A260" s="4" t="str">
        <x:v>Matt Roy</x:v>
      </x:c>
      <x:c r="B260" s="4" t="str">
        <x:v>mattroy</x:v>
      </x:c>
      <x:c r="C260" s="10" t="n">
        <x:v>1</x:v>
      </x:c>
      <x:c r="D260" s="10" t="n">
        <x:v>1</x:v>
      </x:c>
      <x:c r="E260" s="10" t="n">
        <x:v>1</x:v>
      </x:c>
      <x:c r="F260" s="4" t="n">
        <x:f>IF(COUNT(N260,Q260,T260,W260,Z260,AC260,AF260,AI260)=8,N260*Guide!$E$5+Q260*Guide!$E$6+T260*Guide!$E$7+W260*Guide!$E$8+Z260*Guide!$E$9+AC260*Guide!$E$10+AF260*Guide!$E$11+AI260*Guide!$E$12,"")</x:f>
        <x:v>245</x:v>
      </x:c>
      <x:c r="G260" s="4" t="n">
        <x:f>IF(COUNT(O260,R260,U260,X260,AA260,AD260,AG260,AJ260)=8,O260*Guide!$E$5+R260*Guide!$E$6+U260*Guide!$E$7+X260*Guide!$E$8+AA260*Guide!$E$9+AD260*Guide!$E$10+AG260*Guide!$E$11+AJ260*Guide!$E$12,"")</x:f>
        <x:v>239</x:v>
      </x:c>
      <x:c r="H260" s="4" t="n">
        <x:f>IF(COUNT(G260,F260)=2,G260-F260,"")</x:f>
        <x:v>-6</x:v>
      </x:c>
      <x:c r="I260" s="4" t="n">
        <x:f>IF(AND(ISNUMBER(F260),K260&gt;0),F260/K260,"")</x:f>
        <x:v>3.223684210526316</x:v>
      </x:c>
      <x:c r="J260" s="4" t="n">
        <x:f>IF(AND(ISNUMBER(G260),L260&gt;0),G260/L260,"")</x:f>
        <x:v>3.0253164556962027</x:v>
      </x:c>
      <x:c r="K260" s="10" t="n">
        <x:v>76</x:v>
      </x:c>
      <x:c r="L260" s="10" t="n">
        <x:v>79</x:v>
      </x:c>
      <x:c r="M260" s="10" t="n">
        <x:f>IF(COUNT(L260,K260)=2,L260-K260,"")</x:f>
        <x:v>3</x:v>
      </x:c>
      <x:c r="N260" s="10" t="n">
        <x:v>5</x:v>
      </x:c>
      <x:c r="O260" s="10" t="n">
        <x:v>2</x:v>
      </x:c>
      <x:c r="P260" s="10" t="n">
        <x:f>IF(COUNT(O260,N260)=2,O260-N260,"")</x:f>
        <x:v>-3</x:v>
      </x:c>
      <x:c r="Q260" s="10" t="n">
        <x:v>19</x:v>
      </x:c>
      <x:c r="R260" s="10" t="n">
        <x:v>17</x:v>
      </x:c>
      <x:c r="S260" s="10" t="n">
        <x:f>IF(COUNT(R260,Q260)=2,R260-Q260,"")</x:f>
        <x:v>-2</x:v>
      </x:c>
      <x:c r="T260" s="10" t="n">
        <x:v>6</x:v>
      </x:c>
      <x:c r="U260" s="10" t="n">
        <x:v>18</x:v>
      </x:c>
      <x:c r="V260" s="10" t="n">
        <x:f>IF(COUNT(U260,T260)=2,U260-T260,"")</x:f>
        <x:v>12</x:v>
      </x:c>
      <x:c r="W260" s="10" t="n">
        <x:v>1</x:v>
      </x:c>
      <x:c r="X260" s="10" t="n">
        <x:f>IF(COUNT(AV260,AW260)=2,AV260+AW260,"")</x:f>
        <x:v>0</x:v>
      </x:c>
      <x:c r="Y260" s="10" t="n">
        <x:f>IF(COUNT(X260,W260)=2,X260-W260,"")</x:f>
        <x:v>-1</x:v>
      </x:c>
      <x:c r="Z260" s="10" t="n">
        <x:v>1</x:v>
      </x:c>
      <x:c r="AA260" s="10" t="n">
        <x:f>IF(COUNT(AX260,AY260)=2,AX260+AY260,"")</x:f>
        <x:v>0</x:v>
      </x:c>
      <x:c r="AB260" s="10" t="n">
        <x:f>IF(COUNT(AA260,Z260)=2,AA260-Z260,"")</x:f>
        <x:v>-1</x:v>
      </x:c>
      <x:c r="AC260" s="10" t="n">
        <x:v>106</x:v>
      </x:c>
      <x:c r="AD260" s="10" t="n">
        <x:v>94</x:v>
      </x:c>
      <x:c r="AE260" s="10" t="n">
        <x:f>IF(COUNT(AD260,AC260)=2,AD260-AC260,"")</x:f>
        <x:v>-12</x:v>
      </x:c>
      <x:c r="AF260" s="10" t="n">
        <x:v>115</x:v>
      </x:c>
      <x:c r="AG260" s="10" t="n">
        <x:v>116</x:v>
      </x:c>
      <x:c r="AH260" s="10" t="n">
        <x:f>IF(COUNT(AG260,AF260)=2,AG260-AF260,"")</x:f>
        <x:v>1</x:v>
      </x:c>
      <x:c r="AI260" s="10" t="n">
        <x:v>137</x:v>
      </x:c>
      <x:c r="AJ260" s="10" t="n">
        <x:v>146</x:v>
      </x:c>
      <x:c r="AK260" s="10" t="n">
        <x:f>IF(COUNT(AJ260,AI260)=2,AJ260-AI260,"")</x:f>
        <x:v>9</x:v>
      </x:c>
      <x:c r="AL260" s="10" t="n">
        <x:v>30</x:v>
      </x:c>
      <x:c r="AM260" s="10" t="n">
        <x:v>30</x:v>
      </x:c>
      <x:c r="AN260" s="4" t="str">
        <x:v>D</x:v>
      </x:c>
      <x:c r="AO260" s="4" t="str">
        <x:v>D</x:v>
      </x:c>
      <x:c r="AP260" s="4" t="str">
        <x:v>WSH</x:v>
      </x:c>
      <x:c r="AQ260" s="4" t="str">
        <x:v>WSH</x:v>
      </x:c>
      <x:c r="AR260" s="4" t="n">
        <x:v>20.12</x:v>
      </x:c>
      <x:c r="AS260" s="4" t="n">
        <x:v>20.616666666666667</x:v>
      </x:c>
      <x:c r="AT260" s="4" t="n">
        <x:v>0.15</x:v>
      </x:c>
      <x:c r="AU260" s="4" t="n">
        <x:v>2.1</x:v>
      </x:c>
      <x:c r="AV260" s="10" t="n">
        <x:v>0</x:v>
      </x:c>
      <x:c r="AW260" s="10" t="n">
        <x:v>0</x:v>
      </x:c>
      <x:c r="AX260" s="10" t="n">
        <x:v>0</x:v>
      </x:c>
      <x:c r="AY260" s="10" t="n">
        <x:v>0</x:v>
      </x:c>
      <x:c r="AZ260" s="10" t="n">
        <x:v>1342</x:v>
      </x:c>
      <x:c r="BA260" s="10" t="n">
        <x:v>1380</x:v>
      </x:c>
      <x:c r="BB260" s="4" t="n">
        <x:v>49.3</x:v>
      </x:c>
      <x:c r="BC260" s="4" t="n">
        <x:v>-0.4</x:v>
      </x:c>
      <x:c r="BD260" s="10" t="n">
        <x:v>978</x:v>
      </x:c>
      <x:c r="BE260" s="10" t="n">
        <x:v>959</x:v>
      </x:c>
      <x:c r="BF260" s="4" t="n">
        <x:v>50.5</x:v>
      </x:c>
      <x:c r="BG260" s="4" t="n">
        <x:v>-0.1</x:v>
      </x:c>
      <x:c r="BH260" s="4" t="n">
        <x:v>10.5</x:v>
      </x:c>
      <x:c r="BI260" s="4" t="n">
        <x:v>91.9</x:v>
      </x:c>
      <x:c r="BJ260" s="4" t="n">
        <x:v>102.4</x:v>
      </x:c>
      <x:c r="BK260" s="4" t="n">
        <x:v>46.2</x:v>
      </x:c>
      <x:c r="BL260" s="4" t="n">
        <x:v>53.8</x:v>
      </x:c>
      <x:c r="BM260" s="4" t="n">
        <x:v>20.616666666666667</x:v>
      </x:c>
      <x:c r="BN260" s="4" t="n">
        <x:v>17.916666666666668</x:v>
      </x:c>
      <x:c r="BO260" s="10" t="n">
        <x:v>12</x:v>
      </x:c>
      <x:c r="BP260" s="10" t="n">
        <x:v>69</x:v>
      </x:c>
      <x:c r="BQ260" s="4" t="n">
        <x:v>-4.7</x:v>
      </x:c>
      <x:c r="BR260" s="10" t="n">
        <x:v>213</x:v>
      </x:c>
      <x:c r="BS260" s="4" t="n">
        <x:v>44.1</x:v>
      </x:c>
      <x:c r="BT260" s="10" t="n">
        <x:v>79</x:v>
      </x:c>
      <x:c r="BU260" s="4" t="str">
        <x:v>WSH</x:v>
      </x:c>
      <x:c r="BV260" s="10" t="n">
        <x:v>444</x:v>
      </x:c>
      <x:c r="BW260" s="10" t="n">
        <x:v>480</x:v>
      </x:c>
      <x:c r="BX260" s="10" t="n">
        <x:v>881</x:v>
      </x:c>
      <x:c r="BY260" s="4" t="str">
        <x:v>Matt Roy</x:v>
      </x:c>
      <x:c r="BZ260" s="4" t="str">
        <x:v>Matt Roy</x:v>
      </x:c>
      <x:c r="CA260" s="4" t="str">
        <x:v>Matt Roy</x:v>
      </x:c>
      <x:c r="CB260" s="4" t="str">
        <x:v>royma04</x:v>
      </x:c>
    </x:row>
    <x:row r="261" ht="22" customHeight="1">
      <x:c r="A261" s="4" t="str">
        <x:v>Matthew Coronato</x:v>
      </x:c>
      <x:c r="B261" s="4" t="str">
        <x:v>mattcoronato</x:v>
      </x:c>
      <x:c r="C261" s="10" t="n">
        <x:v>1</x:v>
      </x:c>
      <x:c r="D261" s="10" t="n">
        <x:v>1</x:v>
      </x:c>
      <x:c r="E261" s="10" t="n">
        <x:v>1</x:v>
      </x:c>
      <x:c r="F261" s="4" t="n">
        <x:f>IF(COUNT(N261,Q261,T261,W261,Z261,AC261,AF261,AI261)=8,N261*Guide!$E$5+Q261*Guide!$E$6+T261*Guide!$E$7+W261*Guide!$E$8+Z261*Guide!$E$9+AC261*Guide!$E$10+AF261*Guide!$E$11+AI261*Guide!$E$12,"")</x:f>
        <x:v>241</x:v>
      </x:c>
      <x:c r="G261" s="4" t="n">
        <x:f>IF(COUNT(O261,R261,U261,X261,AA261,AD261,AG261,AJ261)=8,O261*Guide!$E$5+R261*Guide!$E$6+U261*Guide!$E$7+X261*Guide!$E$8+AA261*Guide!$E$9+AD261*Guide!$E$10+AG261*Guide!$E$11+AJ261*Guide!$E$12,"")</x:f>
        <x:v>211.25</x:v>
      </x:c>
      <x:c r="H261" s="4" t="n">
        <x:f>IF(COUNT(G261,F261)=2,G261-F261,"")</x:f>
        <x:v>-29.75</x:v>
      </x:c>
      <x:c r="I261" s="4" t="n">
        <x:f>IF(AND(ISNUMBER(F261),K261&gt;0),F261/K261,"")</x:f>
        <x:v>3.2567567567567566</x:v>
      </x:c>
      <x:c r="J261" s="4" t="n">
        <x:f>IF(AND(ISNUMBER(G261),L261&gt;0),G261/L261,"")</x:f>
        <x:v>2.640625</x:v>
      </x:c>
      <x:c r="K261" s="10" t="n">
        <x:v>74</x:v>
      </x:c>
      <x:c r="L261" s="10" t="n">
        <x:v>80</x:v>
      </x:c>
      <x:c r="M261" s="10" t="n">
        <x:f>IF(COUNT(L261,K261)=2,L261-K261,"")</x:f>
        <x:v>6</x:v>
      </x:c>
      <x:c r="N261" s="10" t="n">
        <x:v>21</x:v>
      </x:c>
      <x:c r="O261" s="10" t="n">
        <x:v>18</x:v>
      </x:c>
      <x:c r="P261" s="10" t="n">
        <x:f>IF(COUNT(O261,N261)=2,O261-N261,"")</x:f>
        <x:v>-3</x:v>
      </x:c>
      <x:c r="Q261" s="10" t="n">
        <x:v>25</x:v>
      </x:c>
      <x:c r="R261" s="10" t="n">
        <x:v>27</x:v>
      </x:c>
      <x:c r="S261" s="10" t="n">
        <x:f>IF(COUNT(R261,Q261)=2,R261-Q261,"")</x:f>
        <x:v>2</x:v>
      </x:c>
      <x:c r="T261" s="10" t="n">
        <x:v>-7</x:v>
      </x:c>
      <x:c r="U261" s="10" t="n">
        <x:v>-29</x:v>
      </x:c>
      <x:c r="V261" s="10" t="n">
        <x:f>IF(COUNT(U261,T261)=2,U261-T261,"")</x:f>
        <x:v>-22</x:v>
      </x:c>
      <x:c r="W261" s="10" t="n">
        <x:v>15</x:v>
      </x:c>
      <x:c r="X261" s="10" t="n">
        <x:f>IF(COUNT(AV261,AW261)=2,AV261+AW261,"")</x:f>
        <x:v>15</x:v>
      </x:c>
      <x:c r="Y261" s="10" t="n">
        <x:f>IF(COUNT(X261,W261)=2,X261-W261,"")</x:f>
        <x:v>0</x:v>
      </x:c>
      <x:c r="Z261" s="10" t="n">
        <x:v>0</x:v>
      </x:c>
      <x:c r="AA261" s="10" t="n">
        <x:f>IF(COUNT(AX261,AY261)=2,AX261+AY261,"")</x:f>
        <x:v>0</x:v>
      </x:c>
      <x:c r="AB261" s="10" t="n">
        <x:f>IF(COUNT(AA261,Z261)=2,AA261-Z261,"")</x:f>
        <x:v>0</x:v>
      </x:c>
      <x:c r="AC261" s="10" t="n">
        <x:v>168</x:v>
      </x:c>
      <x:c r="AD261" s="10" t="n">
        <x:v>197</x:v>
      </x:c>
      <x:c r="AE261" s="10" t="n">
        <x:f>IF(COUNT(AD261,AC261)=2,AD261-AC261,"")</x:f>
        <x:v>29</x:v>
      </x:c>
      <x:c r="AF261" s="10" t="n">
        <x:v>32</x:v>
      </x:c>
      <x:c r="AG261" s="10" t="n">
        <x:v>23</x:v>
      </x:c>
      <x:c r="AH261" s="10" t="n">
        <x:f>IF(COUNT(AG261,AF261)=2,AG261-AF261,"")</x:f>
        <x:v>-9</x:v>
      </x:c>
      <x:c r="AI261" s="10" t="n">
        <x:v>32</x:v>
      </x:c>
      <x:c r="AJ261" s="10" t="n">
        <x:v>23</x:v>
      </x:c>
      <x:c r="AK261" s="10" t="n">
        <x:f>IF(COUNT(AJ261,AI261)=2,AJ261-AI261,"")</x:f>
        <x:v>-9</x:v>
      </x:c>
      <x:c r="AL261" s="10" t="n">
        <x:v>23</x:v>
      </x:c>
      <x:c r="AM261" s="10" t="n">
        <x:v>23</x:v>
      </x:c>
      <x:c r="AN261" s="4" t="str">
        <x:v>RW</x:v>
      </x:c>
      <x:c r="AO261" s="4" t="str">
        <x:v>RW</x:v>
      </x:c>
      <x:c r="AP261" s="4" t="str">
        <x:v>CGY</x:v>
      </x:c>
      <x:c r="AQ261" s="4" t="str">
        <x:v>CGY</x:v>
      </x:c>
      <x:c r="AR261" s="4" t="n">
        <x:v>17.27</x:v>
      </x:c>
      <x:c r="AS261" s="4" t="n">
        <x:v>16.65</x:v>
      </x:c>
      <x:c r="AT261" s="4" t="n">
        <x:v>2.41</x:v>
      </x:c>
      <x:c r="AU261" s="4" t="n">
        <x:v>9.1</x:v>
      </x:c>
      <x:c r="AV261" s="10" t="n">
        <x:v>7</x:v>
      </x:c>
      <x:c r="AW261" s="10" t="n">
        <x:v>8</x:v>
      </x:c>
      <x:c r="AX261" s="10" t="n">
        <x:v>0</x:v>
      </x:c>
      <x:c r="AY261" s="10" t="n">
        <x:v>0</x:v>
      </x:c>
      <x:c r="AZ261" s="10" t="n">
        <x:v>1132</x:v>
      </x:c>
      <x:c r="BA261" s="10" t="n">
        <x:v>1150</x:v>
      </x:c>
      <x:c r="BB261" s="4" t="n">
        <x:v>49.6</x:v>
      </x:c>
      <x:c r="BC261" s="4" t="n">
        <x:v>0.9</x:v>
      </x:c>
      <x:c r="BD261" s="10" t="n">
        <x:v>791</x:v>
      </x:c>
      <x:c r="BE261" s="10" t="n">
        <x:v>852</x:v>
      </x:c>
      <x:c r="BF261" s="4" t="n">
        <x:v>48.1</x:v>
      </x:c>
      <x:c r="BG261" s="4" t="n">
        <x:v>-0.6</x:v>
      </x:c>
      <x:c r="BH261" s="4" t="n">
        <x:v>7.5</x:v>
      </x:c>
      <x:c r="BI261" s="4" t="n">
        <x:v>88.3</x:v>
      </x:c>
      <x:c r="BJ261" s="4" t="n">
        <x:v>95.8</x:v>
      </x:c>
      <x:c r="BK261" s="4" t="n">
        <x:v>55.8</x:v>
      </x:c>
      <x:c r="BL261" s="4" t="n">
        <x:v>44.2</x:v>
      </x:c>
      <x:c r="BM261" s="4" t="n">
        <x:v>16.65</x:v>
      </x:c>
      <x:c r="BN261" s="4" t="n">
        <x:v>13.85</x:v>
      </x:c>
      <x:c r="BO261" s="10" t="n">
        <x:v>19</x:v>
      </x:c>
      <x:c r="BP261" s="10" t="n">
        <x:v>56</x:v>
      </x:c>
      <x:c r="BQ261" s="4" t="n">
        <x:v>-8.1</x:v>
      </x:c>
      <x:c r="BR261" s="10" t="n">
        <x:v>409</x:v>
      </x:c>
      <x:c r="BS261" s="4" t="n">
        <x:v>48.2</x:v>
      </x:c>
      <x:c r="BT261" s="10" t="n">
        <x:v>80</x:v>
      </x:c>
      <x:c r="BU261" s="4" t="str">
        <x:v>CGY</x:v>
      </x:c>
      <x:c r="BV261" s="10" t="n">
        <x:v>192</x:v>
      </x:c>
      <x:c r="BW261" s="10" t="n">
        <x:v>174</x:v>
      </x:c>
      <x:c r="BX261" s="10" t="n">
        <x:v>174</x:v>
      </x:c>
      <x:c r="BY261" s="4" t="str">
        <x:v>Matt Coronato</x:v>
      </x:c>
      <x:c r="BZ261" s="4" t="str">
        <x:v>Matthew Coronato</x:v>
      </x:c>
      <x:c r="CA261" s="4" t="str">
        <x:v>Matthew Coronato</x:v>
      </x:c>
      <x:c r="CB261" s="4" t="str">
        <x:v>coronma01</x:v>
      </x:c>
    </x:row>
    <x:row r="262" ht="22" customHeight="1">
      <x:c r="A262" s="4" t="str">
        <x:v>Matthew Knies</x:v>
      </x:c>
      <x:c r="B262" s="4" t="str">
        <x:v>matthewknies</x:v>
      </x:c>
      <x:c r="C262" s="10" t="n">
        <x:v>1</x:v>
      </x:c>
      <x:c r="D262" s="10" t="n">
        <x:v>1</x:v>
      </x:c>
      <x:c r="E262" s="10" t="n">
        <x:v>1</x:v>
      </x:c>
      <x:c r="F262" s="4" t="n">
        <x:f>IF(COUNT(N262,Q262,T262,W262,Z262,AC262,AF262,AI262)=8,N262*Guide!$E$5+Q262*Guide!$E$6+T262*Guide!$E$7+W262*Guide!$E$8+Z262*Guide!$E$9+AC262*Guide!$E$10+AF262*Guide!$E$11+AI262*Guide!$E$12,"")</x:f>
        <x:v>343.5</x:v>
      </x:c>
      <x:c r="G262" s="4" t="n">
        <x:f>IF(COUNT(O262,R262,U262,X262,AA262,AD262,AG262,AJ262)=8,O262*Guide!$E$5+R262*Guide!$E$6+U262*Guide!$E$7+X262*Guide!$E$8+AA262*Guide!$E$9+AD262*Guide!$E$10+AG262*Guide!$E$11+AJ262*Guide!$E$12,"")</x:f>
        <x:v>307</x:v>
      </x:c>
      <x:c r="H262" s="4" t="n">
        <x:f>IF(COUNT(G262,F262)=2,G262-F262,"")</x:f>
        <x:v>-36.5</x:v>
      </x:c>
      <x:c r="I262" s="4" t="n">
        <x:f>IF(AND(ISNUMBER(F262),K262&gt;0),F262/K262,"")</x:f>
        <x:v>4.461038961038961</x:v>
      </x:c>
      <x:c r="J262" s="4" t="n">
        <x:f>IF(AND(ISNUMBER(G262),L262&gt;0),G262/L262,"")</x:f>
        <x:v>3.8860759493670884</x:v>
      </x:c>
      <x:c r="K262" s="10" t="n">
        <x:v>77</x:v>
      </x:c>
      <x:c r="L262" s="10" t="n">
        <x:v>79</x:v>
      </x:c>
      <x:c r="M262" s="10" t="n">
        <x:f>IF(COUNT(L262,K262)=2,L262-K262,"")</x:f>
        <x:v>2</x:v>
      </x:c>
      <x:c r="N262" s="10" t="n">
        <x:v>27</x:v>
      </x:c>
      <x:c r="O262" s="10" t="n">
        <x:v>23</x:v>
      </x:c>
      <x:c r="P262" s="10" t="n">
        <x:f>IF(COUNT(O262,N262)=2,O262-N262,"")</x:f>
        <x:v>-4</x:v>
      </x:c>
      <x:c r="Q262" s="10" t="n">
        <x:v>32</x:v>
      </x:c>
      <x:c r="R262" s="10" t="n">
        <x:v>43</x:v>
      </x:c>
      <x:c r="S262" s="10" t="n">
        <x:f>IF(COUNT(R262,Q262)=2,R262-Q262,"")</x:f>
        <x:v>11</x:v>
      </x:c>
      <x:c r="T262" s="10" t="n">
        <x:v>6</x:v>
      </x:c>
      <x:c r="U262" s="10" t="n">
        <x:v>-30</x:v>
      </x:c>
      <x:c r="V262" s="10" t="n">
        <x:f>IF(COUNT(U262,T262)=2,U262-T262,"")</x:f>
        <x:v>-36</x:v>
      </x:c>
      <x:c r="W262" s="10" t="n">
        <x:v>17</x:v>
      </x:c>
      <x:c r="X262" s="10" t="n">
        <x:f>IF(COUNT(AV262,AW262)=2,AV262+AW262,"")</x:f>
        <x:v>16</x:v>
      </x:c>
      <x:c r="Y262" s="10" t="n">
        <x:f>IF(COUNT(X262,W262)=2,X262-W262,"")</x:f>
        <x:v>-1</x:v>
      </x:c>
      <x:c r="Z262" s="10" t="n">
        <x:v>1</x:v>
      </x:c>
      <x:c r="AA262" s="10" t="n">
        <x:f>IF(COUNT(AX262,AY262)=2,AX262+AY262,"")</x:f>
        <x:v>1</x:v>
      </x:c>
      <x:c r="AB262" s="10" t="n">
        <x:f>IF(COUNT(AA262,Z262)=2,AA262-Z262,"")</x:f>
        <x:v>0</x:v>
      </x:c>
      <x:c r="AC262" s="10" t="n">
        <x:v>152</x:v>
      </x:c>
      <x:c r="AD262" s="10" t="n">
        <x:v>140</x:v>
      </x:c>
      <x:c r="AE262" s="10" t="n">
        <x:f>IF(COUNT(AD262,AC262)=2,AD262-AC262,"")</x:f>
        <x:v>-12</x:v>
      </x:c>
      <x:c r="AF262" s="10" t="n">
        <x:v>182</x:v>
      </x:c>
      <x:c r="AG262" s="10" t="n">
        <x:v>152</x:v>
      </x:c>
      <x:c r="AH262" s="10" t="n">
        <x:f>IF(COUNT(AG262,AF262)=2,AG262-AF262,"")</x:f>
        <x:v>-30</x:v>
      </x:c>
      <x:c r="AI262" s="10" t="n">
        <x:v>40</x:v>
      </x:c>
      <x:c r="AJ262" s="10" t="n">
        <x:v>32</x:v>
      </x:c>
      <x:c r="AK262" s="10" t="n">
        <x:f>IF(COUNT(AJ262,AI262)=2,AJ262-AI262,"")</x:f>
        <x:v>-8</x:v>
      </x:c>
      <x:c r="AL262" s="10" t="n">
        <x:v>23</x:v>
      </x:c>
      <x:c r="AM262" s="10" t="n">
        <x:v>23</x:v>
      </x:c>
      <x:c r="AN262" s="4" t="str">
        <x:v>LW</x:v>
      </x:c>
      <x:c r="AO262" s="4" t="str">
        <x:v>LW</x:v>
      </x:c>
      <x:c r="AP262" s="4" t="str">
        <x:v>TOR</x:v>
      </x:c>
      <x:c r="AQ262" s="4" t="str">
        <x:v>TOR</x:v>
      </x:c>
      <x:c r="AR262" s="4" t="n">
        <x:v>18.6</x:v>
      </x:c>
      <x:c r="AS262" s="4" t="n">
        <x:v>18.8</x:v>
      </x:c>
      <x:c r="AT262" s="4" t="n">
        <x:v>2.7</x:v>
      </x:c>
      <x:c r="AU262" s="4" t="n">
        <x:v>16.4</x:v>
      </x:c>
      <x:c r="AV262" s="10" t="n">
        <x:v>6</x:v>
      </x:c>
      <x:c r="AW262" s="10" t="n">
        <x:v>10</x:v>
      </x:c>
      <x:c r="AX262" s="10" t="n">
        <x:v>1</x:v>
      </x:c>
      <x:c r="AY262" s="10" t="n">
        <x:v>0</x:v>
      </x:c>
      <x:c r="AZ262" s="10" t="n">
        <x:v>1005</x:v>
      </x:c>
      <x:c r="BA262" s="10" t="n">
        <x:v>1335</x:v>
      </x:c>
      <x:c r="BB262" s="4" t="n">
        <x:v>42.9</x:v>
      </x:c>
      <x:c r="BC262" s="4" t="n">
        <x:v>-2.4</x:v>
      </x:c>
      <x:c r="BD262" s="10" t="n">
        <x:v>735</x:v>
      </x:c>
      <x:c r="BE262" s="10" t="n">
        <x:v>967</x:v>
      </x:c>
      <x:c r="BF262" s="4" t="n">
        <x:v>43.2</x:v>
      </x:c>
      <x:c r="BG262" s="4" t="n">
        <x:v>-2.8</x:v>
      </x:c>
      <x:c r="BH262" s="4" t="n">
        <x:v>11.7</x:v>
      </x:c>
      <x:c r="BI262" s="4" t="n">
        <x:v>87.5</x:v>
      </x:c>
      <x:c r="BJ262" s="4" t="n">
        <x:v>99.2</x:v>
      </x:c>
      <x:c r="BK262" s="4" t="n">
        <x:v>52</x:v>
      </x:c>
      <x:c r="BL262" s="4" t="n">
        <x:v>48</x:v>
      </x:c>
      <x:c r="BM262" s="4" t="n">
        <x:v>18.8</x:v>
      </x:c>
      <x:c r="BN262" s="4" t="n">
        <x:v>14.983333333333333</x:v>
      </x:c>
      <x:c r="BO262" s="10" t="n">
        <x:v>26</x:v>
      </x:c>
      <x:c r="BP262" s="10" t="n">
        <x:v>68</x:v>
      </x:c>
      <x:c r="BQ262" s="4" t="n">
        <x:v>-16.6</x:v>
      </x:c>
      <x:c r="BR262" s="10" t="n">
        <x:v>241</x:v>
      </x:c>
      <x:c r="BS262" s="4" t="n">
        <x:v>58.1</x:v>
      </x:c>
      <x:c r="BT262" s="10" t="n">
        <x:v>79</x:v>
      </x:c>
      <x:c r="BU262" s="4" t="str">
        <x:v>TOR</x:v>
      </x:c>
      <x:c r="BV262" s="10" t="n">
        <x:v>96</x:v>
      </x:c>
      <x:c r="BW262" s="10" t="n">
        <x:v>70</x:v>
      </x:c>
      <x:c r="BX262" s="10" t="n">
        <x:v>526</x:v>
      </x:c>
      <x:c r="BY262" s="4" t="str">
        <x:v>Matthew Knies</x:v>
      </x:c>
      <x:c r="BZ262" s="4" t="str">
        <x:v>Matthew Knies</x:v>
      </x:c>
      <x:c r="CA262" s="4" t="str">
        <x:v>Matthew Knies</x:v>
      </x:c>
      <x:c r="CB262" s="4" t="str">
        <x:v>kniesma01</x:v>
      </x:c>
    </x:row>
    <x:row r="263" ht="22" customHeight="1">
      <x:c r="A263" s="4" t="str">
        <x:v>Matthew Savoie</x:v>
      </x:c>
      <x:c r="B263" s="4" t="str">
        <x:v>mattsavoie</x:v>
      </x:c>
      <x:c r="C263" s="10" t="n">
        <x:v>1</x:v>
      </x:c>
      <x:c r="D263" s="10" t="n">
        <x:v>1</x:v>
      </x:c>
      <x:c r="E263" s="10" t="n">
        <x:v>1</x:v>
      </x:c>
      <x:c r="F263" s="4" t="n">
        <x:f>IF(COUNT(N263,Q263,T263,W263,Z263,AC263,AF263,AI263)=8,N263*Guide!$E$5+Q263*Guide!$E$6+T263*Guide!$E$7+W263*Guide!$E$8+Z263*Guide!$E$9+AC263*Guide!$E$10+AF263*Guide!$E$11+AI263*Guide!$E$12,"")</x:f>
        <x:v>220.75</x:v>
      </x:c>
      <x:c r="G263" s="4" t="n">
        <x:f>IF(COUNT(O263,R263,U263,X263,AA263,AD263,AG263,AJ263)=8,O263*Guide!$E$5+R263*Guide!$E$6+U263*Guide!$E$7+X263*Guide!$E$8+AA263*Guide!$E$9+AD263*Guide!$E$10+AG263*Guide!$E$11+AJ263*Guide!$E$12,"")</x:f>
        <x:v>213.75</x:v>
      </x:c>
      <x:c r="H263" s="4" t="n">
        <x:f>IF(COUNT(G263,F263)=2,G263-F263,"")</x:f>
        <x:v>-7</x:v>
      </x:c>
      <x:c r="I263" s="4" t="n">
        <x:f>IF(AND(ISNUMBER(F263),K263&gt;0),F263/K263,"")</x:f>
        <x:v>2.983108108108108</x:v>
      </x:c>
      <x:c r="J263" s="4" t="n">
        <x:f>IF(AND(ISNUMBER(G263),L263&gt;0),G263/L263,"")</x:f>
        <x:v>2.606707317073171</x:v>
      </x:c>
      <x:c r="K263" s="10" t="n">
        <x:v>74</x:v>
      </x:c>
      <x:c r="L263" s="10" t="n">
        <x:v>82</x:v>
      </x:c>
      <x:c r="M263" s="10" t="n">
        <x:f>IF(COUNT(L263,K263)=2,L263-K263,"")</x:f>
        <x:v>8</x:v>
      </x:c>
      <x:c r="N263" s="10" t="n">
        <x:v>17</x:v>
      </x:c>
      <x:c r="O263" s="10" t="n">
        <x:v>18</x:v>
      </x:c>
      <x:c r="P263" s="10" t="n">
        <x:f>IF(COUNT(O263,N263)=2,O263-N263,"")</x:f>
        <x:v>1</x:v>
      </x:c>
      <x:c r="Q263" s="10" t="n">
        <x:v>21</x:v>
      </x:c>
      <x:c r="R263" s="10" t="n">
        <x:v>19</x:v>
      </x:c>
      <x:c r="S263" s="10" t="n">
        <x:f>IF(COUNT(R263,Q263)=2,R263-Q263,"")</x:f>
        <x:v>-2</x:v>
      </x:c>
      <x:c r="T263" s="10" t="n">
        <x:v>9</x:v>
      </x:c>
      <x:c r="U263" s="10" t="n">
        <x:v>6</x:v>
      </x:c>
      <x:c r="V263" s="10" t="n">
        <x:f>IF(COUNT(U263,T263)=2,U263-T263,"")</x:f>
        <x:v>-3</x:v>
      </x:c>
      <x:c r="W263" s="10" t="n">
        <x:v>8</x:v>
      </x:c>
      <x:c r="X263" s="10" t="n">
        <x:f>IF(COUNT(AV263,AW263)=2,AV263+AW263,"")</x:f>
        <x:v>7</x:v>
      </x:c>
      <x:c r="Y263" s="10" t="n">
        <x:f>IF(COUNT(X263,W263)=2,X263-W263,"")</x:f>
        <x:v>-1</x:v>
      </x:c>
      <x:c r="Z263" s="10" t="n">
        <x:v>0</x:v>
      </x:c>
      <x:c r="AA263" s="10" t="n">
        <x:f>IF(COUNT(AX263,AY263)=2,AX263+AY263,"")</x:f>
        <x:v>2</x:v>
      </x:c>
      <x:c r="AB263" s="10" t="n">
        <x:f>IF(COUNT(AA263,Z263)=2,AA263-Z263,"")</x:f>
        <x:v>2</x:v>
      </x:c>
      <x:c r="AC263" s="10" t="n">
        <x:v>149</x:v>
      </x:c>
      <x:c r="AD263" s="10" t="n">
        <x:v>138</x:v>
      </x:c>
      <x:c r="AE263" s="10" t="n">
        <x:f>IF(COUNT(AD263,AC263)=2,AD263-AC263,"")</x:f>
        <x:v>-11</x:v>
      </x:c>
      <x:c r="AF263" s="10" t="n">
        <x:v>37</x:v>
      </x:c>
      <x:c r="AG263" s="10" t="n">
        <x:v>14</x:v>
      </x:c>
      <x:c r="AH263" s="10" t="n">
        <x:f>IF(COUNT(AG263,AF263)=2,AG263-AF263,"")</x:f>
        <x:v>-23</x:v>
      </x:c>
      <x:c r="AI263" s="10" t="n">
        <x:v>35</x:v>
      </x:c>
      <x:c r="AJ263" s="10" t="n">
        <x:v>37</x:v>
      </x:c>
      <x:c r="AK263" s="10" t="n">
        <x:f>IF(COUNT(AJ263,AI263)=2,AJ263-AI263,"")</x:f>
        <x:v>2</x:v>
      </x:c>
      <x:c r="AL263" s="10" t="n">
        <x:v>22</x:v>
      </x:c>
      <x:c r="AM263" s="10" t="n">
        <x:v>22</x:v>
      </x:c>
      <x:c r="AN263" s="4" t="str">
        <x:v>C,RW</x:v>
      </x:c>
      <x:c r="AO263" s="4" t="str">
        <x:v>C</x:v>
      </x:c>
      <x:c r="AP263" s="4" t="str">
        <x:v>EDM</x:v>
      </x:c>
      <x:c r="AQ263" s="4" t="str">
        <x:v>EDM</x:v>
      </x:c>
      <x:c r="AR263" s="4" t="n">
        <x:v>15.5</x:v>
      </x:c>
      <x:c r="AS263" s="4" t="n">
        <x:v>14.783333333333333</x:v>
      </x:c>
      <x:c r="AT263" s="4" t="n">
        <x:v>1.5</x:v>
      </x:c>
      <x:c r="AU263" s="4" t="n">
        <x:v>13</x:v>
      </x:c>
      <x:c r="AV263" s="10" t="n">
        <x:v>5</x:v>
      </x:c>
      <x:c r="AW263" s="10" t="n">
        <x:v>2</x:v>
      </x:c>
      <x:c r="AX263" s="10" t="n">
        <x:v>2</x:v>
      </x:c>
      <x:c r="AY263" s="10" t="n">
        <x:v>0</x:v>
      </x:c>
      <x:c r="AZ263" s="10" t="n">
        <x:v>976</x:v>
      </x:c>
      <x:c r="BA263" s="10" t="n">
        <x:v>964</x:v>
      </x:c>
      <x:c r="BB263" s="4" t="n">
        <x:v>50.3</x:v>
      </x:c>
      <x:c r="BC263" s="4" t="n">
        <x:v>-0.1</x:v>
      </x:c>
      <x:c r="BD263" s="10" t="n">
        <x:v>731</x:v>
      </x:c>
      <x:c r="BE263" s="10" t="n">
        <x:v>701</x:v>
      </x:c>
      <x:c r="BF263" s="4" t="n">
        <x:v>51</x:v>
      </x:c>
      <x:c r="BG263" s="4" t="n">
        <x:v>-0.1</x:v>
      </x:c>
      <x:c r="BH263" s="4" t="n">
        <x:v>10.6</x:v>
      </x:c>
      <x:c r="BI263" s="4" t="n">
        <x:v>89.2</x:v>
      </x:c>
      <x:c r="BJ263" s="4" t="n">
        <x:v>99.8</x:v>
      </x:c>
      <x:c r="BK263" s="4" t="n">
        <x:v>60.3</x:v>
      </x:c>
      <x:c r="BL263" s="4" t="n">
        <x:v>39.7</x:v>
      </x:c>
      <x:c r="BM263" s="4" t="n">
        <x:v>14.783333333333333</x:v>
      </x:c>
      <x:c r="BN263" s="4" t="n">
        <x:v>12.333333333333334</x:v>
      </x:c>
      <x:c r="BO263" s="10" t="n">
        <x:v>32</x:v>
      </x:c>
      <x:c r="BP263" s="10" t="n">
        <x:v>52</x:v>
      </x:c>
      <x:c r="BQ263" s="4" t="n">
        <x:v>4.4</x:v>
      </x:c>
      <x:c r="BR263" s="10" t="n">
        <x:v>241</x:v>
      </x:c>
      <x:c r="BS263" s="4" t="n">
        <x:v>57.3</x:v>
      </x:c>
      <x:c r="BT263" s="10" t="n">
        <x:v>82</x:v>
      </x:c>
      <x:c r="BU263" s="4" t="str">
        <x:v>EDM</x:v>
      </x:c>
      <x:c r="BV263" s="10" t="n">
        <x:v>276</x:v>
      </x:c>
      <x:c r="BW263" s="10" t="n">
        <x:v>238</x:v>
      </x:c>
      <x:c r="BX263" s="10" t="n">
        <x:v>900</x:v>
      </x:c>
      <x:c r="BY263" s="4" t="str">
        <x:v>Matt Savoie</x:v>
      </x:c>
      <x:c r="BZ263" s="4" t="str">
        <x:v>Matthew Savoie</x:v>
      </x:c>
      <x:c r="CA263" s="4" t="str">
        <x:v>Matthew Savoie</x:v>
      </x:c>
      <x:c r="CB263" s="4" t="str">
        <x:v>savoima01</x:v>
      </x:c>
    </x:row>
    <x:row r="264" ht="22" customHeight="1">
      <x:c r="A264" s="4" t="str">
        <x:v>Matthew Tkachuk</x:v>
      </x:c>
      <x:c r="B264" s="4" t="str">
        <x:v>matthewtkachuk</x:v>
      </x:c>
      <x:c r="C264" s="10" t="n">
        <x:v>1</x:v>
      </x:c>
      <x:c r="D264" s="10" t="n">
        <x:v>1</x:v>
      </x:c>
      <x:c r="E264" s="10" t="n">
        <x:v>1</x:v>
      </x:c>
      <x:c r="F264" s="4" t="n">
        <x:f>IF(COUNT(N264,Q264,T264,W264,Z264,AC264,AF264,AI264)=8,N264*Guide!$E$5+Q264*Guide!$E$6+T264*Guide!$E$7+W264*Guide!$E$8+Z264*Guide!$E$9+AC264*Guide!$E$10+AF264*Guide!$E$11+AI264*Guide!$E$12,"")</x:f>
        <x:v>339.5</x:v>
      </x:c>
      <x:c r="G264" s="4" t="n">
        <x:f>IF(COUNT(O264,R264,U264,X264,AA264,AD264,AG264,AJ264)=8,O264*Guide!$E$5+R264*Guide!$E$6+U264*Guide!$E$7+X264*Guide!$E$8+AA264*Guide!$E$9+AD264*Guide!$E$10+AG264*Guide!$E$11+AJ264*Guide!$E$12,"")</x:f>
        <x:v>156.5</x:v>
      </x:c>
      <x:c r="H264" s="4" t="n">
        <x:f>IF(COUNT(G264,F264)=2,G264-F264,"")</x:f>
        <x:v>-183</x:v>
      </x:c>
      <x:c r="I264" s="4" t="n">
        <x:f>IF(AND(ISNUMBER(F264),K264&gt;0),F264/K264,"")</x:f>
        <x:v>5.658333333333333</x:v>
      </x:c>
      <x:c r="J264" s="4" t="n">
        <x:f>IF(AND(ISNUMBER(G264),L264&gt;0),G264/L264,"")</x:f>
        <x:v>5.048387096774194</x:v>
      </x:c>
      <x:c r="K264" s="10" t="n">
        <x:v>60</x:v>
      </x:c>
      <x:c r="L264" s="10" t="n">
        <x:v>31</x:v>
      </x:c>
      <x:c r="M264" s="10" t="n">
        <x:f>IF(COUNT(L264,K264)=2,L264-K264,"")</x:f>
        <x:v>-29</x:v>
      </x:c>
      <x:c r="N264" s="10" t="n">
        <x:v>25</x:v>
      </x:c>
      <x:c r="O264" s="10" t="n">
        <x:v>13</x:v>
      </x:c>
      <x:c r="P264" s="10" t="n">
        <x:f>IF(COUNT(O264,N264)=2,O264-N264,"")</x:f>
        <x:v>-12</x:v>
      </x:c>
      <x:c r="Q264" s="10" t="n">
        <x:v>40</x:v>
      </x:c>
      <x:c r="R264" s="10" t="n">
        <x:v>21</x:v>
      </x:c>
      <x:c r="S264" s="10" t="n">
        <x:f>IF(COUNT(R264,Q264)=2,R264-Q264,"")</x:f>
        <x:v>-19</x:v>
      </x:c>
      <x:c r="T264" s="10" t="n">
        <x:v>13</x:v>
      </x:c>
      <x:c r="U264" s="10" t="n">
        <x:v>-6</x:v>
      </x:c>
      <x:c r="V264" s="10" t="n">
        <x:f>IF(COUNT(U264,T264)=2,U264-T264,"")</x:f>
        <x:v>-19</x:v>
      </x:c>
      <x:c r="W264" s="10" t="n">
        <x:v>24</x:v>
      </x:c>
      <x:c r="X264" s="10" t="n">
        <x:f>IF(COUNT(AV264,AW264)=2,AV264+AW264,"")</x:f>
        <x:v>13</x:v>
      </x:c>
      <x:c r="Y264" s="10" t="n">
        <x:f>IF(COUNT(X264,W264)=2,X264-W264,"")</x:f>
        <x:v>-11</x:v>
      </x:c>
      <x:c r="Z264" s="10" t="n">
        <x:v>0</x:v>
      </x:c>
      <x:c r="AA264" s="10" t="n">
        <x:f>IF(COUNT(AX264,AY264)=2,AX264+AY264,"")</x:f>
        <x:v>0</x:v>
      </x:c>
      <x:c r="AB264" s="10" t="n">
        <x:f>IF(COUNT(AA264,Z264)=2,AA264-Z264,"")</x:f>
        <x:v>0</x:v>
      </x:c>
      <x:c r="AC264" s="10" t="n">
        <x:v>181</x:v>
      </x:c>
      <x:c r="AD264" s="10" t="n">
        <x:v>88</x:v>
      </x:c>
      <x:c r="AE264" s="10" t="n">
        <x:f>IF(COUNT(AD264,AC264)=2,AD264-AC264,"")</x:f>
        <x:v>-93</x:v>
      </x:c>
      <x:c r="AF264" s="10" t="n">
        <x:v>92</x:v>
      </x:c>
      <x:c r="AG264" s="10" t="n">
        <x:v>29</x:v>
      </x:c>
      <x:c r="AH264" s="10" t="n">
        <x:f>IF(COUNT(AG264,AF264)=2,AG264-AF264,"")</x:f>
        <x:v>-63</x:v>
      </x:c>
      <x:c r="AI264" s="10" t="n">
        <x:v>19</x:v>
      </x:c>
      <x:c r="AJ264" s="10" t="n">
        <x:v>7</x:v>
      </x:c>
      <x:c r="AK264" s="10" t="n">
        <x:f>IF(COUNT(AJ264,AI264)=2,AJ264-AI264,"")</x:f>
        <x:v>-12</x:v>
      </x:c>
      <x:c r="AL264" s="10" t="n">
        <x:v>28</x:v>
      </x:c>
      <x:c r="AM264" s="10" t="n">
        <x:v>28</x:v>
      </x:c>
      <x:c r="AN264" s="4" t="str">
        <x:v>LW,RW</x:v>
      </x:c>
      <x:c r="AO264" s="4" t="str">
        <x:v>LW</x:v>
      </x:c>
      <x:c r="AP264" s="4" t="str">
        <x:v>FLA</x:v>
      </x:c>
      <x:c r="AQ264" s="4" t="str">
        <x:v>FLA</x:v>
      </x:c>
      <x:c r="AR264" s="4" t="n">
        <x:v>18.28</x:v>
      </x:c>
      <x:c r="AS264" s="4" t="n">
        <x:v>18.3</x:v>
      </x:c>
      <x:c r="AT264" s="4" t="n">
        <x:v>3.27</x:v>
      </x:c>
      <x:c r="AU264" s="4" t="n">
        <x:v>14.8</x:v>
      </x:c>
      <x:c r="AV264" s="10" t="n">
        <x:v>4</x:v>
      </x:c>
      <x:c r="AW264" s="10" t="n">
        <x:v>9</x:v>
      </x:c>
      <x:c r="AX264" s="10" t="n">
        <x:v>0</x:v>
      </x:c>
      <x:c r="AY264" s="10" t="n">
        <x:v>0</x:v>
      </x:c>
      <x:c r="AZ264" s="10" t="n">
        <x:v>502</x:v>
      </x:c>
      <x:c r="BA264" s="10" t="n">
        <x:v>376</x:v>
      </x:c>
      <x:c r="BB264" s="4" t="n">
        <x:v>57.2</x:v>
      </x:c>
      <x:c r="BC264" s="4" t="n">
        <x:v>6.4</x:v>
      </x:c>
      <x:c r="BD264" s="10" t="n">
        <x:v>362</x:v>
      </x:c>
      <x:c r="BE264" s="10" t="n">
        <x:v>304</x:v>
      </x:c>
      <x:c r="BF264" s="4" t="n">
        <x:v>54.4</x:v>
      </x:c>
      <x:c r="BG264" s="4" t="n">
        <x:v>4.1</x:v>
      </x:c>
      <x:c r="BH264" s="4" t="n">
        <x:v>11.1</x:v>
      </x:c>
      <x:c r="BI264" s="4" t="n">
        <x:v>87</x:v>
      </x:c>
      <x:c r="BJ264" s="4" t="n">
        <x:v>98.1</x:v>
      </x:c>
      <x:c r="BK264" s="4" t="n">
        <x:v>58.1</x:v>
      </x:c>
      <x:c r="BL264" s="4" t="n">
        <x:v>41.9</x:v>
      </x:c>
      <x:c r="BM264" s="4" t="n">
        <x:v>18.3</x:v>
      </x:c>
      <x:c r="BN264" s="4" t="n">
        <x:v>14.4</x:v>
      </x:c>
      <x:c r="BO264" s="10" t="n">
        <x:v>8</x:v>
      </x:c>
      <x:c r="BP264" s="10" t="n">
        <x:v>38</x:v>
      </x:c>
      <x:c r="BQ264" s="4" t="n">
        <x:v>2.3</x:v>
      </x:c>
      <x:c r="BR264" s="10" t="n">
        <x:v>192</x:v>
      </x:c>
      <x:c r="BS264" s="4" t="n">
        <x:v>45.8</x:v>
      </x:c>
      <x:c r="BT264" s="10" t="n">
        <x:v>31</x:v>
      </x:c>
      <x:c r="BU264" s="4" t="str">
        <x:v>FLA</x:v>
      </x:c>
      <x:c r="BV264" s="10" t="n">
        <x:v>65</x:v>
      </x:c>
      <x:c r="BW264" s="10" t="n">
        <x:v>282</x:v>
      </x:c>
      <x:c r="BX264" s="10" t="n">
        <x:v>1019</x:v>
      </x:c>
      <x:c r="BY264" s="4" t="str">
        <x:v>Matthew Tkachuk</x:v>
      </x:c>
      <x:c r="BZ264" s="4" t="str">
        <x:v>Matthew Tkachuk</x:v>
      </x:c>
      <x:c r="CA264" s="4" t="str">
        <x:v>Matthew Tkachuk</x:v>
      </x:c>
      <x:c r="CB264" s="4" t="str">
        <x:v>tkachma01</x:v>
      </x:c>
    </x:row>
    <x:row r="265" ht="22" customHeight="1">
      <x:c r="A265" s="4" t="str">
        <x:v>Mattias Ekholm</x:v>
      </x:c>
      <x:c r="B265" s="4" t="str">
        <x:v>mattiasekholm</x:v>
      </x:c>
      <x:c r="C265" s="10" t="n">
        <x:v>1</x:v>
      </x:c>
      <x:c r="D265" s="10" t="n">
        <x:v>1</x:v>
      </x:c>
      <x:c r="E265" s="10" t="n">
        <x:v>1</x:v>
      </x:c>
      <x:c r="F265" s="4" t="n">
        <x:f>IF(COUNT(N265,Q265,T265,W265,Z265,AC265,AF265,AI265)=8,N265*Guide!$E$5+Q265*Guide!$E$6+T265*Guide!$E$7+W265*Guide!$E$8+Z265*Guide!$E$9+AC265*Guide!$E$10+AF265*Guide!$E$11+AI265*Guide!$E$12,"")</x:f>
        <x:v>287</x:v>
      </x:c>
      <x:c r="G265" s="4" t="n">
        <x:f>IF(COUNT(O265,R265,U265,X265,AA265,AD265,AG265,AJ265)=8,O265*Guide!$E$5+R265*Guide!$E$6+U265*Guide!$E$7+X265*Guide!$E$8+AA265*Guide!$E$9+AD265*Guide!$E$10+AG265*Guide!$E$11+AJ265*Guide!$E$12,"")</x:f>
        <x:v>306.75</x:v>
      </x:c>
      <x:c r="H265" s="4" t="n">
        <x:f>IF(COUNT(G265,F265)=2,G265-F265,"")</x:f>
        <x:v>19.75</x:v>
      </x:c>
      <x:c r="I265" s="4" t="n">
        <x:f>IF(AND(ISNUMBER(F265),K265&gt;0),F265/K265,"")</x:f>
        <x:v>3.8783783783783785</x:v>
      </x:c>
      <x:c r="J265" s="4" t="n">
        <x:f>IF(AND(ISNUMBER(G265),L265&gt;0),G265/L265,"")</x:f>
        <x:v>3.7408536585365852</x:v>
      </x:c>
      <x:c r="K265" s="10" t="n">
        <x:v>74</x:v>
      </x:c>
      <x:c r="L265" s="10" t="n">
        <x:v>82</x:v>
      </x:c>
      <x:c r="M265" s="10" t="n">
        <x:f>IF(COUNT(L265,K265)=2,L265-K265,"")</x:f>
        <x:v>8</x:v>
      </x:c>
      <x:c r="N265" s="10" t="n">
        <x:v>10</x:v>
      </x:c>
      <x:c r="O265" s="10" t="n">
        <x:v>6</x:v>
      </x:c>
      <x:c r="P265" s="10" t="n">
        <x:f>IF(COUNT(O265,N265)=2,O265-N265,"")</x:f>
        <x:v>-4</x:v>
      </x:c>
      <x:c r="Q265" s="10" t="n">
        <x:v>30</x:v>
      </x:c>
      <x:c r="R265" s="10" t="n">
        <x:v>35</x:v>
      </x:c>
      <x:c r="S265" s="10" t="n">
        <x:f>IF(COUNT(R265,Q265)=2,R265-Q265,"")</x:f>
        <x:v>5</x:v>
      </x:c>
      <x:c r="T265" s="10" t="n">
        <x:v>21</x:v>
      </x:c>
      <x:c r="U265" s="10" t="n">
        <x:v>32</x:v>
      </x:c>
      <x:c r="V265" s="10" t="n">
        <x:f>IF(COUNT(U265,T265)=2,U265-T265,"")</x:f>
        <x:v>11</x:v>
      </x:c>
      <x:c r="W265" s="10" t="n">
        <x:v>5</x:v>
      </x:c>
      <x:c r="X265" s="10" t="n">
        <x:f>IF(COUNT(AV265,AW265)=2,AV265+AW265,"")</x:f>
        <x:v>3</x:v>
      </x:c>
      <x:c r="Y265" s="10" t="n">
        <x:f>IF(COUNT(X265,W265)=2,X265-W265,"")</x:f>
        <x:v>-2</x:v>
      </x:c>
      <x:c r="Z265" s="10" t="n">
        <x:v>1</x:v>
      </x:c>
      <x:c r="AA265" s="10" t="n">
        <x:f>IF(COUNT(AX265,AY265)=2,AX265+AY265,"")</x:f>
        <x:v>0</x:v>
      </x:c>
      <x:c r="AB265" s="10" t="n">
        <x:f>IF(COUNT(AA265,Z265)=2,AA265-Z265,"")</x:f>
        <x:v>-1</x:v>
      </x:c>
      <x:c r="AC265" s="10" t="n">
        <x:v>153</x:v>
      </x:c>
      <x:c r="AD265" s="10" t="n">
        <x:v>131</x:v>
      </x:c>
      <x:c r="AE265" s="10" t="n">
        <x:f>IF(COUNT(AD265,AC265)=2,AD265-AC265,"")</x:f>
        <x:v>-22</x:v>
      </x:c>
      <x:c r="AF265" s="10" t="n">
        <x:v>59</x:v>
      </x:c>
      <x:c r="AG265" s="10" t="n">
        <x:v>65</x:v>
      </x:c>
      <x:c r="AH265" s="10" t="n">
        <x:f>IF(COUNT(AG265,AF265)=2,AG265-AF265,"")</x:f>
        <x:v>6</x:v>
      </x:c>
      <x:c r="AI265" s="10" t="n">
        <x:v>100</x:v>
      </x:c>
      <x:c r="AJ265" s="10" t="n">
        <x:v>125</x:v>
      </x:c>
      <x:c r="AK265" s="10" t="n">
        <x:f>IF(COUNT(AJ265,AI265)=2,AJ265-AI265,"")</x:f>
        <x:v>25</x:v>
      </x:c>
      <x:c r="AL265" s="10" t="n">
        <x:v>35</x:v>
      </x:c>
      <x:c r="AM265" s="10" t="n">
        <x:v>35</x:v>
      </x:c>
      <x:c r="AN265" s="4" t="str">
        <x:v>D</x:v>
      </x:c>
      <x:c r="AO265" s="4" t="str">
        <x:v>D</x:v>
      </x:c>
      <x:c r="AP265" s="4" t="str">
        <x:v>EDM</x:v>
      </x:c>
      <x:c r="AQ265" s="4" t="str">
        <x:v>EDM</x:v>
      </x:c>
      <x:c r="AR265" s="4" t="n">
        <x:v>22.06</x:v>
      </x:c>
      <x:c r="AS265" s="4" t="n">
        <x:v>20.6</x:v>
      </x:c>
      <x:c r="AT265" s="4" t="n">
        <x:v>0.96</x:v>
      </x:c>
      <x:c r="AU265" s="4" t="n">
        <x:v>4.6</x:v>
      </x:c>
      <x:c r="AV265" s="10" t="n">
        <x:v>0</x:v>
      </x:c>
      <x:c r="AW265" s="10" t="n">
        <x:v>3</x:v>
      </x:c>
      <x:c r="AX265" s="10" t="n">
        <x:v>0</x:v>
      </x:c>
      <x:c r="AY265" s="10" t="n">
        <x:v>0</x:v>
      </x:c>
      <x:c r="AZ265" s="10" t="n">
        <x:v>1644</x:v>
      </x:c>
      <x:c r="BA265" s="10" t="n">
        <x:v>1271</x:v>
      </x:c>
      <x:c r="BB265" s="4" t="n">
        <x:v>56.4</x:v>
      </x:c>
      <x:c r="BC265" s="4" t="n">
        <x:v>9.5</x:v>
      </x:c>
      <x:c r="BD265" s="10" t="n">
        <x:v>1232</x:v>
      </x:c>
      <x:c r="BE265" s="10" t="n">
        <x:v>953</x:v>
      </x:c>
      <x:c r="BF265" s="4" t="n">
        <x:v>56.4</x:v>
      </x:c>
      <x:c r="BG265" s="4" t="n">
        <x:v>8.4</x:v>
      </x:c>
      <x:c r="BH265" s="4" t="n">
        <x:v>12.4</x:v>
      </x:c>
      <x:c r="BI265" s="4" t="n">
        <x:v>88.4</x:v>
      </x:c>
      <x:c r="BJ265" s="4" t="n">
        <x:v>100.8</x:v>
      </x:c>
      <x:c r="BK265" s="4" t="n">
        <x:v>60.5</x:v>
      </x:c>
      <x:c r="BL265" s="4" t="n">
        <x:v>39.5</x:v>
      </x:c>
      <x:c r="BM265" s="4" t="n">
        <x:v>20.6</x:v>
      </x:c>
      <x:c r="BN265" s="4" t="n">
        <x:v>18.35</x:v>
      </x:c>
      <x:c r="BO265" s="10" t="n">
        <x:v>25</x:v>
      </x:c>
      <x:c r="BP265" s="10" t="n">
        <x:v>101</x:v>
      </x:c>
      <x:c r="BQ265" s="4" t="n">
        <x:v>28.1</x:v>
      </x:c>
      <x:c r="BR265" s="10" t="n">
        <x:v>308</x:v>
      </x:c>
      <x:c r="BS265" s="4" t="n">
        <x:v>42.5</x:v>
      </x:c>
      <x:c r="BT265" s="10" t="n">
        <x:v>82</x:v>
      </x:c>
      <x:c r="BU265" s="4" t="str">
        <x:v>EDM</x:v>
      </x:c>
      <x:c r="BV265" s="10" t="n">
        <x:v>245</x:v>
      </x:c>
      <x:c r="BW265" s="10" t="n">
        <x:v>205</x:v>
      </x:c>
      <x:c r="BX265" s="10" t="n">
        <x:v>262</x:v>
      </x:c>
      <x:c r="BY265" s="4" t="str">
        <x:v>Mattias Ekholm</x:v>
      </x:c>
      <x:c r="BZ265" s="4" t="str">
        <x:v>Mattias Ekholm</x:v>
      </x:c>
      <x:c r="CA265" s="4" t="str">
        <x:v>Mattias Ekholm</x:v>
      </x:c>
      <x:c r="CB265" s="4" t="str">
        <x:v>ekholma01</x:v>
      </x:c>
    </x:row>
    <x:row r="266" ht="22" customHeight="1">
      <x:c r="A266" s="4" t="str">
        <x:v>Mattias Samuelsson</x:v>
      </x:c>
      <x:c r="B266" s="4" t="str">
        <x:v>mattiassamuelsson</x:v>
      </x:c>
      <x:c r="C266" s="10" t="n">
        <x:v>1</x:v>
      </x:c>
      <x:c r="D266" s="10" t="n">
        <x:v>1</x:v>
      </x:c>
      <x:c r="E266" s="10" t="n">
        <x:v>1</x:v>
      </x:c>
      <x:c r="F266" s="4" t="n">
        <x:f>IF(COUNT(N266,Q266,T266,W266,Z266,AC266,AF266,AI266)=8,N266*Guide!$E$5+Q266*Guide!$E$6+T266*Guide!$E$7+W266*Guide!$E$8+Z266*Guide!$E$9+AC266*Guide!$E$10+AF266*Guide!$E$11+AI266*Guide!$E$12,"")</x:f>
        <x:v>179.5</x:v>
      </x:c>
      <x:c r="G266" s="4" t="n">
        <x:f>IF(COUNT(O266,R266,U266,X266,AA266,AD266,AG266,AJ266)=8,O266*Guide!$E$5+R266*Guide!$E$6+U266*Guide!$E$7+X266*Guide!$E$8+AA266*Guide!$E$9+AD266*Guide!$E$10+AG266*Guide!$E$11+AJ266*Guide!$E$12,"")</x:f>
        <x:v>361.75</x:v>
      </x:c>
      <x:c r="H266" s="4" t="n">
        <x:f>IF(COUNT(G266,F266)=2,G266-F266,"")</x:f>
        <x:v>182.25</x:v>
      </x:c>
      <x:c r="I266" s="4" t="n">
        <x:f>IF(AND(ISNUMBER(F266),K266&gt;0),F266/K266,"")</x:f>
        <x:v>2.4930555555555554</x:v>
      </x:c>
      <x:c r="J266" s="4" t="n">
        <x:f>IF(AND(ISNUMBER(G266),L266&gt;0),G266/L266,"")</x:f>
        <x:v>4.637820512820513</x:v>
      </x:c>
      <x:c r="K266" s="10" t="n">
        <x:v>72</x:v>
      </x:c>
      <x:c r="L266" s="10" t="n">
        <x:v>78</x:v>
      </x:c>
      <x:c r="M266" s="10" t="n">
        <x:f>IF(COUNT(L266,K266)=2,L266-K266,"")</x:f>
        <x:v>6</x:v>
      </x:c>
      <x:c r="N266" s="10" t="n">
        <x:v>3</x:v>
      </x:c>
      <x:c r="O266" s="10" t="n">
        <x:v>13</x:v>
      </x:c>
      <x:c r="P266" s="10" t="n">
        <x:f>IF(COUNT(O266,N266)=2,O266-N266,"")</x:f>
        <x:v>10</x:v>
      </x:c>
      <x:c r="Q266" s="10" t="n">
        <x:v>11</x:v>
      </x:c>
      <x:c r="R266" s="10" t="n">
        <x:v>28</x:v>
      </x:c>
      <x:c r="S266" s="10" t="n">
        <x:f>IF(COUNT(R266,Q266)=2,R266-Q266,"")</x:f>
        <x:v>17</x:v>
      </x:c>
      <x:c r="T266" s="10" t="n">
        <x:v>2</x:v>
      </x:c>
      <x:c r="U266" s="10" t="n">
        <x:v>41</x:v>
      </x:c>
      <x:c r="V266" s="10" t="n">
        <x:f>IF(COUNT(U266,T266)=2,U266-T266,"")</x:f>
        <x:v>39</x:v>
      </x:c>
      <x:c r="W266" s="10" t="n">
        <x:v>0</x:v>
      </x:c>
      <x:c r="X266" s="10" t="n">
        <x:f>IF(COUNT(AV266,AW266)=2,AV266+AW266,"")</x:f>
        <x:v>0</x:v>
      </x:c>
      <x:c r="Y266" s="10" t="n">
        <x:f>IF(COUNT(X266,W266)=2,X266-W266,"")</x:f>
        <x:v>0</x:v>
      </x:c>
      <x:c r="Z266" s="10" t="n">
        <x:v>1</x:v>
      </x:c>
      <x:c r="AA266" s="10" t="n">
        <x:f>IF(COUNT(AX266,AY266)=2,AX266+AY266,"")</x:f>
        <x:v>3</x:v>
      </x:c>
      <x:c r="AB266" s="10" t="n">
        <x:f>IF(COUNT(AA266,Z266)=2,AA266-Z266,"")</x:f>
        <x:v>2</x:v>
      </x:c>
      <x:c r="AC266" s="10" t="n">
        <x:v>64</x:v>
      </x:c>
      <x:c r="AD266" s="10" t="n">
        <x:v>109</x:v>
      </x:c>
      <x:c r="AE266" s="10" t="n">
        <x:f>IF(COUNT(AD266,AC266)=2,AD266-AC266,"")</x:f>
        <x:v>45</x:v>
      </x:c>
      <x:c r="AF266" s="10" t="n">
        <x:v>118</x:v>
      </x:c>
      <x:c r="AG266" s="10" t="n">
        <x:v>132</x:v>
      </x:c>
      <x:c r="AH266" s="10" t="n">
        <x:f>IF(COUNT(AG266,AF266)=2,AG266-AF266,"")</x:f>
        <x:v>14</x:v>
      </x:c>
      <x:c r="AI266" s="10" t="n">
        <x:v>112</x:v>
      </x:c>
      <x:c r="AJ266" s="10" t="n">
        <x:v>154</x:v>
      </x:c>
      <x:c r="AK266" s="10" t="n">
        <x:f>IF(COUNT(AJ266,AI266)=2,AJ266-AI266,"")</x:f>
        <x:v>42</x:v>
      </x:c>
      <x:c r="AL266" s="10" t="n">
        <x:v>25</x:v>
      </x:c>
      <x:c r="AM266" s="10" t="n">
        <x:v>25</x:v>
      </x:c>
      <x:c r="AN266" s="4" t="str">
        <x:v>D</x:v>
      </x:c>
      <x:c r="AO266" s="4" t="str">
        <x:v>D</x:v>
      </x:c>
      <x:c r="AP266" s="4" t="str">
        <x:v>BUF</x:v>
      </x:c>
      <x:c r="AQ266" s="4" t="str">
        <x:v>BUF</x:v>
      </x:c>
      <x:c r="AR266" s="4" t="n">
        <x:v>19.43</x:v>
      </x:c>
      <x:c r="AS266" s="4" t="n">
        <x:v>22.833333333333332</x:v>
      </x:c>
      <x:c r="AT266" s="4" t="n">
        <x:v>0.04</x:v>
      </x:c>
      <x:c r="AU266" s="4" t="n">
        <x:v>11.9</x:v>
      </x:c>
      <x:c r="AV266" s="10" t="n">
        <x:v>0</x:v>
      </x:c>
      <x:c r="AW266" s="10" t="n">
        <x:v>0</x:v>
      </x:c>
      <x:c r="AX266" s="10" t="n">
        <x:v>1</x:v>
      </x:c>
      <x:c r="AY266" s="10" t="n">
        <x:v>2</x:v>
      </x:c>
      <x:c r="AZ266" s="10" t="n">
        <x:v>1432</x:v>
      </x:c>
      <x:c r="BA266" s="10" t="n">
        <x:v>1618</x:v>
      </x:c>
      <x:c r="BB266" s="4" t="n">
        <x:v>47</x:v>
      </x:c>
      <x:c r="BC266" s="4" t="n">
        <x:v>-3.1</x:v>
      </x:c>
      <x:c r="BD266" s="10" t="n">
        <x:v>1070</x:v>
      </x:c>
      <x:c r="BE266" s="10" t="n">
        <x:v>1176</x:v>
      </x:c>
      <x:c r="BF266" s="4" t="n">
        <x:v>47.6</x:v>
      </x:c>
      <x:c r="BG266" s="4" t="n">
        <x:v>-2.8</x:v>
      </x:c>
      <x:c r="BH266" s="4" t="n">
        <x:v>13.6</x:v>
      </x:c>
      <x:c r="BI266" s="4" t="n">
        <x:v>91.2</x:v>
      </x:c>
      <x:c r="BJ266" s="4" t="n">
        <x:v>104.8</x:v>
      </x:c>
      <x:c r="BK266" s="4" t="n">
        <x:v>44.6</x:v>
      </x:c>
      <x:c r="BL266" s="4" t="n">
        <x:v>55.4</x:v>
      </x:c>
      <x:c r="BM266" s="4" t="n">
        <x:v>22.833333333333332</x:v>
      </x:c>
      <x:c r="BN266" s="4" t="n">
        <x:v>19.85</x:v>
      </x:c>
      <x:c r="BO266" s="10" t="n">
        <x:v>17</x:v>
      </x:c>
      <x:c r="BP266" s="10" t="n">
        <x:v>80</x:v>
      </x:c>
      <x:c r="BQ266" s="4" t="n">
        <x:v>-2.1</x:v>
      </x:c>
      <x:c r="BR266" s="10" t="n">
        <x:v>246</x:v>
      </x:c>
      <x:c r="BS266" s="4" t="n">
        <x:v>44.3</x:v>
      </x:c>
      <x:c r="BT266" s="10" t="n">
        <x:v>78</x:v>
      </x:c>
      <x:c r="BU266" s="4" t="str">
        <x:v>BUF</x:v>
      </x:c>
      <x:c r="BV266" s="10" t="n">
        <x:v>645</x:v>
      </x:c>
      <x:c r="BW266" s="10" t="n">
        <x:v>210</x:v>
      </x:c>
      <x:c r="BX266" s="10" t="n">
        <x:v>893</x:v>
      </x:c>
      <x:c r="BY266" s="4" t="str">
        <x:v>Mattias Samuelsson</x:v>
      </x:c>
      <x:c r="BZ266" s="4" t="str">
        <x:v>Mattias Samuelsson</x:v>
      </x:c>
      <x:c r="CA266" s="4" t="str">
        <x:v>Mattias Samuelsson</x:v>
      </x:c>
      <x:c r="CB266" s="4" t="str">
        <x:v>samuema02</x:v>
      </x:c>
    </x:row>
    <x:row r="267" ht="22" customHeight="1">
      <x:c r="A267" s="4" t="str">
        <x:v>Matty Beniers</x:v>
      </x:c>
      <x:c r="B267" s="4" t="str">
        <x:v>mattybeniers</x:v>
      </x:c>
      <x:c r="C267" s="10" t="n">
        <x:v>1</x:v>
      </x:c>
      <x:c r="D267" s="10" t="n">
        <x:v>1</x:v>
      </x:c>
      <x:c r="E267" s="10" t="n">
        <x:v>1</x:v>
      </x:c>
      <x:c r="F267" s="4" t="n">
        <x:f>IF(COUNT(N267,Q267,T267,W267,Z267,AC267,AF267,AI267)=8,N267*Guide!$E$5+Q267*Guide!$E$6+T267*Guide!$E$7+W267*Guide!$E$8+Z267*Guide!$E$9+AC267*Guide!$E$10+AF267*Guide!$E$11+AI267*Guide!$E$12,"")</x:f>
        <x:v>295</x:v>
      </x:c>
      <x:c r="G267" s="4" t="n">
        <x:f>IF(COUNT(O267,R267,U267,X267,AA267,AD267,AG267,AJ267)=8,O267*Guide!$E$5+R267*Guide!$E$6+U267*Guide!$E$7+X267*Guide!$E$8+AA267*Guide!$E$9+AD267*Guide!$E$10+AG267*Guide!$E$11+AJ267*Guide!$E$12,"")</x:f>
        <x:v>269.75</x:v>
      </x:c>
      <x:c r="H267" s="4" t="n">
        <x:f>IF(COUNT(G267,F267)=2,G267-F267,"")</x:f>
        <x:v>-25.25</x:v>
      </x:c>
      <x:c r="I267" s="4" t="n">
        <x:f>IF(AND(ISNUMBER(F267),K267&gt;0),F267/K267,"")</x:f>
        <x:v>3.597560975609756</x:v>
      </x:c>
      <x:c r="J267" s="4" t="n">
        <x:f>IF(AND(ISNUMBER(G267),L267&gt;0),G267/L267,"")</x:f>
        <x:v>3.2896341463414633</x:v>
      </x:c>
      <x:c r="K267" s="10" t="n">
        <x:v>82</x:v>
      </x:c>
      <x:c r="L267" s="10" t="n">
        <x:v>82</x:v>
      </x:c>
      <x:c r="M267" s="10" t="n">
        <x:f>IF(COUNT(L267,K267)=2,L267-K267,"")</x:f>
        <x:v>0</x:v>
      </x:c>
      <x:c r="N267" s="10" t="n">
        <x:v>23</x:v>
      </x:c>
      <x:c r="O267" s="10" t="n">
        <x:v>20</x:v>
      </x:c>
      <x:c r="P267" s="10" t="n">
        <x:f>IF(COUNT(O267,N267)=2,O267-N267,"")</x:f>
        <x:v>-3</x:v>
      </x:c>
      <x:c r="Q267" s="10" t="n">
        <x:v>31</x:v>
      </x:c>
      <x:c r="R267" s="10" t="n">
        <x:v>30</x:v>
      </x:c>
      <x:c r="S267" s="10" t="n">
        <x:f>IF(COUNT(R267,Q267)=2,R267-Q267,"")</x:f>
        <x:v>-1</x:v>
      </x:c>
      <x:c r="T267" s="10" t="n">
        <x:v>-5</x:v>
      </x:c>
      <x:c r="U267" s="10" t="n">
        <x:v>-8</x:v>
      </x:c>
      <x:c r="V267" s="10" t="n">
        <x:f>IF(COUNT(U267,T267)=2,U267-T267,"")</x:f>
        <x:v>-3</x:v>
      </x:c>
      <x:c r="W267" s="10" t="n">
        <x:v>13</x:v>
      </x:c>
      <x:c r="X267" s="10" t="n">
        <x:f>IF(COUNT(AV267,AW267)=2,AV267+AW267,"")</x:f>
        <x:v>11</x:v>
      </x:c>
      <x:c r="Y267" s="10" t="n">
        <x:f>IF(COUNT(X267,W267)=2,X267-W267,"")</x:f>
        <x:v>-2</x:v>
      </x:c>
      <x:c r="Z267" s="10" t="n">
        <x:v>0</x:v>
      </x:c>
      <x:c r="AA267" s="10" t="n">
        <x:f>IF(COUNT(AX267,AY267)=2,AX267+AY267,"")</x:f>
        <x:v>0</x:v>
      </x:c>
      <x:c r="AB267" s="10" t="n">
        <x:f>IF(COUNT(AA267,Z267)=2,AA267-Z267,"")</x:f>
        <x:v>0</x:v>
      </x:c>
      <x:c r="AC267" s="10" t="n">
        <x:v>155</x:v>
      </x:c>
      <x:c r="AD267" s="10" t="n">
        <x:v>149</x:v>
      </x:c>
      <x:c r="AE267" s="10" t="n">
        <x:f>IF(COUNT(AD267,AC267)=2,AD267-AC267,"")</x:f>
        <x:v>-6</x:v>
      </x:c>
      <x:c r="AF267" s="10" t="n">
        <x:v>52</x:v>
      </x:c>
      <x:c r="AG267" s="10" t="n">
        <x:v>31</x:v>
      </x:c>
      <x:c r="AH267" s="10" t="n">
        <x:f>IF(COUNT(AG267,AF267)=2,AG267-AF267,"")</x:f>
        <x:v>-21</x:v>
      </x:c>
      <x:c r="AI267" s="10" t="n">
        <x:v>67</x:v>
      </x:c>
      <x:c r="AJ267" s="10" t="n">
        <x:v>69</x:v>
      </x:c>
      <x:c r="AK267" s="10" t="n">
        <x:f>IF(COUNT(AJ267,AI267)=2,AJ267-AI267,"")</x:f>
        <x:v>2</x:v>
      </x:c>
      <x:c r="AL267" s="10" t="n">
        <x:v>23</x:v>
      </x:c>
      <x:c r="AM267" s="10" t="n">
        <x:v>23</x:v>
      </x:c>
      <x:c r="AN267" s="4" t="str">
        <x:v>C</x:v>
      </x:c>
      <x:c r="AO267" s="4" t="str">
        <x:v>C</x:v>
      </x:c>
      <x:c r="AP267" s="4" t="str">
        <x:v>SEA</x:v>
      </x:c>
      <x:c r="AQ267" s="4" t="str">
        <x:v>SEA</x:v>
      </x:c>
      <x:c r="AR267" s="4" t="n">
        <x:v>18.869999999999997</x:v>
      </x:c>
      <x:c r="AS267" s="4" t="n">
        <x:v>19.283333333333335</x:v>
      </x:c>
      <x:c r="AT267" s="4" t="n">
        <x:v>2.49</x:v>
      </x:c>
      <x:c r="AU267" s="4" t="n">
        <x:v>13.4</x:v>
      </x:c>
      <x:c r="AV267" s="10" t="n">
        <x:v>6</x:v>
      </x:c>
      <x:c r="AW267" s="10" t="n">
        <x:v>5</x:v>
      </x:c>
      <x:c r="AX267" s="10" t="n">
        <x:v>0</x:v>
      </x:c>
      <x:c r="AY267" s="10" t="n">
        <x:v>0</x:v>
      </x:c>
      <x:c r="AZ267" s="10" t="n">
        <x:v>1185</x:v>
      </x:c>
      <x:c r="BA267" s="10" t="n">
        <x:v>1322</x:v>
      </x:c>
      <x:c r="BB267" s="4" t="n">
        <x:v>47.3</x:v>
      </x:c>
      <x:c r="BC267" s="4" t="n">
        <x:v>2.6</x:v>
      </x:c>
      <x:c r="BD267" s="10" t="n">
        <x:v>871</x:v>
      </x:c>
      <x:c r="BE267" s="10" t="n">
        <x:v>961</x:v>
      </x:c>
      <x:c r="BF267" s="4" t="n">
        <x:v>47.5</x:v>
      </x:c>
      <x:c r="BG267" s="4" t="n">
        <x:v>2.5</x:v>
      </x:c>
      <x:c r="BH267" s="4" t="n">
        <x:v>11.8</x:v>
      </x:c>
      <x:c r="BI267" s="4" t="n">
        <x:v>88.6</x:v>
      </x:c>
      <x:c r="BJ267" s="4" t="n">
        <x:v>100.4</x:v>
      </x:c>
      <x:c r="BK267" s="4" t="n">
        <x:v>54</x:v>
      </x:c>
      <x:c r="BL267" s="4" t="n">
        <x:v>46</x:v>
      </x:c>
      <x:c r="BM267" s="4" t="n">
        <x:v>19.283333333333335</x:v>
      </x:c>
      <x:c r="BN267" s="4" t="n">
        <x:v>16.083333333333332</x:v>
      </x:c>
      <x:c r="BO267" s="10" t="n">
        <x:v>21</x:v>
      </x:c>
      <x:c r="BP267" s="10" t="n">
        <x:v>82</x:v>
      </x:c>
      <x:c r="BQ267" s="4" t="n">
        <x:v>-5.2</x:v>
      </x:c>
      <x:c r="BR267" s="10" t="n">
        <x:v>321</x:v>
      </x:c>
      <x:c r="BS267" s="4" t="n">
        <x:v>46.4</x:v>
      </x:c>
      <x:c r="BT267" s="10" t="n">
        <x:v>82</x:v>
      </x:c>
      <x:c r="BU267" s="4" t="str">
        <x:v>SEA</x:v>
      </x:c>
      <x:c r="BV267" s="10" t="n">
        <x:v>128</x:v>
      </x:c>
      <x:c r="BW267" s="10" t="n">
        <x:v>140</x:v>
      </x:c>
      <x:c r="BX267" s="10" t="n">
        <x:v>44</x:v>
      </x:c>
      <x:c r="BY267" s="4" t="str">
        <x:v>Matty Beniers</x:v>
      </x:c>
      <x:c r="BZ267" s="4" t="str">
        <x:v>Matty Beniers</x:v>
      </x:c>
      <x:c r="CA267" s="4" t="str">
        <x:v>Matty Beniers</x:v>
      </x:c>
      <x:c r="CB267" s="4" t="str">
        <x:v>beniema01</x:v>
      </x:c>
    </x:row>
    <x:row r="268" ht="22" customHeight="1">
      <x:c r="A268" s="4" t="str">
        <x:v>Matvei Michkov</x:v>
      </x:c>
      <x:c r="B268" s="4" t="str">
        <x:v>matveimichkov</x:v>
      </x:c>
      <x:c r="C268" s="10" t="n">
        <x:v>1</x:v>
      </x:c>
      <x:c r="D268" s="10" t="n">
        <x:v>1</x:v>
      </x:c>
      <x:c r="E268" s="10" t="n">
        <x:v>1</x:v>
      </x:c>
      <x:c r="F268" s="4" t="n">
        <x:f>IF(COUNT(N268,Q268,T268,W268,Z268,AC268,AF268,AI268)=8,N268*Guide!$E$5+Q268*Guide!$E$6+T268*Guide!$E$7+W268*Guide!$E$8+Z268*Guide!$E$9+AC268*Guide!$E$10+AF268*Guide!$E$11+AI268*Guide!$E$12,"")</x:f>
        <x:v>328.25</x:v>
      </x:c>
      <x:c r="G268" s="4" t="n">
        <x:f>IF(COUNT(O268,R268,U268,X268,AA268,AD268,AG268,AJ268)=8,O268*Guide!$E$5+R268*Guide!$E$6+U268*Guide!$E$7+X268*Guide!$E$8+AA268*Guide!$E$9+AD268*Guide!$E$10+AG268*Guide!$E$11+AJ268*Guide!$E$12,"")</x:f>
        <x:v>248.25</x:v>
      </x:c>
      <x:c r="H268" s="4" t="n">
        <x:f>IF(COUNT(G268,F268)=2,G268-F268,"")</x:f>
        <x:v>-80</x:v>
      </x:c>
      <x:c r="I268" s="4" t="n">
        <x:f>IF(AND(ISNUMBER(F268),K268&gt;0),F268/K268,"")</x:f>
        <x:v>4.103125</x:v>
      </x:c>
      <x:c r="J268" s="4" t="n">
        <x:f>IF(AND(ISNUMBER(G268),L268&gt;0),G268/L268,"")</x:f>
        <x:v>3.064814814814815</x:v>
      </x:c>
      <x:c r="K268" s="10" t="n">
        <x:v>80</x:v>
      </x:c>
      <x:c r="L268" s="10" t="n">
        <x:v>81</x:v>
      </x:c>
      <x:c r="M268" s="10" t="n">
        <x:f>IF(COUNT(L268,K268)=2,L268-K268,"")</x:f>
        <x:v>1</x:v>
      </x:c>
      <x:c r="N268" s="10" t="n">
        <x:v>30</x:v>
      </x:c>
      <x:c r="O268" s="10" t="n">
        <x:v>20</x:v>
      </x:c>
      <x:c r="P268" s="10" t="n">
        <x:f>IF(COUNT(O268,N268)=2,O268-N268,"")</x:f>
        <x:v>-10</x:v>
      </x:c>
      <x:c r="Q268" s="10" t="n">
        <x:v>37</x:v>
      </x:c>
      <x:c r="R268" s="10" t="n">
        <x:v>31</x:v>
      </x:c>
      <x:c r="S268" s="10" t="n">
        <x:f>IF(COUNT(R268,Q268)=2,R268-Q268,"")</x:f>
        <x:v>-6</x:v>
      </x:c>
      <x:c r="T268" s="10" t="n">
        <x:v>0</x:v>
      </x:c>
      <x:c r="U268" s="10" t="n">
        <x:v>0</x:v>
      </x:c>
      <x:c r="V268" s="10" t="n">
        <x:f>IF(COUNT(U268,T268)=2,U268-T268,"")</x:f>
        <x:v>0</x:v>
      </x:c>
      <x:c r="W268" s="10" t="n">
        <x:v>20</x:v>
      </x:c>
      <x:c r="X268" s="10" t="n">
        <x:f>IF(COUNT(AV268,AW268)=2,AV268+AW268,"")</x:f>
        <x:v>12</x:v>
      </x:c>
      <x:c r="Y268" s="10" t="n">
        <x:f>IF(COUNT(X268,W268)=2,X268-W268,"")</x:f>
        <x:v>-8</x:v>
      </x:c>
      <x:c r="Z268" s="10" t="n">
        <x:v>0</x:v>
      </x:c>
      <x:c r="AA268" s="10" t="n">
        <x:f>IF(COUNT(AX268,AY268)=2,AX268+AY268,"")</x:f>
        <x:v>0</x:v>
      </x:c>
      <x:c r="AB268" s="10" t="n">
        <x:f>IF(COUNT(AA268,Z268)=2,AA268-Z268,"")</x:f>
        <x:v>0</x:v>
      </x:c>
      <x:c r="AC268" s="10" t="n">
        <x:v>204</x:v>
      </x:c>
      <x:c r="AD268" s="10" t="n">
        <x:v>163</x:v>
      </x:c>
      <x:c r="AE268" s="10" t="n">
        <x:f>IF(COUNT(AD268,AC268)=2,AD268-AC268,"")</x:f>
        <x:v>-41</x:v>
      </x:c>
      <x:c r="AF268" s="10" t="n">
        <x:v>30</x:v>
      </x:c>
      <x:c r="AG268" s="10" t="n">
        <x:v>33</x:v>
      </x:c>
      <x:c r="AH268" s="10" t="n">
        <x:f>IF(COUNT(AG268,AF268)=2,AG268-AF268,"")</x:f>
        <x:v>3</x:v>
      </x:c>
      <x:c r="AI268" s="10" t="n">
        <x:v>25</x:v>
      </x:c>
      <x:c r="AJ268" s="10" t="n">
        <x:v>19</x:v>
      </x:c>
      <x:c r="AK268" s="10" t="n">
        <x:f>IF(COUNT(AJ268,AI268)=2,AJ268-AI268,"")</x:f>
        <x:v>-6</x:v>
      </x:c>
      <x:c r="AL268" s="10" t="n">
        <x:v>21</x:v>
      </x:c>
      <x:c r="AM268" s="10" t="n">
        <x:v>21</x:v>
      </x:c>
      <x:c r="AN268" s="4" t="str">
        <x:v>RW</x:v>
      </x:c>
      <x:c r="AO268" s="4" t="str">
        <x:v>RW</x:v>
      </x:c>
      <x:c r="AP268" s="4" t="str">
        <x:v>PHI</x:v>
      </x:c>
      <x:c r="AQ268" s="4" t="str">
        <x:v>PHI</x:v>
      </x:c>
      <x:c r="AR268" s="4" t="n">
        <x:v>17.32</x:v>
      </x:c>
      <x:c r="AS268" s="4" t="n">
        <x:v>14.833333333333334</x:v>
      </x:c>
      <x:c r="AT268" s="4" t="n">
        <x:v>2.96</x:v>
      </x:c>
      <x:c r="AU268" s="4" t="n">
        <x:v>12.3</x:v>
      </x:c>
      <x:c r="AV268" s="10" t="n">
        <x:v>4</x:v>
      </x:c>
      <x:c r="AW268" s="10" t="n">
        <x:v>8</x:v>
      </x:c>
      <x:c r="AX268" s="10" t="n">
        <x:v>0</x:v>
      </x:c>
      <x:c r="AY268" s="10" t="n">
        <x:v>0</x:v>
      </x:c>
      <x:c r="AZ268" s="10" t="n">
        <x:v>946</x:v>
      </x:c>
      <x:c r="BA268" s="10" t="n">
        <x:v>920</x:v>
      </x:c>
      <x:c r="BB268" s="4" t="n">
        <x:v>50.7</x:v>
      </x:c>
      <x:c r="BC268" s="4" t="n">
        <x:v>3.8</x:v>
      </x:c>
      <x:c r="BD268" s="10" t="n">
        <x:v>686</x:v>
      </x:c>
      <x:c r="BE268" s="10" t="n">
        <x:v>638</x:v>
      </x:c>
      <x:c r="BF268" s="4" t="n">
        <x:v>51.8</x:v>
      </x:c>
      <x:c r="BG268" s="4" t="n">
        <x:v>4.2</x:v>
      </x:c>
      <x:c r="BH268" s="4" t="n">
        <x:v>11.7</x:v>
      </x:c>
      <x:c r="BI268" s="4" t="n">
        <x:v>87.8</x:v>
      </x:c>
      <x:c r="BJ268" s="4" t="n">
        <x:v>99.6</x:v>
      </x:c>
      <x:c r="BK268" s="4" t="n">
        <x:v>67</x:v>
      </x:c>
      <x:c r="BL268" s="4" t="n">
        <x:v>33</x:v>
      </x:c>
      <x:c r="BM268" s="4" t="n">
        <x:v>14.833333333333334</x:v>
      </x:c>
      <x:c r="BN268" s="4" t="n">
        <x:v>12.65</x:v>
      </x:c>
      <x:c r="BO268" s="10" t="n">
        <x:v>22</x:v>
      </x:c>
      <x:c r="BP268" s="10" t="n">
        <x:v>87</x:v>
      </x:c>
      <x:c r="BQ268" s="4" t="n">
        <x:v>12</x:v>
      </x:c>
      <x:c r="BR268" s="10" t="n">
        <x:v>299</x:v>
      </x:c>
      <x:c r="BS268" s="4" t="n">
        <x:v>54.5</x:v>
      </x:c>
      <x:c r="BT268" s="10" t="n">
        <x:v>81</x:v>
      </x:c>
      <x:c r="BU268" s="4" t="str">
        <x:v>PHI</x:v>
      </x:c>
      <x:c r="BV268" s="10" t="n">
        <x:v>57</x:v>
      </x:c>
      <x:c r="BW268" s="10" t="n">
        <x:v>135</x:v>
      </x:c>
      <x:c r="BX268" s="10" t="n">
        <x:v>692</x:v>
      </x:c>
      <x:c r="BY268" s="4" t="str">
        <x:v>Matvei Michkov</x:v>
      </x:c>
      <x:c r="BZ268" s="4" t="str">
        <x:v>Matvei Michkov</x:v>
      </x:c>
      <x:c r="CA268" s="4" t="str">
        <x:v>Matvei Michkov</x:v>
      </x:c>
      <x:c r="CB268" s="4" t="str">
        <x:v>michkma01</x:v>
      </x:c>
    </x:row>
    <x:row r="269" ht="22" customHeight="1">
      <x:c r="A269" s="4" t="str">
        <x:v>Mavrik Bourque</x:v>
      </x:c>
      <x:c r="B269" s="4" t="str">
        <x:v>mavrikbourque</x:v>
      </x:c>
      <x:c r="C269" s="10" t="n">
        <x:v>1</x:v>
      </x:c>
      <x:c r="D269" s="10" t="n">
        <x:v>1</x:v>
      </x:c>
      <x:c r="E269" s="10" t="n">
        <x:v>1</x:v>
      </x:c>
      <x:c r="F269" s="4" t="n">
        <x:f>IF(COUNT(N269,Q269,T269,W269,Z269,AC269,AF269,AI269)=8,N269*Guide!$E$5+Q269*Guide!$E$6+T269*Guide!$E$7+W269*Guide!$E$8+Z269*Guide!$E$9+AC269*Guide!$E$10+AF269*Guide!$E$11+AI269*Guide!$E$12,"")</x:f>
        <x:v>174.5</x:v>
      </x:c>
      <x:c r="G269" s="4" t="n">
        <x:f>IF(COUNT(O269,R269,U269,X269,AA269,AD269,AG269,AJ269)=8,O269*Guide!$E$5+R269*Guide!$E$6+U269*Guide!$E$7+X269*Guide!$E$8+AA269*Guide!$E$9+AD269*Guide!$E$10+AG269*Guide!$E$11+AJ269*Guide!$E$12,"")</x:f>
        <x:v>226.25</x:v>
      </x:c>
      <x:c r="H269" s="4" t="n">
        <x:f>IF(COUNT(G269,F269)=2,G269-F269,"")</x:f>
        <x:v>51.75</x:v>
      </x:c>
      <x:c r="I269" s="4" t="n">
        <x:f>IF(AND(ISNUMBER(F269),K269&gt;0),F269/K269,"")</x:f>
        <x:v>2.3266666666666667</x:v>
      </x:c>
      <x:c r="J269" s="4" t="n">
        <x:f>IF(AND(ISNUMBER(G269),L269&gt;0),G269/L269,"")</x:f>
        <x:v>2.7591463414634148</x:v>
      </x:c>
      <x:c r="K269" s="10" t="n">
        <x:v>75</x:v>
      </x:c>
      <x:c r="L269" s="10" t="n">
        <x:v>82</x:v>
      </x:c>
      <x:c r="M269" s="10" t="n">
        <x:f>IF(COUNT(L269,K269)=2,L269-K269,"")</x:f>
        <x:v>7</x:v>
      </x:c>
      <x:c r="N269" s="10" t="n">
        <x:v>15</x:v>
      </x:c>
      <x:c r="O269" s="10" t="n">
        <x:v>20</x:v>
      </x:c>
      <x:c r="P269" s="10" t="n">
        <x:f>IF(COUNT(O269,N269)=2,O269-N269,"")</x:f>
        <x:v>5</x:v>
      </x:c>
      <x:c r="Q269" s="10" t="n">
        <x:v>15</x:v>
      </x:c>
      <x:c r="R269" s="10" t="n">
        <x:v>21</x:v>
      </x:c>
      <x:c r="S269" s="10" t="n">
        <x:f>IF(COUNT(R269,Q269)=2,R269-Q269,"")</x:f>
        <x:v>6</x:v>
      </x:c>
      <x:c r="T269" s="10" t="n">
        <x:v>2</x:v>
      </x:c>
      <x:c r="U269" s="10" t="n">
        <x:v>6</x:v>
      </x:c>
      <x:c r="V269" s="10" t="n">
        <x:f>IF(COUNT(U269,T269)=2,U269-T269,"")</x:f>
        <x:v>4</x:v>
      </x:c>
      <x:c r="W269" s="10" t="n">
        <x:v>4</x:v>
      </x:c>
      <x:c r="X269" s="10" t="n">
        <x:f>IF(COUNT(AV269,AW269)=2,AV269+AW269,"")</x:f>
        <x:v>5</x:v>
      </x:c>
      <x:c r="Y269" s="10" t="n">
        <x:f>IF(COUNT(X269,W269)=2,X269-W269,"")</x:f>
        <x:v>1</x:v>
      </x:c>
      <x:c r="Z269" s="10" t="n">
        <x:v>0</x:v>
      </x:c>
      <x:c r="AA269" s="10" t="n">
        <x:f>IF(COUNT(AX269,AY269)=2,AX269+AY269,"")</x:f>
        <x:v>0</x:v>
      </x:c>
      <x:c r="AB269" s="10" t="n">
        <x:f>IF(COUNT(AA269,Z269)=2,AA269-Z269,"")</x:f>
        <x:v>0</x:v>
      </x:c>
      <x:c r="AC269" s="10" t="n">
        <x:v>91</x:v>
      </x:c>
      <x:c r="AD269" s="10" t="n">
        <x:v>147</x:v>
      </x:c>
      <x:c r="AE269" s="10" t="n">
        <x:f>IF(COUNT(AD269,AC269)=2,AD269-AC269,"")</x:f>
        <x:v>56</x:v>
      </x:c>
      <x:c r="AF269" s="10" t="n">
        <x:v>46</x:v>
      </x:c>
      <x:c r="AG269" s="10" t="n">
        <x:v>79</x:v>
      </x:c>
      <x:c r="AH269" s="10" t="n">
        <x:f>IF(COUNT(AG269,AF269)=2,AG269-AF269,"")</x:f>
        <x:v>33</x:v>
      </x:c>
      <x:c r="AI269" s="10" t="n">
        <x:v>39</x:v>
      </x:c>
      <x:c r="AJ269" s="10" t="n">
        <x:v>21</x:v>
      </x:c>
      <x:c r="AK269" s="10" t="n">
        <x:f>IF(COUNT(AJ269,AI269)=2,AJ269-AI269,"")</x:f>
        <x:v>-18</x:v>
      </x:c>
      <x:c r="AL269" s="10" t="n">
        <x:v>24</x:v>
      </x:c>
      <x:c r="AM269" s="10" t="n">
        <x:v>24</x:v>
      </x:c>
      <x:c r="AN269" s="4" t="str">
        <x:v>C,RW</x:v>
      </x:c>
      <x:c r="AO269" s="4" t="str">
        <x:v>C</x:v>
      </x:c>
      <x:c r="AP269" s="4" t="str">
        <x:v>DAL</x:v>
      </x:c>
      <x:c r="AQ269" s="4" t="str">
        <x:v>DAL</x:v>
      </x:c>
      <x:c r="AR269" s="4" t="n">
        <x:v>13.040000000000001</x:v>
      </x:c>
      <x:c r="AS269" s="4" t="n">
        <x:v>15.483333333333333</x:v>
      </x:c>
      <x:c r="AT269" s="4" t="n">
        <x:v>0.67</x:v>
      </x:c>
      <x:c r="AU269" s="4" t="n">
        <x:v>13.6</x:v>
      </x:c>
      <x:c r="AV269" s="10" t="n">
        <x:v>1</x:v>
      </x:c>
      <x:c r="AW269" s="10" t="n">
        <x:v>4</x:v>
      </x:c>
      <x:c r="AX269" s="10" t="n">
        <x:v>0</x:v>
      </x:c>
      <x:c r="AY269" s="10" t="n">
        <x:v>0</x:v>
      </x:c>
      <x:c r="AZ269" s="10" t="n">
        <x:v>1040</x:v>
      </x:c>
      <x:c r="BA269" s="10" t="n">
        <x:v>977</x:v>
      </x:c>
      <x:c r="BB269" s="4" t="n">
        <x:v>51.6</x:v>
      </x:c>
      <x:c r="BC269" s="4" t="n">
        <x:v>5.4</x:v>
      </x:c>
      <x:c r="BD269" s="10" t="n">
        <x:v>754</x:v>
      </x:c>
      <x:c r="BE269" s="10" t="n">
        <x:v>721</x:v>
      </x:c>
      <x:c r="BF269" s="4" t="n">
        <x:v>51.1</x:v>
      </x:c>
      <x:c r="BG269" s="4" t="n">
        <x:v>4.2</x:v>
      </x:c>
      <x:c r="BH269" s="4" t="n">
        <x:v>10.9</x:v>
      </x:c>
      <x:c r="BI269" s="4" t="n">
        <x:v>89.1</x:v>
      </x:c>
      <x:c r="BJ269" s="4" t="n">
        <x:v>100</x:v>
      </x:c>
      <x:c r="BK269" s="4" t="n">
        <x:v>46</x:v>
      </x:c>
      <x:c r="BL269" s="4" t="n">
        <x:v>54</x:v>
      </x:c>
      <x:c r="BM269" s="4" t="n">
        <x:v>15.483333333333333</x:v>
      </x:c>
      <x:c r="BN269" s="4" t="n">
        <x:v>14.166666666666666</x:v>
      </x:c>
      <x:c r="BO269" s="10" t="n">
        <x:v>15</x:v>
      </x:c>
      <x:c r="BP269" s="10" t="n">
        <x:v>51</x:v>
      </x:c>
      <x:c r="BQ269" s="4" t="n">
        <x:v>8.3</x:v>
      </x:c>
      <x:c r="BR269" s="10" t="n">
        <x:v>235</x:v>
      </x:c>
      <x:c r="BS269" s="4" t="n">
        <x:v>62.6</x:v>
      </x:c>
      <x:c r="BT269" s="10" t="n">
        <x:v>82</x:v>
      </x:c>
      <x:c r="BU269" s="4" t="str">
        <x:v>DAL</x:v>
      </x:c>
      <x:c r="BV269" s="10" t="n">
        <x:v>378</x:v>
      </x:c>
      <x:c r="BW269" s="10" t="n">
        <x:v>204</x:v>
      </x:c>
      <x:c r="BX269" s="10" t="n">
        <x:v>86</x:v>
      </x:c>
      <x:c r="BY269" s="4" t="str">
        <x:v>Mavrik Bourque</x:v>
      </x:c>
      <x:c r="BZ269" s="4" t="str">
        <x:v>Mavrik Bourque</x:v>
      </x:c>
      <x:c r="CA269" s="4" t="str">
        <x:v>Mavrik Bourque</x:v>
      </x:c>
      <x:c r="CB269" s="4" t="str">
        <x:v>bourqma01</x:v>
      </x:c>
    </x:row>
    <x:row r="270" ht="22" customHeight="1">
      <x:c r="A270" s="4" t="str">
        <x:v>Max Domi</x:v>
      </x:c>
      <x:c r="B270" s="4" t="str">
        <x:v>maxdomi</x:v>
      </x:c>
      <x:c r="C270" s="10" t="n">
        <x:v>1</x:v>
      </x:c>
      <x:c r="D270" s="10" t="n">
        <x:v>1</x:v>
      </x:c>
      <x:c r="E270" s="10" t="n">
        <x:v>1</x:v>
      </x:c>
      <x:c r="F270" s="4" t="n">
        <x:f>IF(COUNT(N270,Q270,T270,W270,Z270,AC270,AF270,AI270)=8,N270*Guide!$E$5+Q270*Guide!$E$6+T270*Guide!$E$7+W270*Guide!$E$8+Z270*Guide!$E$9+AC270*Guide!$E$10+AF270*Guide!$E$11+AI270*Guide!$E$12,"")</x:f>
        <x:v>186.25</x:v>
      </x:c>
      <x:c r="G270" s="4" t="n">
        <x:f>IF(COUNT(O270,R270,U270,X270,AA270,AD270,AG270,AJ270)=8,O270*Guide!$E$5+R270*Guide!$E$6+U270*Guide!$E$7+X270*Guide!$E$8+AA270*Guide!$E$9+AD270*Guide!$E$10+AG270*Guide!$E$11+AJ270*Guide!$E$12,"")</x:f>
        <x:v>164</x:v>
      </x:c>
      <x:c r="H270" s="4" t="n">
        <x:f>IF(COUNT(G270,F270)=2,G270-F270,"")</x:f>
        <x:v>-22.25</x:v>
      </x:c>
      <x:c r="I270" s="4" t="n">
        <x:f>IF(AND(ISNUMBER(F270),K270&gt;0),F270/K270,"")</x:f>
        <x:v>2.3878205128205128</x:v>
      </x:c>
      <x:c r="J270" s="4" t="n">
        <x:f>IF(AND(ISNUMBER(G270),L270&gt;0),G270/L270,"")</x:f>
        <x:v>2.05</x:v>
      </x:c>
      <x:c r="K270" s="10" t="n">
        <x:v>78</x:v>
      </x:c>
      <x:c r="L270" s="10" t="n">
        <x:v>80</x:v>
      </x:c>
      <x:c r="M270" s="10" t="n">
        <x:f>IF(COUNT(L270,K270)=2,L270-K270,"")</x:f>
        <x:v>2</x:v>
      </x:c>
      <x:c r="N270" s="10" t="n">
        <x:v>11</x:v>
      </x:c>
      <x:c r="O270" s="10" t="n">
        <x:v>12</x:v>
      </x:c>
      <x:c r="P270" s="10" t="n">
        <x:f>IF(COUNT(O270,N270)=2,O270-N270,"")</x:f>
        <x:v>1</x:v>
      </x:c>
      <x:c r="Q270" s="10" t="n">
        <x:v>26</x:v>
      </x:c>
      <x:c r="R270" s="10" t="n">
        <x:v>24</x:v>
      </x:c>
      <x:c r="S270" s="10" t="n">
        <x:f>IF(COUNT(R270,Q270)=2,R270-Q270,"")</x:f>
        <x:v>-2</x:v>
      </x:c>
      <x:c r="T270" s="10" t="n">
        <x:v>2</x:v>
      </x:c>
      <x:c r="U270" s="10" t="n">
        <x:v>-29</x:v>
      </x:c>
      <x:c r="V270" s="10" t="n">
        <x:f>IF(COUNT(U270,T270)=2,U270-T270,"")</x:f>
        <x:v>-31</x:v>
      </x:c>
      <x:c r="W270" s="10" t="n">
        <x:v>6</x:v>
      </x:c>
      <x:c r="X270" s="10" t="n">
        <x:f>IF(COUNT(AV270,AW270)=2,AV270+AW270,"")</x:f>
        <x:v>8</x:v>
      </x:c>
      <x:c r="Y270" s="10" t="n">
        <x:f>IF(COUNT(X270,W270)=2,X270-W270,"")</x:f>
        <x:v>2</x:v>
      </x:c>
      <x:c r="Z270" s="10" t="n">
        <x:v>0</x:v>
      </x:c>
      <x:c r="AA270" s="10" t="n">
        <x:f>IF(COUNT(AX270,AY270)=2,AX270+AY270,"")</x:f>
        <x:v>0</x:v>
      </x:c>
      <x:c r="AB270" s="10" t="n">
        <x:f>IF(COUNT(AA270,Z270)=2,AA270-Z270,"")</x:f>
        <x:v>0</x:v>
      </x:c>
      <x:c r="AC270" s="10" t="n">
        <x:v>105</x:v>
      </x:c>
      <x:c r="AD270" s="10" t="n">
        <x:v>118</x:v>
      </x:c>
      <x:c r="AE270" s="10" t="n">
        <x:f>IF(COUNT(AD270,AC270)=2,AD270-AC270,"")</x:f>
        <x:v>13</x:v>
      </x:c>
      <x:c r="AF270" s="10" t="n">
        <x:v>36</x:v>
      </x:c>
      <x:c r="AG270" s="10" t="n">
        <x:v>37</x:v>
      </x:c>
      <x:c r="AH270" s="10" t="n">
        <x:f>IF(COUNT(AG270,AF270)=2,AG270-AF270,"")</x:f>
        <x:v>1</x:v>
      </x:c>
      <x:c r="AI270" s="10" t="n">
        <x:v>28</x:v>
      </x:c>
      <x:c r="AJ270" s="10" t="n">
        <x:v>35</x:v>
      </x:c>
      <x:c r="AK270" s="10" t="n">
        <x:f>IF(COUNT(AJ270,AI270)=2,AJ270-AI270,"")</x:f>
        <x:v>7</x:v>
      </x:c>
      <x:c r="AL270" s="10" t="n">
        <x:v>30</x:v>
      </x:c>
      <x:c r="AM270" s="10" t="n">
        <x:v>30</x:v>
      </x:c>
      <x:c r="AN270" s="4" t="str">
        <x:v>C,LW</x:v>
      </x:c>
      <x:c r="AO270" s="4" t="str">
        <x:v>LW</x:v>
      </x:c>
      <x:c r="AP270" s="4" t="str">
        <x:v>TOR</x:v>
      </x:c>
      <x:c r="AQ270" s="4" t="str">
        <x:v>TOR</x:v>
      </x:c>
      <x:c r="AR270" s="4" t="n">
        <x:v>14.18</x:v>
      </x:c>
      <x:c r="AS270" s="4" t="n">
        <x:v>14.883333333333333</x:v>
      </x:c>
      <x:c r="AT270" s="4" t="n">
        <x:v>1.22</x:v>
      </x:c>
      <x:c r="AU270" s="4" t="n">
        <x:v>10.2</x:v>
      </x:c>
      <x:c r="AV270" s="10" t="n">
        <x:v>2</x:v>
      </x:c>
      <x:c r="AW270" s="10" t="n">
        <x:v>6</x:v>
      </x:c>
      <x:c r="AX270" s="10" t="n">
        <x:v>0</x:v>
      </x:c>
      <x:c r="AY270" s="10" t="n">
        <x:v>0</x:v>
      </x:c>
      <x:c r="AZ270" s="10" t="n">
        <x:v>982</x:v>
      </x:c>
      <x:c r="BA270" s="10" t="n">
        <x:v>1189</x:v>
      </x:c>
      <x:c r="BB270" s="4" t="n">
        <x:v>45.2</x:v>
      </x:c>
      <x:c r="BC270" s="4" t="n">
        <x:v>0.6</x:v>
      </x:c>
      <x:c r="BD270" s="10" t="n">
        <x:v>737</x:v>
      </x:c>
      <x:c r="BE270" s="10" t="n">
        <x:v>893</x:v>
      </x:c>
      <x:c r="BF270" s="4" t="n">
        <x:v>45.2</x:v>
      </x:c>
      <x:c r="BG270" s="4" t="n">
        <x:v>-0.1</x:v>
      </x:c>
      <x:c r="BH270" s="4" t="n">
        <x:v>8.7</x:v>
      </x:c>
      <x:c r="BI270" s="4" t="n">
        <x:v>87.7</x:v>
      </x:c>
      <x:c r="BJ270" s="4" t="n">
        <x:v>96.3</x:v>
      </x:c>
      <x:c r="BK270" s="4" t="n">
        <x:v>52.3</x:v>
      </x:c>
      <x:c r="BL270" s="4" t="n">
        <x:v>47.7</x:v>
      </x:c>
      <x:c r="BM270" s="4" t="n">
        <x:v>14.883333333333333</x:v>
      </x:c>
      <x:c r="BN270" s="4" t="n">
        <x:v>13.516666666666667</x:v>
      </x:c>
      <x:c r="BO270" s="10" t="n">
        <x:v>26</x:v>
      </x:c>
      <x:c r="BP270" s="10" t="n">
        <x:v>89</x:v>
      </x:c>
      <x:c r="BQ270" s="4" t="n">
        <x:v>-9</x:v>
      </x:c>
      <x:c r="BR270" s="10" t="n">
        <x:v>235</x:v>
      </x:c>
      <x:c r="BS270" s="4" t="n">
        <x:v>50.2</x:v>
      </x:c>
      <x:c r="BT270" s="10" t="n">
        <x:v>80</x:v>
      </x:c>
      <x:c r="BU270" s="4" t="str">
        <x:v>TOR</x:v>
      </x:c>
      <x:c r="BV270" s="10" t="n">
        <x:v>284</x:v>
      </x:c>
      <x:c r="BW270" s="10" t="n">
        <x:v>244</x:v>
      </x:c>
      <x:c r="BX270" s="10" t="n">
        <x:v>223</x:v>
      </x:c>
      <x:c r="BY270" s="4" t="str">
        <x:v>Max Domi</x:v>
      </x:c>
      <x:c r="BZ270" s="4" t="str">
        <x:v>Max Domi</x:v>
      </x:c>
      <x:c r="CA270" s="4" t="str">
        <x:v>Max Domi</x:v>
      </x:c>
      <x:c r="CB270" s="4" t="str">
        <x:v>domima01</x:v>
      </x:c>
    </x:row>
    <x:row r="271" ht="22" customHeight="1">
      <x:c r="A271" s="4" t="str">
        <x:v>Max Sasson</x:v>
      </x:c>
      <x:c r="B271" s="4" t="str">
        <x:v>maxsasson</x:v>
      </x:c>
      <x:c r="C271" s="10" t="n">
        <x:v>1</x:v>
      </x:c>
      <x:c r="D271" s="10" t="n">
        <x:v>1</x:v>
      </x:c>
      <x:c r="E271" s="10" t="n">
        <x:v>1</x:v>
      </x:c>
      <x:c r="F271" s="4" t="n">
        <x:f>IF(COUNT(N271,Q271,T271,W271,Z271,AC271,AF271,AI271)=8,N271*Guide!$E$5+Q271*Guide!$E$6+T271*Guide!$E$7+W271*Guide!$E$8+Z271*Guide!$E$9+AC271*Guide!$E$10+AF271*Guide!$E$11+AI271*Guide!$E$12,"")</x:f>
        <x:v>80.5</x:v>
      </x:c>
      <x:c r="G271" s="4" t="n">
        <x:f>IF(COUNT(O271,R271,U271,X271,AA271,AD271,AG271,AJ271)=8,O271*Guide!$E$5+R271*Guide!$E$6+U271*Guide!$E$7+X271*Guide!$E$8+AA271*Guide!$E$9+AD271*Guide!$E$10+AG271*Guide!$E$11+AJ271*Guide!$E$12,"")</x:f>
        <x:v>108</x:v>
      </x:c>
      <x:c r="H271" s="4" t="n">
        <x:f>IF(COUNT(G271,F271)=2,G271-F271,"")</x:f>
        <x:v>27.5</x:v>
      </x:c>
      <x:c r="I271" s="4" t="n">
        <x:f>IF(AND(ISNUMBER(F271),K271&gt;0),F271/K271,"")</x:f>
        <x:v>1.75</x:v>
      </x:c>
      <x:c r="J271" s="4" t="n">
        <x:f>IF(AND(ISNUMBER(G271),L271&gt;0),G271/L271,"")</x:f>
        <x:v>1.6363636363636365</x:v>
      </x:c>
      <x:c r="K271" s="10" t="n">
        <x:v>46</x:v>
      </x:c>
      <x:c r="L271" s="10" t="n">
        <x:v>66</x:v>
      </x:c>
      <x:c r="M271" s="10" t="n">
        <x:f>IF(COUNT(L271,K271)=2,L271-K271,"")</x:f>
        <x:v>20</x:v>
      </x:c>
      <x:c r="N271" s="10" t="n">
        <x:v>6</x:v>
      </x:c>
      <x:c r="O271" s="10" t="n">
        <x:v>13</x:v>
      </x:c>
      <x:c r="P271" s="10" t="n">
        <x:f>IF(COUNT(O271,N271)=2,O271-N271,"")</x:f>
        <x:v>7</x:v>
      </x:c>
      <x:c r="Q271" s="10" t="n">
        <x:v>8</x:v>
      </x:c>
      <x:c r="R271" s="10" t="n">
        <x:v>6</x:v>
      </x:c>
      <x:c r="S271" s="10" t="n">
        <x:f>IF(COUNT(R271,Q271)=2,R271-Q271,"")</x:f>
        <x:v>-2</x:v>
      </x:c>
      <x:c r="T271" s="10" t="n">
        <x:v>-1</x:v>
      </x:c>
      <x:c r="U271" s="10" t="n">
        <x:v>-13</x:v>
      </x:c>
      <x:c r="V271" s="10" t="n">
        <x:f>IF(COUNT(U271,T271)=2,U271-T271,"")</x:f>
        <x:v>-12</x:v>
      </x:c>
      <x:c r="W271" s="10" t="n">
        <x:v>0</x:v>
      </x:c>
      <x:c r="X271" s="10" t="n">
        <x:f>IF(COUNT(AV271,AW271)=2,AV271+AW271,"")</x:f>
        <x:v>1</x:v>
      </x:c>
      <x:c r="Y271" s="10" t="n">
        <x:f>IF(COUNT(X271,W271)=2,X271-W271,"")</x:f>
        <x:v>1</x:v>
      </x:c>
      <x:c r="Z271" s="10" t="n">
        <x:v>0</x:v>
      </x:c>
      <x:c r="AA271" s="10" t="n">
        <x:f>IF(COUNT(AX271,AY271)=2,AX271+AY271,"")</x:f>
        <x:v>0</x:v>
      </x:c>
      <x:c r="AB271" s="10" t="n">
        <x:f>IF(COUNT(AA271,Z271)=2,AA271-Z271,"")</x:f>
        <x:v>0</x:v>
      </x:c>
      <x:c r="AC271" s="10" t="n">
        <x:v>46</x:v>
      </x:c>
      <x:c r="AD271" s="10" t="n">
        <x:v>62</x:v>
      </x:c>
      <x:c r="AE271" s="10" t="n">
        <x:f>IF(COUNT(AD271,AC271)=2,AD271-AC271,"")</x:f>
        <x:v>16</x:v>
      </x:c>
      <x:c r="AF271" s="10" t="n">
        <x:v>28</x:v>
      </x:c>
      <x:c r="AG271" s="10" t="n">
        <x:v>30</x:v>
      </x:c>
      <x:c r="AH271" s="10" t="n">
        <x:f>IF(COUNT(AG271,AF271)=2,AG271-AF271,"")</x:f>
        <x:v>2</x:v>
      </x:c>
      <x:c r="AI271" s="10" t="n">
        <x:v>20</x:v>
      </x:c>
      <x:c r="AJ271" s="10" t="n">
        <x:v>36</x:v>
      </x:c>
      <x:c r="AK271" s="10" t="n">
        <x:f>IF(COUNT(AJ271,AI271)=2,AJ271-AI271,"")</x:f>
        <x:v>16</x:v>
      </x:c>
      <x:c r="AL271" s="10" t="n">
        <x:v>25</x:v>
      </x:c>
      <x:c r="AM271" s="10" t="n">
        <x:v>25</x:v>
      </x:c>
      <x:c r="AN271" s="4" t="str">
        <x:v>C</x:v>
      </x:c>
      <x:c r="AO271" s="4" t="str">
        <x:v>F</x:v>
      </x:c>
      <x:c r="AP271" s="4" t="str">
        <x:v>VAN</x:v>
      </x:c>
      <x:c r="AQ271" s="4" t="str">
        <x:v>VAN</x:v>
      </x:c>
      <x:c r="AR271" s="4" t="n">
        <x:v>10.55</x:v>
      </x:c>
      <x:c r="AS271" s="4" t="n">
        <x:v>11.716666666666667</x:v>
      </x:c>
      <x:c r="AT271" s="4" t="n">
        <x:v>0.08</x:v>
      </x:c>
      <x:c r="AU271" s="4" t="n">
        <x:v>21</x:v>
      </x:c>
      <x:c r="AV271" s="10" t="n">
        <x:v>0</x:v>
      </x:c>
      <x:c r="AW271" s="10" t="n">
        <x:v>1</x:v>
      </x:c>
      <x:c r="AX271" s="10" t="n">
        <x:v>0</x:v>
      </x:c>
      <x:c r="AY271" s="10" t="n">
        <x:v>0</x:v>
      </x:c>
      <x:c r="AZ271" s="10" t="n">
        <x:v>649</x:v>
      </x:c>
      <x:c r="BA271" s="10" t="n">
        <x:v>673</x:v>
      </x:c>
      <x:c r="BB271" s="4" t="n">
        <x:v>49.1</x:v>
      </x:c>
      <x:c r="BC271" s="4" t="n">
        <x:v>1.3</x:v>
      </x:c>
      <x:c r="BD271" s="10" t="n">
        <x:v>464</x:v>
      </x:c>
      <x:c r="BE271" s="10" t="n">
        <x:v>504</x:v>
      </x:c>
      <x:c r="BF271" s="4" t="n">
        <x:v>47.9</x:v>
      </x:c>
      <x:c r="BG271" s="4" t="n">
        <x:v>0.7</x:v>
      </x:c>
      <x:c r="BH271" s="4" t="n">
        <x:v>9</x:v>
      </x:c>
      <x:c r="BI271" s="4" t="n">
        <x:v>88.6</x:v>
      </x:c>
      <x:c r="BJ271" s="4" t="n">
        <x:v>97.5</x:v>
      </x:c>
      <x:c r="BK271" s="4" t="n">
        <x:v>53.6</x:v>
      </x:c>
      <x:c r="BL271" s="4" t="n">
        <x:v>46.4</x:v>
      </x:c>
      <x:c r="BM271" s="4" t="n">
        <x:v>11.716666666666667</x:v>
      </x:c>
      <x:c r="BN271" s="4" t="n">
        <x:v>11.166666666666666</x:v>
      </x:c>
      <x:c r="BO271" s="10" t="n">
        <x:v>12</x:v>
      </x:c>
      <x:c r="BP271" s="10" t="n">
        <x:v>38</x:v>
      </x:c>
      <x:c r="BQ271" s="4" t="n">
        <x:v>-9.3</x:v>
      </x:c>
      <x:c r="BR271" s="10" t="n">
        <x:v>114</x:v>
      </x:c>
      <x:c r="BS271" s="4" t="n">
        <x:v>54.4</x:v>
      </x:c>
      <x:c r="BT271" s="10" t="n">
        <x:v>66</x:v>
      </x:c>
      <x:c r="BU271" s="4" t="str">
        <x:v>VAN</x:v>
      </x:c>
      <x:c r="BV271" s="10" t="n">
        <x:v>659</x:v>
      </x:c>
      <x:c r="BW271" s="10" t="n">
        <x:v>481</x:v>
      </x:c>
      <x:c r="BX271" s="10" t="n">
        <x:v>899</x:v>
      </x:c>
      <x:c r="BY271" s="4" t="str">
        <x:v>Max Sasson</x:v>
      </x:c>
      <x:c r="BZ271" s="4" t="str">
        <x:v>Max Sasson</x:v>
      </x:c>
      <x:c r="CA271" s="4" t="str">
        <x:v>Max Sasson</x:v>
      </x:c>
      <x:c r="CB271" s="4" t="str">
        <x:v>sassoma01</x:v>
      </x:c>
    </x:row>
    <x:row r="272" ht="22" customHeight="1">
      <x:c r="A272" s="4" t="str">
        <x:v>Michael Amadio</x:v>
      </x:c>
      <x:c r="B272" s="4" t="str">
        <x:v>michaelamadio</x:v>
      </x:c>
      <x:c r="C272" s="10" t="n">
        <x:v>1</x:v>
      </x:c>
      <x:c r="D272" s="10" t="n">
        <x:v>1</x:v>
      </x:c>
      <x:c r="E272" s="10" t="n">
        <x:v>1</x:v>
      </x:c>
      <x:c r="F272" s="4" t="n">
        <x:f>IF(COUNT(N272,Q272,T272,W272,Z272,AC272,AF272,AI272)=8,N272*Guide!$E$5+Q272*Guide!$E$6+T272*Guide!$E$7+W272*Guide!$E$8+Z272*Guide!$E$9+AC272*Guide!$E$10+AF272*Guide!$E$11+AI272*Guide!$E$12,"")</x:f>
        <x:v>194</x:v>
      </x:c>
      <x:c r="G272" s="4" t="n">
        <x:f>IF(COUNT(O272,R272,U272,X272,AA272,AD272,AG272,AJ272)=8,O272*Guide!$E$5+R272*Guide!$E$6+U272*Guide!$E$7+X272*Guide!$E$8+AA272*Guide!$E$9+AD272*Guide!$E$10+AG272*Guide!$E$11+AJ272*Guide!$E$12,"")</x:f>
        <x:v>224.5</x:v>
      </x:c>
      <x:c r="H272" s="4" t="n">
        <x:f>IF(COUNT(G272,F272)=2,G272-F272,"")</x:f>
        <x:v>30.5</x:v>
      </x:c>
      <x:c r="I272" s="4" t="n">
        <x:f>IF(AND(ISNUMBER(F272),K272&gt;0),F272/K272,"")</x:f>
        <x:v>2.4871794871794872</x:v>
      </x:c>
      <x:c r="J272" s="4" t="n">
        <x:f>IF(AND(ISNUMBER(G272),L272&gt;0),G272/L272,"")</x:f>
        <x:v>2.771604938271605</x:v>
      </x:c>
      <x:c r="K272" s="10" t="n">
        <x:v>78</x:v>
      </x:c>
      <x:c r="L272" s="10" t="n">
        <x:v>81</x:v>
      </x:c>
      <x:c r="M272" s="10" t="n">
        <x:f>IF(COUNT(L272,K272)=2,L272-K272,"")</x:f>
        <x:v>3</x:v>
      </x:c>
      <x:c r="N272" s="10" t="n">
        <x:v>14</x:v>
      </x:c>
      <x:c r="O272" s="10" t="n">
        <x:v>15</x:v>
      </x:c>
      <x:c r="P272" s="10" t="n">
        <x:f>IF(COUNT(O272,N272)=2,O272-N272,"")</x:f>
        <x:v>1</x:v>
      </x:c>
      <x:c r="Q272" s="10" t="n">
        <x:v>16</x:v>
      </x:c>
      <x:c r="R272" s="10" t="n">
        <x:v>20</x:v>
      </x:c>
      <x:c r="S272" s="10" t="n">
        <x:f>IF(COUNT(R272,Q272)=2,R272-Q272,"")</x:f>
        <x:v>4</x:v>
      </x:c>
      <x:c r="T272" s="10" t="n">
        <x:v>5</x:v>
      </x:c>
      <x:c r="U272" s="10" t="n">
        <x:v>13</x:v>
      </x:c>
      <x:c r="V272" s="10" t="n">
        <x:f>IF(COUNT(U272,T272)=2,U272-T272,"")</x:f>
        <x:v>8</x:v>
      </x:c>
      <x:c r="W272" s="10" t="n">
        <x:v>3</x:v>
      </x:c>
      <x:c r="X272" s="10" t="n">
        <x:f>IF(COUNT(AV272,AW272)=2,AV272+AW272,"")</x:f>
        <x:v>0</x:v>
      </x:c>
      <x:c r="Y272" s="10" t="n">
        <x:f>IF(COUNT(X272,W272)=2,X272-W272,"")</x:f>
        <x:v>-3</x:v>
      </x:c>
      <x:c r="Z272" s="10" t="n">
        <x:v>0</x:v>
      </x:c>
      <x:c r="AA272" s="10" t="n">
        <x:f>IF(COUNT(AX272,AY272)=2,AX272+AY272,"")</x:f>
        <x:v>1</x:v>
      </x:c>
      <x:c r="AB272" s="10" t="n">
        <x:f>IF(COUNT(AA272,Z272)=2,AA272-Z272,"")</x:f>
        <x:v>1</x:v>
      </x:c>
      <x:c r="AC272" s="10" t="n">
        <x:v>100</x:v>
      </x:c>
      <x:c r="AD272" s="10" t="n">
        <x:v>96</x:v>
      </x:c>
      <x:c r="AE272" s="10" t="n">
        <x:f>IF(COUNT(AD272,AC272)=2,AD272-AC272,"")</x:f>
        <x:v>-4</x:v>
      </x:c>
      <x:c r="AF272" s="10" t="n">
        <x:v>99</x:v>
      </x:c>
      <x:c r="AG272" s="10" t="n">
        <x:v>105</x:v>
      </x:c>
      <x:c r="AH272" s="10" t="n">
        <x:f>IF(COUNT(AG272,AF272)=2,AG272-AF272,"")</x:f>
        <x:v>6</x:v>
      </x:c>
      <x:c r="AI272" s="10" t="n">
        <x:v>43</x:v>
      </x:c>
      <x:c r="AJ272" s="10" t="n">
        <x:v>51</x:v>
      </x:c>
      <x:c r="AK272" s="10" t="n">
        <x:f>IF(COUNT(AJ272,AI272)=2,AJ272-AI272,"")</x:f>
        <x:v>8</x:v>
      </x:c>
      <x:c r="AL272" s="10" t="n">
        <x:v>29</x:v>
      </x:c>
      <x:c r="AM272" s="10" t="n">
        <x:v>29</x:v>
      </x:c>
      <x:c r="AN272" s="4" t="str">
        <x:v>RW</x:v>
      </x:c>
      <x:c r="AO272" s="4" t="str">
        <x:v>C</x:v>
      </x:c>
      <x:c r="AP272" s="4" t="str">
        <x:v>OTT</x:v>
      </x:c>
      <x:c r="AQ272" s="4" t="str">
        <x:v>OTT</x:v>
      </x:c>
      <x:c r="AR272" s="4" t="n">
        <x:v>13.83</x:v>
      </x:c>
      <x:c r="AS272" s="4" t="n">
        <x:v>16.116666666666667</x:v>
      </x:c>
      <x:c r="AT272" s="4" t="n">
        <x:v>0.58</x:v>
      </x:c>
      <x:c r="AU272" s="4" t="n">
        <x:v>15.6</x:v>
      </x:c>
      <x:c r="AV272" s="10" t="n">
        <x:v>0</x:v>
      </x:c>
      <x:c r="AW272" s="10" t="n">
        <x:v>0</x:v>
      </x:c>
      <x:c r="AX272" s="10" t="n">
        <x:v>0</x:v>
      </x:c>
      <x:c r="AY272" s="10" t="n">
        <x:v>1</x:v>
      </x:c>
      <x:c r="AZ272" s="10" t="n">
        <x:v>1068</x:v>
      </x:c>
      <x:c r="BA272" s="10" t="n">
        <x:v>1085</x:v>
      </x:c>
      <x:c r="BB272" s="4" t="n">
        <x:v>49.6</x:v>
      </x:c>
      <x:c r="BC272" s="4" t="n">
        <x:v>-4.2</x:v>
      </x:c>
      <x:c r="BD272" s="10" t="n">
        <x:v>791</x:v>
      </x:c>
      <x:c r="BE272" s="10" t="n">
        <x:v>743</x:v>
      </x:c>
      <x:c r="BF272" s="4" t="n">
        <x:v>51.6</x:v>
      </x:c>
      <x:c r="BG272" s="4" t="n">
        <x:v>-2.6</x:v>
      </x:c>
      <x:c r="BH272" s="4" t="n">
        <x:v>11.6</x:v>
      </x:c>
      <x:c r="BI272" s="4" t="n">
        <x:v>89.3</x:v>
      </x:c>
      <x:c r="BJ272" s="4" t="n">
        <x:v>100.9</x:v>
      </x:c>
      <x:c r="BK272" s="4" t="n">
        <x:v>30.6</x:v>
      </x:c>
      <x:c r="BL272" s="4" t="n">
        <x:v>69.4</x:v>
      </x:c>
      <x:c r="BM272" s="4" t="n">
        <x:v>16.116666666666667</x:v>
      </x:c>
      <x:c r="BN272" s="4" t="n">
        <x:v>14.9</x:v>
      </x:c>
      <x:c r="BO272" s="10" t="n">
        <x:v>33</x:v>
      </x:c>
      <x:c r="BP272" s="10" t="n">
        <x:v>60</x:v>
      </x:c>
      <x:c r="BQ272" s="4" t="n">
        <x:v>3.5</x:v>
      </x:c>
      <x:c r="BR272" s="10" t="n">
        <x:v>184</x:v>
      </x:c>
      <x:c r="BS272" s="4" t="n">
        <x:v>52.2</x:v>
      </x:c>
      <x:c r="BT272" s="10" t="n">
        <x:v>81</x:v>
      </x:c>
      <x:c r="BU272" s="4" t="str">
        <x:v>OTT</x:v>
      </x:c>
      <x:c r="BV272" s="10" t="n">
        <x:v>375</x:v>
      </x:c>
      <x:c r="BW272" s="10" t="n">
        <x:v>258</x:v>
      </x:c>
      <x:c r="BX272" s="10" t="n">
        <x:v>9</x:v>
      </x:c>
      <x:c r="BY272" s="4" t="str">
        <x:v>Michael Amadio</x:v>
      </x:c>
      <x:c r="BZ272" s="4" t="str">
        <x:v>Michael Amadio</x:v>
      </x:c>
      <x:c r="CA272" s="4" t="str">
        <x:v>Michael Amadio</x:v>
      </x:c>
      <x:c r="CB272" s="4" t="str">
        <x:v>amadimi01</x:v>
      </x:c>
    </x:row>
    <x:row r="273" ht="22" customHeight="1">
      <x:c r="A273" s="4" t="str">
        <x:v>Michael Anderson</x:v>
      </x:c>
      <x:c r="B273" s="4" t="str">
        <x:v>mikeyanderson</x:v>
      </x:c>
      <x:c r="C273" s="10" t="n">
        <x:v>1</x:v>
      </x:c>
      <x:c r="D273" s="10" t="n">
        <x:v>1</x:v>
      </x:c>
      <x:c r="E273" s="10" t="n">
        <x:v>1</x:v>
      </x:c>
      <x:c r="F273" s="4" t="n">
        <x:f>IF(COUNT(N273,Q273,T273,W273,Z273,AC273,AF273,AI273)=8,N273*Guide!$E$5+Q273*Guide!$E$6+T273*Guide!$E$7+W273*Guide!$E$8+Z273*Guide!$E$9+AC273*Guide!$E$10+AF273*Guide!$E$11+AI273*Guide!$E$12,"")</x:f>
        <x:v>235</x:v>
      </x:c>
      <x:c r="G273" s="4" t="n">
        <x:f>IF(COUNT(O273,R273,U273,X273,AA273,AD273,AG273,AJ273)=8,O273*Guide!$E$5+R273*Guide!$E$6+U273*Guide!$E$7+X273*Guide!$E$8+AA273*Guide!$E$9+AD273*Guide!$E$10+AG273*Guide!$E$11+AJ273*Guide!$E$12,"")</x:f>
        <x:v>214.75</x:v>
      </x:c>
      <x:c r="H273" s="4" t="n">
        <x:f>IF(COUNT(G273,F273)=2,G273-F273,"")</x:f>
        <x:v>-20.25</x:v>
      </x:c>
      <x:c r="I273" s="4" t="n">
        <x:f>IF(AND(ISNUMBER(F273),K273&gt;0),F273/K273,"")</x:f>
        <x:v>3.051948051948052</x:v>
      </x:c>
      <x:c r="J273" s="4" t="n">
        <x:f>IF(AND(ISNUMBER(G273),L273&gt;0),G273/L273,"")</x:f>
        <x:v>2.684375</x:v>
      </x:c>
      <x:c r="K273" s="10" t="n">
        <x:v>77</x:v>
      </x:c>
      <x:c r="L273" s="10" t="n">
        <x:v>80</x:v>
      </x:c>
      <x:c r="M273" s="10" t="n">
        <x:f>IF(COUNT(L273,K273)=2,L273-K273,"")</x:f>
        <x:v>3</x:v>
      </x:c>
      <x:c r="N273" s="10" t="n">
        <x:v>5</x:v>
      </x:c>
      <x:c r="O273" s="10" t="n">
        <x:v>4</x:v>
      </x:c>
      <x:c r="P273" s="10" t="n">
        <x:f>IF(COUNT(O273,N273)=2,O273-N273,"")</x:f>
        <x:v>-1</x:v>
      </x:c>
      <x:c r="Q273" s="10" t="n">
        <x:v>16</x:v>
      </x:c>
      <x:c r="R273" s="10" t="n">
        <x:v>16</x:v>
      </x:c>
      <x:c r="S273" s="10" t="n">
        <x:f>IF(COUNT(R273,Q273)=2,R273-Q273,"")</x:f>
        <x:v>0</x:v>
      </x:c>
      <x:c r="T273" s="10" t="n">
        <x:v>17</x:v>
      </x:c>
      <x:c r="U273" s="10" t="n">
        <x:v>8</x:v>
      </x:c>
      <x:c r="V273" s="10" t="n">
        <x:f>IF(COUNT(U273,T273)=2,U273-T273,"")</x:f>
        <x:v>-9</x:v>
      </x:c>
      <x:c r="W273" s="10" t="n">
        <x:v>0</x:v>
      </x:c>
      <x:c r="X273" s="10" t="n">
        <x:f>IF(COUNT(AV273,AW273)=2,AV273+AW273,"")</x:f>
        <x:v>0</x:v>
      </x:c>
      <x:c r="Y273" s="10" t="n">
        <x:f>IF(COUNT(X273,W273)=2,X273-W273,"")</x:f>
        <x:v>0</x:v>
      </x:c>
      <x:c r="Z273" s="10" t="n">
        <x:v>1</x:v>
      </x:c>
      <x:c r="AA273" s="10" t="n">
        <x:f>IF(COUNT(AX273,AY273)=2,AX273+AY273,"")</x:f>
        <x:v>0</x:v>
      </x:c>
      <x:c r="AB273" s="10" t="n">
        <x:f>IF(COUNT(AA273,Z273)=2,AA273-Z273,"")</x:f>
        <x:v>-1</x:v>
      </x:c>
      <x:c r="AC273" s="10" t="n">
        <x:v>91</x:v>
      </x:c>
      <x:c r="AD273" s="10" t="n">
        <x:v>61</x:v>
      </x:c>
      <x:c r="AE273" s="10" t="n">
        <x:f>IF(COUNT(AD273,AC273)=2,AD273-AC273,"")</x:f>
        <x:v>-30</x:v>
      </x:c>
      <x:c r="AF273" s="10" t="n">
        <x:v>113</x:v>
      </x:c>
      <x:c r="AG273" s="10" t="n">
        <x:v>111</x:v>
      </x:c>
      <x:c r="AH273" s="10" t="n">
        <x:f>IF(COUNT(AG273,AF273)=2,AG273-AF273,"")</x:f>
        <x:v>-2</x:v>
      </x:c>
      <x:c r="AI273" s="10" t="n">
        <x:v>128</x:v>
      </x:c>
      <x:c r="AJ273" s="10" t="n">
        <x:v>133</x:v>
      </x:c>
      <x:c r="AK273" s="10" t="n">
        <x:f>IF(COUNT(AJ273,AI273)=2,AJ273-AI273,"")</x:f>
        <x:v>5</x:v>
      </x:c>
      <x:c r="AL273" s="10" t="n">
        <x:v>26</x:v>
      </x:c>
      <x:c r="AM273" s="10" t="n">
        <x:v>26</x:v>
      </x:c>
      <x:c r="AN273" s="4" t="str">
        <x:v>D</x:v>
      </x:c>
      <x:c r="AO273" s="4" t="str">
        <x:v>D</x:v>
      </x:c>
      <x:c r="AP273" s="4" t="str">
        <x:v>LA</x:v>
      </x:c>
      <x:c r="AQ273" s="4" t="str">
        <x:v>LAK</x:v>
      </x:c>
      <x:c r="AR273" s="4" t="n">
        <x:v>22.27</x:v>
      </x:c>
      <x:c r="AS273" s="4" t="n">
        <x:v>20.566666666666666</x:v>
      </x:c>
      <x:c r="AT273" s="4" t="n">
        <x:v>0.09</x:v>
      </x:c>
      <x:c r="AU273" s="4" t="n">
        <x:v>6.6</x:v>
      </x:c>
      <x:c r="AV273" s="10" t="n">
        <x:v>0</x:v>
      </x:c>
      <x:c r="AW273" s="10" t="n">
        <x:v>0</x:v>
      </x:c>
      <x:c r="AX273" s="10" t="n">
        <x:v>0</x:v>
      </x:c>
      <x:c r="AY273" s="10" t="n">
        <x:v>0</x:v>
      </x:c>
      <x:c r="AZ273" s="10" t="n">
        <x:v>1393</x:v>
      </x:c>
      <x:c r="BA273" s="10" t="n">
        <x:v>1386</x:v>
      </x:c>
      <x:c r="BB273" s="4" t="n">
        <x:v>50.1</x:v>
      </x:c>
      <x:c r="BC273" s="4" t="n">
        <x:v>-2.5</x:v>
      </x:c>
      <x:c r="BD273" s="10" t="n">
        <x:v>989</x:v>
      </x:c>
      <x:c r="BE273" s="10" t="n">
        <x:v>1014</x:v>
      </x:c>
      <x:c r="BF273" s="4" t="n">
        <x:v>49.4</x:v>
      </x:c>
      <x:c r="BG273" s="4" t="n">
        <x:v>-3.2</x:v>
      </x:c>
      <x:c r="BH273" s="4" t="n">
        <x:v>9.5</x:v>
      </x:c>
      <x:c r="BI273" s="4" t="n">
        <x:v>92.2</x:v>
      </x:c>
      <x:c r="BJ273" s="4" t="n">
        <x:v>101.7</x:v>
      </x:c>
      <x:c r="BK273" s="4" t="n">
        <x:v>40.2</x:v>
      </x:c>
      <x:c r="BL273" s="4" t="n">
        <x:v>59.8</x:v>
      </x:c>
      <x:c r="BM273" s="4" t="n">
        <x:v>20.566666666666666</x:v>
      </x:c>
      <x:c r="BN273" s="4" t="n">
        <x:v>18.216666666666665</x:v>
      </x:c>
      <x:c r="BO273" s="10" t="n">
        <x:v>14</x:v>
      </x:c>
      <x:c r="BP273" s="10" t="n">
        <x:v>53</x:v>
      </x:c>
      <x:c r="BQ273" s="4" t="n">
        <x:v>-2.9</x:v>
      </x:c>
      <x:c r="BR273" s="10" t="n">
        <x:v>173</x:v>
      </x:c>
      <x:c r="BS273" s="4" t="n">
        <x:v>35.3</x:v>
      </x:c>
      <x:c r="BT273" s="10" t="n">
        <x:v>80</x:v>
      </x:c>
      <x:c r="BU273" s="4" t="str">
        <x:v>LAK</x:v>
      </x:c>
      <x:c r="BV273" s="10" t="n">
        <x:v>496</x:v>
      </x:c>
      <x:c r="BW273" s="10" t="n">
        <x:v>464</x:v>
      </x:c>
      <x:c r="BX273" s="10" t="n">
        <x:v>12</x:v>
      </x:c>
      <x:c r="BY273" s="4" t="str">
        <x:v>Mikey Anderson</x:v>
      </x:c>
      <x:c r="BZ273" s="4" t="str">
        <x:v>Michael Anderson</x:v>
      </x:c>
      <x:c r="CA273" s="4" t="str">
        <x:v>Michael Anderson</x:v>
      </x:c>
      <x:c r="CB273" s="4" t="str">
        <x:v>andermi02</x:v>
      </x:c>
    </x:row>
    <x:row r="274" ht="22" customHeight="1">
      <x:c r="A274" s="4" t="str">
        <x:v>Michael Bunting</x:v>
      </x:c>
      <x:c r="B274" s="4" t="str">
        <x:v>michaelbunting</x:v>
      </x:c>
      <x:c r="C274" s="10" t="n">
        <x:v>1</x:v>
      </x:c>
      <x:c r="D274" s="10" t="n">
        <x:v>1</x:v>
      </x:c>
      <x:c r="E274" s="10" t="n">
        <x:v>1</x:v>
      </x:c>
      <x:c r="F274" s="4" t="n">
        <x:f>IF(COUNT(N274,Q274,T274,W274,Z274,AC274,AF274,AI274)=8,N274*Guide!$E$5+Q274*Guide!$E$6+T274*Guide!$E$7+W274*Guide!$E$8+Z274*Guide!$E$9+AC274*Guide!$E$10+AF274*Guide!$E$11+AI274*Guide!$E$12,"")</x:f>
        <x:v>218.5</x:v>
      </x:c>
      <x:c r="G274" s="4" t="n">
        <x:f>IF(COUNT(O274,R274,U274,X274,AA274,AD274,AG274,AJ274)=8,O274*Guide!$E$5+R274*Guide!$E$6+U274*Guide!$E$7+X274*Guide!$E$8+AA274*Guide!$E$9+AD274*Guide!$E$10+AG274*Guide!$E$11+AJ274*Guide!$E$12,"")</x:f>
        <x:v>160.5</x:v>
      </x:c>
      <x:c r="H274" s="4" t="n">
        <x:f>IF(COUNT(G274,F274)=2,G274-F274,"")</x:f>
        <x:v>-58</x:v>
      </x:c>
      <x:c r="I274" s="4" t="n">
        <x:f>IF(AND(ISNUMBER(F274),K274&gt;0),F274/K274,"")</x:f>
        <x:v>2.875</x:v>
      </x:c>
      <x:c r="J274" s="4" t="n">
        <x:f>IF(AND(ISNUMBER(G274),L274&gt;0),G274/L274,"")</x:f>
        <x:v>2.168918918918919</x:v>
      </x:c>
      <x:c r="K274" s="10" t="n">
        <x:v>76</x:v>
      </x:c>
      <x:c r="L274" s="10" t="n">
        <x:v>74</x:v>
      </x:c>
      <x:c r="M274" s="10" t="n">
        <x:f>IF(COUNT(L274,K274)=2,L274-K274,"")</x:f>
        <x:v>-2</x:v>
      </x:c>
      <x:c r="N274" s="10" t="n">
        <x:v>19</x:v>
      </x:c>
      <x:c r="O274" s="10" t="n">
        <x:v>14</x:v>
      </x:c>
      <x:c r="P274" s="10" t="n">
        <x:f>IF(COUNT(O274,N274)=2,O274-N274,"")</x:f>
        <x:v>-5</x:v>
      </x:c>
      <x:c r="Q274" s="10" t="n">
        <x:v>22</x:v>
      </x:c>
      <x:c r="R274" s="10" t="n">
        <x:v>19</x:v>
      </x:c>
      <x:c r="S274" s="10" t="n">
        <x:f>IF(COUNT(R274,Q274)=2,R274-Q274,"")</x:f>
        <x:v>-3</x:v>
      </x:c>
      <x:c r="T274" s="10" t="n">
        <x:v>-7</x:v>
      </x:c>
      <x:c r="U274" s="10" t="n">
        <x:v>-24</x:v>
      </x:c>
      <x:c r="V274" s="10" t="n">
        <x:f>IF(COUNT(U274,T274)=2,U274-T274,"")</x:f>
        <x:v>-17</x:v>
      </x:c>
      <x:c r="W274" s="10" t="n">
        <x:v>15</x:v>
      </x:c>
      <x:c r="X274" s="10" t="n">
        <x:f>IF(COUNT(AV274,AW274)=2,AV274+AW274,"")</x:f>
        <x:v>10</x:v>
      </x:c>
      <x:c r="Y274" s="10" t="n">
        <x:f>IF(COUNT(X274,W274)=2,X274-W274,"")</x:f>
        <x:v>-5</x:v>
      </x:c>
      <x:c r="Z274" s="10" t="n">
        <x:v>0</x:v>
      </x:c>
      <x:c r="AA274" s="10" t="n">
        <x:f>IF(COUNT(AX274,AY274)=2,AX274+AY274,"")</x:f>
        <x:v>0</x:v>
      </x:c>
      <x:c r="AB274" s="10" t="n">
        <x:f>IF(COUNT(AA274,Z274)=2,AA274-Z274,"")</x:f>
        <x:v>0</x:v>
      </x:c>
      <x:c r="AC274" s="10" t="n">
        <x:v>147</x:v>
      </x:c>
      <x:c r="AD274" s="10" t="n">
        <x:v>126</x:v>
      </x:c>
      <x:c r="AE274" s="10" t="n">
        <x:f>IF(COUNT(AD274,AC274)=2,AD274-AC274,"")</x:f>
        <x:v>-21</x:v>
      </x:c>
      <x:c r="AF274" s="10" t="n">
        <x:v>67</x:v>
      </x:c>
      <x:c r="AG274" s="10" t="n">
        <x:v>45</x:v>
      </x:c>
      <x:c r="AH274" s="10" t="n">
        <x:f>IF(COUNT(AG274,AF274)=2,AG274-AF274,"")</x:f>
        <x:v>-22</x:v>
      </x:c>
      <x:c r="AI274" s="10" t="n">
        <x:v>20</x:v>
      </x:c>
      <x:c r="AJ274" s="10" t="n">
        <x:v>25</x:v>
      </x:c>
      <x:c r="AK274" s="10" t="n">
        <x:f>IF(COUNT(AJ274,AI274)=2,AJ274-AI274,"")</x:f>
        <x:v>5</x:v>
      </x:c>
      <x:c r="AL274" s="10" t="n">
        <x:v>30</x:v>
      </x:c>
      <x:c r="AM274" s="10" t="n">
        <x:v>30</x:v>
      </x:c>
      <x:c r="AN274" s="4" t="str">
        <x:v>LW</x:v>
      </x:c>
      <x:c r="AO274" s="4" t="str">
        <x:v>LW</x:v>
      </x:c>
      <x:c r="AP274" s="4" t="str">
        <x:v>NSH</x:v>
      </x:c>
      <x:c r="AQ274" s="4" t="str">
        <x:v>2TM</x:v>
      </x:c>
      <x:c r="AR274" s="4" t="n">
        <x:v>15.41</x:v>
      </x:c>
      <x:c r="AS274" s="4" t="n">
        <x:v>14.433333333333334</x:v>
      </x:c>
      <x:c r="AT274" s="4" t="n">
        <x:v>2.06</x:v>
      </x:c>
      <x:c r="AU274" s="4" t="n">
        <x:v>11.1</x:v>
      </x:c>
      <x:c r="AV274" s="10" t="n">
        <x:v>6</x:v>
      </x:c>
      <x:c r="AW274" s="10" t="n">
        <x:v>4</x:v>
      </x:c>
      <x:c r="AX274" s="10" t="n">
        <x:v>0</x:v>
      </x:c>
      <x:c r="AY274" s="10" t="n">
        <x:v>0</x:v>
      </x:c>
      <x:c r="AZ274" s="10" t="n">
        <x:v>983</x:v>
      </x:c>
      <x:c r="BA274" s="10" t="n">
        <x:v>907</x:v>
      </x:c>
      <x:c r="BB274" s="4" t="n">
        <x:v>52</x:v>
      </x:c>
      <x:c r="BC274" s="4" t="n">
        <x:v>1.4</x:v>
      </x:c>
      <x:c r="BD274" s="10" t="n">
        <x:v>695</x:v>
      </x:c>
      <x:c r="BE274" s="10" t="n">
        <x:v>682</x:v>
      </x:c>
      <x:c r="BF274" s="4" t="n">
        <x:v>50.5</x:v>
      </x:c>
      <x:c r="BG274" s="4" t="n">
        <x:v>0.8</x:v>
      </x:c>
      <x:c r="BH274" s="4" t="n">
        <x:v>9.2</x:v>
      </x:c>
      <x:c r="BI274" s="4" t="n">
        <x:v>86.7</x:v>
      </x:c>
      <x:c r="BJ274" s="4" t="n">
        <x:v>95.8</x:v>
      </x:c>
      <x:c r="BK274" s="4" t="n">
        <x:v>58.4</x:v>
      </x:c>
      <x:c r="BL274" s="4" t="n">
        <x:v>41.6</x:v>
      </x:c>
      <x:c r="BM274" s="4" t="n">
        <x:v>14.433333333333334</x:v>
      </x:c>
      <x:c r="BN274" s="4" t="n">
        <x:v>12.633333333333333</x:v>
      </x:c>
      <x:c r="BO274" s="10" t="n">
        <x:v>12</x:v>
      </x:c>
      <x:c r="BP274" s="10" t="n">
        <x:v>57</x:v>
      </x:c>
      <x:c r="BQ274" s="4" t="n">
        <x:v>-7.1</x:v>
      </x:c>
      <x:c r="BR274" s="10" t="n">
        <x:v>279</x:v>
      </x:c>
      <x:c r="BS274" s="4" t="n">
        <x:v>45.2</x:v>
      </x:c>
      <x:c r="BT274" s="10" t="n">
        <x:v>74</x:v>
      </x:c>
      <x:c r="BU274" s="4" t="str">
        <x:v>TOT</x:v>
      </x:c>
      <x:c r="BV274" s="10" t="n">
        <x:v>234</x:v>
      </x:c>
      <x:c r="BW274" s="10" t="n">
        <x:v>292</x:v>
      </x:c>
      <x:c r="BX274" s="10" t="n">
        <x:v>112</x:v>
      </x:c>
      <x:c r="BY274" s="4" t="str">
        <x:v>Michael Bunting</x:v>
      </x:c>
      <x:c r="BZ274" s="4" t="str">
        <x:v>Michael Bunting</x:v>
      </x:c>
      <x:c r="CA274" s="4" t="str">
        <x:v>Michael Bunting</x:v>
      </x:c>
      <x:c r="CB274" s="4" t="str">
        <x:v>buntimi01</x:v>
      </x:c>
    </x:row>
    <x:row r="275" ht="22" customHeight="1">
      <x:c r="A275" s="4" t="str">
        <x:v>Michael Carcone</x:v>
      </x:c>
      <x:c r="B275" s="4" t="str">
        <x:v>michaelcarcone</x:v>
      </x:c>
      <x:c r="C275" s="10" t="n">
        <x:v>1</x:v>
      </x:c>
      <x:c r="D275" s="10" t="n">
        <x:v>1</x:v>
      </x:c>
      <x:c r="E275" s="10" t="n">
        <x:v>1</x:v>
      </x:c>
      <x:c r="F275" s="4" t="n">
        <x:f>IF(COUNT(N275,Q275,T275,W275,Z275,AC275,AF275,AI275)=8,N275*Guide!$E$5+Q275*Guide!$E$6+T275*Guide!$E$7+W275*Guide!$E$8+Z275*Guide!$E$9+AC275*Guide!$E$10+AF275*Guide!$E$11+AI275*Guide!$E$12,"")</x:f>
        <x:v>127.5</x:v>
      </x:c>
      <x:c r="G275" s="4" t="n">
        <x:f>IF(COUNT(O275,R275,U275,X275,AA275,AD275,AG275,AJ275)=8,O275*Guide!$E$5+R275*Guide!$E$6+U275*Guide!$E$7+X275*Guide!$E$8+AA275*Guide!$E$9+AD275*Guide!$E$10+AG275*Guide!$E$11+AJ275*Guide!$E$12,"")</x:f>
        <x:v>202.5</x:v>
      </x:c>
      <x:c r="H275" s="4" t="n">
        <x:f>IF(COUNT(G275,F275)=2,G275-F275,"")</x:f>
        <x:v>75</x:v>
      </x:c>
      <x:c r="I275" s="4" t="n">
        <x:f>IF(AND(ISNUMBER(F275),K275&gt;0),F275/K275,"")</x:f>
        <x:v>2.125</x:v>
      </x:c>
      <x:c r="J275" s="4" t="n">
        <x:f>IF(AND(ISNUMBER(G275),L275&gt;0),G275/L275,"")</x:f>
        <x:v>2.5632911392405062</x:v>
      </x:c>
      <x:c r="K275" s="10" t="n">
        <x:v>60</x:v>
      </x:c>
      <x:c r="L275" s="10" t="n">
        <x:v>79</x:v>
      </x:c>
      <x:c r="M275" s="10" t="n">
        <x:f>IF(COUNT(L275,K275)=2,L275-K275,"")</x:f>
        <x:v>19</x:v>
      </x:c>
      <x:c r="N275" s="10" t="n">
        <x:v>12</x:v>
      </x:c>
      <x:c r="O275" s="10" t="n">
        <x:v>16</x:v>
      </x:c>
      <x:c r="P275" s="10" t="n">
        <x:f>IF(COUNT(O275,N275)=2,O275-N275,"")</x:f>
        <x:v>4</x:v>
      </x:c>
      <x:c r="Q275" s="10" t="n">
        <x:v>11</x:v>
      </x:c>
      <x:c r="R275" s="10" t="n">
        <x:v>15</x:v>
      </x:c>
      <x:c r="S275" s="10" t="n">
        <x:f>IF(COUNT(R275,Q275)=2,R275-Q275,"")</x:f>
        <x:v>4</x:v>
      </x:c>
      <x:c r="T275" s="10" t="n">
        <x:v>-2</x:v>
      </x:c>
      <x:c r="U275" s="10" t="n">
        <x:v>4</x:v>
      </x:c>
      <x:c r="V275" s="10" t="n">
        <x:f>IF(COUNT(U275,T275)=2,U275-T275,"")</x:f>
        <x:v>6</x:v>
      </x:c>
      <x:c r="W275" s="10" t="n">
        <x:v>3</x:v>
      </x:c>
      <x:c r="X275" s="10" t="n">
        <x:f>IF(COUNT(AV275,AW275)=2,AV275+AW275,"")</x:f>
        <x:v>4</x:v>
      </x:c>
      <x:c r="Y275" s="10" t="n">
        <x:f>IF(COUNT(X275,W275)=2,X275-W275,"")</x:f>
        <x:v>1</x:v>
      </x:c>
      <x:c r="Z275" s="10" t="n">
        <x:v>0</x:v>
      </x:c>
      <x:c r="AA275" s="10" t="n">
        <x:f>IF(COUNT(AX275,AY275)=2,AX275+AY275,"")</x:f>
        <x:v>0</x:v>
      </x:c>
      <x:c r="AB275" s="10" t="n">
        <x:f>IF(COUNT(AA275,Z275)=2,AA275-Z275,"")</x:f>
        <x:v>0</x:v>
      </x:c>
      <x:c r="AC275" s="10" t="n">
        <x:v>84</x:v>
      </x:c>
      <x:c r="AD275" s="10" t="n">
        <x:v>147</x:v>
      </x:c>
      <x:c r="AE275" s="10" t="n">
        <x:f>IF(COUNT(AD275,AC275)=2,AD275-AC275,"")</x:f>
        <x:v>63</x:v>
      </x:c>
      <x:c r="AF275" s="10" t="n">
        <x:v>50</x:v>
      </x:c>
      <x:c r="AG275" s="10" t="n">
        <x:v>147</x:v>
      </x:c>
      <x:c r="AH275" s="10" t="n">
        <x:f>IF(COUNT(AG275,AF275)=2,AG275-AF275,"")</x:f>
        <x:v>97</x:v>
      </x:c>
      <x:c r="AI275" s="10" t="n">
        <x:v>16</x:v>
      </x:c>
      <x:c r="AJ275" s="10" t="n">
        <x:v>16</x:v>
      </x:c>
      <x:c r="AK275" s="10" t="n">
        <x:f>IF(COUNT(AJ275,AI275)=2,AJ275-AI275,"")</x:f>
        <x:v>0</x:v>
      </x:c>
      <x:c r="AL275" s="10" t="n">
        <x:v>29</x:v>
      </x:c>
      <x:c r="AM275" s="10" t="n">
        <x:v>29</x:v>
      </x:c>
      <x:c r="AN275" s="4" t="str">
        <x:v>LW</x:v>
      </x:c>
      <x:c r="AO275" s="4" t="str">
        <x:v>F</x:v>
      </x:c>
      <x:c r="AP275" s="4" t="str">
        <x:v>UTA</x:v>
      </x:c>
      <x:c r="AQ275" s="4" t="str">
        <x:v>UTA</x:v>
      </x:c>
      <x:c r="AR275" s="4" t="n">
        <x:v>11.259999999999998</x:v>
      </x:c>
      <x:c r="AS275" s="4" t="n">
        <x:v>12.733333333333333</x:v>
      </x:c>
      <x:c r="AT275" s="4" t="n">
        <x:v>0.62</x:v>
      </x:c>
      <x:c r="AU275" s="4" t="n">
        <x:v>10.9</x:v>
      </x:c>
      <x:c r="AV275" s="10" t="n">
        <x:v>3</x:v>
      </x:c>
      <x:c r="AW275" s="10" t="n">
        <x:v>1</x:v>
      </x:c>
      <x:c r="AX275" s="10" t="n">
        <x:v>0</x:v>
      </x:c>
      <x:c r="AY275" s="10" t="n">
        <x:v>0</x:v>
      </x:c>
      <x:c r="AZ275" s="10" t="n">
        <x:v>1073</x:v>
      </x:c>
      <x:c r="BA275" s="10" t="n">
        <x:v>784</x:v>
      </x:c>
      <x:c r="BB275" s="4" t="n">
        <x:v>57.8</x:v>
      </x:c>
      <x:c r="BC275" s="4" t="n">
        <x:v>5.7</x:v>
      </x:c>
      <x:c r="BD275" s="10" t="n">
        <x:v>742</x:v>
      </x:c>
      <x:c r="BE275" s="10" t="n">
        <x:v>582</x:v>
      </x:c>
      <x:c r="BF275" s="4" t="n">
        <x:v>56</x:v>
      </x:c>
      <x:c r="BG275" s="4" t="n">
        <x:v>3.8</x:v>
      </x:c>
      <x:c r="BH275" s="4" t="n">
        <x:v>9.2</x:v>
      </x:c>
      <x:c r="BI275" s="4" t="n">
        <x:v>89.8</x:v>
      </x:c>
      <x:c r="BJ275" s="4" t="n">
        <x:v>99</x:v>
      </x:c>
      <x:c r="BK275" s="4" t="n">
        <x:v>47.2</x:v>
      </x:c>
      <x:c r="BL275" s="4" t="n">
        <x:v>52.8</x:v>
      </x:c>
      <x:c r="BM275" s="4" t="n">
        <x:v>12.733333333333333</x:v>
      </x:c>
      <x:c r="BN275" s="4" t="n">
        <x:v>11.766666666666667</x:v>
      </x:c>
      <x:c r="BO275" s="10" t="n">
        <x:v>16</x:v>
      </x:c>
      <x:c r="BP275" s="10" t="n">
        <x:v>52</x:v>
      </x:c>
      <x:c r="BQ275" s="4" t="n">
        <x:v>9.8</x:v>
      </x:c>
      <x:c r="BR275" s="10" t="n">
        <x:v>317</x:v>
      </x:c>
      <x:c r="BS275" s="4" t="n">
        <x:v>46.4</x:v>
      </x:c>
      <x:c r="BT275" s="10" t="n">
        <x:v>79</x:v>
      </x:c>
      <x:c r="BU275" s="4" t="str">
        <x:v>UTA</x:v>
      </x:c>
      <x:c r="BV275" s="10" t="n">
        <x:v>474</x:v>
      </x:c>
      <x:c r="BW275" s="10" t="n">
        <x:v>310</x:v>
      </x:c>
      <x:c r="BX275" s="10" t="n">
        <x:v>123</x:v>
      </x:c>
      <x:c r="BY275" s="4" t="str">
        <x:v>Michael Carcone</x:v>
      </x:c>
      <x:c r="BZ275" s="4" t="str">
        <x:v>Michael Carcone</x:v>
      </x:c>
      <x:c r="CA275" s="4" t="str">
        <x:v>Michael Carcone</x:v>
      </x:c>
      <x:c r="CB275" s="4" t="str">
        <x:v>carcomi01</x:v>
      </x:c>
    </x:row>
    <x:row r="276" ht="22" customHeight="1">
      <x:c r="A276" s="4" t="str">
        <x:v>Michael Eyssimont</x:v>
      </x:c>
      <x:c r="B276" s="4" t="str">
        <x:v>michaeleyssimont</x:v>
      </x:c>
      <x:c r="C276" s="10" t="n">
        <x:v>1</x:v>
      </x:c>
      <x:c r="D276" s="10" t="n">
        <x:v>1</x:v>
      </x:c>
      <x:c r="E276" s="10" t="n">
        <x:v>1</x:v>
      </x:c>
      <x:c r="F276" s="4" t="n">
        <x:f>IF(COUNT(N276,Q276,T276,W276,Z276,AC276,AF276,AI276)=8,N276*Guide!$E$5+Q276*Guide!$E$6+T276*Guide!$E$7+W276*Guide!$E$8+Z276*Guide!$E$9+AC276*Guide!$E$10+AF276*Guide!$E$11+AI276*Guide!$E$12,"")</x:f>
        <x:v>151.25</x:v>
      </x:c>
      <x:c r="G276" s="4" t="n">
        <x:f>IF(COUNT(O276,R276,U276,X276,AA276,AD276,AG276,AJ276)=8,O276*Guide!$E$5+R276*Guide!$E$6+U276*Guide!$E$7+X276*Guide!$E$8+AA276*Guide!$E$9+AD276*Guide!$E$10+AG276*Guide!$E$11+AJ276*Guide!$E$12,"")</x:f>
        <x:v>119.5</x:v>
      </x:c>
      <x:c r="H276" s="4" t="n">
        <x:f>IF(COUNT(G276,F276)=2,G276-F276,"")</x:f>
        <x:v>-31.75</x:v>
      </x:c>
      <x:c r="I276" s="4" t="n">
        <x:f>IF(AND(ISNUMBER(F276),K276&gt;0),F276/K276,"")</x:f>
        <x:v>1.9642857142857142</x:v>
      </x:c>
      <x:c r="J276" s="4" t="n">
        <x:f>IF(AND(ISNUMBER(G276),L276&gt;0),G276/L276,"")</x:f>
        <x:v>2.1339285714285716</x:v>
      </x:c>
      <x:c r="K276" s="10" t="n">
        <x:v>77</x:v>
      </x:c>
      <x:c r="L276" s="10" t="n">
        <x:v>56</x:v>
      </x:c>
      <x:c r="M276" s="10" t="n">
        <x:f>IF(COUNT(L276,K276)=2,L276-K276,"")</x:f>
        <x:v>-21</x:v>
      </x:c>
      <x:c r="N276" s="10" t="n">
        <x:v>10</x:v>
      </x:c>
      <x:c r="O276" s="10" t="n">
        <x:v>8</x:v>
      </x:c>
      <x:c r="P276" s="10" t="n">
        <x:f>IF(COUNT(O276,N276)=2,O276-N276,"")</x:f>
        <x:v>-2</x:v>
      </x:c>
      <x:c r="Q276" s="10" t="n">
        <x:v>9</x:v>
      </x:c>
      <x:c r="R276" s="10" t="n">
        <x:v>10</x:v>
      </x:c>
      <x:c r="S276" s="10" t="n">
        <x:f>IF(COUNT(R276,Q276)=2,R276-Q276,"")</x:f>
        <x:v>1</x:v>
      </x:c>
      <x:c r="T276" s="10" t="n">
        <x:v>2</x:v>
      </x:c>
      <x:c r="U276" s="10" t="n">
        <x:v>-3</x:v>
      </x:c>
      <x:c r="V276" s="10" t="n">
        <x:f>IF(COUNT(U276,T276)=2,U276-T276,"")</x:f>
        <x:v>-5</x:v>
      </x:c>
      <x:c r="W276" s="10" t="n">
        <x:v>2</x:v>
      </x:c>
      <x:c r="X276" s="10" t="n">
        <x:f>IF(COUNT(AV276,AW276)=2,AV276+AW276,"")</x:f>
        <x:v>4</x:v>
      </x:c>
      <x:c r="Y276" s="10" t="n">
        <x:f>IF(COUNT(X276,W276)=2,X276-W276,"")</x:f>
        <x:v>2</x:v>
      </x:c>
      <x:c r="Z276" s="10" t="n">
        <x:v>0</x:v>
      </x:c>
      <x:c r="AA276" s="10" t="n">
        <x:f>IF(COUNT(AX276,AY276)=2,AX276+AY276,"")</x:f>
        <x:v>0</x:v>
      </x:c>
      <x:c r="AB276" s="10" t="n">
        <x:f>IF(COUNT(AA276,Z276)=2,AA276-Z276,"")</x:f>
        <x:v>0</x:v>
      </x:c>
      <x:c r="AC276" s="10" t="n">
        <x:v>131</x:v>
      </x:c>
      <x:c r="AD276" s="10" t="n">
        <x:v>109</x:v>
      </x:c>
      <x:c r="AE276" s="10" t="n">
        <x:f>IF(COUNT(AD276,AC276)=2,AD276-AC276,"")</x:f>
        <x:v>-22</x:v>
      </x:c>
      <x:c r="AF276" s="10" t="n">
        <x:v>115</x:v>
      </x:c>
      <x:c r="AG276" s="10" t="n">
        <x:v>54</x:v>
      </x:c>
      <x:c r="AH276" s="10" t="n">
        <x:f>IF(COUNT(AG276,AF276)=2,AG276-AF276,"")</x:f>
        <x:v>-61</x:v>
      </x:c>
      <x:c r="AI276" s="10" t="n">
        <x:v>25</x:v>
      </x:c>
      <x:c r="AJ276" s="10" t="n">
        <x:v>21</x:v>
      </x:c>
      <x:c r="AK276" s="10" t="n">
        <x:f>IF(COUNT(AJ276,AI276)=2,AJ276-AI276,"")</x:f>
        <x:v>-4</x:v>
      </x:c>
      <x:c r="AL276" s="10" t="n">
        <x:v>29</x:v>
      </x:c>
      <x:c r="AM276" s="10" t="n">
        <x:v>29</x:v>
      </x:c>
      <x:c r="AN276" s="4" t="str">
        <x:v>C,LW</x:v>
      </x:c>
      <x:c r="AO276" s="4" t="str">
        <x:v>C</x:v>
      </x:c>
      <x:c r="AP276" s="4" t="str">
        <x:v>BOS</x:v>
      </x:c>
      <x:c r="AQ276" s="4" t="str">
        <x:v>BOS</x:v>
      </x:c>
      <x:c r="AR276" s="4" t="n">
        <x:v>10.83</x:v>
      </x:c>
      <x:c r="AS276" s="4" t="n">
        <x:v>10.916666666666666</x:v>
      </x:c>
      <x:c r="AT276" s="4" t="n">
        <x:v>0.22</x:v>
      </x:c>
      <x:c r="AU276" s="4" t="n">
        <x:v>7.3</x:v>
      </x:c>
      <x:c r="AV276" s="10" t="n">
        <x:v>1</x:v>
      </x:c>
      <x:c r="AW276" s="10" t="n">
        <x:v>3</x:v>
      </x:c>
      <x:c r="AX276" s="10" t="n">
        <x:v>0</x:v>
      </x:c>
      <x:c r="AY276" s="10" t="n">
        <x:v>0</x:v>
      </x:c>
      <x:c r="AZ276" s="10" t="n">
        <x:v>604</x:v>
      </x:c>
      <x:c r="BA276" s="10" t="n">
        <x:v>583</x:v>
      </x:c>
      <x:c r="BB276" s="4" t="n">
        <x:v>50.9</x:v>
      </x:c>
      <x:c r="BC276" s="4" t="n">
        <x:v>3.7</x:v>
      </x:c>
      <x:c r="BD276" s="10" t="n">
        <x:v>432</x:v>
      </x:c>
      <x:c r="BE276" s="10" t="n">
        <x:v>422</x:v>
      </x:c>
      <x:c r="BF276" s="4" t="n">
        <x:v>50.6</x:v>
      </x:c>
      <x:c r="BG276" s="4" t="n">
        <x:v>3.3</x:v>
      </x:c>
      <x:c r="BH276" s="4" t="n">
        <x:v>7.4</x:v>
      </x:c>
      <x:c r="BI276" s="4" t="n">
        <x:v>91.2</x:v>
      </x:c>
      <x:c r="BJ276" s="4" t="n">
        <x:v>98.7</x:v>
      </x:c>
      <x:c r="BK276" s="4" t="n">
        <x:v>41.5</x:v>
      </x:c>
      <x:c r="BL276" s="4" t="n">
        <x:v>58.5</x:v>
      </x:c>
      <x:c r="BM276" s="4" t="n">
        <x:v>10.916666666666666</x:v>
      </x:c>
      <x:c r="BN276" s="4" t="n">
        <x:v>10.216666666666667</x:v>
      </x:c>
      <x:c r="BO276" s="10" t="n">
        <x:v>4</x:v>
      </x:c>
      <x:c r="BP276" s="10" t="n">
        <x:v>37</x:v>
      </x:c>
      <x:c r="BQ276" s="4" t="n">
        <x:v>-2.5</x:v>
      </x:c>
      <x:c r="BR276" s="10" t="n">
        <x:v>193</x:v>
      </x:c>
      <x:c r="BS276" s="4" t="n">
        <x:v>56.5</x:v>
      </x:c>
      <x:c r="BT276" s="10" t="n">
        <x:v>56</x:v>
      </x:c>
      <x:c r="BU276" s="4" t="str">
        <x:v>BOS</x:v>
      </x:c>
      <x:c r="BV276" s="10" t="n">
        <x:v>538</x:v>
      </x:c>
      <x:c r="BW276" s="10" t="n">
        <x:v>489</x:v>
      </x:c>
      <x:c r="BX276" s="10" t="n">
        <x:v>275</x:v>
      </x:c>
      <x:c r="BY276" s="4" t="str">
        <x:v>Michael Eyssimont</x:v>
      </x:c>
      <x:c r="BZ276" s="4" t="str">
        <x:v>Michael Eyssimont</x:v>
      </x:c>
      <x:c r="CA276" s="4" t="str">
        <x:v>Michael Eyssimont</x:v>
      </x:c>
      <x:c r="CB276" s="4" t="str">
        <x:v>eyssimi01</x:v>
      </x:c>
    </x:row>
    <x:row r="277" ht="22" customHeight="1">
      <x:c r="A277" s="4" t="str">
        <x:v>Michael Misa</x:v>
      </x:c>
      <x:c r="B277" s="4" t="str">
        <x:v>michaelmisa</x:v>
      </x:c>
      <x:c r="C277" s="10" t="n">
        <x:v>1</x:v>
      </x:c>
      <x:c r="D277" s="10" t="n">
        <x:v>1</x:v>
      </x:c>
      <x:c r="E277" s="10" t="n">
        <x:v>1</x:v>
      </x:c>
      <x:c r="F277" s="4" t="n">
        <x:f>IF(COUNT(N277,Q277,T277,W277,Z277,AC277,AF277,AI277)=8,N277*Guide!$E$5+Q277*Guide!$E$6+T277*Guide!$E$7+W277*Guide!$E$8+Z277*Guide!$E$9+AC277*Guide!$E$10+AF277*Guide!$E$11+AI277*Guide!$E$12,"")</x:f>
        <x:v>227.75</x:v>
      </x:c>
      <x:c r="G277" s="4" t="n">
        <x:f>IF(COUNT(O277,R277,U277,X277,AA277,AD277,AG277,AJ277)=8,O277*Guide!$E$5+R277*Guide!$E$6+U277*Guide!$E$7+X277*Guide!$E$8+AA277*Guide!$E$9+AD277*Guide!$E$10+AG277*Guide!$E$11+AJ277*Guide!$E$12,"")</x:f>
        <x:v>109.25</x:v>
      </x:c>
      <x:c r="H277" s="4" t="n">
        <x:f>IF(COUNT(G277,F277)=2,G277-F277,"")</x:f>
        <x:v>-118.5</x:v>
      </x:c>
      <x:c r="I277" s="4" t="n">
        <x:f>IF(AND(ISNUMBER(F277),K277&gt;0),F277/K277,"")</x:f>
        <x:v>2.9967105263157894</x:v>
      </x:c>
      <x:c r="J277" s="4" t="n">
        <x:f>IF(AND(ISNUMBER(G277),L277&gt;0),G277/L277,"")</x:f>
        <x:v>2.4277777777777776</x:v>
      </x:c>
      <x:c r="K277" s="10" t="n">
        <x:v>76</x:v>
      </x:c>
      <x:c r="L277" s="10" t="n">
        <x:v>45</x:v>
      </x:c>
      <x:c r="M277" s="10" t="n">
        <x:f>IF(COUNT(L277,K277)=2,L277-K277,"")</x:f>
        <x:v>-31</x:v>
      </x:c>
      <x:c r="N277" s="10" t="n">
        <x:v>21</x:v>
      </x:c>
      <x:c r="O277" s="10" t="n">
        <x:v>9</x:v>
      </x:c>
      <x:c r="P277" s="10" t="n">
        <x:f>IF(COUNT(O277,N277)=2,O277-N277,"")</x:f>
        <x:v>-12</x:v>
      </x:c>
      <x:c r="Q277" s="10" t="n">
        <x:v>21</x:v>
      </x:c>
      <x:c r="R277" s="10" t="n">
        <x:v>12</x:v>
      </x:c>
      <x:c r="S277" s="10" t="n">
        <x:f>IF(COUNT(R277,Q277)=2,R277-Q277,"")</x:f>
        <x:v>-9</x:v>
      </x:c>
      <x:c r="T277" s="10" t="n">
        <x:v>-10</x:v>
      </x:c>
      <x:c r="U277" s="10" t="n">
        <x:v>-2</x:v>
      </x:c>
      <x:c r="V277" s="10" t="n">
        <x:f>IF(COUNT(U277,T277)=2,U277-T277,"")</x:f>
        <x:v>8</x:v>
      </x:c>
      <x:c r="W277" s="10" t="n">
        <x:v>12</x:v>
      </x:c>
      <x:c r="X277" s="10" t="n">
        <x:f>IF(COUNT(AV277,AW277)=2,AV277+AW277,"")</x:f>
        <x:v>4</x:v>
      </x:c>
      <x:c r="Y277" s="10" t="n">
        <x:f>IF(COUNT(X277,W277)=2,X277-W277,"")</x:f>
        <x:v>-8</x:v>
      </x:c>
      <x:c r="Z277" s="10" t="n">
        <x:v>0</x:v>
      </x:c>
      <x:c r="AA277" s="10" t="n">
        <x:f>IF(COUNT(AX277,AY277)=2,AX277+AY277,"")</x:f>
        <x:v>0</x:v>
      </x:c>
      <x:c r="AB277" s="10" t="n">
        <x:f>IF(COUNT(AA277,Z277)=2,AA277-Z277,"")</x:f>
        <x:v>0</x:v>
      </x:c>
      <x:c r="AC277" s="10" t="n">
        <x:v>135</x:v>
      </x:c>
      <x:c r="AD277" s="10" t="n">
        <x:v>58</x:v>
      </x:c>
      <x:c r="AE277" s="10" t="n">
        <x:f>IF(COUNT(AD277,AC277)=2,AD277-AC277,"")</x:f>
        <x:v>-77</x:v>
      </x:c>
      <x:c r="AF277" s="10" t="n">
        <x:v>42</x:v>
      </x:c>
      <x:c r="AG277" s="10" t="n">
        <x:v>14</x:v>
      </x:c>
      <x:c r="AH277" s="10" t="n">
        <x:f>IF(COUNT(AG277,AF277)=2,AG277-AF277,"")</x:f>
        <x:v>-28</x:v>
      </x:c>
      <x:c r="AI277" s="10" t="n">
        <x:v>46</x:v>
      </x:c>
      <x:c r="AJ277" s="10" t="n">
        <x:v>23</x:v>
      </x:c>
      <x:c r="AK277" s="10" t="n">
        <x:f>IF(COUNT(AJ277,AI277)=2,AJ277-AI277,"")</x:f>
        <x:v>-23</x:v>
      </x:c>
      <x:c r="AL277" s="10" t="n">
        <x:v>19</x:v>
      </x:c>
      <x:c r="AM277" s="10" t="n">
        <x:v>18</x:v>
      </x:c>
      <x:c r="AN277" s="4" t="str">
        <x:v>C</x:v>
      </x:c>
      <x:c r="AO277" s="4" t="str">
        <x:v>F</x:v>
      </x:c>
      <x:c r="AP277" s="4" t="str">
        <x:v>SJ</x:v>
      </x:c>
      <x:c r="AQ277" s="4" t="str">
        <x:v>SJS</x:v>
      </x:c>
      <x:c r="AR277" s="4" t="n">
        <x:v>15.46</x:v>
      </x:c>
      <x:c r="AS277" s="4" t="n">
        <x:v>12.816666666666666</x:v>
      </x:c>
      <x:c r="AT277" s="4" t="n">
        <x:v>1.96</x:v>
      </x:c>
      <x:c r="AU277" s="4" t="n">
        <x:v>15.5</x:v>
      </x:c>
      <x:c r="AV277" s="10" t="n">
        <x:v>2</x:v>
      </x:c>
      <x:c r="AW277" s="10" t="n">
        <x:v>2</x:v>
      </x:c>
      <x:c r="AX277" s="10" t="n">
        <x:v>0</x:v>
      </x:c>
      <x:c r="AY277" s="10" t="n">
        <x:v>0</x:v>
      </x:c>
      <x:c r="AZ277" s="10" t="n">
        <x:v>499</x:v>
      </x:c>
      <x:c r="BA277" s="10" t="n">
        <x:v>509</x:v>
      </x:c>
      <x:c r="BB277" s="4" t="n">
        <x:v>49.5</x:v>
      </x:c>
      <x:c r="BC277" s="4" t="n">
        <x:v>1.4</x:v>
      </x:c>
      <x:c r="BD277" s="10" t="n">
        <x:v>354</x:v>
      </x:c>
      <x:c r="BE277" s="10" t="n">
        <x:v>379</x:v>
      </x:c>
      <x:c r="BF277" s="4" t="n">
        <x:v>48.3</x:v>
      </x:c>
      <x:c r="BG277" s="4" t="n">
        <x:v>0.4</x:v>
      </x:c>
      <x:c r="BH277" s="4" t="n">
        <x:v>10.5</x:v>
      </x:c>
      <x:c r="BI277" s="4" t="n">
        <x:v>88.7</x:v>
      </x:c>
      <x:c r="BJ277" s="4" t="n">
        <x:v>99.2</x:v>
      </x:c>
      <x:c r="BK277" s="4" t="n">
        <x:v>48.1</x:v>
      </x:c>
      <x:c r="BL277" s="4" t="n">
        <x:v>51.9</x:v>
      </x:c>
      <x:c r="BM277" s="4" t="n">
        <x:v>12.816666666666666</x:v>
      </x:c>
      <x:c r="BN277" s="4" t="n">
        <x:v>11.633333333333333</x:v>
      </x:c>
      <x:c r="BO277" s="10" t="n">
        <x:v>8</x:v>
      </x:c>
      <x:c r="BP277" s="10" t="n">
        <x:v>28</x:v>
      </x:c>
      <x:c r="BQ277" s="4" t="n">
        <x:v>-0.3</x:v>
      </x:c>
      <x:c r="BR277" s="10" t="n">
        <x:v>105</x:v>
      </x:c>
      <x:c r="BS277" s="4" t="n">
        <x:v>55.2</x:v>
      </x:c>
      <x:c r="BT277" s="10" t="n">
        <x:v>45</x:v>
      </x:c>
      <x:c r="BU277" s="4" t="str">
        <x:v>SJS</x:v>
      </x:c>
      <x:c r="BV277" s="10" t="n">
        <x:v>227</x:v>
      </x:c>
      <x:c r="BW277" s="10" t="n">
        <x:v>451</x:v>
      </x:c>
      <x:c r="BX277" s="10" t="n">
        <x:v>705</x:v>
      </x:c>
      <x:c r="BY277" s="4" t="str">
        <x:v>Michael Misa</x:v>
      </x:c>
      <x:c r="BZ277" s="4" t="str">
        <x:v>Michael Misa</x:v>
      </x:c>
      <x:c r="CA277" s="4" t="str">
        <x:v>Michael Misa</x:v>
      </x:c>
      <x:c r="CB277" s="4" t="str">
        <x:v>misami01</x:v>
      </x:c>
    </x:row>
    <x:row r="278" ht="22" customHeight="1">
      <x:c r="A278" s="4" t="str">
        <x:v>Mika Zibanejad</x:v>
      </x:c>
      <x:c r="B278" s="4" t="str">
        <x:v>mikazibanejad</x:v>
      </x:c>
      <x:c r="C278" s="10" t="n">
        <x:v>1</x:v>
      </x:c>
      <x:c r="D278" s="10" t="n">
        <x:v>1</x:v>
      </x:c>
      <x:c r="E278" s="10" t="n">
        <x:v>1</x:v>
      </x:c>
      <x:c r="F278" s="4" t="n">
        <x:f>IF(COUNT(N278,Q278,T278,W278,Z278,AC278,AF278,AI278)=8,N278*Guide!$E$5+Q278*Guide!$E$6+T278*Guide!$E$7+W278*Guide!$E$8+Z278*Guide!$E$9+AC278*Guide!$E$10+AF278*Guide!$E$11+AI278*Guide!$E$12,"")</x:f>
        <x:v>350.25</x:v>
      </x:c>
      <x:c r="G278" s="4" t="n">
        <x:f>IF(COUNT(O278,R278,U278,X278,AA278,AD278,AG278,AJ278)=8,O278*Guide!$E$5+R278*Guide!$E$6+U278*Guide!$E$7+X278*Guide!$E$8+AA278*Guide!$E$9+AD278*Guide!$E$10+AG278*Guide!$E$11+AJ278*Guide!$E$12,"")</x:f>
        <x:v>406.5</x:v>
      </x:c>
      <x:c r="H278" s="4" t="n">
        <x:f>IF(COUNT(G278,F278)=2,G278-F278,"")</x:f>
        <x:v>56.25</x:v>
      </x:c>
      <x:c r="I278" s="4" t="n">
        <x:f>IF(AND(ISNUMBER(F278),K278&gt;0),F278/K278,"")</x:f>
        <x:v>4.271341463414634</x:v>
      </x:c>
      <x:c r="J278" s="4" t="n">
        <x:f>IF(AND(ISNUMBER(G278),L278&gt;0),G278/L278,"")</x:f>
        <x:v>5.018518518518518</x:v>
      </x:c>
      <x:c r="K278" s="10" t="n">
        <x:v>82</x:v>
      </x:c>
      <x:c r="L278" s="10" t="n">
        <x:v>81</x:v>
      </x:c>
      <x:c r="M278" s="10" t="n">
        <x:f>IF(COUNT(L278,K278)=2,L278-K278,"")</x:f>
        <x:v>-1</x:v>
      </x:c>
      <x:c r="N278" s="10" t="n">
        <x:v>25</x:v>
      </x:c>
      <x:c r="O278" s="10" t="n">
        <x:v>34</x:v>
      </x:c>
      <x:c r="P278" s="10" t="n">
        <x:f>IF(COUNT(O278,N278)=2,O278-N278,"")</x:f>
        <x:v>9</x:v>
      </x:c>
      <x:c r="Q278" s="10" t="n">
        <x:v>42</x:v>
      </x:c>
      <x:c r="R278" s="10" t="n">
        <x:v>44</x:v>
      </x:c>
      <x:c r="S278" s="10" t="n">
        <x:f>IF(COUNT(R278,Q278)=2,R278-Q278,"")</x:f>
        <x:v>2</x:v>
      </x:c>
      <x:c r="T278" s="10" t="n">
        <x:v>-9</x:v>
      </x:c>
      <x:c r="U278" s="10" t="n">
        <x:v>-20</x:v>
      </x:c>
      <x:c r="V278" s="10" t="n">
        <x:f>IF(COUNT(U278,T278)=2,U278-T278,"")</x:f>
        <x:v>-11</x:v>
      </x:c>
      <x:c r="W278" s="10" t="n">
        <x:v>25</x:v>
      </x:c>
      <x:c r="X278" s="10" t="n">
        <x:f>IF(COUNT(AV278,AW278)=2,AV278+AW278,"")</x:f>
        <x:v>35</x:v>
      </x:c>
      <x:c r="Y278" s="10" t="n">
        <x:f>IF(COUNT(X278,W278)=2,X278-W278,"")</x:f>
        <x:v>10</x:v>
      </x:c>
      <x:c r="Z278" s="10" t="n">
        <x:v>4</x:v>
      </x:c>
      <x:c r="AA278" s="10" t="n">
        <x:f>IF(COUNT(AX278,AY278)=2,AX278+AY278,"")</x:f>
        <x:v>2</x:v>
      </x:c>
      <x:c r="AB278" s="10" t="n">
        <x:f>IF(COUNT(AA278,Z278)=2,AA278-Z278,"")</x:f>
        <x:v>-2</x:v>
      </x:c>
      <x:c r="AC278" s="10" t="n">
        <x:v>187</x:v>
      </x:c>
      <x:c r="AD278" s="10" t="n">
        <x:v>215</x:v>
      </x:c>
      <x:c r="AE278" s="10" t="n">
        <x:f>IF(COUNT(AD278,AC278)=2,AD278-AC278,"")</x:f>
        <x:v>28</x:v>
      </x:c>
      <x:c r="AF278" s="10" t="n">
        <x:v>48</x:v>
      </x:c>
      <x:c r="AG278" s="10" t="n">
        <x:v>105</x:v>
      </x:c>
      <x:c r="AH278" s="10" t="n">
        <x:f>IF(COUNT(AG278,AF278)=2,AG278-AF278,"")</x:f>
        <x:v>57</x:v>
      </x:c>
      <x:c r="AI278" s="10" t="n">
        <x:v>50</x:v>
      </x:c>
      <x:c r="AJ278" s="10" t="n">
        <x:v>50</x:v>
      </x:c>
      <x:c r="AK278" s="10" t="n">
        <x:f>IF(COUNT(AJ278,AI278)=2,AJ278-AI278,"")</x:f>
        <x:v>0</x:v>
      </x:c>
      <x:c r="AL278" s="10" t="n">
        <x:v>32</x:v>
      </x:c>
      <x:c r="AM278" s="10" t="n">
        <x:v>32</x:v>
      </x:c>
      <x:c r="AN278" s="4" t="str">
        <x:v>C,RW</x:v>
      </x:c>
      <x:c r="AO278" s="4" t="str">
        <x:v>C</x:v>
      </x:c>
      <x:c r="AP278" s="4" t="str">
        <x:v>NYR</x:v>
      </x:c>
      <x:c r="AQ278" s="4" t="str">
        <x:v>NYR</x:v>
      </x:c>
      <x:c r="AR278" s="4" t="n">
        <x:v>18.46</x:v>
      </x:c>
      <x:c r="AS278" s="4" t="n">
        <x:v>20.9</x:v>
      </x:c>
      <x:c r="AT278" s="4" t="n">
        <x:v>2.77</x:v>
      </x:c>
      <x:c r="AU278" s="4" t="n">
        <x:v>15.8</x:v>
      </x:c>
      <x:c r="AV278" s="10" t="n">
        <x:v>16</x:v>
      </x:c>
      <x:c r="AW278" s="10" t="n">
        <x:v>19</x:v>
      </x:c>
      <x:c r="AX278" s="10" t="n">
        <x:v>2</x:v>
      </x:c>
      <x:c r="AY278" s="10" t="n">
        <x:v>0</x:v>
      </x:c>
      <x:c r="AZ278" s="10" t="n">
        <x:v>1274</x:v>
      </x:c>
      <x:c r="BA278" s="10" t="n">
        <x:v>1258</x:v>
      </x:c>
      <x:c r="BB278" s="4" t="n">
        <x:v>50.3</x:v>
      </x:c>
      <x:c r="BC278" s="4" t="n">
        <x:v>1.8</x:v>
      </x:c>
      <x:c r="BD278" s="10" t="n">
        <x:v>920</x:v>
      </x:c>
      <x:c r="BE278" s="10" t="n">
        <x:v>940</x:v>
      </x:c>
      <x:c r="BF278" s="4" t="n">
        <x:v>49.5</x:v>
      </x:c>
      <x:c r="BG278" s="4" t="n">
        <x:v>2</x:v>
      </x:c>
      <x:c r="BH278" s="4" t="n">
        <x:v>10.4</x:v>
      </x:c>
      <x:c r="BI278" s="4" t="n">
        <x:v>87.5</x:v>
      </x:c>
      <x:c r="BJ278" s="4" t="n">
        <x:v>97.8</x:v>
      </x:c>
      <x:c r="BK278" s="4" t="n">
        <x:v>54</x:v>
      </x:c>
      <x:c r="BL278" s="4" t="n">
        <x:v>46</x:v>
      </x:c>
      <x:c r="BM278" s="4" t="n">
        <x:v>20.9</x:v>
      </x:c>
      <x:c r="BN278" s="4" t="n">
        <x:v>15.666666666666666</x:v>
      </x:c>
      <x:c r="BO278" s="10" t="n">
        <x:v>34</x:v>
      </x:c>
      <x:c r="BP278" s="10" t="n">
        <x:v>112</x:v>
      </x:c>
      <x:c r="BQ278" s="4" t="n">
        <x:v>1.4</x:v>
      </x:c>
      <x:c r="BR278" s="10" t="n">
        <x:v>416</x:v>
      </x:c>
      <x:c r="BS278" s="4" t="n">
        <x:v>51.7</x:v>
      </x:c>
      <x:c r="BT278" s="10" t="n">
        <x:v>81</x:v>
      </x:c>
      <x:c r="BU278" s="4" t="str">
        <x:v>NYR</x:v>
      </x:c>
      <x:c r="BV278" s="10" t="n">
        <x:v>58</x:v>
      </x:c>
      <x:c r="BW278" s="10" t="n">
        <x:v>34</x:v>
      </x:c>
      <x:c r="BX278" s="10" t="n">
        <x:v>1103</x:v>
      </x:c>
      <x:c r="BY278" s="4" t="str">
        <x:v>Mika Zibanejad</x:v>
      </x:c>
      <x:c r="BZ278" s="4" t="str">
        <x:v>Mika Zibanejad</x:v>
      </x:c>
      <x:c r="CA278" s="4" t="str">
        <x:v>Mika Zibanejad</x:v>
      </x:c>
      <x:c r="CB278" s="4" t="str">
        <x:v>zibanmi01</x:v>
      </x:c>
    </x:row>
    <x:row r="279" ht="22" customHeight="1">
      <x:c r="A279" s="4" t="str">
        <x:v>Mikael Backlund</x:v>
      </x:c>
      <x:c r="B279" s="4" t="str">
        <x:v>mikaelbacklund</x:v>
      </x:c>
      <x:c r="C279" s="10" t="n">
        <x:v>1</x:v>
      </x:c>
      <x:c r="D279" s="10" t="n">
        <x:v>1</x:v>
      </x:c>
      <x:c r="E279" s="10" t="n">
        <x:v>1</x:v>
      </x:c>
      <x:c r="F279" s="4" t="n">
        <x:f>IF(COUNT(N279,Q279,T279,W279,Z279,AC279,AF279,AI279)=8,N279*Guide!$E$5+Q279*Guide!$E$6+T279*Guide!$E$7+W279*Guide!$E$8+Z279*Guide!$E$9+AC279*Guide!$E$10+AF279*Guide!$E$11+AI279*Guide!$E$12,"")</x:f>
        <x:v>245.5</x:v>
      </x:c>
      <x:c r="G279" s="4" t="n">
        <x:f>IF(COUNT(O279,R279,U279,X279,AA279,AD279,AG279,AJ279)=8,O279*Guide!$E$5+R279*Guide!$E$6+U279*Guide!$E$7+X279*Guide!$E$8+AA279*Guide!$E$9+AD279*Guide!$E$10+AG279*Guide!$E$11+AJ279*Guide!$E$12,"")</x:f>
        <x:v>244.25</x:v>
      </x:c>
      <x:c r="H279" s="4" t="n">
        <x:f>IF(COUNT(G279,F279)=2,G279-F279,"")</x:f>
        <x:v>-1.25</x:v>
      </x:c>
      <x:c r="I279" s="4" t="n">
        <x:f>IF(AND(ISNUMBER(F279),K279&gt;0),F279/K279,"")</x:f>
        <x:v>3.107594936708861</x:v>
      </x:c>
      <x:c r="J279" s="4" t="n">
        <x:f>IF(AND(ISNUMBER(G279),L279&gt;0),G279/L279,"")</x:f>
        <x:v>2.9786585365853657</x:v>
      </x:c>
      <x:c r="K279" s="10" t="n">
        <x:v>79</x:v>
      </x:c>
      <x:c r="L279" s="10" t="n">
        <x:v>82</x:v>
      </x:c>
      <x:c r="M279" s="10" t="n">
        <x:f>IF(COUNT(L279,K279)=2,L279-K279,"")</x:f>
        <x:v>3</x:v>
      </x:c>
      <x:c r="N279" s="10" t="n">
        <x:v>17</x:v>
      </x:c>
      <x:c r="O279" s="10" t="n">
        <x:v>17</x:v>
      </x:c>
      <x:c r="P279" s="10" t="n">
        <x:f>IF(COUNT(O279,N279)=2,O279-N279,"")</x:f>
        <x:v>0</x:v>
      </x:c>
      <x:c r="Q279" s="10" t="n">
        <x:v>24</x:v>
      </x:c>
      <x:c r="R279" s="10" t="n">
        <x:v>26</x:v>
      </x:c>
      <x:c r="S279" s="10" t="n">
        <x:f>IF(COUNT(R279,Q279)=2,R279-Q279,"")</x:f>
        <x:v>2</x:v>
      </x:c>
      <x:c r="T279" s="10" t="n">
        <x:v>1</x:v>
      </x:c>
      <x:c r="U279" s="10" t="n">
        <x:v>7</x:v>
      </x:c>
      <x:c r="V279" s="10" t="n">
        <x:f>IF(COUNT(U279,T279)=2,U279-T279,"")</x:f>
        <x:v>6</x:v>
      </x:c>
      <x:c r="W279" s="10" t="n">
        <x:v>6</x:v>
      </x:c>
      <x:c r="X279" s="10" t="n">
        <x:f>IF(COUNT(AV279,AW279)=2,AV279+AW279,"")</x:f>
        <x:v>3</x:v>
      </x:c>
      <x:c r="Y279" s="10" t="n">
        <x:f>IF(COUNT(X279,W279)=2,X279-W279,"")</x:f>
        <x:v>-3</x:v>
      </x:c>
      <x:c r="Z279" s="10" t="n">
        <x:v>2</x:v>
      </x:c>
      <x:c r="AA279" s="10" t="n">
        <x:f>IF(COUNT(AX279,AY279)=2,AX279+AY279,"")</x:f>
        <x:v>5</x:v>
      </x:c>
      <x:c r="AB279" s="10" t="n">
        <x:f>IF(COUNT(AA279,Z279)=2,AA279-Z279,"")</x:f>
        <x:v>3</x:v>
      </x:c>
      <x:c r="AC279" s="10" t="n">
        <x:v>185</x:v>
      </x:c>
      <x:c r="AD279" s="10" t="n">
        <x:v>186</x:v>
      </x:c>
      <x:c r="AE279" s="10" t="n">
        <x:f>IF(COUNT(AD279,AC279)=2,AD279-AC279,"")</x:f>
        <x:v>1</x:v>
      </x:c>
      <x:c r="AF279" s="10" t="n">
        <x:v>53</x:v>
      </x:c>
      <x:c r="AG279" s="10" t="n">
        <x:v>23</x:v>
      </x:c>
      <x:c r="AH279" s="10" t="n">
        <x:f>IF(COUNT(AG279,AF279)=2,AG279-AF279,"")</x:f>
        <x:v>-30</x:v>
      </x:c>
      <x:c r="AI279" s="10" t="n">
        <x:v>44</x:v>
      </x:c>
      <x:c r="AJ279" s="10" t="n">
        <x:v>28</x:v>
      </x:c>
      <x:c r="AK279" s="10" t="n">
        <x:f>IF(COUNT(AJ279,AI279)=2,AJ279-AI279,"")</x:f>
        <x:v>-16</x:v>
      </x:c>
      <x:c r="AL279" s="10" t="n">
        <x:v>36</x:v>
      </x:c>
      <x:c r="AM279" s="10" t="n">
        <x:v>36</x:v>
      </x:c>
      <x:c r="AN279" s="4" t="str">
        <x:v>C</x:v>
      </x:c>
      <x:c r="AO279" s="4" t="str">
        <x:v>C</x:v>
      </x:c>
      <x:c r="AP279" s="4" t="str">
        <x:v>CGY</x:v>
      </x:c>
      <x:c r="AQ279" s="4" t="str">
        <x:v>CGY</x:v>
      </x:c>
      <x:c r="AR279" s="4" t="n">
        <x:v>18.32</x:v>
      </x:c>
      <x:c r="AS279" s="4" t="n">
        <x:v>17.95</x:v>
      </x:c>
      <x:c r="AT279" s="4" t="n">
        <x:v>1.69</x:v>
      </x:c>
      <x:c r="AU279" s="4" t="n">
        <x:v>9.1</x:v>
      </x:c>
      <x:c r="AV279" s="10" t="n">
        <x:v>1</x:v>
      </x:c>
      <x:c r="AW279" s="10" t="n">
        <x:v>2</x:v>
      </x:c>
      <x:c r="AX279" s="10" t="n">
        <x:v>1</x:v>
      </x:c>
      <x:c r="AY279" s="10" t="n">
        <x:v>4</x:v>
      </x:c>
      <x:c r="AZ279" s="10" t="n">
        <x:v>1167</x:v>
      </x:c>
      <x:c r="BA279" s="10" t="n">
        <x:v>1189</x:v>
      </x:c>
      <x:c r="BB279" s="4" t="n">
        <x:v>49.5</x:v>
      </x:c>
      <x:c r="BC279" s="4" t="n">
        <x:v>0.9</x:v>
      </x:c>
      <x:c r="BD279" s="10" t="n">
        <x:v>845</x:v>
      </x:c>
      <x:c r="BE279" s="10" t="n">
        <x:v>850</x:v>
      </x:c>
      <x:c r="BF279" s="4" t="n">
        <x:v>49.9</x:v>
      </x:c>
      <x:c r="BG279" s="4" t="n">
        <x:v>1.9</x:v>
      </x:c>
      <x:c r="BH279" s="4" t="n">
        <x:v>8.9</x:v>
      </x:c>
      <x:c r="BI279" s="4" t="n">
        <x:v>91.5</x:v>
      </x:c>
      <x:c r="BJ279" s="4" t="n">
        <x:v>100.4</x:v>
      </x:c>
      <x:c r="BK279" s="4" t="n">
        <x:v>29.9</x:v>
      </x:c>
      <x:c r="BL279" s="4" t="n">
        <x:v>70.1</x:v>
      </x:c>
      <x:c r="BM279" s="4" t="n">
        <x:v>17.95</x:v>
      </x:c>
      <x:c r="BN279" s="4" t="n">
        <x:v>14.416666666666666</x:v>
      </x:c>
      <x:c r="BO279" s="10" t="n">
        <x:v>32</x:v>
      </x:c>
      <x:c r="BP279" s="10" t="n">
        <x:v>86</x:v>
      </x:c>
      <x:c r="BQ279" s="4" t="n">
        <x:v>-5.5</x:v>
      </x:c>
      <x:c r="BR279" s="10" t="n">
        <x:v>349</x:v>
      </x:c>
      <x:c r="BS279" s="4" t="n">
        <x:v>53.3</x:v>
      </x:c>
      <x:c r="BT279" s="10" t="n">
        <x:v>82</x:v>
      </x:c>
      <x:c r="BU279" s="4" t="str">
        <x:v>CGY</x:v>
      </x:c>
      <x:c r="BV279" s="10" t="n">
        <x:v>237</x:v>
      </x:c>
      <x:c r="BW279" s="10" t="n">
        <x:v>188</x:v>
      </x:c>
      <x:c r="BX279" s="10" t="n">
        <x:v>24</x:v>
      </x:c>
      <x:c r="BY279" s="4" t="str">
        <x:v>Mikael Backlund</x:v>
      </x:c>
      <x:c r="BZ279" s="4" t="str">
        <x:v>Mikael Backlund</x:v>
      </x:c>
      <x:c r="CA279" s="4" t="str">
        <x:v>Mikael Backlund</x:v>
      </x:c>
      <x:c r="CB279" s="4" t="str">
        <x:v>backlmi01</x:v>
      </x:c>
    </x:row>
    <x:row r="280" ht="22" customHeight="1">
      <x:c r="A280" s="4" t="str">
        <x:v>Mikael Granlund</x:v>
      </x:c>
      <x:c r="B280" s="4" t="str">
        <x:v>mikaelgranlund</x:v>
      </x:c>
      <x:c r="C280" s="10" t="n">
        <x:v>1</x:v>
      </x:c>
      <x:c r="D280" s="10" t="n">
        <x:v>1</x:v>
      </x:c>
      <x:c r="E280" s="10" t="n">
        <x:v>1</x:v>
      </x:c>
      <x:c r="F280" s="4" t="n">
        <x:f>IF(COUNT(N280,Q280,T280,W280,Z280,AC280,AF280,AI280)=8,N280*Guide!$E$5+Q280*Guide!$E$6+T280*Guide!$E$7+W280*Guide!$E$8+Z280*Guide!$E$9+AC280*Guide!$E$10+AF280*Guide!$E$11+AI280*Guide!$E$12,"")</x:f>
        <x:v>289.5</x:v>
      </x:c>
      <x:c r="G280" s="4" t="n">
        <x:f>IF(COUNT(O280,R280,U280,X280,AA280,AD280,AG280,AJ280)=8,O280*Guide!$E$5+R280*Guide!$E$6+U280*Guide!$E$7+X280*Guide!$E$8+AA280*Guide!$E$9+AD280*Guide!$E$10+AG280*Guide!$E$11+AJ280*Guide!$E$12,"")</x:f>
        <x:v>213</x:v>
      </x:c>
      <x:c r="H280" s="4" t="n">
        <x:f>IF(COUNT(G280,F280)=2,G280-F280,"")</x:f>
        <x:v>-76.5</x:v>
      </x:c>
      <x:c r="I280" s="4" t="n">
        <x:f>IF(AND(ISNUMBER(F280),K280&gt;0),F280/K280,"")</x:f>
        <x:v>3.574074074074074</x:v>
      </x:c>
      <x:c r="J280" s="4" t="n">
        <x:f>IF(AND(ISNUMBER(G280),L280&gt;0),G280/L280,"")</x:f>
        <x:v>3.6724137931034484</x:v>
      </x:c>
      <x:c r="K280" s="10" t="n">
        <x:v>81</x:v>
      </x:c>
      <x:c r="L280" s="10" t="n">
        <x:v>58</x:v>
      </x:c>
      <x:c r="M280" s="10" t="n">
        <x:f>IF(COUNT(L280,K280)=2,L280-K280,"")</x:f>
        <x:v>-23</x:v>
      </x:c>
      <x:c r="N280" s="10" t="n">
        <x:v>16</x:v>
      </x:c>
      <x:c r="O280" s="10" t="n">
        <x:v>19</x:v>
      </x:c>
      <x:c r="P280" s="10" t="n">
        <x:f>IF(COUNT(O280,N280)=2,O280-N280,"")</x:f>
        <x:v>3</x:v>
      </x:c>
      <x:c r="Q280" s="10" t="n">
        <x:v>35</x:v>
      </x:c>
      <x:c r="R280" s="10" t="n">
        <x:v>22</x:v>
      </x:c>
      <x:c r="S280" s="10" t="n">
        <x:f>IF(COUNT(R280,Q280)=2,R280-Q280,"")</x:f>
        <x:v>-13</x:v>
      </x:c>
      <x:c r="T280" s="10" t="n">
        <x:v>9</x:v>
      </x:c>
      <x:c r="U280" s="10" t="n">
        <x:v>-9</x:v>
      </x:c>
      <x:c r="V280" s="10" t="n">
        <x:f>IF(COUNT(U280,T280)=2,U280-T280,"")</x:f>
        <x:v>-18</x:v>
      </x:c>
      <x:c r="W280" s="10" t="n">
        <x:v>14</x:v>
      </x:c>
      <x:c r="X280" s="10" t="n">
        <x:f>IF(COUNT(AV280,AW280)=2,AV280+AW280,"")</x:f>
        <x:v>12</x:v>
      </x:c>
      <x:c r="Y280" s="10" t="n">
        <x:f>IF(COUNT(X280,W280)=2,X280-W280,"")</x:f>
        <x:v>-2</x:v>
      </x:c>
      <x:c r="Z280" s="10" t="n">
        <x:v>1</x:v>
      </x:c>
      <x:c r="AA280" s="10" t="n">
        <x:f>IF(COUNT(AX280,AY280)=2,AX280+AY280,"")</x:f>
        <x:v>0</x:v>
      </x:c>
      <x:c r="AB280" s="10" t="n">
        <x:f>IF(COUNT(AA280,Z280)=2,AA280-Z280,"")</x:f>
        <x:v>-1</x:v>
      </x:c>
      <x:c r="AC280" s="10" t="n">
        <x:v>135</x:v>
      </x:c>
      <x:c r="AD280" s="10" t="n">
        <x:v>117</x:v>
      </x:c>
      <x:c r="AE280" s="10" t="n">
        <x:f>IF(COUNT(AD280,AC280)=2,AD280-AC280,"")</x:f>
        <x:v>-18</x:v>
      </x:c>
      <x:c r="AF280" s="10" t="n">
        <x:v>60</x:v>
      </x:c>
      <x:c r="AG280" s="10" t="n">
        <x:v>32</x:v>
      </x:c>
      <x:c r="AH280" s="10" t="n">
        <x:f>IF(COUNT(AG280,AF280)=2,AG280-AF280,"")</x:f>
        <x:v>-28</x:v>
      </x:c>
      <x:c r="AI280" s="10" t="n">
        <x:v>61</x:v>
      </x:c>
      <x:c r="AJ280" s="10" t="n">
        <x:v>41</x:v>
      </x:c>
      <x:c r="AK280" s="10" t="n">
        <x:f>IF(COUNT(AJ280,AI280)=2,AJ280-AI280,"")</x:f>
        <x:v>-20</x:v>
      </x:c>
      <x:c r="AL280" s="10" t="n">
        <x:v>33</x:v>
      </x:c>
      <x:c r="AM280" s="10" t="n">
        <x:v>33</x:v>
      </x:c>
      <x:c r="AN280" s="4" t="str">
        <x:v>C,LW,RW</x:v>
      </x:c>
      <x:c r="AO280" s="4" t="str">
        <x:v>C</x:v>
      </x:c>
      <x:c r="AP280" s="4" t="str">
        <x:v>ANA</x:v>
      </x:c>
      <x:c r="AQ280" s="4" t="str">
        <x:v>ANA</x:v>
      </x:c>
      <x:c r="AR280" s="4" t="n">
        <x:v>18.38</x:v>
      </x:c>
      <x:c r="AS280" s="4" t="n">
        <x:v>19.166666666666668</x:v>
      </x:c>
      <x:c r="AT280" s="4" t="n">
        <x:v>2</x:v>
      </x:c>
      <x:c r="AU280" s="4" t="n">
        <x:v>16.2</x:v>
      </x:c>
      <x:c r="AV280" s="10" t="n">
        <x:v>8</x:v>
      </x:c>
      <x:c r="AW280" s="10" t="n">
        <x:v>4</x:v>
      </x:c>
      <x:c r="AX280" s="10" t="n">
        <x:v>0</x:v>
      </x:c>
      <x:c r="AY280" s="10" t="n">
        <x:v>0</x:v>
      </x:c>
      <x:c r="AZ280" s="10" t="n">
        <x:v>900</x:v>
      </x:c>
      <x:c r="BA280" s="10" t="n">
        <x:v>832</x:v>
      </x:c>
      <x:c r="BB280" s="4" t="n">
        <x:v>52</x:v>
      </x:c>
      <x:c r="BC280" s="4" t="n">
        <x:v>-1.8</x:v>
      </x:c>
      <x:c r="BD280" s="10" t="n">
        <x:v>688</x:v>
      </x:c>
      <x:c r="BE280" s="10" t="n">
        <x:v>607</x:v>
      </x:c>
      <x:c r="BF280" s="4" t="n">
        <x:v>53.1</x:v>
      </x:c>
      <x:c r="BG280" s="4" t="n">
        <x:v>-0.7</x:v>
      </x:c>
      <x:c r="BH280" s="4" t="n">
        <x:v>9.7</x:v>
      </x:c>
      <x:c r="BI280" s="4" t="n">
        <x:v>86.9</x:v>
      </x:c>
      <x:c r="BJ280" s="4" t="n">
        <x:v>96.7</x:v>
      </x:c>
      <x:c r="BK280" s="4" t="n">
        <x:v>48.9</x:v>
      </x:c>
      <x:c r="BL280" s="4" t="n">
        <x:v>51.1</x:v>
      </x:c>
      <x:c r="BM280" s="4" t="n">
        <x:v>19.166666666666668</x:v>
      </x:c>
      <x:c r="BN280" s="4" t="n">
        <x:v>14.266666666666667</x:v>
      </x:c>
      <x:c r="BO280" s="10" t="n">
        <x:v>21</x:v>
      </x:c>
      <x:c r="BP280" s="10" t="n">
        <x:v>48</x:v>
      </x:c>
      <x:c r="BQ280" s="4" t="n">
        <x:v>6.7</x:v>
      </x:c>
      <x:c r="BR280" s="10" t="n">
        <x:v>221</x:v>
      </x:c>
      <x:c r="BS280" s="4" t="n">
        <x:v>52.9</x:v>
      </x:c>
      <x:c r="BT280" s="10" t="n">
        <x:v>58</x:v>
      </x:c>
      <x:c r="BU280" s="4" t="str">
        <x:v>ANA</x:v>
      </x:c>
      <x:c r="BV280" s="10" t="n">
        <x:v>146</x:v>
      </x:c>
      <x:c r="BW280" s="10" t="n">
        <x:v>206</x:v>
      </x:c>
      <x:c r="BX280" s="10" t="n">
        <x:v>352</x:v>
      </x:c>
      <x:c r="BY280" s="4" t="str">
        <x:v>Mikael Granlund</x:v>
      </x:c>
      <x:c r="BZ280" s="4" t="str">
        <x:v>Mikael Granlund</x:v>
      </x:c>
      <x:c r="CA280" s="4" t="str">
        <x:v>Mikael Granlund</x:v>
      </x:c>
      <x:c r="CB280" s="4" t="str">
        <x:v>granlmi01</x:v>
      </x:c>
    </x:row>
    <x:row r="281" ht="22" customHeight="1">
      <x:c r="A281" s="4" t="str">
        <x:v>Mike Matheson</x:v>
      </x:c>
      <x:c r="B281" s="4" t="str">
        <x:v>mikematheson</x:v>
      </x:c>
      <x:c r="C281" s="10" t="n">
        <x:v>1</x:v>
      </x:c>
      <x:c r="D281" s="10" t="n">
        <x:v>1</x:v>
      </x:c>
      <x:c r="E281" s="10" t="n">
        <x:v>1</x:v>
      </x:c>
      <x:c r="F281" s="4" t="n">
        <x:f>IF(COUNT(N281,Q281,T281,W281,Z281,AC281,AF281,AI281)=8,N281*Guide!$E$5+Q281*Guide!$E$6+T281*Guide!$E$7+W281*Guide!$E$8+Z281*Guide!$E$9+AC281*Guide!$E$10+AF281*Guide!$E$11+AI281*Guide!$E$12,"")</x:f>
        <x:v>278.25</x:v>
      </x:c>
      <x:c r="G281" s="4" t="n">
        <x:f>IF(COUNT(O281,R281,U281,X281,AA281,AD281,AG281,AJ281)=8,O281*Guide!$E$5+R281*Guide!$E$6+U281*Guide!$E$7+X281*Guide!$E$8+AA281*Guide!$E$9+AD281*Guide!$E$10+AG281*Guide!$E$11+AJ281*Guide!$E$12,"")</x:f>
        <x:v>289.75</x:v>
      </x:c>
      <x:c r="H281" s="4" t="n">
        <x:f>IF(COUNT(G281,F281)=2,G281-F281,"")</x:f>
        <x:v>11.5</x:v>
      </x:c>
      <x:c r="I281" s="4" t="n">
        <x:f>IF(AND(ISNUMBER(F281),K281&gt;0),F281/K281,"")</x:f>
        <x:v>3.5673076923076925</x:v>
      </x:c>
      <x:c r="J281" s="4" t="n">
        <x:f>IF(AND(ISNUMBER(G281),L281&gt;0),G281/L281,"")</x:f>
        <x:v>3.71474358974359</x:v>
      </x:c>
      <x:c r="K281" s="10" t="n">
        <x:v>78</x:v>
      </x:c>
      <x:c r="L281" s="10" t="n">
        <x:v>78</x:v>
      </x:c>
      <x:c r="M281" s="10" t="n">
        <x:f>IF(COUNT(L281,K281)=2,L281-K281,"")</x:f>
        <x:v>0</x:v>
      </x:c>
      <x:c r="N281" s="10" t="n">
        <x:v>8</x:v>
      </x:c>
      <x:c r="O281" s="10" t="n">
        <x:v>7</x:v>
      </x:c>
      <x:c r="P281" s="10" t="n">
        <x:f>IF(COUNT(O281,N281)=2,O281-N281,"")</x:f>
        <x:v>-1</x:v>
      </x:c>
      <x:c r="Q281" s="10" t="n">
        <x:v>29</x:v>
      </x:c>
      <x:c r="R281" s="10" t="n">
        <x:v>30</x:v>
      </x:c>
      <x:c r="S281" s="10" t="n">
        <x:f>IF(COUNT(R281,Q281)=2,R281-Q281,"")</x:f>
        <x:v>1</x:v>
      </x:c>
      <x:c r="T281" s="10" t="n">
        <x:v>-14</x:v>
      </x:c>
      <x:c r="U281" s="10" t="n">
        <x:v>9</x:v>
      </x:c>
      <x:c r="V281" s="10" t="n">
        <x:f>IF(COUNT(U281,T281)=2,U281-T281,"")</x:f>
        <x:v>23</x:v>
      </x:c>
      <x:c r="W281" s="10" t="n">
        <x:v>7</x:v>
      </x:c>
      <x:c r="X281" s="10" t="n">
        <x:f>IF(COUNT(AV281,AW281)=2,AV281+AW281,"")</x:f>
        <x:v>1</x:v>
      </x:c>
      <x:c r="Y281" s="10" t="n">
        <x:f>IF(COUNT(X281,W281)=2,X281-W281,"")</x:f>
        <x:v>-6</x:v>
      </x:c>
      <x:c r="Z281" s="10" t="n">
        <x:v>1</x:v>
      </x:c>
      <x:c r="AA281" s="10" t="n">
        <x:f>IF(COUNT(AX281,AY281)=2,AX281+AY281,"")</x:f>
        <x:v>2</x:v>
      </x:c>
      <x:c r="AB281" s="10" t="n">
        <x:f>IF(COUNT(AA281,Z281)=2,AA281-Z281,"")</x:f>
        <x:v>1</x:v>
      </x:c>
      <x:c r="AC281" s="10" t="n">
        <x:v>136</x:v>
      </x:c>
      <x:c r="AD281" s="10" t="n">
        <x:v>114</x:v>
      </x:c>
      <x:c r="AE281" s="10" t="n">
        <x:f>IF(COUNT(AD281,AC281)=2,AD281-AC281,"")</x:f>
        <x:v>-22</x:v>
      </x:c>
      <x:c r="AF281" s="10" t="n">
        <x:v>55</x:v>
      </x:c>
      <x:c r="AG281" s="10" t="n">
        <x:v>59</x:v>
      </x:c>
      <x:c r="AH281" s="10" t="n">
        <x:f>IF(COUNT(AG281,AF281)=2,AG281-AF281,"")</x:f>
        <x:v>4</x:v>
      </x:c>
      <x:c r="AI281" s="10" t="n">
        <x:v>154</x:v>
      </x:c>
      <x:c r="AJ281" s="10" t="n">
        <x:v>150</x:v>
      </x:c>
      <x:c r="AK281" s="10" t="n">
        <x:f>IF(COUNT(AJ281,AI281)=2,AJ281-AI281,"")</x:f>
        <x:v>-4</x:v>
      </x:c>
      <x:c r="AL281" s="10" t="n">
        <x:v>31</x:v>
      </x:c>
      <x:c r="AM281" s="10" t="n">
        <x:v>31</x:v>
      </x:c>
      <x:c r="AN281" s="4" t="str">
        <x:v>D</x:v>
      </x:c>
      <x:c r="AO281" s="4" t="str">
        <x:v>D</x:v>
      </x:c>
      <x:c r="AP281" s="4" t="str">
        <x:v>MTL</x:v>
      </x:c>
      <x:c r="AQ281" s="4" t="str">
        <x:v>MTL</x:v>
      </x:c>
      <x:c r="AR281" s="4" t="n">
        <x:v>23.99</x:v>
      </x:c>
      <x:c r="AS281" s="4" t="n">
        <x:v>24.166666666666668</x:v>
      </x:c>
      <x:c r="AT281" s="4" t="n">
        <x:v>1.2</x:v>
      </x:c>
      <x:c r="AU281" s="4" t="n">
        <x:v>6.1</x:v>
      </x:c>
      <x:c r="AV281" s="10" t="n">
        <x:v>0</x:v>
      </x:c>
      <x:c r="AW281" s="10" t="n">
        <x:v>1</x:v>
      </x:c>
      <x:c r="AX281" s="10" t="n">
        <x:v>1</x:v>
      </x:c>
      <x:c r="AY281" s="10" t="n">
        <x:v>1</x:v>
      </x:c>
      <x:c r="AZ281" s="10" t="n">
        <x:v>1425</x:v>
      </x:c>
      <x:c r="BA281" s="10" t="n">
        <x:v>1691</x:v>
      </x:c>
      <x:c r="BB281" s="4" t="n">
        <x:v>45.7</x:v>
      </x:c>
      <x:c r="BC281" s="4" t="n">
        <x:v>-4.4</x:v>
      </x:c>
      <x:c r="BD281" s="10" t="n">
        <x:v>1049</x:v>
      </x:c>
      <x:c r="BE281" s="10" t="n">
        <x:v>1203</x:v>
      </x:c>
      <x:c r="BF281" s="4" t="n">
        <x:v>46.6</x:v>
      </x:c>
      <x:c r="BG281" s="4" t="n">
        <x:v>-4.4</x:v>
      </x:c>
      <x:c r="BH281" s="4" t="n">
        <x:v>11.2</x:v>
      </x:c>
      <x:c r="BI281" s="4" t="n">
        <x:v>90.5</x:v>
      </x:c>
      <x:c r="BJ281" s="4" t="n">
        <x:v>101.6</x:v>
      </x:c>
      <x:c r="BK281" s="4" t="n">
        <x:v>37.6</x:v>
      </x:c>
      <x:c r="BL281" s="4" t="n">
        <x:v>62.4</x:v>
      </x:c>
      <x:c r="BM281" s="4" t="n">
        <x:v>24.166666666666668</x:v>
      </x:c>
      <x:c r="BN281" s="4" t="n">
        <x:v>19.933333333333334</x:v>
      </x:c>
      <x:c r="BO281" s="10" t="n">
        <x:v>24</x:v>
      </x:c>
      <x:c r="BP281" s="10" t="n">
        <x:v>94</x:v>
      </x:c>
      <x:c r="BQ281" s="4" t="n">
        <x:v>-7.7</x:v>
      </x:c>
      <x:c r="BR281" s="10" t="n">
        <x:v>267</x:v>
      </x:c>
      <x:c r="BS281" s="4" t="n">
        <x:v>42.7</x:v>
      </x:c>
      <x:c r="BT281" s="10" t="n">
        <x:v>78</x:v>
      </x:c>
      <x:c r="BU281" s="4" t="str">
        <x:v>MTL</x:v>
      </x:c>
      <x:c r="BV281" s="10" t="n">
        <x:v>278</x:v>
      </x:c>
      <x:c r="BW281" s="10" t="n">
        <x:v>233</x:v>
      </x:c>
      <x:c r="BX281" s="10" t="n">
        <x:v>656</x:v>
      </x:c>
      <x:c r="BY281" s="4" t="str">
        <x:v>Mike Matheson</x:v>
      </x:c>
      <x:c r="BZ281" s="4" t="str">
        <x:v>Mike Matheson</x:v>
      </x:c>
      <x:c r="CA281" s="4" t="str">
        <x:v>Mike Matheson</x:v>
      </x:c>
      <x:c r="CB281" s="4" t="str">
        <x:v>mathemi01</x:v>
      </x:c>
    </x:row>
    <x:row r="282" ht="22" customHeight="1">
      <x:c r="A282" s="4" t="str">
        <x:v>Mikhail Sergachev</x:v>
      </x:c>
      <x:c r="B282" s="4" t="str">
        <x:v>mikhailsergachev</x:v>
      </x:c>
      <x:c r="C282" s="10" t="n">
        <x:v>1</x:v>
      </x:c>
      <x:c r="D282" s="10" t="n">
        <x:v>1</x:v>
      </x:c>
      <x:c r="E282" s="10" t="n">
        <x:v>1</x:v>
      </x:c>
      <x:c r="F282" s="4" t="n">
        <x:f>IF(COUNT(N282,Q282,T282,W282,Z282,AC282,AF282,AI282)=8,N282*Guide!$E$5+Q282*Guide!$E$6+T282*Guide!$E$7+W282*Guide!$E$8+Z282*Guide!$E$9+AC282*Guide!$E$10+AF282*Guide!$E$11+AI282*Guide!$E$12,"")</x:f>
        <x:v>360.25</x:v>
      </x:c>
      <x:c r="G282" s="4" t="n">
        <x:f>IF(COUNT(O282,R282,U282,X282,AA282,AD282,AG282,AJ282)=8,O282*Guide!$E$5+R282*Guide!$E$6+U282*Guide!$E$7+X282*Guide!$E$8+AA282*Guide!$E$9+AD282*Guide!$E$10+AG282*Guide!$E$11+AJ282*Guide!$E$12,"")</x:f>
        <x:v>364</x:v>
      </x:c>
      <x:c r="H282" s="4" t="n">
        <x:f>IF(COUNT(G282,F282)=2,G282-F282,"")</x:f>
        <x:v>3.75</x:v>
      </x:c>
      <x:c r="I282" s="4" t="n">
        <x:f>IF(AND(ISNUMBER(F282),K282&gt;0),F282/K282,"")</x:f>
        <x:v>4.618589743589744</x:v>
      </x:c>
      <x:c r="J282" s="4" t="n">
        <x:f>IF(AND(ISNUMBER(G282),L282&gt;0),G282/L282,"")</x:f>
        <x:v>4.666666666666667</x:v>
      </x:c>
      <x:c r="K282" s="10" t="n">
        <x:v>78</x:v>
      </x:c>
      <x:c r="L282" s="10" t="n">
        <x:v>78</x:v>
      </x:c>
      <x:c r="M282" s="10" t="n">
        <x:f>IF(COUNT(L282,K282)=2,L282-K282,"")</x:f>
        <x:v>0</x:v>
      </x:c>
      <x:c r="N282" s="10" t="n">
        <x:v>10</x:v>
      </x:c>
      <x:c r="O282" s="10" t="n">
        <x:v>10</x:v>
      </x:c>
      <x:c r="P282" s="10" t="n">
        <x:f>IF(COUNT(O282,N282)=2,O282-N282,"")</x:f>
        <x:v>0</x:v>
      </x:c>
      <x:c r="Q282" s="10" t="n">
        <x:v>46</x:v>
      </x:c>
      <x:c r="R282" s="10" t="n">
        <x:v>49</x:v>
      </x:c>
      <x:c r="S282" s="10" t="n">
        <x:f>IF(COUNT(R282,Q282)=2,R282-Q282,"")</x:f>
        <x:v>3</x:v>
      </x:c>
      <x:c r="T282" s="10" t="n">
        <x:v>-4</x:v>
      </x:c>
      <x:c r="U282" s="10" t="n">
        <x:v>2</x:v>
      </x:c>
      <x:c r="V282" s="10" t="n">
        <x:f>IF(COUNT(U282,T282)=2,U282-T282,"")</x:f>
        <x:v>6</x:v>
      </x:c>
      <x:c r="W282" s="10" t="n">
        <x:v>24</x:v>
      </x:c>
      <x:c r="X282" s="10" t="n">
        <x:f>IF(COUNT(AV282,AW282)=2,AV282+AW282,"")</x:f>
        <x:v>26</x:v>
      </x:c>
      <x:c r="Y282" s="10" t="n">
        <x:f>IF(COUNT(X282,W282)=2,X282-W282,"")</x:f>
        <x:v>2</x:v>
      </x:c>
      <x:c r="Z282" s="10" t="n">
        <x:v>1</x:v>
      </x:c>
      <x:c r="AA282" s="10" t="n">
        <x:f>IF(COUNT(AX282,AY282)=2,AX282+AY282,"")</x:f>
        <x:v>2</x:v>
      </x:c>
      <x:c r="AB282" s="10" t="n">
        <x:f>IF(COUNT(AA282,Z282)=2,AA282-Z282,"")</x:f>
        <x:v>1</x:v>
      </x:c>
      <x:c r="AC282" s="10" t="n">
        <x:v>141</x:v>
      </x:c>
      <x:c r="AD282" s="10" t="n">
        <x:v>159</x:v>
      </x:c>
      <x:c r="AE282" s="10" t="n">
        <x:f>IF(COUNT(AD282,AC282)=2,AD282-AC282,"")</x:f>
        <x:v>18</x:v>
      </x:c>
      <x:c r="AF282" s="10" t="n">
        <x:v>67</x:v>
      </x:c>
      <x:c r="AG282" s="10" t="n">
        <x:v>38</x:v>
      </x:c>
      <x:c r="AH282" s="10" t="n">
        <x:f>IF(COUNT(AG282,AF282)=2,AG282-AF282,"")</x:f>
        <x:v>-29</x:v>
      </x:c>
      <x:c r="AI282" s="10" t="n">
        <x:v>143</x:v>
      </x:c>
      <x:c r="AJ282" s="10" t="n">
        <x:v>125</x:v>
      </x:c>
      <x:c r="AK282" s="10" t="n">
        <x:f>IF(COUNT(AJ282,AI282)=2,AJ282-AI282,"")</x:f>
        <x:v>-18</x:v>
      </x:c>
      <x:c r="AL282" s="10" t="n">
        <x:v>27</x:v>
      </x:c>
      <x:c r="AM282" s="10" t="n">
        <x:v>27</x:v>
      </x:c>
      <x:c r="AN282" s="4" t="str">
        <x:v>D</x:v>
      </x:c>
      <x:c r="AO282" s="4" t="str">
        <x:v>D</x:v>
      </x:c>
      <x:c r="AP282" s="4" t="str">
        <x:v>UTA</x:v>
      </x:c>
      <x:c r="AQ282" s="4" t="str">
        <x:v>UTA</x:v>
      </x:c>
      <x:c r="AR282" s="4" t="n">
        <x:v>24.580000000000002</x:v>
      </x:c>
      <x:c r="AS282" s="4" t="n">
        <x:v>24.3</x:v>
      </x:c>
      <x:c r="AT282" s="4" t="n">
        <x:v>3.03</x:v>
      </x:c>
      <x:c r="AU282" s="4" t="n">
        <x:v>6.3</x:v>
      </x:c>
      <x:c r="AV282" s="10" t="n">
        <x:v>5</x:v>
      </x:c>
      <x:c r="AW282" s="10" t="n">
        <x:v>21</x:v>
      </x:c>
      <x:c r="AX282" s="10" t="n">
        <x:v>0</x:v>
      </x:c>
      <x:c r="AY282" s="10" t="n">
        <x:v>2</x:v>
      </x:c>
      <x:c r="AZ282" s="10" t="n">
        <x:v>1524</x:v>
      </x:c>
      <x:c r="BA282" s="10" t="n">
        <x:v>1359</x:v>
      </x:c>
      <x:c r="BB282" s="4" t="n">
        <x:v>52.9</x:v>
      </x:c>
      <x:c r="BC282" s="4" t="n">
        <x:v>-1</x:v>
      </x:c>
      <x:c r="BD282" s="10" t="n">
        <x:v>1079</x:v>
      </x:c>
      <x:c r="BE282" s="10" t="n">
        <x:v>984</x:v>
      </x:c>
      <x:c r="BF282" s="4" t="n">
        <x:v>52.3</x:v>
      </x:c>
      <x:c r="BG282" s="4" t="n">
        <x:v>-1.5</x:v>
      </x:c>
      <x:c r="BH282" s="4" t="n">
        <x:v>10.5</x:v>
      </x:c>
      <x:c r="BI282" s="4" t="n">
        <x:v>88.3</x:v>
      </x:c>
      <x:c r="BJ282" s="4" t="n">
        <x:v>98.8</x:v>
      </x:c>
      <x:c r="BK282" s="4" t="n">
        <x:v>52.1</x:v>
      </x:c>
      <x:c r="BL282" s="4" t="n">
        <x:v>47.9</x:v>
      </x:c>
      <x:c r="BM282" s="4" t="n">
        <x:v>24.3</x:v>
      </x:c>
      <x:c r="BN282" s="4" t="n">
        <x:v>18.25</x:v>
      </x:c>
      <x:c r="BO282" s="10" t="n">
        <x:v>32</x:v>
      </x:c>
      <x:c r="BP282" s="10" t="n">
        <x:v>108</x:v>
      </x:c>
      <x:c r="BQ282" s="4" t="n">
        <x:v>6.8</x:v>
      </x:c>
      <x:c r="BR282" s="10" t="n">
        <x:v>366</x:v>
      </x:c>
      <x:c r="BS282" s="4" t="n">
        <x:v>43.4</x:v>
      </x:c>
      <x:c r="BT282" s="10" t="n">
        <x:v>78</x:v>
      </x:c>
      <x:c r="BU282" s="4" t="str">
        <x:v>UTA</x:v>
      </x:c>
      <x:c r="BV282" s="10" t="n">
        <x:v>108</x:v>
      </x:c>
      <x:c r="BW282" s="10" t="n">
        <x:v>96</x:v>
      </x:c>
      <x:c r="BX282" s="10" t="n">
        <x:v>923</x:v>
      </x:c>
      <x:c r="BY282" s="4" t="str">
        <x:v>Mikhail Sergachev</x:v>
      </x:c>
      <x:c r="BZ282" s="4" t="str">
        <x:v>Mikhail Sergachev</x:v>
      </x:c>
      <x:c r="CA282" s="4" t="str">
        <x:v>Mikhail Sergachev</x:v>
      </x:c>
      <x:c r="CB282" s="4" t="str">
        <x:v>sergami01</x:v>
      </x:c>
    </x:row>
    <x:row r="283" ht="22" customHeight="1">
      <x:c r="A283" s="4" t="str">
        <x:v>Mikko Rantanen</x:v>
      </x:c>
      <x:c r="B283" s="4" t="str">
        <x:v>mikkorantanen</x:v>
      </x:c>
      <x:c r="C283" s="10" t="n">
        <x:v>1</x:v>
      </x:c>
      <x:c r="D283" s="10" t="n">
        <x:v>1</x:v>
      </x:c>
      <x:c r="E283" s="10" t="n">
        <x:v>1</x:v>
      </x:c>
      <x:c r="F283" s="4" t="n">
        <x:f>IF(COUNT(N283,Q283,T283,W283,Z283,AC283,AF283,AI283)=8,N283*Guide!$E$5+Q283*Guide!$E$6+T283*Guide!$E$7+W283*Guide!$E$8+Z283*Guide!$E$9+AC283*Guide!$E$10+AF283*Guide!$E$11+AI283*Guide!$E$12,"")</x:f>
        <x:v>426</x:v>
      </x:c>
      <x:c r="G283" s="4" t="n">
        <x:f>IF(COUNT(O283,R283,U283,X283,AA283,AD283,AG283,AJ283)=8,O283*Guide!$E$5+R283*Guide!$E$6+U283*Guide!$E$7+X283*Guide!$E$8+AA283*Guide!$E$9+AD283*Guide!$E$10+AG283*Guide!$E$11+AJ283*Guide!$E$12,"")</x:f>
        <x:v>356.25</x:v>
      </x:c>
      <x:c r="H283" s="4" t="n">
        <x:f>IF(COUNT(G283,F283)=2,G283-F283,"")</x:f>
        <x:v>-69.75</x:v>
      </x:c>
      <x:c r="I283" s="4" t="n">
        <x:f>IF(AND(ISNUMBER(F283),K283&gt;0),F283/K283,"")</x:f>
        <x:v>5.461538461538462</x:v>
      </x:c>
      <x:c r="J283" s="4" t="n">
        <x:f>IF(AND(ISNUMBER(G283),L283&gt;0),G283/L283,"")</x:f>
        <x:v>5.56640625</x:v>
      </x:c>
      <x:c r="K283" s="10" t="n">
        <x:v>78</x:v>
      </x:c>
      <x:c r="L283" s="10" t="n">
        <x:v>64</x:v>
      </x:c>
      <x:c r="M283" s="10" t="n">
        <x:f>IF(COUNT(L283,K283)=2,L283-K283,"")</x:f>
        <x:v>-14</x:v>
      </x:c>
      <x:c r="N283" s="10" t="n">
        <x:v>36</x:v>
      </x:c>
      <x:c r="O283" s="10" t="n">
        <x:v>22</x:v>
      </x:c>
      <x:c r="P283" s="10" t="n">
        <x:f>IF(COUNT(O283,N283)=2,O283-N283,"")</x:f>
        <x:v>-14</x:v>
      </x:c>
      <x:c r="Q283" s="10" t="n">
        <x:v>48</x:v>
      </x:c>
      <x:c r="R283" s="10" t="n">
        <x:v>55</x:v>
      </x:c>
      <x:c r="S283" s="10" t="n">
        <x:f>IF(COUNT(R283,Q283)=2,R283-Q283,"")</x:f>
        <x:v>7</x:v>
      </x:c>
      <x:c r="T283" s="10" t="n">
        <x:v>10</x:v>
      </x:c>
      <x:c r="U283" s="10" t="n">
        <x:v>0</x:v>
      </x:c>
      <x:c r="V283" s="10" t="n">
        <x:f>IF(COUNT(U283,T283)=2,U283-T283,"")</x:f>
        <x:v>-10</x:v>
      </x:c>
      <x:c r="W283" s="10" t="n">
        <x:v>29</x:v>
      </x:c>
      <x:c r="X283" s="10" t="n">
        <x:f>IF(COUNT(AV283,AW283)=2,AV283+AW283,"")</x:f>
        <x:v>34</x:v>
      </x:c>
      <x:c r="Y283" s="10" t="n">
        <x:f>IF(COUNT(X283,W283)=2,X283-W283,"")</x:f>
        <x:v>5</x:v>
      </x:c>
      <x:c r="Z283" s="10" t="n">
        <x:v>0</x:v>
      </x:c>
      <x:c r="AA283" s="10" t="n">
        <x:f>IF(COUNT(AX283,AY283)=2,AX283+AY283,"")</x:f>
        <x:v>0</x:v>
      </x:c>
      <x:c r="AB283" s="10" t="n">
        <x:f>IF(COUNT(AA283,Z283)=2,AA283-Z283,"")</x:f>
        <x:v>0</x:v>
      </x:c>
      <x:c r="AC283" s="10" t="n">
        <x:v>214</x:v>
      </x:c>
      <x:c r="AD283" s="10" t="n">
        <x:v>139</x:v>
      </x:c>
      <x:c r="AE283" s="10" t="n">
        <x:f>IF(COUNT(AD283,AC283)=2,AD283-AC283,"")</x:f>
        <x:v>-75</x:v>
      </x:c>
      <x:c r="AF283" s="10" t="n">
        <x:v>50</x:v>
      </x:c>
      <x:c r="AG283" s="10" t="n">
        <x:v>48</x:v>
      </x:c>
      <x:c r="AH283" s="10" t="n">
        <x:f>IF(COUNT(AG283,AF283)=2,AG283-AF283,"")</x:f>
        <x:v>-2</x:v>
      </x:c>
      <x:c r="AI283" s="10" t="n">
        <x:v>44</x:v>
      </x:c>
      <x:c r="AJ283" s="10" t="n">
        <x:v>30</x:v>
      </x:c>
      <x:c r="AK283" s="10" t="n">
        <x:f>IF(COUNT(AJ283,AI283)=2,AJ283-AI283,"")</x:f>
        <x:v>-14</x:v>
      </x:c>
      <x:c r="AL283" s="10" t="n">
        <x:v>29</x:v>
      </x:c>
      <x:c r="AM283" s="10" t="n">
        <x:v>29</x:v>
      </x:c>
      <x:c r="AN283" s="4" t="str">
        <x:v>LW,RW</x:v>
      </x:c>
      <x:c r="AO283" s="4" t="str">
        <x:v>RW</x:v>
      </x:c>
      <x:c r="AP283" s="4" t="str">
        <x:v>DAL</x:v>
      </x:c>
      <x:c r="AQ283" s="4" t="str">
        <x:v>DAL</x:v>
      </x:c>
      <x:c r="AR283" s="4" t="n">
        <x:v>21.209999999999997</x:v>
      </x:c>
      <x:c r="AS283" s="4" t="n">
        <x:v>20.183333333333334</x:v>
      </x:c>
      <x:c r="AT283" s="4" t="n">
        <x:v>3.72</x:v>
      </x:c>
      <x:c r="AU283" s="4" t="n">
        <x:v>15.8</x:v>
      </x:c>
      <x:c r="AV283" s="10" t="n">
        <x:v>6</x:v>
      </x:c>
      <x:c r="AW283" s="10" t="n">
        <x:v>28</x:v>
      </x:c>
      <x:c r="AX283" s="10" t="n">
        <x:v>0</x:v>
      </x:c>
      <x:c r="AY283" s="10" t="n">
        <x:v>0</x:v>
      </x:c>
      <x:c r="AZ283" s="10" t="n">
        <x:v>918</x:v>
      </x:c>
      <x:c r="BA283" s="10" t="n">
        <x:v>1070</x:v>
      </x:c>
      <x:c r="BB283" s="4" t="n">
        <x:v>46.2</x:v>
      </x:c>
      <x:c r="BC283" s="4" t="n">
        <x:v>0</x:v>
      </x:c>
      <x:c r="BD283" s="10" t="n">
        <x:v>650</x:v>
      </x:c>
      <x:c r="BE283" s="10" t="n">
        <x:v>729</x:v>
      </x:c>
      <x:c r="BF283" s="4" t="n">
        <x:v>47.1</x:v>
      </x:c>
      <x:c r="BG283" s="4" t="n">
        <x:v>0.6</x:v>
      </x:c>
      <x:c r="BH283" s="4" t="n">
        <x:v>12.6</x:v>
      </x:c>
      <x:c r="BI283" s="4" t="n">
        <x:v>90</x:v>
      </x:c>
      <x:c r="BJ283" s="4" t="n">
        <x:v>102.6</x:v>
      </x:c>
      <x:c r="BK283" s="4" t="n">
        <x:v>56.6</x:v>
      </x:c>
      <x:c r="BL283" s="4" t="n">
        <x:v>43.4</x:v>
      </x:c>
      <x:c r="BM283" s="4" t="n">
        <x:v>20.183333333333334</x:v>
      </x:c>
      <x:c r="BN283" s="4" t="n">
        <x:v>16.233333333333334</x:v>
      </x:c>
      <x:c r="BO283" s="10" t="n">
        <x:v>24</x:v>
      </x:c>
      <x:c r="BP283" s="10" t="n">
        <x:v>75</x:v>
      </x:c>
      <x:c r="BQ283" s="4" t="n">
        <x:v>7.9</x:v>
      </x:c>
      <x:c r="BR283" s="10" t="n">
        <x:v>288</x:v>
      </x:c>
      <x:c r="BS283" s="4" t="n">
        <x:v>48.3</x:v>
      </x:c>
      <x:c r="BT283" s="10" t="n">
        <x:v>64</x:v>
      </x:c>
      <x:c r="BU283" s="4" t="str">
        <x:v>DAL</x:v>
      </x:c>
      <x:c r="BV283" s="10" t="n">
        <x:v>15</x:v>
      </x:c>
      <x:c r="BW283" s="10" t="n">
        <x:v>36</x:v>
      </x:c>
      <x:c r="BX283" s="10" t="n">
        <x:v>841</x:v>
      </x:c>
      <x:c r="BY283" s="4" t="str">
        <x:v>Mikko Rantanen</x:v>
      </x:c>
      <x:c r="BZ283" s="4" t="str">
        <x:v>Mikko Rantanen</x:v>
      </x:c>
      <x:c r="CA283" s="4" t="str">
        <x:v>Mikko Rantanen</x:v>
      </x:c>
      <x:c r="CB283" s="4" t="str">
        <x:v>rantami01</x:v>
      </x:c>
    </x:row>
    <x:row r="284" ht="22" customHeight="1">
      <x:c r="A284" s="4" t="str">
        <x:v>Miro Heiskanen</x:v>
      </x:c>
      <x:c r="B284" s="4" t="str">
        <x:v>miroheiskanen</x:v>
      </x:c>
      <x:c r="C284" s="10" t="n">
        <x:v>1</x:v>
      </x:c>
      <x:c r="D284" s="10" t="n">
        <x:v>1</x:v>
      </x:c>
      <x:c r="E284" s="10" t="n">
        <x:v>1</x:v>
      </x:c>
      <x:c r="F284" s="4" t="n">
        <x:f>IF(COUNT(N284,Q284,T284,W284,Z284,AC284,AF284,AI284)=8,N284*Guide!$E$5+Q284*Guide!$E$6+T284*Guide!$E$7+W284*Guide!$E$8+Z284*Guide!$E$9+AC284*Guide!$E$10+AF284*Guide!$E$11+AI284*Guide!$E$12,"")</x:f>
        <x:v>375.25</x:v>
      </x:c>
      <x:c r="G284" s="4" t="n">
        <x:f>IF(COUNT(O284,R284,U284,X284,AA284,AD284,AG284,AJ284)=8,O284*Guide!$E$5+R284*Guide!$E$6+U284*Guide!$E$7+X284*Guide!$E$8+AA284*Guide!$E$9+AD284*Guide!$E$10+AG284*Guide!$E$11+AJ284*Guide!$E$12,"")</x:f>
        <x:v>379.25</x:v>
      </x:c>
      <x:c r="H284" s="4" t="n">
        <x:f>IF(COUNT(G284,F284)=2,G284-F284,"")</x:f>
        <x:v>4</x:v>
      </x:c>
      <x:c r="I284" s="4" t="n">
        <x:f>IF(AND(ISNUMBER(F284),K284&gt;0),F284/K284,"")</x:f>
        <x:v>4.75</x:v>
      </x:c>
      <x:c r="J284" s="4" t="n">
        <x:f>IF(AND(ISNUMBER(G284),L284&gt;0),G284/L284,"")</x:f>
        <x:v>4.925324675324675</x:v>
      </x:c>
      <x:c r="K284" s="10" t="n">
        <x:v>79</x:v>
      </x:c>
      <x:c r="L284" s="10" t="n">
        <x:v>77</x:v>
      </x:c>
      <x:c r="M284" s="10" t="n">
        <x:f>IF(COUNT(L284,K284)=2,L284-K284,"")</x:f>
        <x:v>-2</x:v>
      </x:c>
      <x:c r="N284" s="10" t="n">
        <x:v>11</x:v>
      </x:c>
      <x:c r="O284" s="10" t="n">
        <x:v>9</x:v>
      </x:c>
      <x:c r="P284" s="10" t="n">
        <x:f>IF(COUNT(O284,N284)=2,O284-N284,"")</x:f>
        <x:v>-2</x:v>
      </x:c>
      <x:c r="Q284" s="10" t="n">
        <x:v>51</x:v>
      </x:c>
      <x:c r="R284" s="10" t="n">
        <x:v>54</x:v>
      </x:c>
      <x:c r="S284" s="10" t="n">
        <x:f>IF(COUNT(R284,Q284)=2,R284-Q284,"")</x:f>
        <x:v>3</x:v>
      </x:c>
      <x:c r="T284" s="10" t="n">
        <x:v>10</x:v>
      </x:c>
      <x:c r="U284" s="10" t="n">
        <x:v>9</x:v>
      </x:c>
      <x:c r="V284" s="10" t="n">
        <x:f>IF(COUNT(U284,T284)=2,U284-T284,"")</x:f>
        <x:v>-1</x:v>
      </x:c>
      <x:c r="W284" s="10" t="n">
        <x:v>26</x:v>
      </x:c>
      <x:c r="X284" s="10" t="n">
        <x:f>IF(COUNT(AV284,AW284)=2,AV284+AW284,"")</x:f>
        <x:v>28</x:v>
      </x:c>
      <x:c r="Y284" s="10" t="n">
        <x:f>IF(COUNT(X284,W284)=2,X284-W284,"")</x:f>
        <x:v>2</x:v>
      </x:c>
      <x:c r="Z284" s="10" t="n">
        <x:v>0</x:v>
      </x:c>
      <x:c r="AA284" s="10" t="n">
        <x:f>IF(COUNT(AX284,AY284)=2,AX284+AY284,"")</x:f>
        <x:v>1</x:v>
      </x:c>
      <x:c r="AB284" s="10" t="n">
        <x:f>IF(COUNT(AA284,Z284)=2,AA284-Z284,"")</x:f>
        <x:v>1</x:v>
      </x:c>
      <x:c r="AC284" s="10" t="n">
        <x:v>175</x:v>
      </x:c>
      <x:c r="AD284" s="10" t="n">
        <x:v>148</x:v>
      </x:c>
      <x:c r="AE284" s="10" t="n">
        <x:f>IF(COUNT(AD284,AC284)=2,AD284-AC284,"")</x:f>
        <x:v>-27</x:v>
      </x:c>
      <x:c r="AF284" s="10" t="n">
        <x:v>31</x:v>
      </x:c>
      <x:c r="AG284" s="10" t="n">
        <x:v>21</x:v>
      </x:c>
      <x:c r="AH284" s="10" t="n">
        <x:f>IF(COUNT(AG284,AF284)=2,AG284-AF284,"")</x:f>
        <x:v>-10</x:v>
      </x:c>
      <x:c r="AI284" s="10" t="n">
        <x:v>121</x:v>
      </x:c>
      <x:c r="AJ284" s="10" t="n">
        <x:v>132</x:v>
      </x:c>
      <x:c r="AK284" s="10" t="n">
        <x:f>IF(COUNT(AJ284,AI284)=2,AJ284-AI284,"")</x:f>
        <x:v>11</x:v>
      </x:c>
      <x:c r="AL284" s="10" t="n">
        <x:v>26</x:v>
      </x:c>
      <x:c r="AM284" s="10" t="n">
        <x:v>26</x:v>
      </x:c>
      <x:c r="AN284" s="4" t="str">
        <x:v>D</x:v>
      </x:c>
      <x:c r="AO284" s="4" t="str">
        <x:v>D</x:v>
      </x:c>
      <x:c r="AP284" s="4" t="str">
        <x:v>DAL</x:v>
      </x:c>
      <x:c r="AQ284" s="4" t="str">
        <x:v>DAL</x:v>
      </x:c>
      <x:c r="AR284" s="4" t="n">
        <x:v>25.13</x:v>
      </x:c>
      <x:c r="AS284" s="4" t="n">
        <x:v>25.466666666666665</x:v>
      </x:c>
      <x:c r="AT284" s="4" t="n">
        <x:v>3.49</x:v>
      </x:c>
      <x:c r="AU284" s="4" t="n">
        <x:v>6.1</x:v>
      </x:c>
      <x:c r="AV284" s="10" t="n">
        <x:v>2</x:v>
      </x:c>
      <x:c r="AW284" s="10" t="n">
        <x:v>26</x:v>
      </x:c>
      <x:c r="AX284" s="10" t="n">
        <x:v>1</x:v>
      </x:c>
      <x:c r="AY284" s="10" t="n">
        <x:v>0</x:v>
      </x:c>
      <x:c r="AZ284" s="10" t="n">
        <x:v>1275</x:v>
      </x:c>
      <x:c r="BA284" s="10" t="n">
        <x:v>1265</x:v>
      </x:c>
      <x:c r="BB284" s="4" t="n">
        <x:v>50.2</x:v>
      </x:c>
      <x:c r="BC284" s="4" t="n">
        <x:v>3.8</x:v>
      </x:c>
      <x:c r="BD284" s="10" t="n">
        <x:v>914</x:v>
      </x:c>
      <x:c r="BE284" s="10" t="n">
        <x:v>882</x:v>
      </x:c>
      <x:c r="BF284" s="4" t="n">
        <x:v>50.9</x:v>
      </x:c>
      <x:c r="BG284" s="4" t="n">
        <x:v>4.2</x:v>
      </x:c>
      <x:c r="BH284" s="4" t="n">
        <x:v>12.3</x:v>
      </x:c>
      <x:c r="BI284" s="4" t="n">
        <x:v>89.3</x:v>
      </x:c>
      <x:c r="BJ284" s="4" t="n">
        <x:v>101.5</x:v>
      </x:c>
      <x:c r="BK284" s="4" t="n">
        <x:v>54.2</x:v>
      </x:c>
      <x:c r="BL284" s="4" t="n">
        <x:v>45.8</x:v>
      </x:c>
      <x:c r="BM284" s="4" t="n">
        <x:v>25.466666666666665</x:v>
      </x:c>
      <x:c r="BN284" s="4" t="n">
        <x:v>18.916666666666668</x:v>
      </x:c>
      <x:c r="BO284" s="10" t="n">
        <x:v>39</x:v>
      </x:c>
      <x:c r="BP284" s="10" t="n">
        <x:v>93</x:v>
      </x:c>
      <x:c r="BQ284" s="4" t="n">
        <x:v>12.3</x:v>
      </x:c>
      <x:c r="BR284" s="10" t="n">
        <x:v>336</x:v>
      </x:c>
      <x:c r="BS284" s="4" t="n">
        <x:v>44</x:v>
      </x:c>
      <x:c r="BT284" s="10" t="n">
        <x:v>77</x:v>
      </x:c>
      <x:c r="BU284" s="4" t="str">
        <x:v>DAL</x:v>
      </x:c>
      <x:c r="BV284" s="10" t="n">
        <x:v>84</x:v>
      </x:c>
      <x:c r="BW284" s="10" t="n">
        <x:v>80</x:v>
      </x:c>
      <x:c r="BX284" s="10" t="n">
        <x:v>406</x:v>
      </x:c>
      <x:c r="BY284" s="4" t="str">
        <x:v>Miro Heiskanen</x:v>
      </x:c>
      <x:c r="BZ284" s="4" t="str">
        <x:v>Miro Heiskanen</x:v>
      </x:c>
      <x:c r="CA284" s="4" t="str">
        <x:v>Miro Heiskanen</x:v>
      </x:c>
      <x:c r="CB284" s="4" t="str">
        <x:v>heiskmi01</x:v>
      </x:c>
    </x:row>
    <x:row r="285" ht="22" customHeight="1">
      <x:c r="A285" s="4" t="str">
        <x:v>Mitch Marner</x:v>
      </x:c>
      <x:c r="B285" s="4" t="str">
        <x:v>mitchmarner</x:v>
      </x:c>
      <x:c r="C285" s="10" t="n">
        <x:v>1</x:v>
      </x:c>
      <x:c r="D285" s="10" t="n">
        <x:v>1</x:v>
      </x:c>
      <x:c r="E285" s="10" t="n">
        <x:v>1</x:v>
      </x:c>
      <x:c r="F285" s="4" t="n">
        <x:f>IF(COUNT(N285,Q285,T285,W285,Z285,AC285,AF285,AI285)=8,N285*Guide!$E$5+Q285*Guide!$E$6+T285*Guide!$E$7+W285*Guide!$E$8+Z285*Guide!$E$9+AC285*Guide!$E$10+AF285*Guide!$E$11+AI285*Guide!$E$12,"")</x:f>
        <x:v>434.5</x:v>
      </x:c>
      <x:c r="G285" s="4" t="n">
        <x:f>IF(COUNT(O285,R285,U285,X285,AA285,AD285,AG285,AJ285)=8,O285*Guide!$E$5+R285*Guide!$E$6+U285*Guide!$E$7+X285*Guide!$E$8+AA285*Guide!$E$9+AD285*Guide!$E$10+AG285*Guide!$E$11+AJ285*Guide!$E$12,"")</x:f>
        <x:v>389.75</x:v>
      </x:c>
      <x:c r="H285" s="4" t="n">
        <x:f>IF(COUNT(G285,F285)=2,G285-F285,"")</x:f>
        <x:v>-44.75</x:v>
      </x:c>
      <x:c r="I285" s="4" t="n">
        <x:f>IF(AND(ISNUMBER(F285),K285&gt;0),F285/K285,"")</x:f>
        <x:v>5.57051282051282</x:v>
      </x:c>
      <x:c r="J285" s="4" t="n">
        <x:f>IF(AND(ISNUMBER(G285),L285&gt;0),G285/L285,"")</x:f>
        <x:v>4.811728395061729</x:v>
      </x:c>
      <x:c r="K285" s="10" t="n">
        <x:v>78</x:v>
      </x:c>
      <x:c r="L285" s="10" t="n">
        <x:v>81</x:v>
      </x:c>
      <x:c r="M285" s="10" t="n">
        <x:f>IF(COUNT(L285,K285)=2,L285-K285,"")</x:f>
        <x:v>3</x:v>
      </x:c>
      <x:c r="N285" s="10" t="n">
        <x:v>26</x:v>
      </x:c>
      <x:c r="O285" s="10" t="n">
        <x:v>24</x:v>
      </x:c>
      <x:c r="P285" s="10" t="n">
        <x:f>IF(COUNT(O285,N285)=2,O285-N285,"")</x:f>
        <x:v>-2</x:v>
      </x:c>
      <x:c r="Q285" s="10" t="n">
        <x:v>65</x:v>
      </x:c>
      <x:c r="R285" s="10" t="n">
        <x:v>56</x:v>
      </x:c>
      <x:c r="S285" s="10" t="n">
        <x:f>IF(COUNT(R285,Q285)=2,R285-Q285,"")</x:f>
        <x:v>-9</x:v>
      </x:c>
      <x:c r="T285" s="10" t="n">
        <x:v>11</x:v>
      </x:c>
      <x:c r="U285" s="10" t="n">
        <x:v>17</x:v>
      </x:c>
      <x:c r="V285" s="10" t="n">
        <x:f>IF(COUNT(U285,T285)=2,U285-T285,"")</x:f>
        <x:v>6</x:v>
      </x:c>
      <x:c r="W285" s="10" t="n">
        <x:v>29</x:v>
      </x:c>
      <x:c r="X285" s="10" t="n">
        <x:f>IF(COUNT(AV285,AW285)=2,AV285+AW285,"")</x:f>
        <x:v>24</x:v>
      </x:c>
      <x:c r="Y285" s="10" t="n">
        <x:f>IF(COUNT(X285,W285)=2,X285-W285,"")</x:f>
        <x:v>-5</x:v>
      </x:c>
      <x:c r="Z285" s="10" t="n">
        <x:v>2</x:v>
      </x:c>
      <x:c r="AA285" s="10" t="n">
        <x:f>IF(COUNT(AX285,AY285)=2,AX285+AY285,"")</x:f>
        <x:v>1</x:v>
      </x:c>
      <x:c r="AB285" s="10" t="n">
        <x:f>IF(COUNT(AA285,Z285)=2,AA285-Z285,"")</x:f>
        <x:v>-1</x:v>
      </x:c>
      <x:c r="AC285" s="10" t="n">
        <x:v>162</x:v>
      </x:c>
      <x:c r="AD285" s="10" t="n">
        <x:v>165</x:v>
      </x:c>
      <x:c r="AE285" s="10" t="n">
        <x:f>IF(COUNT(AD285,AC285)=2,AD285-AC285,"")</x:f>
        <x:v>3</x:v>
      </x:c>
      <x:c r="AF285" s="10" t="n">
        <x:v>52</x:v>
      </x:c>
      <x:c r="AG285" s="10" t="n">
        <x:v>24</x:v>
      </x:c>
      <x:c r="AH285" s="10" t="n">
        <x:f>IF(COUNT(AG285,AF285)=2,AG285-AF285,"")</x:f>
        <x:v>-28</x:v>
      </x:c>
      <x:c r="AI285" s="10" t="n">
        <x:v>48</x:v>
      </x:c>
      <x:c r="AJ285" s="10" t="n">
        <x:v>46</x:v>
      </x:c>
      <x:c r="AK285" s="10" t="n">
        <x:f>IF(COUNT(AJ285,AI285)=2,AJ285-AI285,"")</x:f>
        <x:v>-2</x:v>
      </x:c>
      <x:c r="AL285" s="10" t="n">
        <x:v>28</x:v>
      </x:c>
      <x:c r="AM285" s="10" t="n">
        <x:v>28</x:v>
      </x:c>
      <x:c r="AN285" s="4" t="str">
        <x:v>RW</x:v>
      </x:c>
      <x:c r="AO285" s="4" t="str">
        <x:v>RW</x:v>
      </x:c>
      <x:c r="AP285" s="4" t="str">
        <x:v>VGK</x:v>
      </x:c>
      <x:c r="AQ285" s="4" t="str">
        <x:v>VEG</x:v>
      </x:c>
      <x:c r="AR285" s="4" t="n">
        <x:v>21.14</x:v>
      </x:c>
      <x:c r="AS285" s="4" t="n">
        <x:v>19.95</x:v>
      </x:c>
      <x:c r="AT285" s="4" t="n">
        <x:v>2.89</x:v>
      </x:c>
      <x:c r="AU285" s="4" t="n">
        <x:v>14.5</x:v>
      </x:c>
      <x:c r="AV285" s="10" t="n">
        <x:v>5</x:v>
      </x:c>
      <x:c r="AW285" s="10" t="n">
        <x:v>19</x:v>
      </x:c>
      <x:c r="AX285" s="10" t="n">
        <x:v>0</x:v>
      </x:c>
      <x:c r="AY285" s="10" t="n">
        <x:v>1</x:v>
      </x:c>
      <x:c r="AZ285" s="10" t="n">
        <x:v>1268</x:v>
      </x:c>
      <x:c r="BA285" s="10" t="n">
        <x:v>1042</x:v>
      </x:c>
      <x:c r="BB285" s="4" t="n">
        <x:v>54.9</x:v>
      </x:c>
      <x:c r="BC285" s="4" t="n">
        <x:v>3.8</x:v>
      </x:c>
      <x:c r="BD285" s="10" t="n">
        <x:v>900</x:v>
      </x:c>
      <x:c r="BE285" s="10" t="n">
        <x:v>733</x:v>
      </x:c>
      <x:c r="BF285" s="4" t="n">
        <x:v>55.1</x:v>
      </x:c>
      <x:c r="BG285" s="4" t="n">
        <x:v>3.9</x:v>
      </x:c>
      <x:c r="BH285" s="4" t="n">
        <x:v>11.7</x:v>
      </x:c>
      <x:c r="BI285" s="4" t="n">
        <x:v>89.1</x:v>
      </x:c>
      <x:c r="BJ285" s="4" t="n">
        <x:v>100.8</x:v>
      </x:c>
      <x:c r="BK285" s="4" t="n">
        <x:v>63.7</x:v>
      </x:c>
      <x:c r="BL285" s="4" t="n">
        <x:v>36.3</x:v>
      </x:c>
      <x:c r="BM285" s="4" t="n">
        <x:v>19.95</x:v>
      </x:c>
      <x:c r="BN285" s="4" t="n">
        <x:v>15.116666666666667</x:v>
      </x:c>
      <x:c r="BO285" s="10" t="n">
        <x:v>40</x:v>
      </x:c>
      <x:c r="BP285" s="10" t="n">
        <x:v>104</x:v>
      </x:c>
      <x:c r="BQ285" s="4" t="n">
        <x:v>16</x:v>
      </x:c>
      <x:c r="BR285" s="10" t="n">
        <x:v>372</x:v>
      </x:c>
      <x:c r="BS285" s="4" t="n">
        <x:v>44.4</x:v>
      </x:c>
      <x:c r="BT285" s="10" t="n">
        <x:v>81</x:v>
      </x:c>
      <x:c r="BU285" s="4" t="str">
        <x:v>VEG</x:v>
      </x:c>
      <x:c r="BV285" s="10" t="n">
        <x:v>10</x:v>
      </x:c>
      <x:c r="BW285" s="10" t="n">
        <x:v>30</x:v>
      </x:c>
      <x:c r="BX285" s="10" t="n">
        <x:v>650</x:v>
      </x:c>
      <x:c r="BY285" s="4" t="str">
        <x:v>Mitch Marner</x:v>
      </x:c>
      <x:c r="BZ285" s="4" t="str">
        <x:v>Mitch Marner</x:v>
      </x:c>
      <x:c r="CA285" s="4" t="str">
        <x:v>Mitch Marner</x:v>
      </x:c>
      <x:c r="CB285" s="4" t="str">
        <x:v>marnemi01</x:v>
      </x:c>
    </x:row>
    <x:row r="286" ht="22" customHeight="1">
      <x:c r="A286" s="4" t="str">
        <x:v>Morgan Barron</x:v>
      </x:c>
      <x:c r="B286" s="4" t="str">
        <x:v>morganbarron</x:v>
      </x:c>
      <x:c r="C286" s="10" t="n">
        <x:v>1</x:v>
      </x:c>
      <x:c r="D286" s="10" t="n">
        <x:v>1</x:v>
      </x:c>
      <x:c r="E286" s="10" t="n">
        <x:v>1</x:v>
      </x:c>
      <x:c r="F286" s="4" t="n">
        <x:f>IF(COUNT(N286,Q286,T286,W286,Z286,AC286,AF286,AI286)=8,N286*Guide!$E$5+Q286*Guide!$E$6+T286*Guide!$E$7+W286*Guide!$E$8+Z286*Guide!$E$9+AC286*Guide!$E$10+AF286*Guide!$E$11+AI286*Guide!$E$12,"")</x:f>
        <x:v>171.5</x:v>
      </x:c>
      <x:c r="G286" s="4" t="n">
        <x:f>IF(COUNT(O286,R286,U286,X286,AA286,AD286,AG286,AJ286)=8,O286*Guide!$E$5+R286*Guide!$E$6+U286*Guide!$E$7+X286*Guide!$E$8+AA286*Guide!$E$9+AD286*Guide!$E$10+AG286*Guide!$E$11+AJ286*Guide!$E$12,"")</x:f>
        <x:v>177.25</x:v>
      </x:c>
      <x:c r="H286" s="4" t="n">
        <x:f>IF(COUNT(G286,F286)=2,G286-F286,"")</x:f>
        <x:v>5.75</x:v>
      </x:c>
      <x:c r="I286" s="4" t="n">
        <x:f>IF(AND(ISNUMBER(F286),K286&gt;0),F286/K286,"")</x:f>
        <x:v>2.227272727272727</x:v>
      </x:c>
      <x:c r="J286" s="4" t="n">
        <x:f>IF(AND(ISNUMBER(G286),L286&gt;0),G286/L286,"")</x:f>
        <x:v>2.726923076923077</x:v>
      </x:c>
      <x:c r="K286" s="10" t="n">
        <x:v>77</x:v>
      </x:c>
      <x:c r="L286" s="10" t="n">
        <x:v>65</x:v>
      </x:c>
      <x:c r="M286" s="10" t="n">
        <x:f>IF(COUNT(L286,K286)=2,L286-K286,"")</x:f>
        <x:v>-12</x:v>
      </x:c>
      <x:c r="N286" s="10" t="n">
        <x:v>11</x:v>
      </x:c>
      <x:c r="O286" s="10" t="n">
        <x:v>11</x:v>
      </x:c>
      <x:c r="P286" s="10" t="n">
        <x:f>IF(COUNT(O286,N286)=2,O286-N286,"")</x:f>
        <x:v>0</x:v>
      </x:c>
      <x:c r="Q286" s="10" t="n">
        <x:v>10</x:v>
      </x:c>
      <x:c r="R286" s="10" t="n">
        <x:v>12</x:v>
      </x:c>
      <x:c r="S286" s="10" t="n">
        <x:f>IF(COUNT(R286,Q286)=2,R286-Q286,"")</x:f>
        <x:v>2</x:v>
      </x:c>
      <x:c r="T286" s="10" t="n">
        <x:v>4</x:v>
      </x:c>
      <x:c r="U286" s="10" t="n">
        <x:v>5</x:v>
      </x:c>
      <x:c r="V286" s="10" t="n">
        <x:f>IF(COUNT(U286,T286)=2,U286-T286,"")</x:f>
        <x:v>1</x:v>
      </x:c>
      <x:c r="W286" s="10" t="n">
        <x:v>2</x:v>
      </x:c>
      <x:c r="X286" s="10" t="n">
        <x:f>IF(COUNT(AV286,AW286)=2,AV286+AW286,"")</x:f>
        <x:v>0</x:v>
      </x:c>
      <x:c r="Y286" s="10" t="n">
        <x:f>IF(COUNT(X286,W286)=2,X286-W286,"")</x:f>
        <x:v>-2</x:v>
      </x:c>
      <x:c r="Z286" s="10" t="n">
        <x:v>2</x:v>
      </x:c>
      <x:c r="AA286" s="10" t="n">
        <x:f>IF(COUNT(AX286,AY286)=2,AX286+AY286,"")</x:f>
        <x:v>2</x:v>
      </x:c>
      <x:c r="AB286" s="10" t="n">
        <x:f>IF(COUNT(AA286,Z286)=2,AA286-Z286,"")</x:f>
        <x:v>0</x:v>
      </x:c>
      <x:c r="AC286" s="10" t="n">
        <x:v>95</x:v>
      </x:c>
      <x:c r="AD286" s="10" t="n">
        <x:v>93</x:v>
      </x:c>
      <x:c r="AE286" s="10" t="n">
        <x:f>IF(COUNT(AD286,AC286)=2,AD286-AC286,"")</x:f>
        <x:v>-2</x:v>
      </x:c>
      <x:c r="AF286" s="10" t="n">
        <x:v>124</x:v>
      </x:c>
      <x:c r="AG286" s="10" t="n">
        <x:v>132</x:v>
      </x:c>
      <x:c r="AH286" s="10" t="n">
        <x:f>IF(COUNT(AG286,AF286)=2,AG286-AF286,"")</x:f>
        <x:v>8</x:v>
      </x:c>
      <x:c r="AI286" s="10" t="n">
        <x:v>41</x:v>
      </x:c>
      <x:c r="AJ286" s="10" t="n">
        <x:v>40</x:v>
      </x:c>
      <x:c r="AK286" s="10" t="n">
        <x:f>IF(COUNT(AJ286,AI286)=2,AJ286-AI286,"")</x:f>
        <x:v>-1</x:v>
      </x:c>
      <x:c r="AL286" s="10" t="n">
        <x:v>27</x:v>
      </x:c>
      <x:c r="AM286" s="10" t="n">
        <x:v>27</x:v>
      </x:c>
      <x:c r="AN286" s="4" t="str">
        <x:v>C</x:v>
      </x:c>
      <x:c r="AO286" s="4" t="str">
        <x:v>C</x:v>
      </x:c>
      <x:c r="AP286" s="4" t="str">
        <x:v>WPG</x:v>
      </x:c>
      <x:c r="AQ286" s="4" t="str">
        <x:v>WPG</x:v>
      </x:c>
      <x:c r="AR286" s="4" t="n">
        <x:v>10.84</x:v>
      </x:c>
      <x:c r="AS286" s="4" t="n">
        <x:v>12.8</x:v>
      </x:c>
      <x:c r="AT286" s="4" t="n">
        <x:v>0.22</x:v>
      </x:c>
      <x:c r="AU286" s="4" t="n">
        <x:v>11.8</x:v>
      </x:c>
      <x:c r="AV286" s="10" t="n">
        <x:v>0</x:v>
      </x:c>
      <x:c r="AW286" s="10" t="n">
        <x:v>0</x:v>
      </x:c>
      <x:c r="AX286" s="10" t="n">
        <x:v>2</x:v>
      </x:c>
      <x:c r="AY286" s="10" t="n">
        <x:v>0</x:v>
      </x:c>
      <x:c r="AZ286" s="10" t="n">
        <x:v>624</x:v>
      </x:c>
      <x:c r="BA286" s="10" t="n">
        <x:v>700</x:v>
      </x:c>
      <x:c r="BB286" s="4" t="n">
        <x:v>47.1</x:v>
      </x:c>
      <x:c r="BC286" s="4" t="n">
        <x:v>-2.5</x:v>
      </x:c>
      <x:c r="BD286" s="10" t="n">
        <x:v>460</x:v>
      </x:c>
      <x:c r="BE286" s="10" t="n">
        <x:v>503</x:v>
      </x:c>
      <x:c r="BF286" s="4" t="n">
        <x:v>47.8</x:v>
      </x:c>
      <x:c r="BG286" s="4" t="n">
        <x:v>-1.3</x:v>
      </x:c>
      <x:c r="BH286" s="4" t="n">
        <x:v>9.5</x:v>
      </x:c>
      <x:c r="BI286" s="4" t="n">
        <x:v>92.5</x:v>
      </x:c>
      <x:c r="BJ286" s="4" t="n">
        <x:v>102</x:v>
      </x:c>
      <x:c r="BK286" s="4" t="n">
        <x:v>28.8</x:v>
      </x:c>
      <x:c r="BL286" s="4" t="n">
        <x:v>71.2</x:v>
      </x:c>
      <x:c r="BM286" s="4" t="n">
        <x:v>12.8</x:v>
      </x:c>
      <x:c r="BN286" s="4" t="n">
        <x:v>10.9</x:v>
      </x:c>
      <x:c r="BO286" s="10" t="n">
        <x:v>17</x:v>
      </x:c>
      <x:c r="BP286" s="10" t="n">
        <x:v>33</x:v>
      </x:c>
      <x:c r="BQ286" s="4" t="n">
        <x:v>-3.6</x:v>
      </x:c>
      <x:c r="BR286" s="10" t="n">
        <x:v>170</x:v>
      </x:c>
      <x:c r="BS286" s="4" t="n">
        <x:v>54.7</x:v>
      </x:c>
      <x:c r="BT286" s="10" t="n">
        <x:v>65</x:v>
      </x:c>
      <x:c r="BU286" s="4" t="str">
        <x:v>WPG</x:v>
      </x:c>
      <x:c r="BV286" s="10" t="n">
        <x:v>510</x:v>
      </x:c>
      <x:c r="BW286" s="10" t="n">
        <x:v>420</x:v>
      </x:c>
      <x:c r="BX286" s="10" t="n">
        <x:v>33</x:v>
      </x:c>
      <x:c r="BY286" s="4" t="str">
        <x:v>Morgan Barron</x:v>
      </x:c>
      <x:c r="BZ286" s="4" t="str">
        <x:v>Morgan Barron</x:v>
      </x:c>
      <x:c r="CA286" s="4" t="str">
        <x:v>Morgan Barron</x:v>
      </x:c>
      <x:c r="CB286" s="4" t="str">
        <x:v>barromo01</x:v>
      </x:c>
    </x:row>
    <x:row r="287" ht="22" customHeight="1">
      <x:c r="A287" s="4" t="str">
        <x:v>Morgan Frost</x:v>
      </x:c>
      <x:c r="B287" s="4" t="str">
        <x:v>morganfrost</x:v>
      </x:c>
      <x:c r="C287" s="10" t="n">
        <x:v>1</x:v>
      </x:c>
      <x:c r="D287" s="10" t="n">
        <x:v>1</x:v>
      </x:c>
      <x:c r="E287" s="10" t="n">
        <x:v>1</x:v>
      </x:c>
      <x:c r="F287" s="4" t="n">
        <x:f>IF(COUNT(N287,Q287,T287,W287,Z287,AC287,AF287,AI287)=8,N287*Guide!$E$5+Q287*Guide!$E$6+T287*Guide!$E$7+W287*Guide!$E$8+Z287*Guide!$E$9+AC287*Guide!$E$10+AF287*Guide!$E$11+AI287*Guide!$E$12,"")</x:f>
        <x:v>256.75</x:v>
      </x:c>
      <x:c r="G287" s="4" t="n">
        <x:f>IF(COUNT(O287,R287,U287,X287,AA287,AD287,AG287,AJ287)=8,O287*Guide!$E$5+R287*Guide!$E$6+U287*Guide!$E$7+X287*Guide!$E$8+AA287*Guide!$E$9+AD287*Guide!$E$10+AG287*Guide!$E$11+AJ287*Guide!$E$12,"")</x:f>
        <x:v>230</x:v>
      </x:c>
      <x:c r="H287" s="4" t="n">
        <x:f>IF(COUNT(G287,F287)=2,G287-F287,"")</x:f>
        <x:v>-26.75</x:v>
      </x:c>
      <x:c r="I287" s="4" t="n">
        <x:f>IF(AND(ISNUMBER(F287),K287&gt;0),F287/K287,"")</x:f>
        <x:v>3.209375</x:v>
      </x:c>
      <x:c r="J287" s="4" t="n">
        <x:f>IF(AND(ISNUMBER(G287),L287&gt;0),G287/L287,"")</x:f>
        <x:v>2.8048780487804876</x:v>
      </x:c>
      <x:c r="K287" s="10" t="n">
        <x:v>80</x:v>
      </x:c>
      <x:c r="L287" s="10" t="n">
        <x:v>82</x:v>
      </x:c>
      <x:c r="M287" s="10" t="n">
        <x:f>IF(COUNT(L287,K287)=2,L287-K287,"")</x:f>
        <x:v>2</x:v>
      </x:c>
      <x:c r="N287" s="10" t="n">
        <x:v>17</x:v>
      </x:c>
      <x:c r="O287" s="10" t="n">
        <x:v>22</x:v>
      </x:c>
      <x:c r="P287" s="10" t="n">
        <x:f>IF(COUNT(O287,N287)=2,O287-N287,"")</x:f>
        <x:v>5</x:v>
      </x:c>
      <x:c r="Q287" s="10" t="n">
        <x:v>27</x:v>
      </x:c>
      <x:c r="R287" s="10" t="n">
        <x:v>21</x:v>
      </x:c>
      <x:c r="S287" s="10" t="n">
        <x:f>IF(COUNT(R287,Q287)=2,R287-Q287,"")</x:f>
        <x:v>-6</x:v>
      </x:c>
      <x:c r="T287" s="10" t="n">
        <x:v>-1</x:v>
      </x:c>
      <x:c r="U287" s="10" t="n">
        <x:v>-16</x:v>
      </x:c>
      <x:c r="V287" s="10" t="n">
        <x:f>IF(COUNT(U287,T287)=2,U287-T287,"")</x:f>
        <x:v>-15</x:v>
      </x:c>
      <x:c r="W287" s="10" t="n">
        <x:v>12</x:v>
      </x:c>
      <x:c r="X287" s="10" t="n">
        <x:f>IF(COUNT(AV287,AW287)=2,AV287+AW287,"")</x:f>
        <x:v>16</x:v>
      </x:c>
      <x:c r="Y287" s="10" t="n">
        <x:f>IF(COUNT(X287,W287)=2,X287-W287,"")</x:f>
        <x:v>4</x:v>
      </x:c>
      <x:c r="Z287" s="10" t="n">
        <x:v>0</x:v>
      </x:c>
      <x:c r="AA287" s="10" t="n">
        <x:f>IF(COUNT(AX287,AY287)=2,AX287+AY287,"")</x:f>
        <x:v>0</x:v>
      </x:c>
      <x:c r="AB287" s="10" t="n">
        <x:f>IF(COUNT(AA287,Z287)=2,AA287-Z287,"")</x:f>
        <x:v>0</x:v>
      </x:c>
      <x:c r="AC287" s="10" t="n">
        <x:v>138</x:v>
      </x:c>
      <x:c r="AD287" s="10" t="n">
        <x:v>140</x:v>
      </x:c>
      <x:c r="AE287" s="10" t="n">
        <x:f>IF(COUNT(AD287,AC287)=2,AD287-AC287,"")</x:f>
        <x:v>2</x:v>
      </x:c>
      <x:c r="AF287" s="10" t="n">
        <x:v>69</x:v>
      </x:c>
      <x:c r="AG287" s="10" t="n">
        <x:v>59</x:v>
      </x:c>
      <x:c r="AH287" s="10" t="n">
        <x:f>IF(COUNT(AG287,AF287)=2,AG287-AF287,"")</x:f>
        <x:v>-10</x:v>
      </x:c>
      <x:c r="AI287" s="10" t="n">
        <x:v>60</x:v>
      </x:c>
      <x:c r="AJ287" s="10" t="n">
        <x:v>39</x:v>
      </x:c>
      <x:c r="AK287" s="10" t="n">
        <x:f>IF(COUNT(AJ287,AI287)=2,AJ287-AI287,"")</x:f>
        <x:v>-21</x:v>
      </x:c>
      <x:c r="AL287" s="10" t="n">
        <x:v>26</x:v>
      </x:c>
      <x:c r="AM287" s="10" t="n">
        <x:v>26</x:v>
      </x:c>
      <x:c r="AN287" s="4" t="str">
        <x:v>C</x:v>
      </x:c>
      <x:c r="AO287" s="4" t="str">
        <x:v>C</x:v>
      </x:c>
      <x:c r="AP287" s="4" t="str">
        <x:v>CGY</x:v>
      </x:c>
      <x:c r="AQ287" s="4" t="str">
        <x:v>CGY</x:v>
      </x:c>
      <x:c r="AR287" s="4" t="n">
        <x:v>15.95</x:v>
      </x:c>
      <x:c r="AS287" s="4" t="n">
        <x:v>15.5</x:v>
      </x:c>
      <x:c r="AT287" s="4" t="n">
        <x:v>2.51</x:v>
      </x:c>
      <x:c r="AU287" s="4" t="n">
        <x:v>15.7</x:v>
      </x:c>
      <x:c r="AV287" s="10" t="n">
        <x:v>8</x:v>
      </x:c>
      <x:c r="AW287" s="10" t="n">
        <x:v>8</x:v>
      </x:c>
      <x:c r="AX287" s="10" t="n">
        <x:v>0</x:v>
      </x:c>
      <x:c r="AY287" s="10" t="n">
        <x:v>0</x:v>
      </x:c>
      <x:c r="AZ287" s="10" t="n">
        <x:v>1006</x:v>
      </x:c>
      <x:c r="BA287" s="10" t="n">
        <x:v>1013</x:v>
      </x:c>
      <x:c r="BB287" s="4" t="n">
        <x:v>49.8</x:v>
      </x:c>
      <x:c r="BC287" s="4" t="n">
        <x:v>1.2</x:v>
      </x:c>
      <x:c r="BD287" s="10" t="n">
        <x:v>727</x:v>
      </x:c>
      <x:c r="BE287" s="10" t="n">
        <x:v>747</x:v>
      </x:c>
      <x:c r="BF287" s="4" t="n">
        <x:v>49.3</x:v>
      </x:c>
      <x:c r="BG287" s="4" t="n">
        <x:v>1.1</x:v>
      </x:c>
      <x:c r="BH287" s="4" t="n">
        <x:v>9.3</x:v>
      </x:c>
      <x:c r="BI287" s="4" t="n">
        <x:v>87.7</x:v>
      </x:c>
      <x:c r="BJ287" s="4" t="n">
        <x:v>97</x:v>
      </x:c>
      <x:c r="BK287" s="4" t="n">
        <x:v>66.8</x:v>
      </x:c>
      <x:c r="BL287" s="4" t="n">
        <x:v>33.2</x:v>
      </x:c>
      <x:c r="BM287" s="4" t="n">
        <x:v>15.5</x:v>
      </x:c>
      <x:c r="BN287" s="4" t="n">
        <x:v>12.8</x:v>
      </x:c>
      <x:c r="BO287" s="10" t="n">
        <x:v>20</x:v>
      </x:c>
      <x:c r="BP287" s="10" t="n">
        <x:v>48</x:v>
      </x:c>
      <x:c r="BQ287" s="4" t="n">
        <x:v>-1.4</x:v>
      </x:c>
      <x:c r="BR287" s="10" t="n">
        <x:v>265</x:v>
      </x:c>
      <x:c r="BS287" s="4" t="n">
        <x:v>52.8</x:v>
      </x:c>
      <x:c r="BT287" s="10" t="n">
        <x:v>82</x:v>
      </x:c>
      <x:c r="BU287" s="4" t="str">
        <x:v>CGY</x:v>
      </x:c>
      <x:c r="BV287" s="10" t="n">
        <x:v>210</x:v>
      </x:c>
      <x:c r="BW287" s="10" t="n">
        <x:v>193</x:v>
      </x:c>
      <x:c r="BX287" s="10" t="n">
        <x:v>317</x:v>
      </x:c>
      <x:c r="BY287" s="4" t="str">
        <x:v>Morgan Frost</x:v>
      </x:c>
      <x:c r="BZ287" s="4" t="str">
        <x:v>Morgan Frost</x:v>
      </x:c>
      <x:c r="CA287" s="4" t="str">
        <x:v>Morgan Frost</x:v>
      </x:c>
      <x:c r="CB287" s="4" t="str">
        <x:v>frostmo01</x:v>
      </x:c>
    </x:row>
    <x:row r="288" ht="22" customHeight="1">
      <x:c r="A288" s="4" t="str">
        <x:v>Morgan Geekie</x:v>
      </x:c>
      <x:c r="B288" s="4" t="str">
        <x:v>morgangeekie</x:v>
      </x:c>
      <x:c r="C288" s="10" t="n">
        <x:v>1</x:v>
      </x:c>
      <x:c r="D288" s="10" t="n">
        <x:v>1</x:v>
      </x:c>
      <x:c r="E288" s="10" t="n">
        <x:v>1</x:v>
      </x:c>
      <x:c r="F288" s="4" t="n">
        <x:f>IF(COUNT(N288,Q288,T288,W288,Z288,AC288,AF288,AI288)=8,N288*Guide!$E$5+Q288*Guide!$E$6+T288*Guide!$E$7+W288*Guide!$E$8+Z288*Guide!$E$9+AC288*Guide!$E$10+AF288*Guide!$E$11+AI288*Guide!$E$12,"")</x:f>
        <x:v>284.25</x:v>
      </x:c>
      <x:c r="G288" s="4" t="n">
        <x:f>IF(COUNT(O288,R288,U288,X288,AA288,AD288,AG288,AJ288)=8,O288*Guide!$E$5+R288*Guide!$E$6+U288*Guide!$E$7+X288*Guide!$E$8+AA288*Guide!$E$9+AD288*Guide!$E$10+AG288*Guide!$E$11+AJ288*Guide!$E$12,"")</x:f>
        <x:v>360.25</x:v>
      </x:c>
      <x:c r="H288" s="4" t="n">
        <x:f>IF(COUNT(G288,F288)=2,G288-F288,"")</x:f>
        <x:v>76</x:v>
      </x:c>
      <x:c r="I288" s="4" t="n">
        <x:f>IF(AND(ISNUMBER(F288),K288&gt;0),F288/K288,"")</x:f>
        <x:v>3.644230769230769</x:v>
      </x:c>
      <x:c r="J288" s="4" t="n">
        <x:f>IF(AND(ISNUMBER(G288),L288&gt;0),G288/L288,"")</x:f>
        <x:v>4.447530864197531</x:v>
      </x:c>
      <x:c r="K288" s="10" t="n">
        <x:v>78</x:v>
      </x:c>
      <x:c r="L288" s="10" t="n">
        <x:v>81</x:v>
      </x:c>
      <x:c r="M288" s="10" t="n">
        <x:f>IF(COUNT(L288,K288)=2,L288-K288,"")</x:f>
        <x:v>3</x:v>
      </x:c>
      <x:c r="N288" s="10" t="n">
        <x:v>24</x:v>
      </x:c>
      <x:c r="O288" s="10" t="n">
        <x:v>39</x:v>
      </x:c>
      <x:c r="P288" s="10" t="n">
        <x:f>IF(COUNT(O288,N288)=2,O288-N288,"")</x:f>
        <x:v>15</x:v>
      </x:c>
      <x:c r="Q288" s="10" t="n">
        <x:v>26</x:v>
      </x:c>
      <x:c r="R288" s="10" t="n">
        <x:v>29</x:v>
      </x:c>
      <x:c r="S288" s="10" t="n">
        <x:f>IF(COUNT(R288,Q288)=2,R288-Q288,"")</x:f>
        <x:v>3</x:v>
      </x:c>
      <x:c r="T288" s="10" t="n">
        <x:v>6</x:v>
      </x:c>
      <x:c r="U288" s="10" t="n">
        <x:v>-5</x:v>
      </x:c>
      <x:c r="V288" s="10" t="n">
        <x:f>IF(COUNT(U288,T288)=2,U288-T288,"")</x:f>
        <x:v>-11</x:v>
      </x:c>
      <x:c r="W288" s="10" t="n">
        <x:v>11</x:v>
      </x:c>
      <x:c r="X288" s="10" t="n">
        <x:f>IF(COUNT(AV288,AW288)=2,AV288+AW288,"")</x:f>
        <x:v>24</x:v>
      </x:c>
      <x:c r="Y288" s="10" t="n">
        <x:f>IF(COUNT(X288,W288)=2,X288-W288,"")</x:f>
        <x:v>13</x:v>
      </x:c>
      <x:c r="Z288" s="10" t="n">
        <x:v>0</x:v>
      </x:c>
      <x:c r="AA288" s="10" t="n">
        <x:f>IF(COUNT(AX288,AY288)=2,AX288+AY288,"")</x:f>
        <x:v>0</x:v>
      </x:c>
      <x:c r="AB288" s="10" t="n">
        <x:f>IF(COUNT(AA288,Z288)=2,AA288-Z288,"")</x:f>
        <x:v>0</x:v>
      </x:c>
      <x:c r="AC288" s="10" t="n">
        <x:v>139</x:v>
      </x:c>
      <x:c r="AD288" s="10" t="n">
        <x:v>181</x:v>
      </x:c>
      <x:c r="AE288" s="10" t="n">
        <x:f>IF(COUNT(AD288,AC288)=2,AD288-AC288,"")</x:f>
        <x:v>42</x:v>
      </x:c>
      <x:c r="AF288" s="10" t="n">
        <x:v>111</x:v>
      </x:c>
      <x:c r="AG288" s="10" t="n">
        <x:v>110</x:v>
      </x:c>
      <x:c r="AH288" s="10" t="n">
        <x:f>IF(COUNT(AG288,AF288)=2,AG288-AF288,"")</x:f>
        <x:v>-1</x:v>
      </x:c>
      <x:c r="AI288" s="10" t="n">
        <x:v>41</x:v>
      </x:c>
      <x:c r="AJ288" s="10" t="n">
        <x:v>34</x:v>
      </x:c>
      <x:c r="AK288" s="10" t="n">
        <x:f>IF(COUNT(AJ288,AI288)=2,AJ288-AI288,"")</x:f>
        <x:v>-7</x:v>
      </x:c>
      <x:c r="AL288" s="10" t="n">
        <x:v>27</x:v>
      </x:c>
      <x:c r="AM288" s="10" t="n">
        <x:v>27</x:v>
      </x:c>
      <x:c r="AN288" s="4" t="str">
        <x:v>C,LW,RW</x:v>
      </x:c>
      <x:c r="AO288" s="4" t="str">
        <x:v>C</x:v>
      </x:c>
      <x:c r="AP288" s="4" t="str">
        <x:v>BOS</x:v>
      </x:c>
      <x:c r="AQ288" s="4" t="str">
        <x:v>BOS</x:v>
      </x:c>
      <x:c r="AR288" s="4" t="n">
        <x:v>16.4</x:v>
      </x:c>
      <x:c r="AS288" s="4" t="n">
        <x:v>17.4</x:v>
      </x:c>
      <x:c r="AT288" s="4" t="n">
        <x:v>1.82</x:v>
      </x:c>
      <x:c r="AU288" s="4" t="n">
        <x:v>21.5</x:v>
      </x:c>
      <x:c r="AV288" s="10" t="n">
        <x:v>12</x:v>
      </x:c>
      <x:c r="AW288" s="10" t="n">
        <x:v>12</x:v>
      </x:c>
      <x:c r="AX288" s="10" t="n">
        <x:v>0</x:v>
      </x:c>
      <x:c r="AY288" s="10" t="n">
        <x:v>0</x:v>
      </x:c>
      <x:c r="AZ288" s="10" t="n">
        <x:v>1142</x:v>
      </x:c>
      <x:c r="BA288" s="10" t="n">
        <x:v>1182</x:v>
      </x:c>
      <x:c r="BB288" s="4" t="n">
        <x:v>49.1</x:v>
      </x:c>
      <x:c r="BC288" s="4" t="n">
        <x:v>0.6</x:v>
      </x:c>
      <x:c r="BD288" s="10" t="n">
        <x:v>797</x:v>
      </x:c>
      <x:c r="BE288" s="10" t="n">
        <x:v>859</x:v>
      </x:c>
      <x:c r="BF288" s="4" t="n">
        <x:v>48.1</x:v>
      </x:c>
      <x:c r="BG288" s="4" t="n">
        <x:v>-1.1</x:v>
      </x:c>
      <x:c r="BH288" s="4" t="n">
        <x:v>11.9</x:v>
      </x:c>
      <x:c r="BI288" s="4" t="n">
        <x:v>89.6</x:v>
      </x:c>
      <x:c r="BJ288" s="4" t="n">
        <x:v>101.6</x:v>
      </x:c>
      <x:c r="BK288" s="4" t="n">
        <x:v>54.6</x:v>
      </x:c>
      <x:c r="BL288" s="4" t="n">
        <x:v>45.4</x:v>
      </x:c>
      <x:c r="BM288" s="4" t="n">
        <x:v>17.4</x:v>
      </x:c>
      <x:c r="BN288" s="4" t="n">
        <x:v>14.416666666666666</x:v>
      </x:c>
      <x:c r="BO288" s="10" t="n">
        <x:v>20</x:v>
      </x:c>
      <x:c r="BP288" s="10" t="n">
        <x:v>78</x:v>
      </x:c>
      <x:c r="BQ288" s="4" t="n">
        <x:v>-8.2</x:v>
      </x:c>
      <x:c r="BR288" s="10" t="n">
        <x:v>355</x:v>
      </x:c>
      <x:c r="BS288" s="4" t="n">
        <x:v>51</x:v>
      </x:c>
      <x:c r="BT288" s="10" t="n">
        <x:v>81</x:v>
      </x:c>
      <x:c r="BU288" s="4" t="str">
        <x:v>BOS</x:v>
      </x:c>
      <x:c r="BV288" s="10" t="n">
        <x:v>156</x:v>
      </x:c>
      <x:c r="BW288" s="10" t="n">
        <x:v>61</x:v>
      </x:c>
      <x:c r="BX288" s="10" t="n">
        <x:v>332</x:v>
      </x:c>
      <x:c r="BY288" s="4" t="str">
        <x:v>Morgan Geekie</x:v>
      </x:c>
      <x:c r="BZ288" s="4" t="str">
        <x:v>Morgan Geekie</x:v>
      </x:c>
      <x:c r="CA288" s="4" t="str">
        <x:v>Morgan Geekie</x:v>
      </x:c>
      <x:c r="CB288" s="4" t="str">
        <x:v>geekimo01</x:v>
      </x:c>
    </x:row>
    <x:row r="289" ht="22" customHeight="1">
      <x:c r="A289" s="4" t="str">
        <x:v>Morgan Rielly</x:v>
      </x:c>
      <x:c r="B289" s="4" t="str">
        <x:v>morganrielly</x:v>
      </x:c>
      <x:c r="C289" s="10" t="n">
        <x:v>1</x:v>
      </x:c>
      <x:c r="D289" s="10" t="n">
        <x:v>1</x:v>
      </x:c>
      <x:c r="E289" s="10" t="n">
        <x:v>1</x:v>
      </x:c>
      <x:c r="F289" s="4" t="n">
        <x:f>IF(COUNT(N289,Q289,T289,W289,Z289,AC289,AF289,AI289)=8,N289*Guide!$E$5+Q289*Guide!$E$6+T289*Guide!$E$7+W289*Guide!$E$8+Z289*Guide!$E$9+AC289*Guide!$E$10+AF289*Guide!$E$11+AI289*Guide!$E$12,"")</x:f>
        <x:v>311.75</x:v>
      </x:c>
      <x:c r="G289" s="4" t="n">
        <x:f>IF(COUNT(O289,R289,U289,X289,AA289,AD289,AG289,AJ289)=8,O289*Guide!$E$5+R289*Guide!$E$6+U289*Guide!$E$7+X289*Guide!$E$8+AA289*Guide!$E$9+AD289*Guide!$E$10+AG289*Guide!$E$11+AJ289*Guide!$E$12,"")</x:f>
        <x:v>236.5</x:v>
      </x:c>
      <x:c r="H289" s="4" t="n">
        <x:f>IF(COUNT(G289,F289)=2,G289-F289,"")</x:f>
        <x:v>-75.25</x:v>
      </x:c>
      <x:c r="I289" s="4" t="n">
        <x:f>IF(AND(ISNUMBER(F289),K289&gt;0),F289/K289,"")</x:f>
        <x:v>3.896875</x:v>
      </x:c>
      <x:c r="J289" s="4" t="n">
        <x:f>IF(AND(ISNUMBER(G289),L289&gt;0),G289/L289,"")</x:f>
        <x:v>3.032051282051282</x:v>
      </x:c>
      <x:c r="K289" s="10" t="n">
        <x:v>80</x:v>
      </x:c>
      <x:c r="L289" s="10" t="n">
        <x:v>78</x:v>
      </x:c>
      <x:c r="M289" s="10" t="n">
        <x:f>IF(COUNT(L289,K289)=2,L289-K289,"")</x:f>
        <x:v>-2</x:v>
      </x:c>
      <x:c r="N289" s="10" t="n">
        <x:v>8</x:v>
      </x:c>
      <x:c r="O289" s="10" t="n">
        <x:v>11</x:v>
      </x:c>
      <x:c r="P289" s="10" t="n">
        <x:f>IF(COUNT(O289,N289)=2,O289-N289,"")</x:f>
        <x:v>3</x:v>
      </x:c>
      <x:c r="Q289" s="10" t="n">
        <x:v>42</x:v>
      </x:c>
      <x:c r="R289" s="10" t="n">
        <x:v>25</x:v>
      </x:c>
      <x:c r="S289" s="10" t="n">
        <x:f>IF(COUNT(R289,Q289)=2,R289-Q289,"")</x:f>
        <x:v>-17</x:v>
      </x:c>
      <x:c r="T289" s="10" t="n">
        <x:v>-5</x:v>
      </x:c>
      <x:c r="U289" s="10" t="n">
        <x:v>-18</x:v>
      </x:c>
      <x:c r="V289" s="10" t="n">
        <x:f>IF(COUNT(U289,T289)=2,U289-T289,"")</x:f>
        <x:v>-13</x:v>
      </x:c>
      <x:c r="W289" s="10" t="n">
        <x:v>18</x:v>
      </x:c>
      <x:c r="X289" s="10" t="n">
        <x:f>IF(COUNT(AV289,AW289)=2,AV289+AW289,"")</x:f>
        <x:v>6</x:v>
      </x:c>
      <x:c r="Y289" s="10" t="n">
        <x:f>IF(COUNT(X289,W289)=2,X289-W289,"")</x:f>
        <x:v>-12</x:v>
      </x:c>
      <x:c r="Z289" s="10" t="n">
        <x:v>0</x:v>
      </x:c>
      <x:c r="AA289" s="10" t="n">
        <x:f>IF(COUNT(AX289,AY289)=2,AX289+AY289,"")</x:f>
        <x:v>0</x:v>
      </x:c>
      <x:c r="AB289" s="10" t="n">
        <x:f>IF(COUNT(AA289,Z289)=2,AA289-Z289,"")</x:f>
        <x:v>0</x:v>
      </x:c>
      <x:c r="AC289" s="10" t="n">
        <x:v>142</x:v>
      </x:c>
      <x:c r="AD289" s="10" t="n">
        <x:v>141</x:v>
      </x:c>
      <x:c r="AE289" s="10" t="n">
        <x:f>IF(COUNT(AD289,AC289)=2,AD289-AC289,"")</x:f>
        <x:v>-1</x:v>
      </x:c>
      <x:c r="AF289" s="10" t="n">
        <x:v>37</x:v>
      </x:c>
      <x:c r="AG289" s="10" t="n">
        <x:v>35</x:v>
      </x:c>
      <x:c r="AH289" s="10" t="n">
        <x:f>IF(COUNT(AG289,AF289)=2,AG289-AF289,"")</x:f>
        <x:v>-2</x:v>
      </x:c>
      <x:c r="AI289" s="10" t="n">
        <x:v>128</x:v>
      </x:c>
      <x:c r="AJ289" s="10" t="n">
        <x:v>114</x:v>
      </x:c>
      <x:c r="AK289" s="10" t="n">
        <x:f>IF(COUNT(AJ289,AI289)=2,AJ289-AI289,"")</x:f>
        <x:v>-14</x:v>
      </x:c>
      <x:c r="AL289" s="10" t="n">
        <x:v>31</x:v>
      </x:c>
      <x:c r="AM289" s="10" t="n">
        <x:v>31</x:v>
      </x:c>
      <x:c r="AN289" s="4" t="str">
        <x:v>D</x:v>
      </x:c>
      <x:c r="AO289" s="4" t="str">
        <x:v>D</x:v>
      </x:c>
      <x:c r="AP289" s="4" t="str">
        <x:v>TOR</x:v>
      </x:c>
      <x:c r="AQ289" s="4" t="str">
        <x:v>TOR</x:v>
      </x:c>
      <x:c r="AR289" s="4" t="n">
        <x:v>22.389999999999997</x:v>
      </x:c>
      <x:c r="AS289" s="4" t="n">
        <x:v>21.133333333333333</x:v>
      </x:c>
      <x:c r="AT289" s="4" t="n">
        <x:v>2.5</x:v>
      </x:c>
      <x:c r="AU289" s="4" t="n">
        <x:v>7.8</x:v>
      </x:c>
      <x:c r="AV289" s="10" t="n">
        <x:v>1</x:v>
      </x:c>
      <x:c r="AW289" s="10" t="n">
        <x:v>5</x:v>
      </x:c>
      <x:c r="AX289" s="10" t="n">
        <x:v>0</x:v>
      </x:c>
      <x:c r="AY289" s="10" t="n">
        <x:v>0</x:v>
      </x:c>
      <x:c r="AZ289" s="10" t="n">
        <x:v>1403</x:v>
      </x:c>
      <x:c r="BA289" s="10" t="n">
        <x:v>1507</x:v>
      </x:c>
      <x:c r="BB289" s="4" t="n">
        <x:v>48.2</x:v>
      </x:c>
      <x:c r="BC289" s="4" t="n">
        <x:v>5.2</x:v>
      </x:c>
      <x:c r="BD289" s="10" t="n">
        <x:v>1067</x:v>
      </x:c>
      <x:c r="BE289" s="10" t="n">
        <x:v>1139</x:v>
      </x:c>
      <x:c r="BF289" s="4" t="n">
        <x:v>48.4</x:v>
      </x:c>
      <x:c r="BG289" s="4" t="n">
        <x:v>4.6</x:v>
      </x:c>
      <x:c r="BH289" s="4" t="n">
        <x:v>11.1</x:v>
      </x:c>
      <x:c r="BI289" s="4" t="n">
        <x:v>88.2</x:v>
      </x:c>
      <x:c r="BJ289" s="4" t="n">
        <x:v>99.3</x:v>
      </x:c>
      <x:c r="BK289" s="4" t="n">
        <x:v>65.4</x:v>
      </x:c>
      <x:c r="BL289" s="4" t="n">
        <x:v>34.6</x:v>
      </x:c>
      <x:c r="BM289" s="4" t="n">
        <x:v>21.133333333333333</x:v>
      </x:c>
      <x:c r="BN289" s="4" t="n">
        <x:v>18.15</x:v>
      </x:c>
      <x:c r="BO289" s="10" t="n">
        <x:v>22</x:v>
      </x:c>
      <x:c r="BP289" s="10" t="n">
        <x:v>87</x:v>
      </x:c>
      <x:c r="BQ289" s="4" t="n">
        <x:v>-8.4</x:v>
      </x:c>
      <x:c r="BR289" s="10" t="n">
        <x:v>329</x:v>
      </x:c>
      <x:c r="BS289" s="4" t="n">
        <x:v>42.9</x:v>
      </x:c>
      <x:c r="BT289" s="10" t="n">
        <x:v>78</x:v>
      </x:c>
      <x:c r="BU289" s="4" t="str">
        <x:v>TOR</x:v>
      </x:c>
      <x:c r="BV289" s="10" t="n">
        <x:v>152</x:v>
      </x:c>
      <x:c r="BW289" s="10" t="n">
        <x:v>251</x:v>
      </x:c>
      <x:c r="BX289" s="10" t="n">
        <x:v>860</x:v>
      </x:c>
      <x:c r="BY289" s="4" t="str">
        <x:v>Morgan Rielly</x:v>
      </x:c>
      <x:c r="BZ289" s="4" t="str">
        <x:v>Morgan Rielly</x:v>
      </x:c>
      <x:c r="CA289" s="4" t="str">
        <x:v>Morgan Rielly</x:v>
      </x:c>
      <x:c r="CB289" s="4" t="str">
        <x:v>riellmo01</x:v>
      </x:c>
    </x:row>
    <x:row r="290" ht="22" customHeight="1">
      <x:c r="A290" s="4" t="str">
        <x:v>Moritz Seider</x:v>
      </x:c>
      <x:c r="B290" s="4" t="str">
        <x:v>moritzseider</x:v>
      </x:c>
      <x:c r="C290" s="10" t="n">
        <x:v>1</x:v>
      </x:c>
      <x:c r="D290" s="10" t="n">
        <x:v>1</x:v>
      </x:c>
      <x:c r="E290" s="10" t="n">
        <x:v>1</x:v>
      </x:c>
      <x:c r="F290" s="4" t="n">
        <x:f>IF(COUNT(N290,Q290,T290,W290,Z290,AC290,AF290,AI290)=8,N290*Guide!$E$5+Q290*Guide!$E$6+T290*Guide!$E$7+W290*Guide!$E$8+Z290*Guide!$E$9+AC290*Guide!$E$10+AF290*Guide!$E$11+AI290*Guide!$E$12,"")</x:f>
        <x:v>401.5</x:v>
      </x:c>
      <x:c r="G290" s="4" t="n">
        <x:f>IF(COUNT(O290,R290,U290,X290,AA290,AD290,AG290,AJ290)=8,O290*Guide!$E$5+R290*Guide!$E$6+U290*Guide!$E$7+X290*Guide!$E$8+AA290*Guide!$E$9+AD290*Guide!$E$10+AG290*Guide!$E$11+AJ290*Guide!$E$12,"")</x:f>
        <x:v>446.75</x:v>
      </x:c>
      <x:c r="H290" s="4" t="n">
        <x:f>IF(COUNT(G290,F290)=2,G290-F290,"")</x:f>
        <x:v>45.25</x:v>
      </x:c>
      <x:c r="I290" s="4" t="n">
        <x:f>IF(AND(ISNUMBER(F290),K290&gt;0),F290/K290,"")</x:f>
        <x:v>4.896341463414634</x:v>
      </x:c>
      <x:c r="J290" s="4" t="n">
        <x:f>IF(AND(ISNUMBER(G290),L290&gt;0),G290/L290,"")</x:f>
        <x:v>5.448170731707317</x:v>
      </x:c>
      <x:c r="K290" s="10" t="n">
        <x:v>82</x:v>
      </x:c>
      <x:c r="L290" s="10" t="n">
        <x:v>82</x:v>
      </x:c>
      <x:c r="M290" s="10" t="n">
        <x:f>IF(COUNT(L290,K290)=2,L290-K290,"")</x:f>
        <x:v>0</x:v>
      </x:c>
      <x:c r="N290" s="10" t="n">
        <x:v>9</x:v>
      </x:c>
      <x:c r="O290" s="10" t="n">
        <x:v>10</x:v>
      </x:c>
      <x:c r="P290" s="10" t="n">
        <x:f>IF(COUNT(O290,N290)=2,O290-N290,"")</x:f>
        <x:v>1</x:v>
      </x:c>
      <x:c r="Q290" s="10" t="n">
        <x:v>41</x:v>
      </x:c>
      <x:c r="R290" s="10" t="n">
        <x:v>50</x:v>
      </x:c>
      <x:c r="S290" s="10" t="n">
        <x:f>IF(COUNT(R290,Q290)=2,R290-Q290,"")</x:f>
        <x:v>9</x:v>
      </x:c>
      <x:c r="T290" s="10" t="n">
        <x:v>-9</x:v>
      </x:c>
      <x:c r="U290" s="10" t="n">
        <x:v>15</x:v>
      </x:c>
      <x:c r="V290" s="10" t="n">
        <x:f>IF(COUNT(U290,T290)=2,U290-T290,"")</x:f>
        <x:v>24</x:v>
      </x:c>
      <x:c r="W290" s="10" t="n">
        <x:v>22</x:v>
      </x:c>
      <x:c r="X290" s="10" t="n">
        <x:f>IF(COUNT(AV290,AW290)=2,AV290+AW290,"")</x:f>
        <x:v>28</x:v>
      </x:c>
      <x:c r="Y290" s="10" t="n">
        <x:f>IF(COUNT(X290,W290)=2,X290-W290,"")</x:f>
        <x:v>6</x:v>
      </x:c>
      <x:c r="Z290" s="10" t="n">
        <x:v>1</x:v>
      </x:c>
      <x:c r="AA290" s="10" t="n">
        <x:f>IF(COUNT(AX290,AY290)=2,AX290+AY290,"")</x:f>
        <x:v>0</x:v>
      </x:c>
      <x:c r="AB290" s="10" t="n">
        <x:f>IF(COUNT(AA290,Z290)=2,AA290-Z290,"")</x:f>
        <x:v>-1</x:v>
      </x:c>
      <x:c r="AC290" s="10" t="n">
        <x:v>154</x:v>
      </x:c>
      <x:c r="AD290" s="10" t="n">
        <x:v>187</x:v>
      </x:c>
      <x:c r="AE290" s="10" t="n">
        <x:f>IF(COUNT(AD290,AC290)=2,AD290-AC290,"")</x:f>
        <x:v>33</x:v>
      </x:c>
      <x:c r="AF290" s="10" t="n">
        <x:v>197</x:v>
      </x:c>
      <x:c r="AG290" s="10" t="n">
        <x:v>128</x:v>
      </x:c>
      <x:c r="AH290" s="10" t="n">
        <x:f>IF(COUNT(AG290,AF290)=2,AG290-AF290,"")</x:f>
        <x:v>-69</x:v>
      </x:c>
      <x:c r="AI290" s="10" t="n">
        <x:v>185</x:v>
      </x:c>
      <x:c r="AJ290" s="10" t="n">
        <x:v>180</x:v>
      </x:c>
      <x:c r="AK290" s="10" t="n">
        <x:f>IF(COUNT(AJ290,AI290)=2,AJ290-AI290,"")</x:f>
        <x:v>-5</x:v>
      </x:c>
      <x:c r="AL290" s="10" t="n">
        <x:v>24</x:v>
      </x:c>
      <x:c r="AM290" s="10" t="n">
        <x:v>24</x:v>
      </x:c>
      <x:c r="AN290" s="4" t="str">
        <x:v>D</x:v>
      </x:c>
      <x:c r="AO290" s="4" t="str">
        <x:v>D</x:v>
      </x:c>
      <x:c r="AP290" s="4" t="str">
        <x:v>DET</x:v>
      </x:c>
      <x:c r="AQ290" s="4" t="str">
        <x:v>DET</x:v>
      </x:c>
      <x:c r="AR290" s="4" t="n">
        <x:v>24.76</x:v>
      </x:c>
      <x:c r="AS290" s="4" t="n">
        <x:v>25.666666666666668</x:v>
      </x:c>
      <x:c r="AT290" s="4" t="n">
        <x:v>2.8</x:v>
      </x:c>
      <x:c r="AU290" s="4" t="n">
        <x:v>5.3</x:v>
      </x:c>
      <x:c r="AV290" s="10" t="n">
        <x:v>3</x:v>
      </x:c>
      <x:c r="AW290" s="10" t="n">
        <x:v>25</x:v>
      </x:c>
      <x:c r="AX290" s="10" t="n">
        <x:v>0</x:v>
      </x:c>
      <x:c r="AY290" s="10" t="n">
        <x:v>0</x:v>
      </x:c>
      <x:c r="AZ290" s="10" t="n">
        <x:v>1751</x:v>
      </x:c>
      <x:c r="BA290" s="10" t="n">
        <x:v>1544</x:v>
      </x:c>
      <x:c r="BB290" s="4" t="n">
        <x:v>53.1</x:v>
      </x:c>
      <x:c r="BC290" s="4" t="n">
        <x:v>6.9</x:v>
      </x:c>
      <x:c r="BD290" s="10" t="n">
        <x:v>1301</x:v>
      </x:c>
      <x:c r="BE290" s="10" t="n">
        <x:v>1045</x:v>
      </x:c>
      <x:c r="BF290" s="4" t="n">
        <x:v>55.5</x:v>
      </x:c>
      <x:c r="BG290" s="4" t="n">
        <x:v>9.2</x:v>
      </x:c>
      <x:c r="BH290" s="4" t="n">
        <x:v>11.1</x:v>
      </x:c>
      <x:c r="BI290" s="4" t="n">
        <x:v>88.2</x:v>
      </x:c>
      <x:c r="BJ290" s="4" t="n">
        <x:v>99.3</x:v>
      </x:c>
      <x:c r="BK290" s="4" t="n">
        <x:v>43.1</x:v>
      </x:c>
      <x:c r="BL290" s="4" t="n">
        <x:v>56.9</x:v>
      </x:c>
      <x:c r="BM290" s="4" t="n">
        <x:v>25.666666666666668</x:v>
      </x:c>
      <x:c r="BN290" s="4" t="n">
        <x:v>20.883333333333333</x:v>
      </x:c>
      <x:c r="BO290" s="10" t="n">
        <x:v>29</x:v>
      </x:c>
      <x:c r="BP290" s="10" t="n">
        <x:v>99</x:v>
      </x:c>
      <x:c r="BQ290" s="4" t="n">
        <x:v>17.6</x:v>
      </x:c>
      <x:c r="BR290" s="10" t="n">
        <x:v>409</x:v>
      </x:c>
      <x:c r="BS290" s="4" t="n">
        <x:v>45.7</x:v>
      </x:c>
      <x:c r="BT290" s="10" t="n">
        <x:v>82</x:v>
      </x:c>
      <x:c r="BU290" s="4" t="str">
        <x:v>DET</x:v>
      </x:c>
      <x:c r="BV290" s="10" t="n">
        <x:v>149</x:v>
      </x:c>
      <x:c r="BW290" s="10" t="n">
        <x:v>88</x:v>
      </x:c>
      <x:c r="BX290" s="10" t="n">
        <x:v>921</x:v>
      </x:c>
      <x:c r="BY290" s="4" t="str">
        <x:v>Moritz Seider</x:v>
      </x:c>
      <x:c r="BZ290" s="4" t="str">
        <x:v>Moritz Seider</x:v>
      </x:c>
      <x:c r="CA290" s="4" t="str">
        <x:v>Moritz Seider</x:v>
      </x:c>
      <x:c r="CB290" s="4" t="str">
        <x:v>seidemo01</x:v>
      </x:c>
    </x:row>
    <x:row r="291" ht="22" customHeight="1">
      <x:c r="A291" s="4" t="str">
        <x:v>Nate Schmidt</x:v>
      </x:c>
      <x:c r="B291" s="4" t="str">
        <x:v>nateschmidt</x:v>
      </x:c>
      <x:c r="C291" s="10" t="n">
        <x:v>1</x:v>
      </x:c>
      <x:c r="D291" s="10" t="n">
        <x:v>1</x:v>
      </x:c>
      <x:c r="E291" s="10" t="n">
        <x:v>1</x:v>
      </x:c>
      <x:c r="F291" s="4" t="n">
        <x:f>IF(COUNT(N291,Q291,T291,W291,Z291,AC291,AF291,AI291)=8,N291*Guide!$E$5+Q291*Guide!$E$6+T291*Guide!$E$7+W291*Guide!$E$8+Z291*Guide!$E$9+AC291*Guide!$E$10+AF291*Guide!$E$11+AI291*Guide!$E$12,"")</x:f>
        <x:v>188</x:v>
      </x:c>
      <x:c r="G291" s="4" t="n">
        <x:f>IF(COUNT(O291,R291,U291,X291,AA291,AD291,AG291,AJ291)=8,O291*Guide!$E$5+R291*Guide!$E$6+U291*Guide!$E$7+X291*Guide!$E$8+AA291*Guide!$E$9+AD291*Guide!$E$10+AG291*Guide!$E$11+AJ291*Guide!$E$12,"")</x:f>
        <x:v>214.25</x:v>
      </x:c>
      <x:c r="H291" s="4" t="n">
        <x:f>IF(COUNT(G291,F291)=2,G291-F291,"")</x:f>
        <x:v>26.25</x:v>
      </x:c>
      <x:c r="I291" s="4" t="n">
        <x:f>IF(AND(ISNUMBER(F291),K291&gt;0),F291/K291,"")</x:f>
        <x:v>2.41025641025641</x:v>
      </x:c>
      <x:c r="J291" s="4" t="n">
        <x:f>IF(AND(ISNUMBER(G291),L291&gt;0),G291/L291,"")</x:f>
        <x:v>2.6128048780487805</x:v>
      </x:c>
      <x:c r="K291" s="10" t="n">
        <x:v>78</x:v>
      </x:c>
      <x:c r="L291" s="10" t="n">
        <x:v>82</x:v>
      </x:c>
      <x:c r="M291" s="10" t="n">
        <x:f>IF(COUNT(L291,K291)=2,L291-K291,"")</x:f>
        <x:v>4</x:v>
      </x:c>
      <x:c r="N291" s="10" t="n">
        <x:v>5</x:v>
      </x:c>
      <x:c r="O291" s="10" t="n">
        <x:v>5</x:v>
      </x:c>
      <x:c r="P291" s="10" t="n">
        <x:f>IF(COUNT(O291,N291)=2,O291-N291,"")</x:f>
        <x:v>0</x:v>
      </x:c>
      <x:c r="Q291" s="10" t="n">
        <x:v>18</x:v>
      </x:c>
      <x:c r="R291" s="10" t="n">
        <x:v>17</x:v>
      </x:c>
      <x:c r="S291" s="10" t="n">
        <x:f>IF(COUNT(R291,Q291)=2,R291-Q291,"")</x:f>
        <x:v>-1</x:v>
      </x:c>
      <x:c r="T291" s="10" t="n">
        <x:v>11</x:v>
      </x:c>
      <x:c r="U291" s="10" t="n">
        <x:v>31</x:v>
      </x:c>
      <x:c r="V291" s="10" t="n">
        <x:f>IF(COUNT(U291,T291)=2,U291-T291,"")</x:f>
        <x:v>20</x:v>
      </x:c>
      <x:c r="W291" s="10" t="n">
        <x:v>7</x:v>
      </x:c>
      <x:c r="X291" s="10" t="n">
        <x:f>IF(COUNT(AV291,AW291)=2,AV291+AW291,"")</x:f>
        <x:v>0</x:v>
      </x:c>
      <x:c r="Y291" s="10" t="n">
        <x:f>IF(COUNT(X291,W291)=2,X291-W291,"")</x:f>
        <x:v>-7</x:v>
      </x:c>
      <x:c r="Z291" s="10" t="n">
        <x:v>0</x:v>
      </x:c>
      <x:c r="AA291" s="10" t="n">
        <x:f>IF(COUNT(AX291,AY291)=2,AX291+AY291,"")</x:f>
        <x:v>0</x:v>
      </x:c>
      <x:c r="AB291" s="10" t="n">
        <x:f>IF(COUNT(AA291,Z291)=2,AA291-Z291,"")</x:f>
        <x:v>0</x:v>
      </x:c>
      <x:c r="AC291" s="10" t="n">
        <x:v>78</x:v>
      </x:c>
      <x:c r="AD291" s="10" t="n">
        <x:v>86</x:v>
      </x:c>
      <x:c r="AE291" s="10" t="n">
        <x:f>IF(COUNT(AD291,AC291)=2,AD291-AC291,"")</x:f>
        <x:v>8</x:v>
      </x:c>
      <x:c r="AF291" s="10" t="n">
        <x:v>72</x:v>
      </x:c>
      <x:c r="AG291" s="10" t="n">
        <x:v>78</x:v>
      </x:c>
      <x:c r="AH291" s="10" t="n">
        <x:f>IF(COUNT(AG291,AF291)=2,AG291-AF291,"")</x:f>
        <x:v>6</x:v>
      </x:c>
      <x:c r="AI291" s="10" t="n">
        <x:v>78</x:v>
      </x:c>
      <x:c r="AJ291" s="10" t="n">
        <x:v>95</x:v>
      </x:c>
      <x:c r="AK291" s="10" t="n">
        <x:f>IF(COUNT(AJ291,AI291)=2,AJ291-AI291,"")</x:f>
        <x:v>17</x:v>
      </x:c>
      <x:c r="AL291" s="10" t="n">
        <x:v>34</x:v>
      </x:c>
      <x:c r="AM291" s="10" t="n">
        <x:v>34</x:v>
      </x:c>
      <x:c r="AN291" s="4" t="str">
        <x:v>D</x:v>
      </x:c>
      <x:c r="AO291" s="4" t="str">
        <x:v>D</x:v>
      </x:c>
      <x:c r="AP291" s="4" t="str">
        <x:v>UTA</x:v>
      </x:c>
      <x:c r="AQ291" s="4" t="str">
        <x:v>UTA</x:v>
      </x:c>
      <x:c r="AR291" s="4" t="n">
        <x:v>16.6</x:v>
      </x:c>
      <x:c r="AS291" s="4" t="n">
        <x:v>19.7</x:v>
      </x:c>
      <x:c r="AT291" s="4" t="n">
        <x:v>1.27</x:v>
      </x:c>
      <x:c r="AU291" s="4" t="n">
        <x:v>5.8</x:v>
      </x:c>
      <x:c r="AV291" s="10" t="n">
        <x:v>0</x:v>
      </x:c>
      <x:c r="AW291" s="10" t="n">
        <x:v>0</x:v>
      </x:c>
      <x:c r="AX291" s="10" t="n">
        <x:v>0</x:v>
      </x:c>
      <x:c r="AY291" s="10" t="n">
        <x:v>0</x:v>
      </x:c>
      <x:c r="AZ291" s="10" t="n">
        <x:v>1423</x:v>
      </x:c>
      <x:c r="BA291" s="10" t="n">
        <x:v>1177</x:v>
      </x:c>
      <x:c r="BB291" s="4" t="n">
        <x:v>54.7</x:v>
      </x:c>
      <x:c r="BC291" s="4" t="n">
        <x:v>2.2</x:v>
      </x:c>
      <x:c r="BD291" s="10" t="n">
        <x:v>1019</x:v>
      </x:c>
      <x:c r="BE291" s="10" t="n">
        <x:v>866</x:v>
      </x:c>
      <x:c r="BF291" s="4" t="n">
        <x:v>54.1</x:v>
      </x:c>
      <x:c r="BG291" s="4" t="n">
        <x:v>1.5</x:v>
      </x:c>
      <x:c r="BH291" s="4" t="n">
        <x:v>12.4</x:v>
      </x:c>
      <x:c r="BI291" s="4" t="n">
        <x:v>90.6</x:v>
      </x:c>
      <x:c r="BJ291" s="4" t="n">
        <x:v>103</x:v>
      </x:c>
      <x:c r="BK291" s="4" t="n">
        <x:v>51.1</x:v>
      </x:c>
      <x:c r="BL291" s="4" t="n">
        <x:v>48.9</x:v>
      </x:c>
      <x:c r="BM291" s="4" t="n">
        <x:v>19.7</x:v>
      </x:c>
      <x:c r="BN291" s="4" t="n">
        <x:v>17.083333333333332</x:v>
      </x:c>
      <x:c r="BO291" s="10" t="n">
        <x:v>14</x:v>
      </x:c>
      <x:c r="BP291" s="10" t="n">
        <x:v>75</x:v>
      </x:c>
      <x:c r="BQ291" s="4" t="n">
        <x:v>13.8</x:v>
      </x:c>
      <x:c r="BR291" s="10" t="n">
        <x:v>232</x:v>
      </x:c>
      <x:c r="BS291" s="4" t="n">
        <x:v>37.1</x:v>
      </x:c>
      <x:c r="BT291" s="10" t="n">
        <x:v>82</x:v>
      </x:c>
      <x:c r="BU291" s="4" t="str">
        <x:v>UTA</x:v>
      </x:c>
      <x:c r="BV291" s="10" t="n">
        <x:v>469</x:v>
      </x:c>
      <x:c r="BW291" s="10" t="n">
        <x:v>437</x:v>
      </x:c>
      <x:c r="BX291" s="10" t="n">
        <x:v>911</x:v>
      </x:c>
      <x:c r="BY291" s="4" t="str">
        <x:v>Nate Schmidt</x:v>
      </x:c>
      <x:c r="BZ291" s="4" t="str">
        <x:v>Nate Schmidt</x:v>
      </x:c>
      <x:c r="CA291" s="4" t="str">
        <x:v>Nate Schmidt</x:v>
      </x:c>
      <x:c r="CB291" s="4" t="str">
        <x:v>schmina01</x:v>
      </x:c>
    </x:row>
    <x:row r="292" ht="22" customHeight="1">
      <x:c r="A292" s="4" t="str">
        <x:v>Nathan MacKinnon</x:v>
      </x:c>
      <x:c r="B292" s="4" t="str">
        <x:v>nathanmackinnon</x:v>
      </x:c>
      <x:c r="C292" s="10" t="n">
        <x:v>1</x:v>
      </x:c>
      <x:c r="D292" s="10" t="n">
        <x:v>1</x:v>
      </x:c>
      <x:c r="E292" s="10" t="n">
        <x:v>1</x:v>
      </x:c>
      <x:c r="F292" s="4" t="n">
        <x:f>IF(COUNT(N292,Q292,T292,W292,Z292,AC292,AF292,AI292)=8,N292*Guide!$E$5+Q292*Guide!$E$6+T292*Guide!$E$7+W292*Guide!$E$8+Z292*Guide!$E$9+AC292*Guide!$E$10+AF292*Guide!$E$11+AI292*Guide!$E$12,"")</x:f>
        <x:v>580</x:v>
      </x:c>
      <x:c r="G292" s="4" t="n">
        <x:f>IF(COUNT(O292,R292,U292,X292,AA292,AD292,AG292,AJ292)=8,O292*Guide!$E$5+R292*Guide!$E$6+U292*Guide!$E$7+X292*Guide!$E$8+AA292*Guide!$E$9+AD292*Guide!$E$10+AG292*Guide!$E$11+AJ292*Guide!$E$12,"")</x:f>
        <x:v>650.75</x:v>
      </x:c>
      <x:c r="H292" s="4" t="n">
        <x:f>IF(COUNT(G292,F292)=2,G292-F292,"")</x:f>
        <x:v>70.75</x:v>
      </x:c>
      <x:c r="I292" s="4" t="n">
        <x:f>IF(AND(ISNUMBER(F292),K292&gt;0),F292/K292,"")</x:f>
        <x:v>7.25</x:v>
      </x:c>
      <x:c r="J292" s="4" t="n">
        <x:f>IF(AND(ISNUMBER(G292),L292&gt;0),G292/L292,"")</x:f>
        <x:v>8.134375</x:v>
      </x:c>
      <x:c r="K292" s="10" t="n">
        <x:v>80</x:v>
      </x:c>
      <x:c r="L292" s="10" t="n">
        <x:v>80</x:v>
      </x:c>
      <x:c r="M292" s="10" t="n">
        <x:f>IF(COUNT(L292,K292)=2,L292-K292,"")</x:f>
        <x:v>0</x:v>
      </x:c>
      <x:c r="N292" s="10" t="n">
        <x:v>39</x:v>
      </x:c>
      <x:c r="O292" s="10" t="n">
        <x:v>53</x:v>
      </x:c>
      <x:c r="P292" s="10" t="n">
        <x:f>IF(COUNT(O292,N292)=2,O292-N292,"")</x:f>
        <x:v>14</x:v>
      </x:c>
      <x:c r="Q292" s="10" t="n">
        <x:v>76</x:v>
      </x:c>
      <x:c r="R292" s="10" t="n">
        <x:v>74</x:v>
      </x:c>
      <x:c r="S292" s="10" t="n">
        <x:f>IF(COUNT(R292,Q292)=2,R292-Q292,"")</x:f>
        <x:v>-2</x:v>
      </x:c>
      <x:c r="T292" s="10" t="n">
        <x:v>26</x:v>
      </x:c>
      <x:c r="U292" s="10" t="n">
        <x:v>57</x:v>
      </x:c>
      <x:c r="V292" s="10" t="n">
        <x:f>IF(COUNT(U292,T292)=2,U292-T292,"")</x:f>
        <x:v>31</x:v>
      </x:c>
      <x:c r="W292" s="10" t="n">
        <x:v>35</x:v>
      </x:c>
      <x:c r="X292" s="10" t="n">
        <x:f>IF(COUNT(AV292,AW292)=2,AV292+AW292,"")</x:f>
        <x:v>30</x:v>
      </x:c>
      <x:c r="Y292" s="10" t="n">
        <x:f>IF(COUNT(X292,W292)=2,X292-W292,"")</x:f>
        <x:v>-5</x:v>
      </x:c>
      <x:c r="Z292" s="10" t="n">
        <x:v>0</x:v>
      </x:c>
      <x:c r="AA292" s="10" t="n">
        <x:f>IF(COUNT(AX292,AY292)=2,AX292+AY292,"")</x:f>
        <x:v>0</x:v>
      </x:c>
      <x:c r="AB292" s="10" t="n">
        <x:f>IF(COUNT(AA292,Z292)=2,AA292-Z292,"")</x:f>
        <x:v>0</x:v>
      </x:c>
      <x:c r="AC292" s="10" t="n">
        <x:v>313</x:v>
      </x:c>
      <x:c r="AD292" s="10" t="n">
        <x:v>350</x:v>
      </x:c>
      <x:c r="AE292" s="10" t="n">
        <x:f>IF(COUNT(AD292,AC292)=2,AD292-AC292,"")</x:f>
        <x:v>37</x:v>
      </x:c>
      <x:c r="AF292" s="10" t="n">
        <x:v>44</x:v>
      </x:c>
      <x:c r="AG292" s="10" t="n">
        <x:v>64</x:v>
      </x:c>
      <x:c r="AH292" s="10" t="n">
        <x:f>IF(COUNT(AG292,AF292)=2,AG292-AF292,"")</x:f>
        <x:v>20</x:v>
      </x:c>
      <x:c r="AI292" s="10" t="n">
        <x:v>61</x:v>
      </x:c>
      <x:c r="AJ292" s="10" t="n">
        <x:v>35</x:v>
      </x:c>
      <x:c r="AK292" s="10" t="n">
        <x:f>IF(COUNT(AJ292,AI292)=2,AJ292-AI292,"")</x:f>
        <x:v>-26</x:v>
      </x:c>
      <x:c r="AL292" s="10" t="n">
        <x:v>30</x:v>
      </x:c>
      <x:c r="AM292" s="10" t="n">
        <x:v>30</x:v>
      </x:c>
      <x:c r="AN292" s="4" t="str">
        <x:v>C</x:v>
      </x:c>
      <x:c r="AO292" s="4" t="str">
        <x:v>C</x:v>
      </x:c>
      <x:c r="AP292" s="4" t="str">
        <x:v>COL</x:v>
      </x:c>
      <x:c r="AQ292" s="4" t="str">
        <x:v>COL</x:v>
      </x:c>
      <x:c r="AR292" s="4" t="n">
        <x:v>22.43</x:v>
      </x:c>
      <x:c r="AS292" s="4" t="n">
        <x:v>22.266666666666666</x:v>
      </x:c>
      <x:c r="AT292" s="4" t="n">
        <x:v>3.68</x:v>
      </x:c>
      <x:c r="AU292" s="4" t="n">
        <x:v>15.1</x:v>
      </x:c>
      <x:c r="AV292" s="10" t="n">
        <x:v>11</x:v>
      </x:c>
      <x:c r="AW292" s="10" t="n">
        <x:v>19</x:v>
      </x:c>
      <x:c r="AX292" s="10" t="n">
        <x:v>0</x:v>
      </x:c>
      <x:c r="AY292" s="10" t="n">
        <x:v>0</x:v>
      </x:c>
      <x:c r="AZ292" s="10" t="n">
        <x:v>1837</x:v>
      </x:c>
      <x:c r="BA292" s="10" t="n">
        <x:v>1350</x:v>
      </x:c>
      <x:c r="BB292" s="4" t="n">
        <x:v>57.6</x:v>
      </x:c>
      <x:c r="BC292" s="4" t="n">
        <x:v>2.2</x:v>
      </x:c>
      <x:c r="BD292" s="10" t="n">
        <x:v>1308</x:v>
      </x:c>
      <x:c r="BE292" s="10" t="n">
        <x:v>1017</x:v>
      </x:c>
      <x:c r="BF292" s="4" t="n">
        <x:v>56.3</x:v>
      </x:c>
      <x:c r="BG292" s="4" t="n">
        <x:v>1</x:v>
      </x:c>
      <x:c r="BH292" s="4" t="n">
        <x:v>14.2</x:v>
      </x:c>
      <x:c r="BI292" s="4" t="n">
        <x:v>91</x:v>
      </x:c>
      <x:c r="BJ292" s="4" t="n">
        <x:v>105.2</x:v>
      </x:c>
      <x:c r="BK292" s="4" t="n">
        <x:v>64</x:v>
      </x:c>
      <x:c r="BL292" s="4" t="n">
        <x:v>36</x:v>
      </x:c>
      <x:c r="BM292" s="4" t="n">
        <x:v>22.266666666666666</x:v>
      </x:c>
      <x:c r="BN292" s="4" t="n">
        <x:v>17.916666666666668</x:v>
      </x:c>
      <x:c r="BO292" s="10" t="n">
        <x:v>25</x:v>
      </x:c>
      <x:c r="BP292" s="10" t="n">
        <x:v>165</x:v>
      </x:c>
      <x:c r="BQ292" s="4" t="n">
        <x:v>29.1</x:v>
      </x:c>
      <x:c r="BR292" s="10" t="n">
        <x:v>600</x:v>
      </x:c>
      <x:c r="BS292" s="4" t="n">
        <x:v>58.7</x:v>
      </x:c>
      <x:c r="BT292" s="10" t="n">
        <x:v>80</x:v>
      </x:c>
      <x:c r="BU292" s="4" t="str">
        <x:v>COL</x:v>
      </x:c>
      <x:c r="BV292" s="10" t="n">
        <x:v>3</x:v>
      </x:c>
      <x:c r="BW292" s="10" t="n">
        <x:v>5</x:v>
      </x:c>
      <x:c r="BX292" s="10" t="n">
        <x:v>627</x:v>
      </x:c>
      <x:c r="BY292" s="4" t="str">
        <x:v>Nathan MacKinnon</x:v>
      </x:c>
      <x:c r="BZ292" s="4" t="str">
        <x:v>Nathan MacKinnon</x:v>
      </x:c>
      <x:c r="CA292" s="4" t="str">
        <x:v>Nathan MacKinnon</x:v>
      </x:c>
      <x:c r="CB292" s="4" t="str">
        <x:v>mackina01</x:v>
      </x:c>
    </x:row>
    <x:row r="293" ht="22" customHeight="1">
      <x:c r="A293" s="4" t="str">
        <x:v>Nazem Kadri</x:v>
      </x:c>
      <x:c r="B293" s="4" t="str">
        <x:v>nazemkadri</x:v>
      </x:c>
      <x:c r="C293" s="10" t="n">
        <x:v>1</x:v>
      </x:c>
      <x:c r="D293" s="10" t="n">
        <x:v>1</x:v>
      </x:c>
      <x:c r="E293" s="10" t="n">
        <x:v>1</x:v>
      </x:c>
      <x:c r="F293" s="4" t="n">
        <x:f>IF(COUNT(N293,Q293,T293,W293,Z293,AC293,AF293,AI293)=8,N293*Guide!$E$5+Q293*Guide!$E$6+T293*Guide!$E$7+W293*Guide!$E$8+Z293*Guide!$E$9+AC293*Guide!$E$10+AF293*Guide!$E$11+AI293*Guide!$E$12,"")</x:f>
        <x:v>331</x:v>
      </x:c>
      <x:c r="G293" s="4" t="n">
        <x:f>IF(COUNT(O293,R293,U293,X293,AA293,AD293,AG293,AJ293)=8,O293*Guide!$E$5+R293*Guide!$E$6+U293*Guide!$E$7+X293*Guide!$E$8+AA293*Guide!$E$9+AD293*Guide!$E$10+AG293*Guide!$E$11+AJ293*Guide!$E$12,"")</x:f>
        <x:v>243.25</x:v>
      </x:c>
      <x:c r="H293" s="4" t="n">
        <x:f>IF(COUNT(G293,F293)=2,G293-F293,"")</x:f>
        <x:v>-87.75</x:v>
      </x:c>
      <x:c r="I293" s="4" t="n">
        <x:f>IF(AND(ISNUMBER(F293),K293&gt;0),F293/K293,"")</x:f>
        <x:v>4.036585365853658</x:v>
      </x:c>
      <x:c r="J293" s="4" t="n">
        <x:f>IF(AND(ISNUMBER(G293),L293&gt;0),G293/L293,"")</x:f>
        <x:v>3.159090909090909</x:v>
      </x:c>
      <x:c r="K293" s="10" t="n">
        <x:v>82</x:v>
      </x:c>
      <x:c r="L293" s="10" t="n">
        <x:v>77</x:v>
      </x:c>
      <x:c r="M293" s="10" t="n">
        <x:f>IF(COUNT(L293,K293)=2,L293-K293,"")</x:f>
        <x:v>-5</x:v>
      </x:c>
      <x:c r="N293" s="10" t="n">
        <x:v>29</x:v>
      </x:c>
      <x:c r="O293" s="10" t="n">
        <x:v>16</x:v>
      </x:c>
      <x:c r="P293" s="10" t="n">
        <x:f>IF(COUNT(O293,N293)=2,O293-N293,"")</x:f>
        <x:v>-13</x:v>
      </x:c>
      <x:c r="Q293" s="10" t="n">
        <x:v>35</x:v>
      </x:c>
      <x:c r="R293" s="10" t="n">
        <x:v>34</x:v>
      </x:c>
      <x:c r="S293" s="10" t="n">
        <x:f>IF(COUNT(R293,Q293)=2,R293-Q293,"")</x:f>
        <x:v>-1</x:v>
      </x:c>
      <x:c r="T293" s="10" t="n">
        <x:v>-8</x:v>
      </x:c>
      <x:c r="U293" s="10" t="n">
        <x:v>-30</x:v>
      </x:c>
      <x:c r="V293" s="10" t="n">
        <x:f>IF(COUNT(U293,T293)=2,U293-T293,"")</x:f>
        <x:v>-22</x:v>
      </x:c>
      <x:c r="W293" s="10" t="n">
        <x:v>18</x:v>
      </x:c>
      <x:c r="X293" s="10" t="n">
        <x:f>IF(COUNT(AV293,AW293)=2,AV293+AW293,"")</x:f>
        <x:v>19</x:v>
      </x:c>
      <x:c r="Y293" s="10" t="n">
        <x:f>IF(COUNT(X293,W293)=2,X293-W293,"")</x:f>
        <x:v>1</x:v>
      </x:c>
      <x:c r="Z293" s="10" t="n">
        <x:v>0</x:v>
      </x:c>
      <x:c r="AA293" s="10" t="n">
        <x:f>IF(COUNT(AX293,AY293)=2,AX293+AY293,"")</x:f>
        <x:v>0</x:v>
      </x:c>
      <x:c r="AB293" s="10" t="n">
        <x:f>IF(COUNT(AA293,Z293)=2,AA293-Z293,"")</x:f>
        <x:v>0</x:v>
      </x:c>
      <x:c r="AC293" s="10" t="n">
        <x:v>248</x:v>
      </x:c>
      <x:c r="AD293" s="10" t="n">
        <x:v>213</x:v>
      </x:c>
      <x:c r="AE293" s="10" t="n">
        <x:f>IF(COUNT(AD293,AC293)=2,AD293-AC293,"")</x:f>
        <x:v>-35</x:v>
      </x:c>
      <x:c r="AF293" s="10" t="n">
        <x:v>62</x:v>
      </x:c>
      <x:c r="AG293" s="10" t="n">
        <x:v>50</x:v>
      </x:c>
      <x:c r="AH293" s="10" t="n">
        <x:f>IF(COUNT(AG293,AF293)=2,AG293-AF293,"")</x:f>
        <x:v>-12</x:v>
      </x:c>
      <x:c r="AI293" s="10" t="n">
        <x:v>30</x:v>
      </x:c>
      <x:c r="AJ293" s="10" t="n">
        <x:v>30</x:v>
      </x:c>
      <x:c r="AK293" s="10" t="n">
        <x:f>IF(COUNT(AJ293,AI293)=2,AJ293-AI293,"")</x:f>
        <x:v>0</x:v>
      </x:c>
      <x:c r="AL293" s="10" t="n">
        <x:v>35</x:v>
      </x:c>
      <x:c r="AM293" s="10" t="n">
        <x:v>35</x:v>
      </x:c>
      <x:c r="AN293" s="4" t="str">
        <x:v>C</x:v>
      </x:c>
      <x:c r="AO293" s="4" t="str">
        <x:v>C</x:v>
      </x:c>
      <x:c r="AP293" s="4" t="str">
        <x:v>CGY</x:v>
      </x:c>
      <x:c r="AQ293" s="4" t="str">
        <x:v>2TM</x:v>
      </x:c>
      <x:c r="AR293" s="4" t="n">
        <x:v>18.64</x:v>
      </x:c>
      <x:c r="AS293" s="4" t="n">
        <x:v>19.033333333333335</x:v>
      </x:c>
      <x:c r="AT293" s="4" t="n">
        <x:v>2.73</x:v>
      </x:c>
      <x:c r="AU293" s="4" t="n">
        <x:v>7.5</x:v>
      </x:c>
      <x:c r="AV293" s="10" t="n">
        <x:v>5</x:v>
      </x:c>
      <x:c r="AW293" s="10" t="n">
        <x:v>14</x:v>
      </x:c>
      <x:c r="AX293" s="10" t="n">
        <x:v>0</x:v>
      </x:c>
      <x:c r="AY293" s="10" t="n">
        <x:v>0</x:v>
      </x:c>
      <x:c r="AZ293" s="10" t="n">
        <x:v>1300</x:v>
      </x:c>
      <x:c r="BA293" s="10" t="n">
        <x:v>1182</x:v>
      </x:c>
      <x:c r="BB293" s="4" t="n">
        <x:v>52.4</x:v>
      </x:c>
      <x:c r="BC293" s="4" t="n">
        <x:v>0.7</x:v>
      </x:c>
      <x:c r="BD293" s="10" t="n">
        <x:v>903</x:v>
      </x:c>
      <x:c r="BE293" s="10" t="n">
        <x:v>878</x:v>
      </x:c>
      <x:c r="BF293" s="4" t="n">
        <x:v>50.7</x:v>
      </x:c>
      <x:c r="BG293" s="4" t="n">
        <x:v>-0.9</x:v>
      </x:c>
      <x:c r="BH293" s="4" t="n">
        <x:v>7.4</x:v>
      </x:c>
      <x:c r="BI293" s="4" t="n">
        <x:v>87.6</x:v>
      </x:c>
      <x:c r="BJ293" s="4" t="n">
        <x:v>95</x:v>
      </x:c>
      <x:c r="BK293" s="4" t="n">
        <x:v>63.9</x:v>
      </x:c>
      <x:c r="BL293" s="4" t="n">
        <x:v>36.1</x:v>
      </x:c>
      <x:c r="BM293" s="4" t="n">
        <x:v>19.033333333333335</x:v>
      </x:c>
      <x:c r="BN293" s="4" t="n">
        <x:v>15.733333333333333</x:v>
      </x:c>
      <x:c r="BO293" s="10" t="n">
        <x:v>20</x:v>
      </x:c>
      <x:c r="BP293" s="10" t="n">
        <x:v>75</x:v>
      </x:c>
      <x:c r="BQ293" s="4" t="n">
        <x:v>0.1</x:v>
      </x:c>
      <x:c r="BR293" s="10" t="n">
        <x:v>440</x:v>
      </x:c>
      <x:c r="BS293" s="4" t="n">
        <x:v>48.4</x:v>
      </x:c>
      <x:c r="BT293" s="10" t="n">
        <x:v>77</x:v>
      </x:c>
      <x:c r="BU293" s="4" t="str">
        <x:v>TOT</x:v>
      </x:c>
      <x:c r="BV293" s="10" t="n">
        <x:v>70</x:v>
      </x:c>
      <x:c r="BW293" s="10" t="n">
        <x:v>144</x:v>
      </x:c>
      <x:c r="BX293" s="10" t="n">
        <x:v>485</x:v>
      </x:c>
      <x:c r="BY293" s="4" t="str">
        <x:v>Nazem Kadri</x:v>
      </x:c>
      <x:c r="BZ293" s="4" t="str">
        <x:v>Nazem Kadri</x:v>
      </x:c>
      <x:c r="CA293" s="4" t="str">
        <x:v>Nazem Kadri</x:v>
      </x:c>
      <x:c r="CB293" s="4" t="str">
        <x:v>kadrina01</x:v>
      </x:c>
    </x:row>
    <x:row r="294" ht="22" customHeight="1">
      <x:c r="A294" s="4" t="str">
        <x:v>Nic Dowd</x:v>
      </x:c>
      <x:c r="B294" s="4" t="str">
        <x:v>nicdowd</x:v>
      </x:c>
      <x:c r="C294" s="10" t="n">
        <x:v>1</x:v>
      </x:c>
      <x:c r="D294" s="10" t="n">
        <x:v>1</x:v>
      </x:c>
      <x:c r="E294" s="10" t="n">
        <x:v>1</x:v>
      </x:c>
      <x:c r="F294" s="4" t="n">
        <x:f>IF(COUNT(N294,Q294,T294,W294,Z294,AC294,AF294,AI294)=8,N294*Guide!$E$5+Q294*Guide!$E$6+T294*Guide!$E$7+W294*Guide!$E$8+Z294*Guide!$E$9+AC294*Guide!$E$10+AF294*Guide!$E$11+AI294*Guide!$E$12,"")</x:f>
        <x:v>221.25</x:v>
      </x:c>
      <x:c r="G294" s="4" t="n">
        <x:f>IF(COUNT(O294,R294,U294,X294,AA294,AD294,AG294,AJ294)=8,O294*Guide!$E$5+R294*Guide!$E$6+U294*Guide!$E$7+X294*Guide!$E$8+AA294*Guide!$E$9+AD294*Guide!$E$10+AG294*Guide!$E$11+AJ294*Guide!$E$12,"")</x:f>
        <x:v>156</x:v>
      </x:c>
      <x:c r="H294" s="4" t="n">
        <x:f>IF(COUNT(G294,F294)=2,G294-F294,"")</x:f>
        <x:v>-65.25</x:v>
      </x:c>
      <x:c r="I294" s="4" t="n">
        <x:f>IF(AND(ISNUMBER(F294),K294&gt;0),F294/K294,"")</x:f>
        <x:v>2.765625</x:v>
      </x:c>
      <x:c r="J294" s="4" t="n">
        <x:f>IF(AND(ISNUMBER(G294),L294&gt;0),G294/L294,"")</x:f>
        <x:v>2.08</x:v>
      </x:c>
      <x:c r="K294" s="10" t="n">
        <x:v>80</x:v>
      </x:c>
      <x:c r="L294" s="10" t="n">
        <x:v>75</x:v>
      </x:c>
      <x:c r="M294" s="10" t="n">
        <x:f>IF(COUNT(L294,K294)=2,L294-K294,"")</x:f>
        <x:v>-5</x:v>
      </x:c>
      <x:c r="N294" s="10" t="n">
        <x:v>14</x:v>
      </x:c>
      <x:c r="O294" s="10" t="n">
        <x:v>5</x:v>
      </x:c>
      <x:c r="P294" s="10" t="n">
        <x:f>IF(COUNT(O294,N294)=2,O294-N294,"")</x:f>
        <x:v>-9</x:v>
      </x:c>
      <x:c r="Q294" s="10" t="n">
        <x:v>16</x:v>
      </x:c>
      <x:c r="R294" s="10" t="n">
        <x:v>16</x:v>
      </x:c>
      <x:c r="S294" s="10" t="n">
        <x:f>IF(COUNT(R294,Q294)=2,R294-Q294,"")</x:f>
        <x:v>0</x:v>
      </x:c>
      <x:c r="T294" s="10" t="n">
        <x:v>4</x:v>
      </x:c>
      <x:c r="U294" s="10" t="n">
        <x:v>-4</x:v>
      </x:c>
      <x:c r="V294" s="10" t="n">
        <x:f>IF(COUNT(U294,T294)=2,U294-T294,"")</x:f>
        <x:v>-8</x:v>
      </x:c>
      <x:c r="W294" s="10" t="n">
        <x:v>0</x:v>
      </x:c>
      <x:c r="X294" s="10" t="n">
        <x:f>IF(COUNT(AV294,AW294)=2,AV294+AW294,"")</x:f>
        <x:v>0</x:v>
      </x:c>
      <x:c r="Y294" s="10" t="n">
        <x:f>IF(COUNT(X294,W294)=2,X294-W294,"")</x:f>
        <x:v>0</x:v>
      </x:c>
      <x:c r="Z294" s="10" t="n">
        <x:v>1</x:v>
      </x:c>
      <x:c r="AA294" s="10" t="n">
        <x:f>IF(COUNT(AX294,AY294)=2,AX294+AY294,"")</x:f>
        <x:v>1</x:v>
      </x:c>
      <x:c r="AB294" s="10" t="n">
        <x:f>IF(COUNT(AA294,Z294)=2,AA294-Z294,"")</x:f>
        <x:v>0</x:v>
      </x:c>
      <x:c r="AC294" s="10" t="n">
        <x:v>78</x:v>
      </x:c>
      <x:c r="AD294" s="10" t="n">
        <x:v>66</x:v>
      </x:c>
      <x:c r="AE294" s="10" t="n">
        <x:f>IF(COUNT(AD294,AC294)=2,AD294-AC294,"")</x:f>
        <x:v>-12</x:v>
      </x:c>
      <x:c r="AF294" s="10" t="n">
        <x:v>129</x:v>
      </x:c>
      <x:c r="AG294" s="10" t="n">
        <x:v>140</x:v>
      </x:c>
      <x:c r="AH294" s="10" t="n">
        <x:f>IF(COUNT(AG294,AF294)=2,AG294-AF294,"")</x:f>
        <x:v>11</x:v>
      </x:c>
      <x:c r="AI294" s="10" t="n">
        <x:v>78</x:v>
      </x:c>
      <x:c r="AJ294" s="10" t="n">
        <x:v>50</x:v>
      </x:c>
      <x:c r="AK294" s="10" t="n">
        <x:f>IF(COUNT(AJ294,AI294)=2,AJ294-AI294,"")</x:f>
        <x:v>-28</x:v>
      </x:c>
      <x:c r="AL294" s="10" t="n">
        <x:v>35</x:v>
      </x:c>
      <x:c r="AM294" s="10" t="n">
        <x:v>35</x:v>
      </x:c>
      <x:c r="AN294" s="4" t="str">
        <x:v>C</x:v>
      </x:c>
      <x:c r="AO294" s="4" t="str">
        <x:v>C</x:v>
      </x:c>
      <x:c r="AP294" s="4" t="str">
        <x:v>WSH</x:v>
      </x:c>
      <x:c r="AQ294" s="4" t="str">
        <x:v>2TM</x:v>
      </x:c>
      <x:c r="AR294" s="4" t="n">
        <x:v>14.709999999999999</x:v>
      </x:c>
      <x:c r="AS294" s="4" t="n">
        <x:v>14.55</x:v>
      </x:c>
      <x:c r="AT294" s="4" t="n">
        <x:v>0.1</x:v>
      </x:c>
      <x:c r="AU294" s="4" t="n">
        <x:v>7.6</x:v>
      </x:c>
      <x:c r="AV294" s="10" t="n">
        <x:v>0</x:v>
      </x:c>
      <x:c r="AW294" s="10" t="n">
        <x:v>0</x:v>
      </x:c>
      <x:c r="AX294" s="10" t="n">
        <x:v>1</x:v>
      </x:c>
      <x:c r="AY294" s="10" t="n">
        <x:v>0</x:v>
      </x:c>
      <x:c r="AZ294" s="10" t="n">
        <x:v>812</x:v>
      </x:c>
      <x:c r="BA294" s="10" t="n">
        <x:v>869</x:v>
      </x:c>
      <x:c r="BB294" s="4" t="n">
        <x:v>48.3</x:v>
      </x:c>
      <x:c r="BC294" s="4" t="n">
        <x:v>-5.2</x:v>
      </x:c>
      <x:c r="BD294" s="10" t="n">
        <x:v>572</x:v>
      </x:c>
      <x:c r="BE294" s="10" t="n">
        <x:v>600</x:v>
      </x:c>
      <x:c r="BF294" s="4" t="n">
        <x:v>48.8</x:v>
      </x:c>
      <x:c r="BG294" s="4" t="n">
        <x:v>-5.1</x:v>
      </x:c>
      <x:c r="BH294" s="4" t="n">
        <x:v>7.1</x:v>
      </x:c>
      <x:c r="BI294" s="4" t="n">
        <x:v>92.3</x:v>
      </x:c>
      <x:c r="BJ294" s="4" t="n">
        <x:v>99.4</x:v>
      </x:c>
      <x:c r="BK294" s="4" t="n">
        <x:v>26.7</x:v>
      </x:c>
      <x:c r="BL294" s="4" t="n">
        <x:v>73.3</x:v>
      </x:c>
      <x:c r="BM294" s="4" t="n">
        <x:v>14.55</x:v>
      </x:c>
      <x:c r="BN294" s="4" t="n">
        <x:v>12.25</x:v>
      </x:c>
      <x:c r="BO294" s="10" t="n">
        <x:v>19</x:v>
      </x:c>
      <x:c r="BP294" s="10" t="n">
        <x:v>43</x:v>
      </x:c>
      <x:c r="BQ294" s="4" t="n">
        <x:v>-8.3</x:v>
      </x:c>
      <x:c r="BR294" s="10" t="n">
        <x:v>135</x:v>
      </x:c>
      <x:c r="BS294" s="4" t="n">
        <x:v>48.9</x:v>
      </x:c>
      <x:c r="BT294" s="10" t="n">
        <x:v>75</x:v>
      </x:c>
      <x:c r="BU294" s="4" t="str">
        <x:v>TOT</x:v>
      </x:c>
      <x:c r="BV294" s="10" t="n">
        <x:v>372</x:v>
      </x:c>
      <x:c r="BW294" s="10" t="n">
        <x:v>458</x:v>
      </x:c>
      <x:c r="BX294" s="10" t="n">
        <x:v>231</x:v>
      </x:c>
      <x:c r="BY294" s="4" t="str">
        <x:v>Nic Dowd</x:v>
      </x:c>
      <x:c r="BZ294" s="4" t="str">
        <x:v>Nic Dowd</x:v>
      </x:c>
      <x:c r="CA294" s="4" t="str">
        <x:v>Nic Dowd</x:v>
      </x:c>
      <x:c r="CB294" s="4" t="str">
        <x:v>dowdni01</x:v>
      </x:c>
    </x:row>
    <x:row r="295" ht="22" customHeight="1">
      <x:c r="A295" s="4" t="str">
        <x:v>Nicholas Robertson</x:v>
      </x:c>
      <x:c r="B295" s="4" t="str">
        <x:v>nicholasrobertson</x:v>
      </x:c>
      <x:c r="C295" s="10" t="n">
        <x:v>1</x:v>
      </x:c>
      <x:c r="D295" s="10" t="n">
        <x:v>1</x:v>
      </x:c>
      <x:c r="E295" s="10" t="n">
        <x:v>1</x:v>
      </x:c>
      <x:c r="F295" s="4" t="n">
        <x:f>IF(COUNT(N295,Q295,T295,W295,Z295,AC295,AF295,AI295)=8,N295*Guide!$E$5+Q295*Guide!$E$6+T295*Guide!$E$7+W295*Guide!$E$8+Z295*Guide!$E$9+AC295*Guide!$E$10+AF295*Guide!$E$11+AI295*Guide!$E$12,"")</x:f>
        <x:v>196</x:v>
      </x:c>
      <x:c r="G295" s="4" t="n">
        <x:f>IF(COUNT(O295,R295,U295,X295,AA295,AD295,AG295,AJ295)=8,O295*Guide!$E$5+R295*Guide!$E$6+U295*Guide!$E$7+X295*Guide!$E$8+AA295*Guide!$E$9+AD295*Guide!$E$10+AG295*Guide!$E$11+AJ295*Guide!$E$12,"")</x:f>
        <x:v>180.5</x:v>
      </x:c>
      <x:c r="H295" s="4" t="n">
        <x:f>IF(COUNT(G295,F295)=2,G295-F295,"")</x:f>
        <x:v>-15.5</x:v>
      </x:c>
      <x:c r="I295" s="4" t="n">
        <x:f>IF(AND(ISNUMBER(F295),K295&gt;0),F295/K295,"")</x:f>
        <x:v>2.684931506849315</x:v>
      </x:c>
      <x:c r="J295" s="4" t="n">
        <x:f>IF(AND(ISNUMBER(G295),L295&gt;0),G295/L295,"")</x:f>
        <x:v>2.3141025641025643</x:v>
      </x:c>
      <x:c r="K295" s="10" t="n">
        <x:v>73</x:v>
      </x:c>
      <x:c r="L295" s="10" t="n">
        <x:v>78</x:v>
      </x:c>
      <x:c r="M295" s="10" t="n">
        <x:f>IF(COUNT(L295,K295)=2,L295-K295,"")</x:f>
        <x:v>5</x:v>
      </x:c>
      <x:c r="N295" s="10" t="n">
        <x:v>17</x:v>
      </x:c>
      <x:c r="O295" s="10" t="n">
        <x:v>16</x:v>
      </x:c>
      <x:c r="P295" s="10" t="n">
        <x:f>IF(COUNT(O295,N295)=2,O295-N295,"")</x:f>
        <x:v>-1</x:v>
      </x:c>
      <x:c r="Q295" s="10" t="n">
        <x:v>15</x:v>
      </x:c>
      <x:c r="R295" s="10" t="n">
        <x:v>16</x:v>
      </x:c>
      <x:c r="S295" s="10" t="n">
        <x:f>IF(COUNT(R295,Q295)=2,R295-Q295,"")</x:f>
        <x:v>1</x:v>
      </x:c>
      <x:c r="T295" s="10" t="n">
        <x:v>1</x:v>
      </x:c>
      <x:c r="U295" s="10" t="n">
        <x:v>-13</x:v>
      </x:c>
      <x:c r="V295" s="10" t="n">
        <x:f>IF(COUNT(U295,T295)=2,U295-T295,"")</x:f>
        <x:v>-14</x:v>
      </x:c>
      <x:c r="W295" s="10" t="n">
        <x:v>6</x:v>
      </x:c>
      <x:c r="X295" s="10" t="n">
        <x:f>IF(COUNT(AV295,AW295)=2,AV295+AW295,"")</x:f>
        <x:v>4</x:v>
      </x:c>
      <x:c r="Y295" s="10" t="n">
        <x:f>IF(COUNT(X295,W295)=2,X295-W295,"")</x:f>
        <x:v>-2</x:v>
      </x:c>
      <x:c r="Z295" s="10" t="n">
        <x:v>0</x:v>
      </x:c>
      <x:c r="AA295" s="10" t="n">
        <x:f>IF(COUNT(AX295,AY295)=2,AX295+AY295,"")</x:f>
        <x:v>0</x:v>
      </x:c>
      <x:c r="AB295" s="10" t="n">
        <x:f>IF(COUNT(AA295,Z295)=2,AA295-Z295,"")</x:f>
        <x:v>0</x:v>
      </x:c>
      <x:c r="AC295" s="10" t="n">
        <x:v>125</x:v>
      </x:c>
      <x:c r="AD295" s="10" t="n">
        <x:v>127</x:v>
      </x:c>
      <x:c r="AE295" s="10" t="n">
        <x:f>IF(COUNT(AD295,AC295)=2,AD295-AC295,"")</x:f>
        <x:v>2</x:v>
      </x:c>
      <x:c r="AF295" s="10" t="n">
        <x:v>74</x:v>
      </x:c>
      <x:c r="AG295" s="10" t="n">
        <x:v>75</x:v>
      </x:c>
      <x:c r="AH295" s="10" t="n">
        <x:f>IF(COUNT(AG295,AF295)=2,AG295-AF295,"")</x:f>
        <x:v>1</x:v>
      </x:c>
      <x:c r="AI295" s="10" t="n">
        <x:v>35</x:v>
      </x:c>
      <x:c r="AJ295" s="10" t="n">
        <x:v>36</x:v>
      </x:c>
      <x:c r="AK295" s="10" t="n">
        <x:f>IF(COUNT(AJ295,AI295)=2,AJ295-AI295,"")</x:f>
        <x:v>1</x:v>
      </x:c>
      <x:c r="AL295" s="10" t="n">
        <x:v>24</x:v>
      </x:c>
      <x:c r="AM295" s="10" t="n">
        <x:v>24</x:v>
      </x:c>
      <x:c r="AN295" s="4" t="str">
        <x:v>RW</x:v>
      </x:c>
      <x:c r="AO295" s="4" t="str">
        <x:v>LW</x:v>
      </x:c>
      <x:c r="AP295" s="4" t="str">
        <x:v>TOR</x:v>
      </x:c>
      <x:c r="AQ295" s="4" t="str">
        <x:v>TOR</x:v>
      </x:c>
      <x:c r="AR295" s="4" t="n">
        <x:v>12.36</x:v>
      </x:c>
      <x:c r="AS295" s="4" t="n">
        <x:v>12.666666666666666</x:v>
      </x:c>
      <x:c r="AT295" s="4" t="n">
        <x:v>1.15</x:v>
      </x:c>
      <x:c r="AU295" s="4" t="n">
        <x:v>12.6</x:v>
      </x:c>
      <x:c r="AV295" s="10" t="n">
        <x:v>2</x:v>
      </x:c>
      <x:c r="AW295" s="10" t="n">
        <x:v>2</x:v>
      </x:c>
      <x:c r="AX295" s="10" t="n">
        <x:v>0</x:v>
      </x:c>
      <x:c r="AY295" s="10" t="n">
        <x:v>0</x:v>
      </x:c>
      <x:c r="AZ295" s="10" t="n">
        <x:v>773</x:v>
      </x:c>
      <x:c r="BA295" s="10" t="n">
        <x:v>986</x:v>
      </x:c>
      <x:c r="BB295" s="4" t="n">
        <x:v>43.9</x:v>
      </x:c>
      <x:c r="BC295" s="4" t="n">
        <x:v>-1.1</x:v>
      </x:c>
      <x:c r="BD295" s="10" t="n">
        <x:v>582</x:v>
      </x:c>
      <x:c r="BE295" s="10" t="n">
        <x:v>729</x:v>
      </x:c>
      <x:c r="BF295" s="4" t="n">
        <x:v>44.4</x:v>
      </x:c>
      <x:c r="BG295" s="4" t="n">
        <x:v>-1.2</x:v>
      </x:c>
      <x:c r="BH295" s="4" t="n">
        <x:v>10.4</x:v>
      </x:c>
      <x:c r="BI295" s="4" t="n">
        <x:v>89.5</x:v>
      </x:c>
      <x:c r="BJ295" s="4" t="n">
        <x:v>99.9</x:v>
      </x:c>
      <x:c r="BK295" s="4" t="n">
        <x:v>46.3</x:v>
      </x:c>
      <x:c r="BL295" s="4" t="n">
        <x:v>53.7</x:v>
      </x:c>
      <x:c r="BM295" s="4" t="n">
        <x:v>12.666666666666666</x:v>
      </x:c>
      <x:c r="BN295" s="4" t="n">
        <x:v>11.466666666666667</x:v>
      </x:c>
      <x:c r="BO295" s="10" t="n">
        <x:v>23</x:v>
      </x:c>
      <x:c r="BP295" s="10" t="n">
        <x:v>67</x:v>
      </x:c>
      <x:c r="BQ295" s="4" t="n">
        <x:v>-10.7</x:v>
      </x:c>
      <x:c r="BR295" s="10" t="n">
        <x:v>228</x:v>
      </x:c>
      <x:c r="BS295" s="4" t="n">
        <x:v>55.7</x:v>
      </x:c>
      <x:c r="BT295" s="10" t="n">
        <x:v>78</x:v>
      </x:c>
      <x:c r="BU295" s="4" t="str">
        <x:v>TOR</x:v>
      </x:c>
      <x:c r="BV295" s="10" t="n">
        <x:v>352</x:v>
      </x:c>
      <x:c r="BW295" s="10" t="n">
        <x:v>306</x:v>
      </x:c>
      <x:c r="BX295" s="10" t="n">
        <x:v>867</x:v>
      </x:c>
      <x:c r="BY295" s="4" t="str">
        <x:v>Nicholas Robertson</x:v>
      </x:c>
      <x:c r="BZ295" s="4" t="str">
        <x:v>Nicholas Robertson</x:v>
      </x:c>
      <x:c r="CA295" s="4" t="str">
        <x:v>Nicholas Robertson</x:v>
      </x:c>
      <x:c r="CB295" s="4" t="str">
        <x:v>roberni01</x:v>
      </x:c>
    </x:row>
    <x:row r="296" ht="22" customHeight="1">
      <x:c r="A296" s="4" t="str">
        <x:v>Nick Blankenburg</x:v>
      </x:c>
      <x:c r="B296" s="4" t="str">
        <x:v>nickblankenburg</x:v>
      </x:c>
      <x:c r="C296" s="10" t="n">
        <x:v>1</x:v>
      </x:c>
      <x:c r="D296" s="10" t="n">
        <x:v>1</x:v>
      </x:c>
      <x:c r="E296" s="10" t="n">
        <x:v>1</x:v>
      </x:c>
      <x:c r="F296" s="4" t="n">
        <x:f>IF(COUNT(N296,Q296,T296,W296,Z296,AC296,AF296,AI296)=8,N296*Guide!$E$5+Q296*Guide!$E$6+T296*Guide!$E$7+W296*Guide!$E$8+Z296*Guide!$E$9+AC296*Guide!$E$10+AF296*Guide!$E$11+AI296*Guide!$E$12,"")</x:f>
        <x:v>173.75</x:v>
      </x:c>
      <x:c r="G296" s="4" t="n">
        <x:f>IF(COUNT(O296,R296,U296,X296,AA296,AD296,AG296,AJ296)=8,O296*Guide!$E$5+R296*Guide!$E$6+U296*Guide!$E$7+X296*Guide!$E$8+AA296*Guide!$E$9+AD296*Guide!$E$10+AG296*Guide!$E$11+AJ296*Guide!$E$12,"")</x:f>
        <x:v>153</x:v>
      </x:c>
      <x:c r="H296" s="4" t="n">
        <x:f>IF(COUNT(G296,F296)=2,G296-F296,"")</x:f>
        <x:v>-20.75</x:v>
      </x:c>
      <x:c r="I296" s="4" t="n">
        <x:f>IF(AND(ISNUMBER(F296),K296&gt;0),F296/K296,"")</x:f>
        <x:v>2.8024193548387095</x:v>
      </x:c>
      <x:c r="J296" s="4" t="n">
        <x:f>IF(AND(ISNUMBER(G296),L296&gt;0),G296/L296,"")</x:f>
        <x:v>2.5081967213114753</x:v>
      </x:c>
      <x:c r="K296" s="10" t="n">
        <x:v>62</x:v>
      </x:c>
      <x:c r="L296" s="10" t="n">
        <x:v>61</x:v>
      </x:c>
      <x:c r="M296" s="10" t="n">
        <x:f>IF(COUNT(L296,K296)=2,L296-K296,"")</x:f>
        <x:v>-1</x:v>
      </x:c>
      <x:c r="N296" s="10" t="n">
        <x:v>6</x:v>
      </x:c>
      <x:c r="O296" s="10" t="n">
        <x:v>8</x:v>
      </x:c>
      <x:c r="P296" s="10" t="n">
        <x:f>IF(COUNT(O296,N296)=2,O296-N296,"")</x:f>
        <x:v>2</x:v>
      </x:c>
      <x:c r="Q296" s="10" t="n">
        <x:v>15</x:v>
      </x:c>
      <x:c r="R296" s="10" t="n">
        <x:v>16</x:v>
      </x:c>
      <x:c r="S296" s="10" t="n">
        <x:f>IF(COUNT(R296,Q296)=2,R296-Q296,"")</x:f>
        <x:v>1</x:v>
      </x:c>
      <x:c r="T296" s="10" t="n">
        <x:v>1</x:v>
      </x:c>
      <x:c r="U296" s="10" t="n">
        <x:v>-10</x:v>
      </x:c>
      <x:c r="V296" s="10" t="n">
        <x:f>IF(COUNT(U296,T296)=2,U296-T296,"")</x:f>
        <x:v>-11</x:v>
      </x:c>
      <x:c r="W296" s="10" t="n">
        <x:v>6</x:v>
      </x:c>
      <x:c r="X296" s="10" t="n">
        <x:f>IF(COUNT(AV296,AW296)=2,AV296+AW296,"")</x:f>
        <x:v>7</x:v>
      </x:c>
      <x:c r="Y296" s="10" t="n">
        <x:f>IF(COUNT(X296,W296)=2,X296-W296,"")</x:f>
        <x:v>1</x:v>
      </x:c>
      <x:c r="Z296" s="10" t="n">
        <x:v>0</x:v>
      </x:c>
      <x:c r="AA296" s="10" t="n">
        <x:f>IF(COUNT(AX296,AY296)=2,AX296+AY296,"")</x:f>
        <x:v>0</x:v>
      </x:c>
      <x:c r="AB296" s="10" t="n">
        <x:f>IF(COUNT(AA296,Z296)=2,AA296-Z296,"")</x:f>
        <x:v>0</x:v>
      </x:c>
      <x:c r="AC296" s="10" t="n">
        <x:v>81</x:v>
      </x:c>
      <x:c r="AD296" s="10" t="n">
        <x:v>72</x:v>
      </x:c>
      <x:c r="AE296" s="10" t="n">
        <x:f>IF(COUNT(AD296,AC296)=2,AD296-AC296,"")</x:f>
        <x:v>-9</x:v>
      </x:c>
      <x:c r="AF296" s="10" t="n">
        <x:v>61</x:v>
      </x:c>
      <x:c r="AG296" s="10" t="n">
        <x:v>55</x:v>
      </x:c>
      <x:c r="AH296" s="10" t="n">
        <x:f>IF(COUNT(AG296,AF296)=2,AG296-AF296,"")</x:f>
        <x:v>-6</x:v>
      </x:c>
      <x:c r="AI296" s="10" t="n">
        <x:v>83</x:v>
      </x:c>
      <x:c r="AJ296" s="10" t="n">
        <x:v>59</x:v>
      </x:c>
      <x:c r="AK296" s="10" t="n">
        <x:f>IF(COUNT(AJ296,AI296)=2,AJ296-AI296,"")</x:f>
        <x:v>-24</x:v>
      </x:c>
      <x:c r="AL296" s="10" t="n">
        <x:v>27</x:v>
      </x:c>
      <x:c r="AM296" s="10" t="n">
        <x:v>27</x:v>
      </x:c>
      <x:c r="AN296" s="4" t="str">
        <x:v>D</x:v>
      </x:c>
      <x:c r="AO296" s="4" t="str">
        <x:v>D</x:v>
      </x:c>
      <x:c r="AP296" s="4" t="str">
        <x:v>NSH</x:v>
      </x:c>
      <x:c r="AQ296" s="4" t="str">
        <x:v>2TM</x:v>
      </x:c>
      <x:c r="AR296" s="4" t="n">
        <x:v>19.32</x:v>
      </x:c>
      <x:c r="AS296" s="4" t="n">
        <x:v>16.8</x:v>
      </x:c>
      <x:c r="AT296" s="4" t="n">
        <x:v>1.08</x:v>
      </x:c>
      <x:c r="AU296" s="4" t="n">
        <x:v>11.1</x:v>
      </x:c>
      <x:c r="AV296" s="10" t="n">
        <x:v>3</x:v>
      </x:c>
      <x:c r="AW296" s="10" t="n">
        <x:v>4</x:v>
      </x:c>
      <x:c r="AX296" s="10" t="n">
        <x:v>0</x:v>
      </x:c>
      <x:c r="AY296" s="10" t="n">
        <x:v>0</x:v>
      </x:c>
      <x:c r="AZ296" s="10" t="n">
        <x:v>914</x:v>
      </x:c>
      <x:c r="BA296" s="10" t="n">
        <x:v>784</x:v>
      </x:c>
      <x:c r="BB296" s="4" t="n">
        <x:v>53.8</x:v>
      </x:c>
      <x:c r="BC296" s="4" t="n">
        <x:v>1.3</x:v>
      </x:c>
      <x:c r="BD296" s="10" t="n">
        <x:v>667</x:v>
      </x:c>
      <x:c r="BE296" s="10" t="n">
        <x:v>590</x:v>
      </x:c>
      <x:c r="BF296" s="4" t="n">
        <x:v>53.1</x:v>
      </x:c>
      <x:c r="BG296" s="4" t="n">
        <x:v>1.4</x:v>
      </x:c>
      <x:c r="BH296" s="4" t="n">
        <x:v>8.4</x:v>
      </x:c>
      <x:c r="BI296" s="4" t="n">
        <x:v>88.4</x:v>
      </x:c>
      <x:c r="BJ296" s="4" t="n">
        <x:v>96.8</x:v>
      </x:c>
      <x:c r="BK296" s="4" t="n">
        <x:v>52.4</x:v>
      </x:c>
      <x:c r="BL296" s="4" t="n">
        <x:v>47.6</x:v>
      </x:c>
      <x:c r="BM296" s="4" t="n">
        <x:v>16.8</x:v>
      </x:c>
      <x:c r="BN296" s="4" t="n">
        <x:v>14.05</x:v>
      </x:c>
      <x:c r="BO296" s="10" t="n">
        <x:v>17</x:v>
      </x:c>
      <x:c r="BP296" s="10" t="n">
        <x:v>55</x:v>
      </x:c>
      <x:c r="BQ296" s="4" t="n">
        <x:v>5.4</x:v>
      </x:c>
      <x:c r="BR296" s="10" t="n">
        <x:v>194</x:v>
      </x:c>
      <x:c r="BS296" s="4" t="n">
        <x:v>37.1</x:v>
      </x:c>
      <x:c r="BT296" s="10" t="n">
        <x:v>61</x:v>
      </x:c>
      <x:c r="BU296" s="4" t="str">
        <x:v>TOT</x:v>
      </x:c>
      <x:c r="BV296" s="10" t="n">
        <x:v>503</x:v>
      </x:c>
      <x:c r="BW296" s="10" t="n">
        <x:v>413</x:v>
      </x:c>
      <x:c r="BX296" s="10" t="n">
        <x:v>68</x:v>
      </x:c>
      <x:c r="BY296" s="4" t="str">
        <x:v>Nick Blankenburg</x:v>
      </x:c>
      <x:c r="BZ296" s="4" t="str">
        <x:v>Nick Blankenburg</x:v>
      </x:c>
      <x:c r="CA296" s="4" t="str">
        <x:v>Nick Blankenburg</x:v>
      </x:c>
      <x:c r="CB296" s="4" t="str">
        <x:v>blankni01</x:v>
      </x:c>
    </x:row>
    <x:row r="297" ht="22" customHeight="1">
      <x:c r="A297" s="4" t="str">
        <x:v>Nick Cousins</x:v>
      </x:c>
      <x:c r="B297" s="4" t="str">
        <x:v>nickcousins</x:v>
      </x:c>
      <x:c r="C297" s="10" t="n">
        <x:v>1</x:v>
      </x:c>
      <x:c r="D297" s="10" t="n">
        <x:v>1</x:v>
      </x:c>
      <x:c r="E297" s="10" t="n">
        <x:v>1</x:v>
      </x:c>
      <x:c r="F297" s="4" t="n">
        <x:f>IF(COUNT(N297,Q297,T297,W297,Z297,AC297,AF297,AI297)=8,N297*Guide!$E$5+Q297*Guide!$E$6+T297*Guide!$E$7+W297*Guide!$E$8+Z297*Guide!$E$9+AC297*Guide!$E$10+AF297*Guide!$E$11+AI297*Guide!$E$12,"")</x:f>
        <x:v>168.25</x:v>
      </x:c>
      <x:c r="G297" s="4" t="n">
        <x:f>IF(COUNT(O297,R297,U297,X297,AA297,AD297,AG297,AJ297)=8,O297*Guide!$E$5+R297*Guide!$E$6+U297*Guide!$E$7+X297*Guide!$E$8+AA297*Guide!$E$9+AD297*Guide!$E$10+AG297*Guide!$E$11+AJ297*Guide!$E$12,"")</x:f>
        <x:v>178.75</x:v>
      </x:c>
      <x:c r="H297" s="4" t="n">
        <x:f>IF(COUNT(G297,F297)=2,G297-F297,"")</x:f>
        <x:v>10.5</x:v>
      </x:c>
      <x:c r="I297" s="4" t="n">
        <x:f>IF(AND(ISNUMBER(F297),K297&gt;0),F297/K297,"")</x:f>
        <x:v>2.157051282051282</x:v>
      </x:c>
      <x:c r="J297" s="4" t="n">
        <x:f>IF(AND(ISNUMBER(G297),L297&gt;0),G297/L297,"")</x:f>
        <x:v>2.20679012345679</x:v>
      </x:c>
      <x:c r="K297" s="10" t="n">
        <x:v>78</x:v>
      </x:c>
      <x:c r="L297" s="10" t="n">
        <x:v>81</x:v>
      </x:c>
      <x:c r="M297" s="10" t="n">
        <x:f>IF(COUNT(L297,K297)=2,L297-K297,"")</x:f>
        <x:v>3</x:v>
      </x:c>
      <x:c r="N297" s="10" t="n">
        <x:v>10</x:v>
      </x:c>
      <x:c r="O297" s="10" t="n">
        <x:v>9</x:v>
      </x:c>
      <x:c r="P297" s="10" t="n">
        <x:f>IF(COUNT(O297,N297)=2,O297-N297,"")</x:f>
        <x:v>-1</x:v>
      </x:c>
      <x:c r="Q297" s="10" t="n">
        <x:v>14</x:v>
      </x:c>
      <x:c r="R297" s="10" t="n">
        <x:v>14</x:v>
      </x:c>
      <x:c r="S297" s="10" t="n">
        <x:f>IF(COUNT(R297,Q297)=2,R297-Q297,"")</x:f>
        <x:v>0</x:v>
      </x:c>
      <x:c r="T297" s="10" t="n">
        <x:v>0</x:v>
      </x:c>
      <x:c r="U297" s="10" t="n">
        <x:v>8</x:v>
      </x:c>
      <x:c r="V297" s="10" t="n">
        <x:f>IF(COUNT(U297,T297)=2,U297-T297,"")</x:f>
        <x:v>8</x:v>
      </x:c>
      <x:c r="W297" s="10" t="n">
        <x:v>1</x:v>
      </x:c>
      <x:c r="X297" s="10" t="n">
        <x:f>IF(COUNT(AV297,AW297)=2,AV297+AW297,"")</x:f>
        <x:v>0</x:v>
      </x:c>
      <x:c r="Y297" s="10" t="n">
        <x:f>IF(COUNT(X297,W297)=2,X297-W297,"")</x:f>
        <x:v>-1</x:v>
      </x:c>
      <x:c r="Z297" s="10" t="n">
        <x:v>0</x:v>
      </x:c>
      <x:c r="AA297" s="10" t="n">
        <x:f>IF(COUNT(AX297,AY297)=2,AX297+AY297,"")</x:f>
        <x:v>0</x:v>
      </x:c>
      <x:c r="AB297" s="10" t="n">
        <x:f>IF(COUNT(AA297,Z297)=2,AA297-Z297,"")</x:f>
        <x:v>0</x:v>
      </x:c>
      <x:c r="AC297" s="10" t="n">
        <x:v>100</x:v>
      </x:c>
      <x:c r="AD297" s="10" t="n">
        <x:v>79</x:v>
      </x:c>
      <x:c r="AE297" s="10" t="n">
        <x:f>IF(COUNT(AD297,AC297)=2,AD297-AC297,"")</x:f>
        <x:v>-21</x:v>
      </x:c>
      <x:c r="AF297" s="10" t="n">
        <x:v>124</x:v>
      </x:c>
      <x:c r="AG297" s="10" t="n">
        <x:v>169</x:v>
      </x:c>
      <x:c r="AH297" s="10" t="n">
        <x:f>IF(COUNT(AG297,AF297)=2,AG297-AF297,"")</x:f>
        <x:v>45</x:v>
      </x:c>
      <x:c r="AI297" s="10" t="n">
        <x:v>39</x:v>
      </x:c>
      <x:c r="AJ297" s="10" t="n">
        <x:v>41</x:v>
      </x:c>
      <x:c r="AK297" s="10" t="n">
        <x:f>IF(COUNT(AJ297,AI297)=2,AJ297-AI297,"")</x:f>
        <x:v>2</x:v>
      </x:c>
      <x:c r="AL297" s="10" t="n">
        <x:v>32</x:v>
      </x:c>
      <x:c r="AM297" s="10" t="n">
        <x:v>32</x:v>
      </x:c>
      <x:c r="AN297" s="4" t="str">
        <x:v>LW</x:v>
      </x:c>
      <x:c r="AO297" s="4" t="str">
        <x:v>C</x:v>
      </x:c>
      <x:c r="AP297" s="4" t="str">
        <x:v>OTT</x:v>
      </x:c>
      <x:c r="AQ297" s="4" t="str">
        <x:v>OTT</x:v>
      </x:c>
      <x:c r="AR297" s="4" t="n">
        <x:v>11.67</x:v>
      </x:c>
      <x:c r="AS297" s="4" t="n">
        <x:v>11.416666666666666</x:v>
      </x:c>
      <x:c r="AT297" s="4" t="n">
        <x:v>0.2</x:v>
      </x:c>
      <x:c r="AU297" s="4" t="n">
        <x:v>11.4</x:v>
      </x:c>
      <x:c r="AV297" s="10" t="n">
        <x:v>0</x:v>
      </x:c>
      <x:c r="AW297" s="10" t="n">
        <x:v>0</x:v>
      </x:c>
      <x:c r="AX297" s="10" t="n">
        <x:v>0</x:v>
      </x:c>
      <x:c r="AY297" s="10" t="n">
        <x:v>0</x:v>
      </x:c>
      <x:c r="AZ297" s="10" t="n">
        <x:v>843</x:v>
      </x:c>
      <x:c r="BA297" s="10" t="n">
        <x:v>773</x:v>
      </x:c>
      <x:c r="BB297" s="4" t="n">
        <x:v>52.2</x:v>
      </x:c>
      <x:c r="BC297" s="4" t="n">
        <x:v>-0.7</x:v>
      </x:c>
      <x:c r="BD297" s="10" t="n">
        <x:v>605</x:v>
      </x:c>
      <x:c r="BE297" s="10" t="n">
        <x:v>537</x:v>
      </x:c>
      <x:c r="BF297" s="4" t="n">
        <x:v>53</x:v>
      </x:c>
      <x:c r="BG297" s="4" t="n">
        <x:v>-0.6</x:v>
      </x:c>
      <x:c r="BH297" s="4" t="n">
        <x:v>9.2</x:v>
      </x:c>
      <x:c r="BI297" s="4" t="n">
        <x:v>91</x:v>
      </x:c>
      <x:c r="BJ297" s="4" t="n">
        <x:v>100.3</x:v>
      </x:c>
      <x:c r="BK297" s="4" t="n">
        <x:v>48.5</x:v>
      </x:c>
      <x:c r="BL297" s="4" t="n">
        <x:v>51.5</x:v>
      </x:c>
      <x:c r="BM297" s="4" t="n">
        <x:v>11.416666666666666</x:v>
      </x:c>
      <x:c r="BN297" s="4" t="n">
        <x:v>11.366666666666667</x:v>
      </x:c>
      <x:c r="BO297" s="10" t="n">
        <x:v>17</x:v>
      </x:c>
      <x:c r="BP297" s="10" t="n">
        <x:v>47</x:v>
      </x:c>
      <x:c r="BQ297" s="4" t="n">
        <x:v>11.4</x:v>
      </x:c>
      <x:c r="BR297" s="10" t="n">
        <x:v>138</x:v>
      </x:c>
      <x:c r="BS297" s="4" t="n">
        <x:v>57.2</x:v>
      </x:c>
      <x:c r="BT297" s="10" t="n">
        <x:v>81</x:v>
      </x:c>
      <x:c r="BU297" s="4" t="str">
        <x:v>OTT</x:v>
      </x:c>
      <x:c r="BV297" s="10" t="n">
        <x:v>452</x:v>
      </x:c>
      <x:c r="BW297" s="10" t="n">
        <x:v>422</x:v>
      </x:c>
      <x:c r="BX297" s="10" t="n">
        <x:v>176</x:v>
      </x:c>
      <x:c r="BY297" s="4" t="str">
        <x:v>Nick Cousins</x:v>
      </x:c>
      <x:c r="BZ297" s="4" t="str">
        <x:v>Nick Cousins</x:v>
      </x:c>
      <x:c r="CA297" s="4" t="str">
        <x:v>Nick Cousins</x:v>
      </x:c>
      <x:c r="CB297" s="4" t="str">
        <x:v>cousini01</x:v>
      </x:c>
    </x:row>
    <x:row r="298" ht="22" customHeight="1">
      <x:c r="A298" s="4" t="str">
        <x:v>Nick Schmaltz</x:v>
      </x:c>
      <x:c r="B298" s="4" t="str">
        <x:v>nickschmaltz</x:v>
      </x:c>
      <x:c r="C298" s="10" t="n">
        <x:v>1</x:v>
      </x:c>
      <x:c r="D298" s="10" t="n">
        <x:v>1</x:v>
      </x:c>
      <x:c r="E298" s="10" t="n">
        <x:v>1</x:v>
      </x:c>
      <x:c r="F298" s="4" t="n">
        <x:f>IF(COUNT(N298,Q298,T298,W298,Z298,AC298,AF298,AI298)=8,N298*Guide!$E$5+Q298*Guide!$E$6+T298*Guide!$E$7+W298*Guide!$E$8+Z298*Guide!$E$9+AC298*Guide!$E$10+AF298*Guide!$E$11+AI298*Guide!$E$12,"")</x:f>
        <x:v>319.5</x:v>
      </x:c>
      <x:c r="G298" s="4" t="n">
        <x:f>IF(COUNT(O298,R298,U298,X298,AA298,AD298,AG298,AJ298)=8,O298*Guide!$E$5+R298*Guide!$E$6+U298*Guide!$E$7+X298*Guide!$E$8+AA298*Guide!$E$9+AD298*Guide!$E$10+AG298*Guide!$E$11+AJ298*Guide!$E$12,"")</x:f>
        <x:v>394.5</x:v>
      </x:c>
      <x:c r="H298" s="4" t="n">
        <x:f>IF(COUNT(G298,F298)=2,G298-F298,"")</x:f>
        <x:v>75</x:v>
      </x:c>
      <x:c r="I298" s="4" t="n">
        <x:f>IF(AND(ISNUMBER(F298),K298&gt;0),F298/K298,"")</x:f>
        <x:v>3.8963414634146343</x:v>
      </x:c>
      <x:c r="J298" s="4" t="n">
        <x:f>IF(AND(ISNUMBER(G298),L298&gt;0),G298/L298,"")</x:f>
        <x:v>4.810975609756097</x:v>
      </x:c>
      <x:c r="K298" s="10" t="n">
        <x:v>82</x:v>
      </x:c>
      <x:c r="L298" s="10" t="n">
        <x:v>82</x:v>
      </x:c>
      <x:c r="M298" s="10" t="n">
        <x:f>IF(COUNT(L298,K298)=2,L298-K298,"")</x:f>
        <x:v>0</x:v>
      </x:c>
      <x:c r="N298" s="10" t="n">
        <x:v>24</x:v>
      </x:c>
      <x:c r="O298" s="10" t="n">
        <x:v>33</x:v>
      </x:c>
      <x:c r="P298" s="10" t="n">
        <x:f>IF(COUNT(O298,N298)=2,O298-N298,"")</x:f>
        <x:v>9</x:v>
      </x:c>
      <x:c r="Q298" s="10" t="n">
        <x:v>42</x:v>
      </x:c>
      <x:c r="R298" s="10" t="n">
        <x:v>41</x:v>
      </x:c>
      <x:c r="S298" s="10" t="n">
        <x:f>IF(COUNT(R298,Q298)=2,R298-Q298,"")</x:f>
        <x:v>-1</x:v>
      </x:c>
      <x:c r="T298" s="10" t="n">
        <x:v>-3</x:v>
      </x:c>
      <x:c r="U298" s="10" t="n">
        <x:v>17</x:v>
      </x:c>
      <x:c r="V298" s="10" t="n">
        <x:f>IF(COUNT(U298,T298)=2,U298-T298,"")</x:f>
        <x:v>20</x:v>
      </x:c>
      <x:c r="W298" s="10" t="n">
        <x:v>21</x:v>
      </x:c>
      <x:c r="X298" s="10" t="n">
        <x:f>IF(COUNT(AV298,AW298)=2,AV298+AW298,"")</x:f>
        <x:v>20</x:v>
      </x:c>
      <x:c r="Y298" s="10" t="n">
        <x:f>IF(COUNT(X298,W298)=2,X298-W298,"")</x:f>
        <x:v>-1</x:v>
      </x:c>
      <x:c r="Z298" s="10" t="n">
        <x:v>1</x:v>
      </x:c>
      <x:c r="AA298" s="10" t="n">
        <x:f>IF(COUNT(AX298,AY298)=2,AX298+AY298,"")</x:f>
        <x:v>2</x:v>
      </x:c>
      <x:c r="AB298" s="10" t="n">
        <x:f>IF(COUNT(AA298,Z298)=2,AA298-Z298,"")</x:f>
        <x:v>1</x:v>
      </x:c>
      <x:c r="AC298" s="10" t="n">
        <x:v>162</x:v>
      </x:c>
      <x:c r="AD298" s="10" t="n">
        <x:v>207</x:v>
      </x:c>
      <x:c r="AE298" s="10" t="n">
        <x:f>IF(COUNT(AD298,AC298)=2,AD298-AC298,"")</x:f>
        <x:v>45</x:v>
      </x:c>
      <x:c r="AF298" s="10" t="n">
        <x:v>15</x:v>
      </x:c>
      <x:c r="AG298" s="10" t="n">
        <x:v>23</x:v>
      </x:c>
      <x:c r="AH298" s="10" t="n">
        <x:f>IF(COUNT(AG298,AF298)=2,AG298-AF298,"")</x:f>
        <x:v>8</x:v>
      </x:c>
      <x:c r="AI298" s="10" t="n">
        <x:v>43</x:v>
      </x:c>
      <x:c r="AJ298" s="10" t="n">
        <x:v>52</x:v>
      </x:c>
      <x:c r="AK298" s="10" t="n">
        <x:f>IF(COUNT(AJ298,AI298)=2,AJ298-AI298,"")</x:f>
        <x:v>9</x:v>
      </x:c>
      <x:c r="AL298" s="10" t="n">
        <x:v>29</x:v>
      </x:c>
      <x:c r="AM298" s="10" t="n">
        <x:v>29</x:v>
      </x:c>
      <x:c r="AN298" s="4" t="str">
        <x:v>C,RW</x:v>
      </x:c>
      <x:c r="AO298" s="4" t="str">
        <x:v>C</x:v>
      </x:c>
      <x:c r="AP298" s="4" t="str">
        <x:v>UTA</x:v>
      </x:c>
      <x:c r="AQ298" s="4" t="str">
        <x:v>UTA</x:v>
      </x:c>
      <x:c r="AR298" s="4" t="n">
        <x:v>18.51</x:v>
      </x:c>
      <x:c r="AS298" s="4" t="n">
        <x:v>19.716666666666665</x:v>
      </x:c>
      <x:c r="AT298" s="4" t="n">
        <x:v>3.1</x:v>
      </x:c>
      <x:c r="AU298" s="4" t="n">
        <x:v>15.9</x:v>
      </x:c>
      <x:c r="AV298" s="10" t="n">
        <x:v>11</x:v>
      </x:c>
      <x:c r="AW298" s="10" t="n">
        <x:v>9</x:v>
      </x:c>
      <x:c r="AX298" s="10" t="n">
        <x:v>2</x:v>
      </x:c>
      <x:c r="AY298" s="10" t="n">
        <x:v>0</x:v>
      </x:c>
      <x:c r="AZ298" s="10" t="n">
        <x:v>1284</x:v>
      </x:c>
      <x:c r="BA298" s="10" t="n">
        <x:v>1001</x:v>
      </x:c>
      <x:c r="BB298" s="4" t="n">
        <x:v>56.2</x:v>
      </x:c>
      <x:c r="BC298" s="4" t="n">
        <x:v>4.2</x:v>
      </x:c>
      <x:c r="BD298" s="10" t="n">
        <x:v>938</x:v>
      </x:c>
      <x:c r="BE298" s="10" t="n">
        <x:v>731</x:v>
      </x:c>
      <x:c r="BF298" s="4" t="n">
        <x:v>56.2</x:v>
      </x:c>
      <x:c r="BG298" s="4" t="n">
        <x:v>4.5</x:v>
      </x:c>
      <x:c r="BH298" s="4" t="n">
        <x:v>12.6</x:v>
      </x:c>
      <x:c r="BI298" s="4" t="n">
        <x:v>87</x:v>
      </x:c>
      <x:c r="BJ298" s="4" t="n">
        <x:v>99.6</x:v>
      </x:c>
      <x:c r="BK298" s="4" t="n">
        <x:v>61.8</x:v>
      </x:c>
      <x:c r="BL298" s="4" t="n">
        <x:v>38.2</x:v>
      </x:c>
      <x:c r="BM298" s="4" t="n">
        <x:v>19.716666666666665</x:v>
      </x:c>
      <x:c r="BN298" s="4" t="n">
        <x:v>15.083333333333334</x:v>
      </x:c>
      <x:c r="BO298" s="10" t="n">
        <x:v>45</x:v>
      </x:c>
      <x:c r="BP298" s="10" t="n">
        <x:v>94</x:v>
      </x:c>
      <x:c r="BQ298" s="4" t="n">
        <x:v>17</x:v>
      </x:c>
      <x:c r="BR298" s="10" t="n">
        <x:v>397</x:v>
      </x:c>
      <x:c r="BS298" s="4" t="n">
        <x:v>52.1</x:v>
      </x:c>
      <x:c r="BT298" s="10" t="n">
        <x:v>82</x:v>
      </x:c>
      <x:c r="BU298" s="4" t="str">
        <x:v>UTA</x:v>
      </x:c>
      <x:c r="BV298" s="10" t="n">
        <x:v>63</x:v>
      </x:c>
      <x:c r="BW298" s="10" t="n">
        <x:v>47</x:v>
      </x:c>
      <x:c r="BX298" s="10" t="n">
        <x:v>910</x:v>
      </x:c>
      <x:c r="BY298" s="4" t="str">
        <x:v>Nick Schmaltz</x:v>
      </x:c>
      <x:c r="BZ298" s="4" t="str">
        <x:v>Nick Schmaltz</x:v>
      </x:c>
      <x:c r="CA298" s="4" t="str">
        <x:v>Nick Schmaltz</x:v>
      </x:c>
      <x:c r="CB298" s="4" t="str">
        <x:v>schmani01</x:v>
      </x:c>
    </x:row>
    <x:row r="299" ht="22" customHeight="1">
      <x:c r="A299" s="4" t="str">
        <x:v>Nick Suzuki</x:v>
      </x:c>
      <x:c r="B299" s="4" t="str">
        <x:v>nicksuzuki</x:v>
      </x:c>
      <x:c r="C299" s="10" t="n">
        <x:v>1</x:v>
      </x:c>
      <x:c r="D299" s="10" t="n">
        <x:v>1</x:v>
      </x:c>
      <x:c r="E299" s="10" t="n">
        <x:v>1</x:v>
      </x:c>
      <x:c r="F299" s="4" t="n">
        <x:f>IF(COUNT(N299,Q299,T299,W299,Z299,AC299,AF299,AI299)=8,N299*Guide!$E$5+Q299*Guide!$E$6+T299*Guide!$E$7+W299*Guide!$E$8+Z299*Guide!$E$9+AC299*Guide!$E$10+AF299*Guide!$E$11+AI299*Guide!$E$12,"")</x:f>
        <x:v>387.75</x:v>
      </x:c>
      <x:c r="G299" s="4" t="n">
        <x:f>IF(COUNT(O299,R299,U299,X299,AA299,AD299,AG299,AJ299)=8,O299*Guide!$E$5+R299*Guide!$E$6+U299*Guide!$E$7+X299*Guide!$E$8+AA299*Guide!$E$9+AD299*Guide!$E$10+AG299*Guide!$E$11+AJ299*Guide!$E$12,"")</x:f>
        <x:v>522.75</x:v>
      </x:c>
      <x:c r="H299" s="4" t="n">
        <x:f>IF(COUNT(G299,F299)=2,G299-F299,"")</x:f>
        <x:v>135</x:v>
      </x:c>
      <x:c r="I299" s="4" t="n">
        <x:f>IF(AND(ISNUMBER(F299),K299&gt;0),F299/K299,"")</x:f>
        <x:v>4.728658536585366</x:v>
      </x:c>
      <x:c r="J299" s="4" t="n">
        <x:f>IF(AND(ISNUMBER(G299),L299&gt;0),G299/L299,"")</x:f>
        <x:v>6.375</x:v>
      </x:c>
      <x:c r="K299" s="10" t="n">
        <x:v>82</x:v>
      </x:c>
      <x:c r="L299" s="10" t="n">
        <x:v>82</x:v>
      </x:c>
      <x:c r="M299" s="10" t="n">
        <x:f>IF(COUNT(L299,K299)=2,L299-K299,"")</x:f>
        <x:v>0</x:v>
      </x:c>
      <x:c r="N299" s="10" t="n">
        <x:v>28</x:v>
      </x:c>
      <x:c r="O299" s="10" t="n">
        <x:v>29</x:v>
      </x:c>
      <x:c r="P299" s="10" t="n">
        <x:f>IF(COUNT(O299,N299)=2,O299-N299,"")</x:f>
        <x:v>1</x:v>
      </x:c>
      <x:c r="Q299" s="10" t="n">
        <x:v>48</x:v>
      </x:c>
      <x:c r="R299" s="10" t="n">
        <x:v>72</x:v>
      </x:c>
      <x:c r="S299" s="10" t="n">
        <x:f>IF(COUNT(R299,Q299)=2,R299-Q299,"")</x:f>
        <x:v>24</x:v>
      </x:c>
      <x:c r="T299" s="10" t="n">
        <x:v>1</x:v>
      </x:c>
      <x:c r="U299" s="10" t="n">
        <x:v>37</x:v>
      </x:c>
      <x:c r="V299" s="10" t="n">
        <x:f>IF(COUNT(U299,T299)=2,U299-T299,"")</x:f>
        <x:v>36</x:v>
      </x:c>
      <x:c r="W299" s="10" t="n">
        <x:v>25</x:v>
      </x:c>
      <x:c r="X299" s="10" t="n">
        <x:f>IF(COUNT(AV299,AW299)=2,AV299+AW299,"")</x:f>
        <x:v>43</x:v>
      </x:c>
      <x:c r="Y299" s="10" t="n">
        <x:f>IF(COUNT(X299,W299)=2,X299-W299,"")</x:f>
        <x:v>18</x:v>
      </x:c>
      <x:c r="Z299" s="10" t="n">
        <x:v>1</x:v>
      </x:c>
      <x:c r="AA299" s="10" t="n">
        <x:f>IF(COUNT(AX299,AY299)=2,AX299+AY299,"")</x:f>
        <x:v>1</x:v>
      </x:c>
      <x:c r="AB299" s="10" t="n">
        <x:f>IF(COUNT(AA299,Z299)=2,AA299-Z299,"")</x:f>
        <x:v>0</x:v>
      </x:c>
      <x:c r="AC299" s="10" t="n">
        <x:v>164</x:v>
      </x:c>
      <x:c r="AD299" s="10" t="n">
        <x:v>183</x:v>
      </x:c>
      <x:c r="AE299" s="10" t="n">
        <x:f>IF(COUNT(AD299,AC299)=2,AD299-AC299,"")</x:f>
        <x:v>19</x:v>
      </x:c>
      <x:c r="AF299" s="10" t="n">
        <x:v>61</x:v>
      </x:c>
      <x:c r="AG299" s="10" t="n">
        <x:v>62</x:v>
      </x:c>
      <x:c r="AH299" s="10" t="n">
        <x:f>IF(COUNT(AG299,AF299)=2,AG299-AF299,"")</x:f>
        <x:v>1</x:v>
      </x:c>
      <x:c r="AI299" s="10" t="n">
        <x:v>62</x:v>
      </x:c>
      <x:c r="AJ299" s="10" t="n">
        <x:v>62</x:v>
      </x:c>
      <x:c r="AK299" s="10" t="n">
        <x:f>IF(COUNT(AJ299,AI299)=2,AJ299-AI299,"")</x:f>
        <x:v>0</x:v>
      </x:c>
      <x:c r="AL299" s="10" t="n">
        <x:v>26</x:v>
      </x:c>
      <x:c r="AM299" s="10" t="n">
        <x:v>26</x:v>
      </x:c>
      <x:c r="AN299" s="4" t="str">
        <x:v>C</x:v>
      </x:c>
      <x:c r="AO299" s="4" t="str">
        <x:v>C</x:v>
      </x:c>
      <x:c r="AP299" s="4" t="str">
        <x:v>MTL</x:v>
      </x:c>
      <x:c r="AQ299" s="4" t="str">
        <x:v>MTL</x:v>
      </x:c>
      <x:c r="AR299" s="4" t="n">
        <x:v>20.330000000000002</x:v>
      </x:c>
      <x:c r="AS299" s="4" t="n">
        <x:v>20.816666666666666</x:v>
      </x:c>
      <x:c r="AT299" s="4" t="n">
        <x:v>3.33</x:v>
      </x:c>
      <x:c r="AU299" s="4" t="n">
        <x:v>15.8</x:v>
      </x:c>
      <x:c r="AV299" s="10" t="n">
        <x:v>11</x:v>
      </x:c>
      <x:c r="AW299" s="10" t="n">
        <x:v>32</x:v>
      </x:c>
      <x:c r="AX299" s="10" t="n">
        <x:v>1</x:v>
      </x:c>
      <x:c r="AY299" s="10" t="n">
        <x:v>0</x:v>
      </x:c>
      <x:c r="AZ299" s="10" t="n">
        <x:v>1443</x:v>
      </x:c>
      <x:c r="BA299" s="10" t="n">
        <x:v>1255</x:v>
      </x:c>
      <x:c r="BB299" s="4" t="n">
        <x:v>53.5</x:v>
      </x:c>
      <x:c r="BC299" s="4" t="n">
        <x:v>7.3</x:v>
      </x:c>
      <x:c r="BD299" s="10" t="n">
        <x:v>1077</x:v>
      </x:c>
      <x:c r="BE299" s="10" t="n">
        <x:v>861</x:v>
      </x:c>
      <x:c r="BF299" s="4" t="n">
        <x:v>55.6</x:v>
      </x:c>
      <x:c r="BG299" s="4" t="n">
        <x:v>9.1</x:v>
      </x:c>
      <x:c r="BH299" s="4" t="n">
        <x:v>14.1</x:v>
      </x:c>
      <x:c r="BI299" s="4" t="n">
        <x:v>89.8</x:v>
      </x:c>
      <x:c r="BJ299" s="4" t="n">
        <x:v>103.9</x:v>
      </x:c>
      <x:c r="BK299" s="4" t="n">
        <x:v>53.1</x:v>
      </x:c>
      <x:c r="BL299" s="4" t="n">
        <x:v>46.9</x:v>
      </x:c>
      <x:c r="BM299" s="4" t="n">
        <x:v>20.816666666666666</x:v>
      </x:c>
      <x:c r="BN299" s="4" t="n">
        <x:v>16.566666666666666</x:v>
      </x:c>
      <x:c r="BO299" s="10" t="n">
        <x:v>29</x:v>
      </x:c>
      <x:c r="BP299" s="10" t="n">
        <x:v>72</x:v>
      </x:c>
      <x:c r="BQ299" s="4" t="n">
        <x:v>12.6</x:v>
      </x:c>
      <x:c r="BR299" s="10" t="n">
        <x:v>385</x:v>
      </x:c>
      <x:c r="BS299" s="4" t="n">
        <x:v>47.5</x:v>
      </x:c>
      <x:c r="BT299" s="10" t="n">
        <x:v>82</x:v>
      </x:c>
      <x:c r="BU299" s="4" t="str">
        <x:v>MTL</x:v>
      </x:c>
      <x:c r="BV299" s="10" t="n">
        <x:v>30</x:v>
      </x:c>
      <x:c r="BW299" s="10" t="n">
        <x:v>8</x:v>
      </x:c>
      <x:c r="BX299" s="10" t="n">
        <x:v>998</x:v>
      </x:c>
      <x:c r="BY299" s="4" t="str">
        <x:v>Nick Suzuki</x:v>
      </x:c>
      <x:c r="BZ299" s="4" t="str">
        <x:v>Nick Suzuki</x:v>
      </x:c>
      <x:c r="CA299" s="4" t="str">
        <x:v>Nick Suzuki</x:v>
      </x:c>
      <x:c r="CB299" s="4" t="str">
        <x:v>suzukni01</x:v>
      </x:c>
    </x:row>
    <x:row r="300" ht="22" customHeight="1">
      <x:c r="A300" s="4" t="str">
        <x:v>Nico Hischier</x:v>
      </x:c>
      <x:c r="B300" s="4" t="str">
        <x:v>nicohischier</x:v>
      </x:c>
      <x:c r="C300" s="10" t="n">
        <x:v>1</x:v>
      </x:c>
      <x:c r="D300" s="10" t="n">
        <x:v>1</x:v>
      </x:c>
      <x:c r="E300" s="10" t="n">
        <x:v>1</x:v>
      </x:c>
      <x:c r="F300" s="4" t="n">
        <x:f>IF(COUNT(N300,Q300,T300,W300,Z300,AC300,AF300,AI300)=8,N300*Guide!$E$5+Q300*Guide!$E$6+T300*Guide!$E$7+W300*Guide!$E$8+Z300*Guide!$E$9+AC300*Guide!$E$10+AF300*Guide!$E$11+AI300*Guide!$E$12,"")</x:f>
        <x:v>394.5</x:v>
      </x:c>
      <x:c r="G300" s="4" t="n">
        <x:f>IF(COUNT(O300,R300,U300,X300,AA300,AD300,AG300,AJ300)=8,O300*Guide!$E$5+R300*Guide!$E$6+U300*Guide!$E$7+X300*Guide!$E$8+AA300*Guide!$E$9+AD300*Guide!$E$10+AG300*Guide!$E$11+AJ300*Guide!$E$12,"")</x:f>
        <x:v>359.75</x:v>
      </x:c>
      <x:c r="H300" s="4" t="n">
        <x:f>IF(COUNT(G300,F300)=2,G300-F300,"")</x:f>
        <x:v>-34.75</x:v>
      </x:c>
      <x:c r="I300" s="4" t="n">
        <x:f>IF(AND(ISNUMBER(F300),K300&gt;0),F300/K300,"")</x:f>
        <x:v>5.123376623376624</x:v>
      </x:c>
      <x:c r="J300" s="4" t="n">
        <x:f>IF(AND(ISNUMBER(G300),L300&gt;0),G300/L300,"")</x:f>
        <x:v>4.387195121951219</x:v>
      </x:c>
      <x:c r="K300" s="10" t="n">
        <x:v>77</x:v>
      </x:c>
      <x:c r="L300" s="10" t="n">
        <x:v>82</x:v>
      </x:c>
      <x:c r="M300" s="10" t="n">
        <x:f>IF(COUNT(L300,K300)=2,L300-K300,"")</x:f>
        <x:v>5</x:v>
      </x:c>
      <x:c r="N300" s="10" t="n">
        <x:v>33</x:v>
      </x:c>
      <x:c r="O300" s="10" t="n">
        <x:v>28</x:v>
      </x:c>
      <x:c r="P300" s="10" t="n">
        <x:f>IF(COUNT(O300,N300)=2,O300-N300,"")</x:f>
        <x:v>-5</x:v>
      </x:c>
      <x:c r="Q300" s="10" t="n">
        <x:v>41</x:v>
      </x:c>
      <x:c r="R300" s="10" t="n">
        <x:v>38</x:v>
      </x:c>
      <x:c r="S300" s="10" t="n">
        <x:f>IF(COUNT(R300,Q300)=2,R300-Q300,"")</x:f>
        <x:v>-3</x:v>
      </x:c>
      <x:c r="T300" s="10" t="n">
        <x:v>7</x:v>
      </x:c>
      <x:c r="U300" s="10" t="n">
        <x:v>-6</x:v>
      </x:c>
      <x:c r="V300" s="10" t="n">
        <x:f>IF(COUNT(U300,T300)=2,U300-T300,"")</x:f>
        <x:v>-13</x:v>
      </x:c>
      <x:c r="W300" s="10" t="n">
        <x:v>23</x:v>
      </x:c>
      <x:c r="X300" s="10" t="n">
        <x:f>IF(COUNT(AV300,AW300)=2,AV300+AW300,"")</x:f>
        <x:v>23</x:v>
      </x:c>
      <x:c r="Y300" s="10" t="n">
        <x:f>IF(COUNT(X300,W300)=2,X300-W300,"")</x:f>
        <x:v>0</x:v>
      </x:c>
      <x:c r="Z300" s="10" t="n">
        <x:v>2</x:v>
      </x:c>
      <x:c r="AA300" s="10" t="n">
        <x:f>IF(COUNT(AX300,AY300)=2,AX300+AY300,"")</x:f>
        <x:v>1</x:v>
      </x:c>
      <x:c r="AB300" s="10" t="n">
        <x:f>IF(COUNT(AA300,Z300)=2,AA300-Z300,"")</x:f>
        <x:v>-1</x:v>
      </x:c>
      <x:c r="AC300" s="10" t="n">
        <x:v>193</x:v>
      </x:c>
      <x:c r="AD300" s="10" t="n">
        <x:v>211</x:v>
      </x:c>
      <x:c r="AE300" s="10" t="n">
        <x:f>IF(COUNT(AD300,AC300)=2,AD300-AC300,"")</x:f>
        <x:v>18</x:v>
      </x:c>
      <x:c r="AF300" s="10" t="n">
        <x:v>44</x:v>
      </x:c>
      <x:c r="AG300" s="10" t="n">
        <x:v>58</x:v>
      </x:c>
      <x:c r="AH300" s="10" t="n">
        <x:f>IF(COUNT(AG300,AF300)=2,AG300-AF300,"")</x:f>
        <x:v>14</x:v>
      </x:c>
      <x:c r="AI300" s="10" t="n">
        <x:v>59</x:v>
      </x:c>
      <x:c r="AJ300" s="10" t="n">
        <x:v>62</x:v>
      </x:c>
      <x:c r="AK300" s="10" t="n">
        <x:f>IF(COUNT(AJ300,AI300)=2,AJ300-AI300,"")</x:f>
        <x:v>3</x:v>
      </x:c>
      <x:c r="AL300" s="10" t="n">
        <x:v>27</x:v>
      </x:c>
      <x:c r="AM300" s="10" t="n">
        <x:v>27</x:v>
      </x:c>
      <x:c r="AN300" s="4" t="str">
        <x:v>C</x:v>
      </x:c>
      <x:c r="AO300" s="4" t="str">
        <x:v>C</x:v>
      </x:c>
      <x:c r="AP300" s="4" t="str">
        <x:v>NJ</x:v>
      </x:c>
      <x:c r="AQ300" s="4" t="str">
        <x:v>NJD</x:v>
      </x:c>
      <x:c r="AR300" s="4" t="n">
        <x:v>20.07</x:v>
      </x:c>
      <x:c r="AS300" s="4" t="n">
        <x:v>20.716666666666665</x:v>
      </x:c>
      <x:c r="AT300" s="4" t="n">
        <x:v>2.85</x:v>
      </x:c>
      <x:c r="AU300" s="4" t="n">
        <x:v>13.3</x:v>
      </x:c>
      <x:c r="AV300" s="10" t="n">
        <x:v>11</x:v>
      </x:c>
      <x:c r="AW300" s="10" t="n">
        <x:v>12</x:v>
      </x:c>
      <x:c r="AX300" s="10" t="n">
        <x:v>0</x:v>
      </x:c>
      <x:c r="AY300" s="10" t="n">
        <x:v>1</x:v>
      </x:c>
      <x:c r="AZ300" s="10" t="n">
        <x:v>1458</x:v>
      </x:c>
      <x:c r="BA300" s="10" t="n">
        <x:v>1213</x:v>
      </x:c>
      <x:c r="BB300" s="4" t="n">
        <x:v>54.6</x:v>
      </x:c>
      <x:c r="BC300" s="4" t="n">
        <x:v>4.2</x:v>
      </x:c>
      <x:c r="BD300" s="10" t="n">
        <x:v>1043</x:v>
      </x:c>
      <x:c r="BE300" s="10" t="n">
        <x:v>890</x:v>
      </x:c>
      <x:c r="BF300" s="4" t="n">
        <x:v>54</x:v>
      </x:c>
      <x:c r="BG300" s="4" t="n">
        <x:v>3.5</x:v>
      </x:c>
      <x:c r="BH300" s="4" t="n">
        <x:v>8.5</x:v>
      </x:c>
      <x:c r="BI300" s="4" t="n">
        <x:v>89</x:v>
      </x:c>
      <x:c r="BJ300" s="4" t="n">
        <x:v>97.5</x:v>
      </x:c>
      <x:c r="BK300" s="4" t="n">
        <x:v>48.8</x:v>
      </x:c>
      <x:c r="BL300" s="4" t="n">
        <x:v>51.2</x:v>
      </x:c>
      <x:c r="BM300" s="4" t="n">
        <x:v>20.716666666666665</x:v>
      </x:c>
      <x:c r="BN300" s="4" t="n">
        <x:v>15.866666666666667</x:v>
      </x:c>
      <x:c r="BO300" s="10" t="n">
        <x:v>27</x:v>
      </x:c>
      <x:c r="BP300" s="10" t="n">
        <x:v>72</x:v>
      </x:c>
      <x:c r="BQ300" s="4" t="n">
        <x:v>7.4</x:v>
      </x:c>
      <x:c r="BR300" s="10" t="n">
        <x:v>394</x:v>
      </x:c>
      <x:c r="BS300" s="4" t="n">
        <x:v>53.6</x:v>
      </x:c>
      <x:c r="BT300" s="10" t="n">
        <x:v>82</x:v>
      </x:c>
      <x:c r="BU300" s="4" t="str">
        <x:v>NJD</x:v>
      </x:c>
      <x:c r="BV300" s="10" t="n">
        <x:v>38</x:v>
      </x:c>
      <x:c r="BW300" s="10" t="n">
        <x:v>67</x:v>
      </x:c>
      <x:c r="BX300" s="10" t="n">
        <x:v>417</x:v>
      </x:c>
      <x:c r="BY300" s="4" t="str">
        <x:v>Nico Hischier</x:v>
      </x:c>
      <x:c r="BZ300" s="4" t="str">
        <x:v>Nico Hischier</x:v>
      </x:c>
      <x:c r="CA300" s="4" t="str">
        <x:v>Nico Hischier</x:v>
      </x:c>
      <x:c r="CB300" s="4" t="str">
        <x:v>hischni01</x:v>
      </x:c>
    </x:row>
    <x:row r="301" ht="22" customHeight="1">
      <x:c r="A301" s="4" t="str">
        <x:v>Nicolas Roy</x:v>
      </x:c>
      <x:c r="B301" s="4" t="str">
        <x:v>nicolasroy</x:v>
      </x:c>
      <x:c r="C301" s="10" t="n">
        <x:v>1</x:v>
      </x:c>
      <x:c r="D301" s="10" t="n">
        <x:v>1</x:v>
      </x:c>
      <x:c r="E301" s="10" t="n">
        <x:v>1</x:v>
      </x:c>
      <x:c r="F301" s="4" t="n">
        <x:f>IF(COUNT(N301,Q301,T301,W301,Z301,AC301,AF301,AI301)=8,N301*Guide!$E$5+Q301*Guide!$E$6+T301*Guide!$E$7+W301*Guide!$E$8+Z301*Guide!$E$9+AC301*Guide!$E$10+AF301*Guide!$E$11+AI301*Guide!$E$12,"")</x:f>
        <x:v>233.25</x:v>
      </x:c>
      <x:c r="G301" s="4" t="n">
        <x:f>IF(COUNT(O301,R301,U301,X301,AA301,AD301,AG301,AJ301)=8,O301*Guide!$E$5+R301*Guide!$E$6+U301*Guide!$E$7+X301*Guide!$E$8+AA301*Guide!$E$9+AD301*Guide!$E$10+AG301*Guide!$E$11+AJ301*Guide!$E$12,"")</x:f>
        <x:v>154.75</x:v>
      </x:c>
      <x:c r="H301" s="4" t="n">
        <x:f>IF(COUNT(G301,F301)=2,G301-F301,"")</x:f>
        <x:v>-78.5</x:v>
      </x:c>
      <x:c r="I301" s="4" t="n">
        <x:f>IF(AND(ISNUMBER(F301),K301&gt;0),F301/K301,"")</x:f>
        <x:v>2.915625</x:v>
      </x:c>
      <x:c r="J301" s="4" t="n">
        <x:f>IF(AND(ISNUMBER(G301),L301&gt;0),G301/L301,"")</x:f>
        <x:v>2.0912162162162162</x:v>
      </x:c>
      <x:c r="K301" s="10" t="n">
        <x:v>80</x:v>
      </x:c>
      <x:c r="L301" s="10" t="n">
        <x:v>74</x:v>
      </x:c>
      <x:c r="M301" s="10" t="n">
        <x:f>IF(COUNT(L301,K301)=2,L301-K301,"")</x:f>
        <x:v>-6</x:v>
      </x:c>
      <x:c r="N301" s="10" t="n">
        <x:v>18</x:v>
      </x:c>
      <x:c r="O301" s="10" t="n">
        <x:v>8</x:v>
      </x:c>
      <x:c r="P301" s="10" t="n">
        <x:f>IF(COUNT(O301,N301)=2,O301-N301,"")</x:f>
        <x:v>-10</x:v>
      </x:c>
      <x:c r="Q301" s="10" t="n">
        <x:v>21</x:v>
      </x:c>
      <x:c r="R301" s="10" t="n">
        <x:v>17</x:v>
      </x:c>
      <x:c r="S301" s="10" t="n">
        <x:f>IF(COUNT(R301,Q301)=2,R301-Q301,"")</x:f>
        <x:v>-4</x:v>
      </x:c>
      <x:c r="T301" s="10" t="n">
        <x:v>1</x:v>
      </x:c>
      <x:c r="U301" s="10" t="n">
        <x:v>0</x:v>
      </x:c>
      <x:c r="V301" s="10" t="n">
        <x:f>IF(COUNT(U301,T301)=2,U301-T301,"")</x:f>
        <x:v>-1</x:v>
      </x:c>
      <x:c r="W301" s="10" t="n">
        <x:v>7</x:v>
      </x:c>
      <x:c r="X301" s="10" t="n">
        <x:f>IF(COUNT(AV301,AW301)=2,AV301+AW301,"")</x:f>
        <x:v>2</x:v>
      </x:c>
      <x:c r="Y301" s="10" t="n">
        <x:f>IF(COUNT(X301,W301)=2,X301-W301,"")</x:f>
        <x:v>-5</x:v>
      </x:c>
      <x:c r="Z301" s="10" t="n">
        <x:v>1</x:v>
      </x:c>
      <x:c r="AA301" s="10" t="n">
        <x:f>IF(COUNT(AX301,AY301)=2,AX301+AY301,"")</x:f>
        <x:v>1</x:v>
      </x:c>
      <x:c r="AB301" s="10" t="n">
        <x:f>IF(COUNT(AA301,Z301)=2,AA301-Z301,"")</x:f>
        <x:v>0</x:v>
      </x:c>
      <x:c r="AC301" s="10" t="n">
        <x:v>114</x:v>
      </x:c>
      <x:c r="AD301" s="10" t="n">
        <x:v>76</x:v>
      </x:c>
      <x:c r="AE301" s="10" t="n">
        <x:f>IF(COUNT(AD301,AC301)=2,AD301-AC301,"")</x:f>
        <x:v>-38</x:v>
      </x:c>
      <x:c r="AF301" s="10" t="n">
        <x:v>85</x:v>
      </x:c>
      <x:c r="AG301" s="10" t="n">
        <x:v>71</x:v>
      </x:c>
      <x:c r="AH301" s="10" t="n">
        <x:f>IF(COUNT(AG301,AF301)=2,AG301-AF301,"")</x:f>
        <x:v>-14</x:v>
      </x:c>
      <x:c r="AI301" s="10" t="n">
        <x:v>50</x:v>
      </x:c>
      <x:c r="AJ301" s="10" t="n">
        <x:v>40</x:v>
      </x:c>
      <x:c r="AK301" s="10" t="n">
        <x:f>IF(COUNT(AJ301,AI301)=2,AJ301-AI301,"")</x:f>
        <x:v>-10</x:v>
      </x:c>
      <x:c r="AL301" s="10" t="n">
        <x:v>28</x:v>
      </x:c>
      <x:c r="AM301" s="10" t="n">
        <x:v>28</x:v>
      </x:c>
      <x:c r="AN301" s="4" t="str">
        <x:v>C,RW</x:v>
      </x:c>
      <x:c r="AO301" s="4" t="str">
        <x:v>C</x:v>
      </x:c>
      <x:c r="AP301" s="4" t="str">
        <x:v>TOR</x:v>
      </x:c>
      <x:c r="AQ301" s="4" t="str">
        <x:v>2TM</x:v>
      </x:c>
      <x:c r="AR301" s="4" t="n">
        <x:v>15.36</x:v>
      </x:c>
      <x:c r="AS301" s="4" t="n">
        <x:v>14.466666666666667</x:v>
      </x:c>
      <x:c r="AT301" s="4" t="n">
        <x:v>1.28</x:v>
      </x:c>
      <x:c r="AU301" s="4" t="n">
        <x:v>10.5</x:v>
      </x:c>
      <x:c r="AV301" s="10" t="n">
        <x:v>2</x:v>
      </x:c>
      <x:c r="AW301" s="10" t="n">
        <x:v>0</x:v>
      </x:c>
      <x:c r="AX301" s="10" t="n">
        <x:v>0</x:v>
      </x:c>
      <x:c r="AY301" s="10" t="n">
        <x:v>1</x:v>
      </x:c>
      <x:c r="AZ301" s="10" t="n">
        <x:v>811</x:v>
      </x:c>
      <x:c r="BA301" s="10" t="n">
        <x:v>933</x:v>
      </x:c>
      <x:c r="BB301" s="4" t="n">
        <x:v>46.5</x:v>
      </x:c>
      <x:c r="BC301" s="4" t="n">
        <x:v>-2.1</x:v>
      </x:c>
      <x:c r="BD301" s="10" t="n">
        <x:v>571</x:v>
      </x:c>
      <x:c r="BE301" s="10" t="n">
        <x:v>669</x:v>
      </x:c>
      <x:c r="BF301" s="4" t="n">
        <x:v>46</x:v>
      </x:c>
      <x:c r="BG301" s="4" t="n">
        <x:v>-3</x:v>
      </x:c>
      <x:c r="BH301" s="4" t="n">
        <x:v>10.9</x:v>
      </x:c>
      <x:c r="BI301" s="4" t="n">
        <x:v>90.8</x:v>
      </x:c>
      <x:c r="BJ301" s="4" t="n">
        <x:v>101.8</x:v>
      </x:c>
      <x:c r="BK301" s="4" t="n">
        <x:v>35.7</x:v>
      </x:c>
      <x:c r="BL301" s="4" t="n">
        <x:v>64.3</x:v>
      </x:c>
      <x:c r="BM301" s="4" t="n">
        <x:v>14.466666666666667</x:v>
      </x:c>
      <x:c r="BN301" s="4" t="n">
        <x:v>12.116666666666667</x:v>
      </x:c>
      <x:c r="BO301" s="10" t="n">
        <x:v>21</x:v>
      </x:c>
      <x:c r="BP301" s="10" t="n">
        <x:v>62</x:v>
      </x:c>
      <x:c r="BQ301" s="4" t="n">
        <x:v>-4</x:v>
      </x:c>
      <x:c r="BR301" s="10" t="n">
        <x:v>161</x:v>
      </x:c>
      <x:c r="BS301" s="4" t="n">
        <x:v>47.2</x:v>
      </x:c>
      <x:c r="BT301" s="10" t="n">
        <x:v>74</x:v>
      </x:c>
      <x:c r="BU301" s="4" t="str">
        <x:v>TOT</x:v>
      </x:c>
      <x:c r="BV301" s="10" t="n">
        <x:v>261</x:v>
      </x:c>
      <x:c r="BW301" s="10" t="n">
        <x:v>402</x:v>
      </x:c>
      <x:c r="BX301" s="10" t="n">
        <x:v>882</x:v>
      </x:c>
      <x:c r="BY301" s="4" t="str">
        <x:v>Nicolas Roy</x:v>
      </x:c>
      <x:c r="BZ301" s="4" t="str">
        <x:v>Nicolas Roy</x:v>
      </x:c>
      <x:c r="CA301" s="4" t="str">
        <x:v>Nicolas Roy</x:v>
      </x:c>
      <x:c r="CB301" s="4" t="str">
        <x:v>royni01</x:v>
      </x:c>
    </x:row>
    <x:row r="302" ht="22" customHeight="1">
      <x:c r="A302" s="4" t="str">
        <x:v>Nikita Kucherov</x:v>
      </x:c>
      <x:c r="B302" s="4" t="str">
        <x:v>nikitakucherov</x:v>
      </x:c>
      <x:c r="C302" s="10" t="n">
        <x:v>1</x:v>
      </x:c>
      <x:c r="D302" s="10" t="n">
        <x:v>1</x:v>
      </x:c>
      <x:c r="E302" s="10" t="n">
        <x:v>1</x:v>
      </x:c>
      <x:c r="F302" s="4" t="n">
        <x:f>IF(COUNT(N302,Q302,T302,W302,Z302,AC302,AF302,AI302)=8,N302*Guide!$E$5+Q302*Guide!$E$6+T302*Guide!$E$7+W302*Guide!$E$8+Z302*Guide!$E$9+AC302*Guide!$E$10+AF302*Guide!$E$11+AI302*Guide!$E$12,"")</x:f>
        <x:v>529.5</x:v>
      </x:c>
      <x:c r="G302" s="4" t="n">
        <x:f>IF(COUNT(O302,R302,U302,X302,AA302,AD302,AG302,AJ302)=8,O302*Guide!$E$5+R302*Guide!$E$6+U302*Guide!$E$7+X302*Guide!$E$8+AA302*Guide!$E$9+AD302*Guide!$E$10+AG302*Guide!$E$11+AJ302*Guide!$E$12,"")</x:f>
        <x:v>605.5</x:v>
      </x:c>
      <x:c r="H302" s="4" t="n">
        <x:f>IF(COUNT(G302,F302)=2,G302-F302,"")</x:f>
        <x:v>76</x:v>
      </x:c>
      <x:c r="I302" s="4" t="n">
        <x:f>IF(AND(ISNUMBER(F302),K302&gt;0),F302/K302,"")</x:f>
        <x:v>6.788461538461538</x:v>
      </x:c>
      <x:c r="J302" s="4" t="n">
        <x:f>IF(AND(ISNUMBER(G302),L302&gt;0),G302/L302,"")</x:f>
        <x:v>7.967105263157895</x:v>
      </x:c>
      <x:c r="K302" s="10" t="n">
        <x:v>78</x:v>
      </x:c>
      <x:c r="L302" s="10" t="n">
        <x:v>76</x:v>
      </x:c>
      <x:c r="M302" s="10" t="n">
        <x:f>IF(COUNT(L302,K302)=2,L302-K302,"")</x:f>
        <x:v>-2</x:v>
      </x:c>
      <x:c r="N302" s="10" t="n">
        <x:v>34</x:v>
      </x:c>
      <x:c r="O302" s="10" t="n">
        <x:v>44</x:v>
      </x:c>
      <x:c r="P302" s="10" t="n">
        <x:f>IF(COUNT(O302,N302)=2,O302-N302,"")</x:f>
        <x:v>10</x:v>
      </x:c>
      <x:c r="Q302" s="10" t="n">
        <x:v>80</x:v>
      </x:c>
      <x:c r="R302" s="10" t="n">
        <x:v>86</x:v>
      </x:c>
      <x:c r="S302" s="10" t="n">
        <x:f>IF(COUNT(R302,Q302)=2,R302-Q302,"")</x:f>
        <x:v>6</x:v>
      </x:c>
      <x:c r="T302" s="10" t="n">
        <x:v>16</x:v>
      </x:c>
      <x:c r="U302" s="10" t="n">
        <x:v>43</x:v>
      </x:c>
      <x:c r="V302" s="10" t="n">
        <x:f>IF(COUNT(U302,T302)=2,U302-T302,"")</x:f>
        <x:v>27</x:v>
      </x:c>
      <x:c r="W302" s="10" t="n">
        <x:v>43</x:v>
      </x:c>
      <x:c r="X302" s="10" t="n">
        <x:f>IF(COUNT(AV302,AW302)=2,AV302+AW302,"")</x:f>
        <x:v>37</x:v>
      </x:c>
      <x:c r="Y302" s="10" t="n">
        <x:f>IF(COUNT(X302,W302)=2,X302-W302,"")</x:f>
        <x:v>-6</x:v>
      </x:c>
      <x:c r="Z302" s="10" t="n">
        <x:v>0</x:v>
      </x:c>
      <x:c r="AA302" s="10" t="n">
        <x:f>IF(COUNT(AX302,AY302)=2,AX302+AY302,"")</x:f>
        <x:v>1</x:v>
      </x:c>
      <x:c r="AB302" s="10" t="n">
        <x:f>IF(COUNT(AA302,Z302)=2,AA302-Z302,"")</x:f>
        <x:v>1</x:v>
      </x:c>
      <x:c r="AC302" s="10" t="n">
        <x:v>244</x:v>
      </x:c>
      <x:c r="AD302" s="10" t="n">
        <x:v>231</x:v>
      </x:c>
      <x:c r="AE302" s="10" t="n">
        <x:f>IF(COUNT(AD302,AC302)=2,AD302-AC302,"")</x:f>
        <x:v>-13</x:v>
      </x:c>
      <x:c r="AF302" s="10" t="n">
        <x:v>32</x:v>
      </x:c>
      <x:c r="AG302" s="10" t="n">
        <x:v>36</x:v>
      </x:c>
      <x:c r="AH302" s="10" t="n">
        <x:f>IF(COUNT(AG302,AF302)=2,AG302-AF302,"")</x:f>
        <x:v>4</x:v>
      </x:c>
      <x:c r="AI302" s="10" t="n">
        <x:v>34</x:v>
      </x:c>
      <x:c r="AJ302" s="10" t="n">
        <x:v>29</x:v>
      </x:c>
      <x:c r="AK302" s="10" t="n">
        <x:f>IF(COUNT(AJ302,AI302)=2,AJ302-AI302,"")</x:f>
        <x:v>-5</x:v>
      </x:c>
      <x:c r="AL302" s="10" t="n">
        <x:v>32</x:v>
      </x:c>
      <x:c r="AM302" s="10" t="n">
        <x:v>32</x:v>
      </x:c>
      <x:c r="AN302" s="4" t="str">
        <x:v>RW</x:v>
      </x:c>
      <x:c r="AO302" s="4" t="str">
        <x:v>RW</x:v>
      </x:c>
      <x:c r="AP302" s="4" t="str">
        <x:v>TB</x:v>
      </x:c>
      <x:c r="AQ302" s="4" t="str">
        <x:v>TBL</x:v>
      </x:c>
      <x:c r="AR302" s="4" t="n">
        <x:v>20.900000000000002</x:v>
      </x:c>
      <x:c r="AS302" s="4" t="n">
        <x:v>20.333333333333332</x:v>
      </x:c>
      <x:c r="AT302" s="4" t="n">
        <x:v>3.59</x:v>
      </x:c>
      <x:c r="AU302" s="4" t="n">
        <x:v>19</x:v>
      </x:c>
      <x:c r="AV302" s="10" t="n">
        <x:v>8</x:v>
      </x:c>
      <x:c r="AW302" s="10" t="n">
        <x:v>29</x:v>
      </x:c>
      <x:c r="AX302" s="10" t="n">
        <x:v>1</x:v>
      </x:c>
      <x:c r="AY302" s="10" t="n">
        <x:v>0</x:v>
      </x:c>
      <x:c r="AZ302" s="10" t="n">
        <x:v>1431</x:v>
      </x:c>
      <x:c r="BA302" s="10" t="n">
        <x:v>1105</x:v>
      </x:c>
      <x:c r="BB302" s="4" t="n">
        <x:v>56.4</x:v>
      </x:c>
      <x:c r="BC302" s="4" t="n">
        <x:v>5.6</x:v>
      </x:c>
      <x:c r="BD302" s="10" t="n">
        <x:v>1074</x:v>
      </x:c>
      <x:c r="BE302" s="10" t="n">
        <x:v>838</x:v>
      </x:c>
      <x:c r="BF302" s="4" t="n">
        <x:v>56.2</x:v>
      </x:c>
      <x:c r="BG302" s="4" t="n">
        <x:v>6.4</x:v>
      </x:c>
      <x:c r="BH302" s="4" t="n">
        <x:v>16.1</x:v>
      </x:c>
      <x:c r="BI302" s="4" t="n">
        <x:v>88.4</x:v>
      </x:c>
      <x:c r="BJ302" s="4" t="n">
        <x:v>104.5</x:v>
      </x:c>
      <x:c r="BK302" s="4" t="n">
        <x:v>59.9</x:v>
      </x:c>
      <x:c r="BL302" s="4" t="n">
        <x:v>40.1</x:v>
      </x:c>
      <x:c r="BM302" s="4" t="n">
        <x:v>20.333333333333332</x:v>
      </x:c>
      <x:c r="BN302" s="4" t="n">
        <x:v>16.066666666666666</x:v>
      </x:c>
      <x:c r="BO302" s="10" t="n">
        <x:v>21</x:v>
      </x:c>
      <x:c r="BP302" s="10" t="n">
        <x:v>124</x:v>
      </x:c>
      <x:c r="BQ302" s="4" t="n">
        <x:v>16.3</x:v>
      </x:c>
      <x:c r="BR302" s="10" t="n">
        <x:v>533</x:v>
      </x:c>
      <x:c r="BS302" s="4" t="n">
        <x:v>43.3</x:v>
      </x:c>
      <x:c r="BT302" s="10" t="n">
        <x:v>76</x:v>
      </x:c>
      <x:c r="BU302" s="4" t="str">
        <x:v>TBL</x:v>
      </x:c>
      <x:c r="BV302" s="10" t="n">
        <x:v>4</x:v>
      </x:c>
      <x:c r="BW302" s="10" t="n">
        <x:v>4</x:v>
      </x:c>
      <x:c r="BX302" s="10" t="n">
        <x:v>543</x:v>
      </x:c>
      <x:c r="BY302" s="4" t="str">
        <x:v>Nikita Kucherov</x:v>
      </x:c>
      <x:c r="BZ302" s="4" t="str">
        <x:v>Nikita Kucherov</x:v>
      </x:c>
      <x:c r="CA302" s="4" t="str">
        <x:v>Nikita Kucherov</x:v>
      </x:c>
      <x:c r="CB302" s="4" t="str">
        <x:v>kucheni01</x:v>
      </x:c>
    </x:row>
    <x:row r="303" ht="22" customHeight="1">
      <x:c r="A303" s="4" t="str">
        <x:v>Nikita Zadorov</x:v>
      </x:c>
      <x:c r="B303" s="4" t="str">
        <x:v>nikitazadorov</x:v>
      </x:c>
      <x:c r="C303" s="10" t="n">
        <x:v>1</x:v>
      </x:c>
      <x:c r="D303" s="10" t="n">
        <x:v>1</x:v>
      </x:c>
      <x:c r="E303" s="10" t="n">
        <x:v>1</x:v>
      </x:c>
      <x:c r="F303" s="4" t="n">
        <x:f>IF(COUNT(N303,Q303,T303,W303,Z303,AC303,AF303,AI303)=8,N303*Guide!$E$5+Q303*Guide!$E$6+T303*Guide!$E$7+W303*Guide!$E$8+Z303*Guide!$E$9+AC303*Guide!$E$10+AF303*Guide!$E$11+AI303*Guide!$E$12,"")</x:f>
        <x:v>236.25</x:v>
      </x:c>
      <x:c r="G303" s="4" t="n">
        <x:f>IF(COUNT(O303,R303,U303,X303,AA303,AD303,AG303,AJ303)=8,O303*Guide!$E$5+R303*Guide!$E$6+U303*Guide!$E$7+X303*Guide!$E$8+AA303*Guide!$E$9+AD303*Guide!$E$10+AG303*Guide!$E$11+AJ303*Guide!$E$12,"")</x:f>
        <x:v>238.25</x:v>
      </x:c>
      <x:c r="H303" s="4" t="n">
        <x:f>IF(COUNT(G303,F303)=2,G303-F303,"")</x:f>
        <x:v>2</x:v>
      </x:c>
      <x:c r="I303" s="4" t="n">
        <x:f>IF(AND(ISNUMBER(F303),K303&gt;0),F303/K303,"")</x:f>
        <x:v>2.953125</x:v>
      </x:c>
      <x:c r="J303" s="4" t="n">
        <x:f>IF(AND(ISNUMBER(G303),L303&gt;0),G303/L303,"")</x:f>
        <x:v>2.941358024691358</x:v>
      </x:c>
      <x:c r="K303" s="10" t="n">
        <x:v>80</x:v>
      </x:c>
      <x:c r="L303" s="10" t="n">
        <x:v>81</x:v>
      </x:c>
      <x:c r="M303" s="10" t="n">
        <x:f>IF(COUNT(L303,K303)=2,L303-K303,"")</x:f>
        <x:v>1</x:v>
      </x:c>
      <x:c r="N303" s="10" t="n">
        <x:v>7</x:v>
      </x:c>
      <x:c r="O303" s="10" t="n">
        <x:v>2</x:v>
      </x:c>
      <x:c r="P303" s="10" t="n">
        <x:f>IF(COUNT(O303,N303)=2,O303-N303,"")</x:f>
        <x:v>-5</x:v>
      </x:c>
      <x:c r="Q303" s="10" t="n">
        <x:v>17</x:v>
      </x:c>
      <x:c r="R303" s="10" t="n">
        <x:v>20</x:v>
      </x:c>
      <x:c r="S303" s="10" t="n">
        <x:f>IF(COUNT(R303,Q303)=2,R303-Q303,"")</x:f>
        <x:v>3</x:v>
      </x:c>
      <x:c r="T303" s="10" t="n">
        <x:v>9</x:v>
      </x:c>
      <x:c r="U303" s="10" t="n">
        <x:v>18</x:v>
      </x:c>
      <x:c r="V303" s="10" t="n">
        <x:f>IF(COUNT(U303,T303)=2,U303-T303,"")</x:f>
        <x:v>9</x:v>
      </x:c>
      <x:c r="W303" s="10" t="n">
        <x:v>1</x:v>
      </x:c>
      <x:c r="X303" s="10" t="n">
        <x:f>IF(COUNT(AV303,AW303)=2,AV303+AW303,"")</x:f>
        <x:v>0</x:v>
      </x:c>
      <x:c r="Y303" s="10" t="n">
        <x:f>IF(COUNT(X303,W303)=2,X303-W303,"")</x:f>
        <x:v>-1</x:v>
      </x:c>
      <x:c r="Z303" s="10" t="n">
        <x:v>1</x:v>
      </x:c>
      <x:c r="AA303" s="10" t="n">
        <x:f>IF(COUNT(AX303,AY303)=2,AX303+AY303,"")</x:f>
        <x:v>0</x:v>
      </x:c>
      <x:c r="AB303" s="10" t="n">
        <x:f>IF(COUNT(AA303,Z303)=2,AA303-Z303,"")</x:f>
        <x:v>-1</x:v>
      </x:c>
      <x:c r="AC303" s="10" t="n">
        <x:v>104</x:v>
      </x:c>
      <x:c r="AD303" s="10" t="n">
        <x:v>107</x:v>
      </x:c>
      <x:c r="AE303" s="10" t="n">
        <x:f>IF(COUNT(AD303,AC303)=2,AD303-AC303,"")</x:f>
        <x:v>3</x:v>
      </x:c>
      <x:c r="AF303" s="10" t="n">
        <x:v>191</x:v>
      </x:c>
      <x:c r="AG303" s="10" t="n">
        <x:v>196</x:v>
      </x:c>
      <x:c r="AH303" s="10" t="n">
        <x:f>IF(COUNT(AG303,AF303)=2,AG303-AF303,"")</x:f>
        <x:v>5</x:v>
      </x:c>
      <x:c r="AI303" s="10" t="n">
        <x:v>94</x:v>
      </x:c>
      <x:c r="AJ303" s="10" t="n">
        <x:v>102</x:v>
      </x:c>
      <x:c r="AK303" s="10" t="n">
        <x:f>IF(COUNT(AJ303,AI303)=2,AJ303-AI303,"")</x:f>
        <x:v>8</x:v>
      </x:c>
      <x:c r="AL303" s="10" t="n">
        <x:v>30</x:v>
      </x:c>
      <x:c r="AM303" s="10" t="n">
        <x:v>30</x:v>
      </x:c>
      <x:c r="AN303" s="4" t="str">
        <x:v>D</x:v>
      </x:c>
      <x:c r="AO303" s="4" t="str">
        <x:v>D</x:v>
      </x:c>
      <x:c r="AP303" s="4" t="str">
        <x:v>BOS</x:v>
      </x:c>
      <x:c r="AQ303" s="4" t="str">
        <x:v>BOS</x:v>
      </x:c>
      <x:c r="AR303" s="4" t="n">
        <x:v>20.16</x:v>
      </x:c>
      <x:c r="AS303" s="4" t="n">
        <x:v>20.883333333333333</x:v>
      </x:c>
      <x:c r="AT303" s="4" t="n">
        <x:v>0.19</x:v>
      </x:c>
      <x:c r="AU303" s="4" t="n">
        <x:v>1.9</x:v>
      </x:c>
      <x:c r="AV303" s="10" t="n">
        <x:v>0</x:v>
      </x:c>
      <x:c r="AW303" s="10" t="n">
        <x:v>0</x:v>
      </x:c>
      <x:c r="AX303" s="10" t="n">
        <x:v>0</x:v>
      </x:c>
      <x:c r="AY303" s="10" t="n">
        <x:v>0</x:v>
      </x:c>
      <x:c r="AZ303" s="10" t="n">
        <x:v>1391</x:v>
      </x:c>
      <x:c r="BA303" s="10" t="n">
        <x:v>1516</x:v>
      </x:c>
      <x:c r="BB303" s="4" t="n">
        <x:v>47.9</x:v>
      </x:c>
      <x:c r="BC303" s="4" t="n">
        <x:v>-1.1</x:v>
      </x:c>
      <x:c r="BD303" s="10" t="n">
        <x:v>1006</x:v>
      </x:c>
      <x:c r="BE303" s="10" t="n">
        <x:v>1105</x:v>
      </x:c>
      <x:c r="BF303" s="4" t="n">
        <x:v>47.7</x:v>
      </x:c>
      <x:c r="BG303" s="4" t="n">
        <x:v>-1.8</x:v>
      </x:c>
      <x:c r="BH303" s="4" t="n">
        <x:v>11.1</x:v>
      </x:c>
      <x:c r="BI303" s="4" t="n">
        <x:v>92.7</x:v>
      </x:c>
      <x:c r="BJ303" s="4" t="n">
        <x:v>103.8</x:v>
      </x:c>
      <x:c r="BK303" s="4" t="n">
        <x:v>41.7</x:v>
      </x:c>
      <x:c r="BL303" s="4" t="n">
        <x:v>58.3</x:v>
      </x:c>
      <x:c r="BM303" s="4" t="n">
        <x:v>20.883333333333333</x:v>
      </x:c>
      <x:c r="BN303" s="4" t="n">
        <x:v>18.15</x:v>
      </x:c>
      <x:c r="BO303" s="10" t="n">
        <x:v>33</x:v>
      </x:c>
      <x:c r="BP303" s="10" t="n">
        <x:v>94</x:v>
      </x:c>
      <x:c r="BQ303" s="4" t="n">
        <x:v>-16.8</x:v>
      </x:c>
      <x:c r="BR303" s="10" t="n">
        <x:v>263</x:v>
      </x:c>
      <x:c r="BS303" s="4" t="n">
        <x:v>40.7</x:v>
      </x:c>
      <x:c r="BT303" s="10" t="n">
        <x:v>81</x:v>
      </x:c>
      <x:c r="BU303" s="4" t="str">
        <x:v>BOS</x:v>
      </x:c>
      <x:c r="BV303" s="10" t="n">
        <x:v>443</x:v>
      </x:c>
      <x:c r="BW303" s="10" t="n">
        <x:v>439</x:v>
      </x:c>
      <x:c r="BX303" s="10" t="n">
        <x:v>1094</x:v>
      </x:c>
      <x:c r="BY303" s="4" t="str">
        <x:v>Nikita Zadorov</x:v>
      </x:c>
      <x:c r="BZ303" s="4" t="str">
        <x:v>Nikita Zadorov</x:v>
      </x:c>
      <x:c r="CA303" s="4" t="str">
        <x:v>Nikita Zadorov</x:v>
      </x:c>
      <x:c r="CB303" s="4" t="str">
        <x:v>zadorni01</x:v>
      </x:c>
    </x:row>
    <x:row r="304" ht="22" customHeight="1">
      <x:c r="A304" s="4" t="str">
        <x:v>Nikolaj Ehlers</x:v>
      </x:c>
      <x:c r="B304" s="4" t="str">
        <x:v>nikolajehlers</x:v>
      </x:c>
      <x:c r="C304" s="10" t="n">
        <x:v>1</x:v>
      </x:c>
      <x:c r="D304" s="10" t="n">
        <x:v>1</x:v>
      </x:c>
      <x:c r="E304" s="10" t="n">
        <x:v>1</x:v>
      </x:c>
      <x:c r="F304" s="4" t="n">
        <x:f>IF(COUNT(N304,Q304,T304,W304,Z304,AC304,AF304,AI304)=8,N304*Guide!$E$5+Q304*Guide!$E$6+T304*Guide!$E$7+W304*Guide!$E$8+Z304*Guide!$E$9+AC304*Guide!$E$10+AF304*Guide!$E$11+AI304*Guide!$E$12,"")</x:f>
        <x:v>325.25</x:v>
      </x:c>
      <x:c r="G304" s="4" t="n">
        <x:f>IF(COUNT(O304,R304,U304,X304,AA304,AD304,AG304,AJ304)=8,O304*Guide!$E$5+R304*Guide!$E$6+U304*Guide!$E$7+X304*Guide!$E$8+AA304*Guide!$E$9+AD304*Guide!$E$10+AG304*Guide!$E$11+AJ304*Guide!$E$12,"")</x:f>
        <x:v>351</x:v>
      </x:c>
      <x:c r="H304" s="4" t="n">
        <x:f>IF(COUNT(G304,F304)=2,G304-F304,"")</x:f>
        <x:v>25.75</x:v>
      </x:c>
      <x:c r="I304" s="4" t="n">
        <x:f>IF(AND(ISNUMBER(F304),K304&gt;0),F304/K304,"")</x:f>
        <x:v>4.169871794871795</x:v>
      </x:c>
      <x:c r="J304" s="4" t="n">
        <x:f>IF(AND(ISNUMBER(G304),L304&gt;0),G304/L304,"")</x:f>
        <x:v>4.280487804878049</x:v>
      </x:c>
      <x:c r="K304" s="10" t="n">
        <x:v>78</x:v>
      </x:c>
      <x:c r="L304" s="10" t="n">
        <x:v>82</x:v>
      </x:c>
      <x:c r="M304" s="10" t="n">
        <x:f>IF(COUNT(L304,K304)=2,L304-K304,"")</x:f>
        <x:v>4</x:v>
      </x:c>
      <x:c r="N304" s="10" t="n">
        <x:v>25</x:v>
      </x:c>
      <x:c r="O304" s="10" t="n">
        <x:v>26</x:v>
      </x:c>
      <x:c r="P304" s="10" t="n">
        <x:f>IF(COUNT(O304,N304)=2,O304-N304,"")</x:f>
        <x:v>1</x:v>
      </x:c>
      <x:c r="Q304" s="10" t="n">
        <x:v>38</x:v>
      </x:c>
      <x:c r="R304" s="10" t="n">
        <x:v>45</x:v>
      </x:c>
      <x:c r="S304" s="10" t="n">
        <x:f>IF(COUNT(R304,Q304)=2,R304-Q304,"")</x:f>
        <x:v>7</x:v>
      </x:c>
      <x:c r="T304" s="10" t="n">
        <x:v>6</x:v>
      </x:c>
      <x:c r="U304" s="10" t="n">
        <x:v>8</x:v>
      </x:c>
      <x:c r="V304" s="10" t="n">
        <x:f>IF(COUNT(U304,T304)=2,U304-T304,"")</x:f>
        <x:v>2</x:v>
      </x:c>
      <x:c r="W304" s="10" t="n">
        <x:v>19</x:v>
      </x:c>
      <x:c r="X304" s="10" t="n">
        <x:f>IF(COUNT(AV304,AW304)=2,AV304+AW304,"")</x:f>
        <x:v>29</x:v>
      </x:c>
      <x:c r="Y304" s="10" t="n">
        <x:f>IF(COUNT(X304,W304)=2,X304-W304,"")</x:f>
        <x:v>10</x:v>
      </x:c>
      <x:c r="Z304" s="10" t="n">
        <x:v>0</x:v>
      </x:c>
      <x:c r="AA304" s="10" t="n">
        <x:f>IF(COUNT(AX304,AY304)=2,AX304+AY304,"")</x:f>
        <x:v>0</x:v>
      </x:c>
      <x:c r="AB304" s="10" t="n">
        <x:f>IF(COUNT(AA304,Z304)=2,AA304-Z304,"")</x:f>
        <x:v>0</x:v>
      </x:c>
      <x:c r="AC304" s="10" t="n">
        <x:v>197</x:v>
      </x:c>
      <x:c r="AD304" s="10" t="n">
        <x:v>207</x:v>
      </x:c>
      <x:c r="AE304" s="10" t="n">
        <x:f>IF(COUNT(AD304,AC304)=2,AD304-AC304,"")</x:f>
        <x:v>10</x:v>
      </x:c>
      <x:c r="AF304" s="10" t="n">
        <x:v>43</x:v>
      </x:c>
      <x:c r="AG304" s="10" t="n">
        <x:v>21</x:v>
      </x:c>
      <x:c r="AH304" s="10" t="n">
        <x:f>IF(COUNT(AG304,AF304)=2,AG304-AF304,"")</x:f>
        <x:v>-22</x:v>
      </x:c>
      <x:c r="AI304" s="10" t="n">
        <x:v>35</x:v>
      </x:c>
      <x:c r="AJ304" s="10" t="n">
        <x:v>24</x:v>
      </x:c>
      <x:c r="AK304" s="10" t="n">
        <x:f>IF(COUNT(AJ304,AI304)=2,AJ304-AI304,"")</x:f>
        <x:v>-11</x:v>
      </x:c>
      <x:c r="AL304" s="10" t="n">
        <x:v>29</x:v>
      </x:c>
      <x:c r="AM304" s="10" t="n">
        <x:v>29</x:v>
      </x:c>
      <x:c r="AN304" s="4" t="str">
        <x:v>LW,RW</x:v>
      </x:c>
      <x:c r="AO304" s="4" t="str">
        <x:v>LW</x:v>
      </x:c>
      <x:c r="AP304" s="4" t="str">
        <x:v>CAR</x:v>
      </x:c>
      <x:c r="AQ304" s="4" t="str">
        <x:v>CAR</x:v>
      </x:c>
      <x:c r="AR304" s="4" t="n">
        <x:v>15.56</x:v>
      </x:c>
      <x:c r="AS304" s="4" t="n">
        <x:v>16.6</x:v>
      </x:c>
      <x:c r="AT304" s="4" t="n">
        <x:v>2.39</x:v>
      </x:c>
      <x:c r="AU304" s="4" t="n">
        <x:v>12.6</x:v>
      </x:c>
      <x:c r="AV304" s="10" t="n">
        <x:v>10</x:v>
      </x:c>
      <x:c r="AW304" s="10" t="n">
        <x:v>19</x:v>
      </x:c>
      <x:c r="AX304" s="10" t="n">
        <x:v>0</x:v>
      </x:c>
      <x:c r="AY304" s="10" t="n">
        <x:v>0</x:v>
      </x:c>
      <x:c r="AZ304" s="10" t="n">
        <x:v>1317</x:v>
      </x:c>
      <x:c r="BA304" s="10" t="n">
        <x:v>860</x:v>
      </x:c>
      <x:c r="BB304" s="4" t="n">
        <x:v>60.5</x:v>
      </x:c>
      <x:c r="BC304" s="4" t="n">
        <x:v>1.4</x:v>
      </x:c>
      <x:c r="BD304" s="10" t="n">
        <x:v>950</x:v>
      </x:c>
      <x:c r="BE304" s="10" t="n">
        <x:v>605</x:v>
      </x:c>
      <x:c r="BF304" s="4" t="n">
        <x:v>61.1</x:v>
      </x:c>
      <x:c r="BG304" s="4" t="n">
        <x:v>3.4</x:v>
      </x:c>
      <x:c r="BH304" s="4" t="n">
        <x:v>10.1</x:v>
      </x:c>
      <x:c r="BI304" s="4" t="n">
        <x:v>87.1</x:v>
      </x:c>
      <x:c r="BJ304" s="4" t="n">
        <x:v>97.2</x:v>
      </x:c>
      <x:c r="BK304" s="4" t="n">
        <x:v>59.5</x:v>
      </x:c>
      <x:c r="BL304" s="4" t="n">
        <x:v>40.5</x:v>
      </x:c>
      <x:c r="BM304" s="4" t="n">
        <x:v>16.6</x:v>
      </x:c>
      <x:c r="BN304" s="4" t="n">
        <x:v>13.683333333333334</x:v>
      </x:c>
      <x:c r="BO304" s="10" t="n">
        <x:v>24</x:v>
      </x:c>
      <x:c r="BP304" s="10" t="n">
        <x:v>87</x:v>
      </x:c>
      <x:c r="BQ304" s="4" t="n">
        <x:v>14.5</x:v>
      </x:c>
      <x:c r="BR304" s="10" t="n">
        <x:v>431</x:v>
      </x:c>
      <x:c r="BS304" s="4" t="n">
        <x:v>48.3</x:v>
      </x:c>
      <x:c r="BT304" s="10" t="n">
        <x:v>82</x:v>
      </x:c>
      <x:c r="BU304" s="4" t="str">
        <x:v>CAR</x:v>
      </x:c>
      <x:c r="BV304" s="10" t="n">
        <x:v>82</x:v>
      </x:c>
      <x:c r="BW304" s="10" t="n">
        <x:v>55</x:v>
      </x:c>
      <x:c r="BX304" s="10" t="n">
        <x:v>259</x:v>
      </x:c>
      <x:c r="BY304" s="4" t="str">
        <x:v>Nikolaj Ehlers</x:v>
      </x:c>
      <x:c r="BZ304" s="4" t="str">
        <x:v>Nikolaj Ehlers</x:v>
      </x:c>
      <x:c r="CA304" s="4" t="str">
        <x:v>Nikolaj Ehlers</x:v>
      </x:c>
      <x:c r="CB304" s="4" t="str">
        <x:v>ehlerni01</x:v>
      </x:c>
    </x:row>
    <x:row r="305" ht="22" customHeight="1">
      <x:c r="A305" s="4" t="str">
        <x:v>Nino Niederreiter</x:v>
      </x:c>
      <x:c r="B305" s="4" t="str">
        <x:v>ninoniederreiter</x:v>
      </x:c>
      <x:c r="C305" s="10" t="n">
        <x:v>1</x:v>
      </x:c>
      <x:c r="D305" s="10" t="n">
        <x:v>1</x:v>
      </x:c>
      <x:c r="E305" s="10" t="n">
        <x:v>1</x:v>
      </x:c>
      <x:c r="F305" s="4" t="n">
        <x:f>IF(COUNT(N305,Q305,T305,W305,Z305,AC305,AF305,AI305)=8,N305*Guide!$E$5+Q305*Guide!$E$6+T305*Guide!$E$7+W305*Guide!$E$8+Z305*Guide!$E$9+AC305*Guide!$E$10+AF305*Guide!$E$11+AI305*Guide!$E$12,"")</x:f>
        <x:v>242.75</x:v>
      </x:c>
      <x:c r="G305" s="4" t="n">
        <x:f>IF(COUNT(O305,R305,U305,X305,AA305,AD305,AG305,AJ305)=8,O305*Guide!$E$5+R305*Guide!$E$6+U305*Guide!$E$7+X305*Guide!$E$8+AA305*Guide!$E$9+AD305*Guide!$E$10+AG305*Guide!$E$11+AJ305*Guide!$E$12,"")</x:f>
        <x:v>116.5</x:v>
      </x:c>
      <x:c r="H305" s="4" t="n">
        <x:f>IF(COUNT(G305,F305)=2,G305-F305,"")</x:f>
        <x:v>-126.25</x:v>
      </x:c>
      <x:c r="I305" s="4" t="n">
        <x:f>IF(AND(ISNUMBER(F305),K305&gt;0),F305/K305,"")</x:f>
        <x:v>2.9603658536585367</x:v>
      </x:c>
      <x:c r="J305" s="4" t="n">
        <x:f>IF(AND(ISNUMBER(G305),L305&gt;0),G305/L305,"")</x:f>
        <x:v>1.9098360655737705</x:v>
      </x:c>
      <x:c r="K305" s="10" t="n">
        <x:v>82</x:v>
      </x:c>
      <x:c r="L305" s="10" t="n">
        <x:v>61</x:v>
      </x:c>
      <x:c r="M305" s="10" t="n">
        <x:f>IF(COUNT(L305,K305)=2,L305-K305,"")</x:f>
        <x:v>-21</x:v>
      </x:c>
      <x:c r="N305" s="10" t="n">
        <x:v>19</x:v>
      </x:c>
      <x:c r="O305" s="10" t="n">
        <x:v>8</x:v>
      </x:c>
      <x:c r="P305" s="10" t="n">
        <x:f>IF(COUNT(O305,N305)=2,O305-N305,"")</x:f>
        <x:v>-11</x:v>
      </x:c>
      <x:c r="Q305" s="10" t="n">
        <x:v>17</x:v>
      </x:c>
      <x:c r="R305" s="10" t="n">
        <x:v>11</x:v>
      </x:c>
      <x:c r="S305" s="10" t="n">
        <x:f>IF(COUNT(R305,Q305)=2,R305-Q305,"")</x:f>
        <x:v>-6</x:v>
      </x:c>
      <x:c r="T305" s="10" t="n">
        <x:v>6</x:v>
      </x:c>
      <x:c r="U305" s="10" t="n">
        <x:v>-7</x:v>
      </x:c>
      <x:c r="V305" s="10" t="n">
        <x:f>IF(COUNT(U305,T305)=2,U305-T305,"")</x:f>
        <x:v>-13</x:v>
      </x:c>
      <x:c r="W305" s="10" t="n">
        <x:v>6</x:v>
      </x:c>
      <x:c r="X305" s="10" t="n">
        <x:f>IF(COUNT(AV305,AW305)=2,AV305+AW305,"")</x:f>
        <x:v>5</x:v>
      </x:c>
      <x:c r="Y305" s="10" t="n">
        <x:f>IF(COUNT(X305,W305)=2,X305-W305,"")</x:f>
        <x:v>-1</x:v>
      </x:c>
      <x:c r="Z305" s="10" t="n">
        <x:v>0</x:v>
      </x:c>
      <x:c r="AA305" s="10" t="n">
        <x:f>IF(COUNT(AX305,AY305)=2,AX305+AY305,"")</x:f>
        <x:v>0</x:v>
      </x:c>
      <x:c r="AB305" s="10" t="n">
        <x:f>IF(COUNT(AA305,Z305)=2,AA305-Z305,"")</x:f>
        <x:v>0</x:v>
      </x:c>
      <x:c r="AC305" s="10" t="n">
        <x:v>147</x:v>
      </x:c>
      <x:c r="AD305" s="10" t="n">
        <x:v>84</x:v>
      </x:c>
      <x:c r="AE305" s="10" t="n">
        <x:f>IF(COUNT(AD305,AC305)=2,AD305-AC305,"")</x:f>
        <x:v>-63</x:v>
      </x:c>
      <x:c r="AF305" s="10" t="n">
        <x:v>145</x:v>
      </x:c>
      <x:c r="AG305" s="10" t="n">
        <x:v>70</x:v>
      </x:c>
      <x:c r="AH305" s="10" t="n">
        <x:f>IF(COUNT(AG305,AF305)=2,AG305-AF305,"")</x:f>
        <x:v>-75</x:v>
      </x:c>
      <x:c r="AI305" s="10" t="n">
        <x:v>41</x:v>
      </x:c>
      <x:c r="AJ305" s="10" t="n">
        <x:v>20</x:v>
      </x:c>
      <x:c r="AK305" s="10" t="n">
        <x:f>IF(COUNT(AJ305,AI305)=2,AJ305-AI305,"")</x:f>
        <x:v>-21</x:v>
      </x:c>
      <x:c r="AL305" s="10" t="n">
        <x:v>33</x:v>
      </x:c>
      <x:c r="AM305" s="10" t="n">
        <x:v>33</x:v>
      </x:c>
      <x:c r="AN305" s="4" t="str">
        <x:v>LW,RW</x:v>
      </x:c>
      <x:c r="AO305" s="4" t="str">
        <x:v>RW</x:v>
      </x:c>
      <x:c r="AP305" s="4" t="str">
        <x:v>WPG</x:v>
      </x:c>
      <x:c r="AQ305" s="4" t="str">
        <x:v>WPG</x:v>
      </x:c>
      <x:c r="AR305" s="4" t="n">
        <x:v>14.59</x:v>
      </x:c>
      <x:c r="AS305" s="4" t="n">
        <x:v>13.766666666666667</x:v>
      </x:c>
      <x:c r="AT305" s="4" t="n">
        <x:v>1.35</x:v>
      </x:c>
      <x:c r="AU305" s="4" t="n">
        <x:v>9.5</x:v>
      </x:c>
      <x:c r="AV305" s="10" t="n">
        <x:v>1</x:v>
      </x:c>
      <x:c r="AW305" s="10" t="n">
        <x:v>4</x:v>
      </x:c>
      <x:c r="AX305" s="10" t="n">
        <x:v>0</x:v>
      </x:c>
      <x:c r="AY305" s="10" t="n">
        <x:v>0</x:v>
      </x:c>
      <x:c r="AZ305" s="10" t="n">
        <x:v>659</x:v>
      </x:c>
      <x:c r="BA305" s="10" t="n">
        <x:v>647</x:v>
      </x:c>
      <x:c r="BB305" s="4" t="n">
        <x:v>50.5</x:v>
      </x:c>
      <x:c r="BC305" s="4" t="n">
        <x:v>2.9</x:v>
      </x:c>
      <x:c r="BD305" s="10" t="n">
        <x:v>478</x:v>
      </x:c>
      <x:c r="BE305" s="10" t="n">
        <x:v>459</x:v>
      </x:c>
      <x:c r="BF305" s="4" t="n">
        <x:v>51</x:v>
      </x:c>
      <x:c r="BG305" s="4" t="n">
        <x:v>3.5</x:v>
      </x:c>
      <x:c r="BH305" s="4" t="n">
        <x:v>7.2</x:v>
      </x:c>
      <x:c r="BI305" s="4" t="n">
        <x:v>89.5</x:v>
      </x:c>
      <x:c r="BJ305" s="4" t="n">
        <x:v>96.7</x:v>
      </x:c>
      <x:c r="BK305" s="4" t="n">
        <x:v>42.5</x:v>
      </x:c>
      <x:c r="BL305" s="4" t="n">
        <x:v>57.5</x:v>
      </x:c>
      <x:c r="BM305" s="4" t="n">
        <x:v>13.766666666666667</x:v>
      </x:c>
      <x:c r="BN305" s="4" t="n">
        <x:v>12.216666666666667</x:v>
      </x:c>
      <x:c r="BO305" s="10" t="n">
        <x:v>9</x:v>
      </x:c>
      <x:c r="BP305" s="10" t="n">
        <x:v>41</x:v>
      </x:c>
      <x:c r="BQ305" s="4" t="n">
        <x:v>0.4</x:v>
      </x:c>
      <x:c r="BR305" s="10" t="n">
        <x:v>150</x:v>
      </x:c>
      <x:c r="BS305" s="4" t="n">
        <x:v>56</x:v>
      </x:c>
      <x:c r="BT305" s="10" t="n">
        <x:v>61</x:v>
      </x:c>
      <x:c r="BU305" s="4" t="str">
        <x:v>WPG</x:v>
      </x:c>
      <x:c r="BV305" s="10" t="n">
        <x:v>293</x:v>
      </x:c>
      <x:c r="BW305" s="10" t="n">
        <x:v>478</x:v>
      </x:c>
      <x:c r="BX305" s="10" t="n">
        <x:v>739</x:v>
      </x:c>
      <x:c r="BY305" s="4" t="str">
        <x:v>Nino Niederreiter</x:v>
      </x:c>
      <x:c r="BZ305" s="4" t="str">
        <x:v>Nino Niederreiter</x:v>
      </x:c>
      <x:c r="CA305" s="4" t="str">
        <x:v>Nino Niederreiter</x:v>
      </x:c>
      <x:c r="CB305" s="4" t="str">
        <x:v>niedeni01</x:v>
      </x:c>
    </x:row>
    <x:row r="306" ht="22" customHeight="1">
      <x:c r="A306" s="4" t="str">
        <x:v>Noah Cates</x:v>
      </x:c>
      <x:c r="B306" s="4" t="str">
        <x:v>noahcates</x:v>
      </x:c>
      <x:c r="C306" s="10" t="n">
        <x:v>1</x:v>
      </x:c>
      <x:c r="D306" s="10" t="n">
        <x:v>1</x:v>
      </x:c>
      <x:c r="E306" s="10" t="n">
        <x:v>1</x:v>
      </x:c>
      <x:c r="F306" s="4" t="n">
        <x:f>IF(COUNT(N306,Q306,T306,W306,Z306,AC306,AF306,AI306)=8,N306*Guide!$E$5+Q306*Guide!$E$6+T306*Guide!$E$7+W306*Guide!$E$8+Z306*Guide!$E$9+AC306*Guide!$E$10+AF306*Guide!$E$11+AI306*Guide!$E$12,"")</x:f>
        <x:v>223</x:v>
      </x:c>
      <x:c r="G306" s="4" t="n">
        <x:f>IF(COUNT(O306,R306,U306,X306,AA306,AD306,AG306,AJ306)=8,O306*Guide!$E$5+R306*Guide!$E$6+U306*Guide!$E$7+X306*Guide!$E$8+AA306*Guide!$E$9+AD306*Guide!$E$10+AG306*Guide!$E$11+AJ306*Guide!$E$12,"")</x:f>
        <x:v>293.75</x:v>
      </x:c>
      <x:c r="H306" s="4" t="n">
        <x:f>IF(COUNT(G306,F306)=2,G306-F306,"")</x:f>
        <x:v>70.75</x:v>
      </x:c>
      <x:c r="I306" s="4" t="n">
        <x:f>IF(AND(ISNUMBER(F306),K306&gt;0),F306/K306,"")</x:f>
        <x:v>2.858974358974359</x:v>
      </x:c>
      <x:c r="J306" s="4" t="n">
        <x:f>IF(AND(ISNUMBER(G306),L306&gt;0),G306/L306,"")</x:f>
        <x:v>3.582317073170732</x:v>
      </x:c>
      <x:c r="K306" s="10" t="n">
        <x:v>78</x:v>
      </x:c>
      <x:c r="L306" s="10" t="n">
        <x:v>82</x:v>
      </x:c>
      <x:c r="M306" s="10" t="n">
        <x:f>IF(COUNT(L306,K306)=2,L306-K306,"")</x:f>
        <x:v>4</x:v>
      </x:c>
      <x:c r="N306" s="10" t="n">
        <x:v>15</x:v>
      </x:c>
      <x:c r="O306" s="10" t="n">
        <x:v>18</x:v>
      </x:c>
      <x:c r="P306" s="10" t="n">
        <x:f>IF(COUNT(O306,N306)=2,O306-N306,"")</x:f>
        <x:v>3</x:v>
      </x:c>
      <x:c r="Q306" s="10" t="n">
        <x:v>21</x:v>
      </x:c>
      <x:c r="R306" s="10" t="n">
        <x:v>29</x:v>
      </x:c>
      <x:c r="S306" s="10" t="n">
        <x:f>IF(COUNT(R306,Q306)=2,R306-Q306,"")</x:f>
        <x:v>8</x:v>
      </x:c>
      <x:c r="T306" s="10" t="n">
        <x:v>3</x:v>
      </x:c>
      <x:c r="U306" s="10" t="n">
        <x:v>26</x:v>
      </x:c>
      <x:c r="V306" s="10" t="n">
        <x:f>IF(COUNT(U306,T306)=2,U306-T306,"")</x:f>
        <x:v>23</x:v>
      </x:c>
      <x:c r="W306" s="10" t="n">
        <x:v>5</x:v>
      </x:c>
      <x:c r="X306" s="10" t="n">
        <x:f>IF(COUNT(AV306,AW306)=2,AV306+AW306,"")</x:f>
        <x:v>9</x:v>
      </x:c>
      <x:c r="Y306" s="10" t="n">
        <x:f>IF(COUNT(X306,W306)=2,X306-W306,"")</x:f>
        <x:v>4</x:v>
      </x:c>
      <x:c r="Z306" s="10" t="n">
        <x:v>1</x:v>
      </x:c>
      <x:c r="AA306" s="10" t="n">
        <x:f>IF(COUNT(AX306,AY306)=2,AX306+AY306,"")</x:f>
        <x:v>1</x:v>
      </x:c>
      <x:c r="AB306" s="10" t="n">
        <x:f>IF(COUNT(AA306,Z306)=2,AA306-Z306,"")</x:f>
        <x:v>0</x:v>
      </x:c>
      <x:c r="AC306" s="10" t="n">
        <x:v>107</x:v>
      </x:c>
      <x:c r="AD306" s="10" t="n">
        <x:v>132</x:v>
      </x:c>
      <x:c r="AE306" s="10" t="n">
        <x:f>IF(COUNT(AD306,AC306)=2,AD306-AC306,"")</x:f>
        <x:v>25</x:v>
      </x:c>
      <x:c r="AF306" s="10" t="n">
        <x:v>84</x:v>
      </x:c>
      <x:c r="AG306" s="10" t="n">
        <x:v>102</x:v>
      </x:c>
      <x:c r="AH306" s="10" t="n">
        <x:f>IF(COUNT(AG306,AF306)=2,AG306-AF306,"")</x:f>
        <x:v>18</x:v>
      </x:c>
      <x:c r="AI306" s="10" t="n">
        <x:v>55</x:v>
      </x:c>
      <x:c r="AJ306" s="10" t="n">
        <x:v>51</x:v>
      </x:c>
      <x:c r="AK306" s="10" t="n">
        <x:f>IF(COUNT(AJ306,AI306)=2,AJ306-AI306,"")</x:f>
        <x:v>-4</x:v>
      </x:c>
      <x:c r="AL306" s="10" t="n">
        <x:v>26</x:v>
      </x:c>
      <x:c r="AM306" s="10" t="n">
        <x:v>26</x:v>
      </x:c>
      <x:c r="AN306" s="4" t="str">
        <x:v>C</x:v>
      </x:c>
      <x:c r="AO306" s="4" t="str">
        <x:v>LW</x:v>
      </x:c>
      <x:c r="AP306" s="4" t="str">
        <x:v>PHI</x:v>
      </x:c>
      <x:c r="AQ306" s="4" t="str">
        <x:v>PHI</x:v>
      </x:c>
      <x:c r="AR306" s="4" t="n">
        <x:v>15.99</x:v>
      </x:c>
      <x:c r="AS306" s="4" t="n">
        <x:v>16.25</x:v>
      </x:c>
      <x:c r="AT306" s="4" t="n">
        <x:v>1.07</x:v>
      </x:c>
      <x:c r="AU306" s="4" t="n">
        <x:v>13.6</x:v>
      </x:c>
      <x:c r="AV306" s="10" t="n">
        <x:v>3</x:v>
      </x:c>
      <x:c r="AW306" s="10" t="n">
        <x:v>6</x:v>
      </x:c>
      <x:c r="AX306" s="10" t="n">
        <x:v>1</x:v>
      </x:c>
      <x:c r="AY306" s="10" t="n">
        <x:v>0</x:v>
      </x:c>
      <x:c r="AZ306" s="10" t="n">
        <x:v>835</x:v>
      </x:c>
      <x:c r="BA306" s="10" t="n">
        <x:v>888</x:v>
      </x:c>
      <x:c r="BB306" s="4" t="n">
        <x:v>48.5</x:v>
      </x:c>
      <x:c r="BC306" s="4" t="n">
        <x:v>0.9</x:v>
      </x:c>
      <x:c r="BD306" s="10" t="n">
        <x:v>603</x:v>
      </x:c>
      <x:c r="BE306" s="10" t="n">
        <x:v>620</x:v>
      </x:c>
      <x:c r="BF306" s="4" t="n">
        <x:v>49.3</x:v>
      </x:c>
      <x:c r="BG306" s="4" t="n">
        <x:v>0.9</x:v>
      </x:c>
      <x:c r="BH306" s="4" t="n">
        <x:v>13.4</x:v>
      </x:c>
      <x:c r="BI306" s="4" t="n">
        <x:v>92.2</x:v>
      </x:c>
      <x:c r="BJ306" s="4" t="n">
        <x:v>105.6</x:v>
      </x:c>
      <x:c r="BK306" s="4" t="n">
        <x:v>51.9</x:v>
      </x:c>
      <x:c r="BL306" s="4" t="n">
        <x:v>48.1</x:v>
      </x:c>
      <x:c r="BM306" s="4" t="n">
        <x:v>16.25</x:v>
      </x:c>
      <x:c r="BN306" s="4" t="n">
        <x:v>12.5</x:v>
      </x:c>
      <x:c r="BO306" s="10" t="n">
        <x:v>26</x:v>
      </x:c>
      <x:c r="BP306" s="10" t="n">
        <x:v>38</x:v>
      </x:c>
      <x:c r="BQ306" s="4" t="n">
        <x:v>7.4</x:v>
      </x:c>
      <x:c r="BR306" s="10" t="n">
        <x:v>236</x:v>
      </x:c>
      <x:c r="BS306" s="4" t="n">
        <x:v>55.9</x:v>
      </x:c>
      <x:c r="BT306" s="10" t="n">
        <x:v>82</x:v>
      </x:c>
      <x:c r="BU306" s="4" t="str">
        <x:v>PHI</x:v>
      </x:c>
      <x:c r="BV306" s="10" t="n">
        <x:v>299</x:v>
      </x:c>
      <x:c r="BW306" s="10" t="n">
        <x:v>160</x:v>
      </x:c>
      <x:c r="BX306" s="10" t="n">
        <x:v>137</x:v>
      </x:c>
      <x:c r="BY306" s="4" t="str">
        <x:v>Noah Cates</x:v>
      </x:c>
      <x:c r="BZ306" s="4" t="str">
        <x:v>Noah Cates</x:v>
      </x:c>
      <x:c r="CA306" s="4" t="str">
        <x:v>Noah Cates</x:v>
      </x:c>
      <x:c r="CB306" s="4" t="str">
        <x:v>catesno01</x:v>
      </x:c>
    </x:row>
    <x:row r="307" ht="22" customHeight="1">
      <x:c r="A307" s="4" t="str">
        <x:v>Noah Dobson</x:v>
      </x:c>
      <x:c r="B307" s="4" t="str">
        <x:v>noahdobson</x:v>
      </x:c>
      <x:c r="C307" s="10" t="n">
        <x:v>1</x:v>
      </x:c>
      <x:c r="D307" s="10" t="n">
        <x:v>1</x:v>
      </x:c>
      <x:c r="E307" s="10" t="n">
        <x:v>1</x:v>
      </x:c>
      <x:c r="F307" s="4" t="n">
        <x:f>IF(COUNT(N307,Q307,T307,W307,Z307,AC307,AF307,AI307)=8,N307*Guide!$E$5+Q307*Guide!$E$6+T307*Guide!$E$7+W307*Guide!$E$8+Z307*Guide!$E$9+AC307*Guide!$E$10+AF307*Guide!$E$11+AI307*Guide!$E$12,"")</x:f>
        <x:v>351.75</x:v>
      </x:c>
      <x:c r="G307" s="4" t="n">
        <x:f>IF(COUNT(O307,R307,U307,X307,AA307,AD307,AG307,AJ307)=8,O307*Guide!$E$5+R307*Guide!$E$6+U307*Guide!$E$7+X307*Guide!$E$8+AA307*Guide!$E$9+AD307*Guide!$E$10+AG307*Guide!$E$11+AJ307*Guide!$E$12,"")</x:f>
        <x:v>364</x:v>
      </x:c>
      <x:c r="H307" s="4" t="n">
        <x:f>IF(COUNT(G307,F307)=2,G307-F307,"")</x:f>
        <x:v>12.25</x:v>
      </x:c>
      <x:c r="I307" s="4" t="n">
        <x:f>IF(AND(ISNUMBER(F307),K307&gt;0),F307/K307,"")</x:f>
        <x:v>4.396875</x:v>
      </x:c>
      <x:c r="J307" s="4" t="n">
        <x:f>IF(AND(ISNUMBER(G307),L307&gt;0),G307/L307,"")</x:f>
        <x:v>4.55</x:v>
      </x:c>
      <x:c r="K307" s="10" t="n">
        <x:v>80</x:v>
      </x:c>
      <x:c r="L307" s="10" t="n">
        <x:v>80</x:v>
      </x:c>
      <x:c r="M307" s="10" t="n">
        <x:f>IF(COUNT(L307,K307)=2,L307-K307,"")</x:f>
        <x:v>0</x:v>
      </x:c>
      <x:c r="N307" s="10" t="n">
        <x:v>11</x:v>
      </x:c>
      <x:c r="O307" s="10" t="n">
        <x:v>12</x:v>
      </x:c>
      <x:c r="P307" s="10" t="n">
        <x:f>IF(COUNT(O307,N307)=2,O307-N307,"")</x:f>
        <x:v>1</x:v>
      </x:c>
      <x:c r="Q307" s="10" t="n">
        <x:v>40</x:v>
      </x:c>
      <x:c r="R307" s="10" t="n">
        <x:v>35</x:v>
      </x:c>
      <x:c r="S307" s="10" t="n">
        <x:f>IF(COUNT(R307,Q307)=2,R307-Q307,"")</x:f>
        <x:v>-5</x:v>
      </x:c>
      <x:c r="T307" s="10" t="n">
        <x:v>2</x:v>
      </x:c>
      <x:c r="U307" s="10" t="n">
        <x:v>5</x:v>
      </x:c>
      <x:c r="V307" s="10" t="n">
        <x:f>IF(COUNT(U307,T307)=2,U307-T307,"")</x:f>
        <x:v>3</x:v>
      </x:c>
      <x:c r="W307" s="10" t="n">
        <x:v>15</x:v>
      </x:c>
      <x:c r="X307" s="10" t="n">
        <x:f>IF(COUNT(AV307,AW307)=2,AV307+AW307,"")</x:f>
        <x:v>7</x:v>
      </x:c>
      <x:c r="Y307" s="10" t="n">
        <x:f>IF(COUNT(X307,W307)=2,X307-W307,"")</x:f>
        <x:v>-8</x:v>
      </x:c>
      <x:c r="Z307" s="10" t="n">
        <x:v>1</x:v>
      </x:c>
      <x:c r="AA307" s="10" t="n">
        <x:f>IF(COUNT(AX307,AY307)=2,AX307+AY307,"")</x:f>
        <x:v>1</x:v>
      </x:c>
      <x:c r="AB307" s="10" t="n">
        <x:f>IF(COUNT(AA307,Z307)=2,AA307-Z307,"")</x:f>
        <x:v>0</x:v>
      </x:c>
      <x:c r="AC307" s="10" t="n">
        <x:v>186</x:v>
      </x:c>
      <x:c r="AD307" s="10" t="n">
        <x:v>158</x:v>
      </x:c>
      <x:c r="AE307" s="10" t="n">
        <x:f>IF(COUNT(AD307,AC307)=2,AD307-AC307,"")</x:f>
        <x:v>-28</x:v>
      </x:c>
      <x:c r="AF307" s="10" t="n">
        <x:v>62</x:v>
      </x:c>
      <x:c r="AG307" s="10" t="n">
        <x:v>62</x:v>
      </x:c>
      <x:c r="AH307" s="10" t="n">
        <x:f>IF(COUNT(AG307,AF307)=2,AG307-AF307,"")</x:f>
        <x:v>0</x:v>
      </x:c>
      <x:c r="AI307" s="10" t="n">
        <x:v>141</x:v>
      </x:c>
      <x:c r="AJ307" s="10" t="n">
        <x:v>188</x:v>
      </x:c>
      <x:c r="AK307" s="10" t="n">
        <x:f>IF(COUNT(AJ307,AI307)=2,AJ307-AI307,"")</x:f>
        <x:v>47</x:v>
      </x:c>
      <x:c r="AL307" s="10" t="n">
        <x:v>26</x:v>
      </x:c>
      <x:c r="AM307" s="10" t="n">
        <x:v>26</x:v>
      </x:c>
      <x:c r="AN307" s="4" t="str">
        <x:v>D</x:v>
      </x:c>
      <x:c r="AO307" s="4" t="str">
        <x:v>D</x:v>
      </x:c>
      <x:c r="AP307" s="4" t="str">
        <x:v>MTL</x:v>
      </x:c>
      <x:c r="AQ307" s="4" t="str">
        <x:v>MTL</x:v>
      </x:c>
      <x:c r="AR307" s="4" t="n">
        <x:v>22.459999999999997</x:v>
      </x:c>
      <x:c r="AS307" s="4" t="n">
        <x:v>22.483333333333334</x:v>
      </x:c>
      <x:c r="AT307" s="4" t="n">
        <x:v>2</x:v>
      </x:c>
      <x:c r="AU307" s="4" t="n">
        <x:v>7.6</x:v>
      </x:c>
      <x:c r="AV307" s="10" t="n">
        <x:v>2</x:v>
      </x:c>
      <x:c r="AW307" s="10" t="n">
        <x:v>5</x:v>
      </x:c>
      <x:c r="AX307" s="10" t="n">
        <x:v>0</x:v>
      </x:c>
      <x:c r="AY307" s="10" t="n">
        <x:v>1</x:v>
      </x:c>
      <x:c r="AZ307" s="10" t="n">
        <x:v>1469</x:v>
      </x:c>
      <x:c r="BA307" s="10" t="n">
        <x:v>1597</x:v>
      </x:c>
      <x:c r="BB307" s="4" t="n">
        <x:v>47.9</x:v>
      </x:c>
      <x:c r="BC307" s="4" t="n">
        <x:v>-1.3</x:v>
      </x:c>
      <x:c r="BD307" s="10" t="n">
        <x:v>1084</x:v>
      </x:c>
      <x:c r="BE307" s="10" t="n">
        <x:v>1087</x:v>
      </x:c>
      <x:c r="BF307" s="4" t="n">
        <x:v>49.9</x:v>
      </x:c>
      <x:c r="BG307" s="4" t="n">
        <x:v>0.4</x:v>
      </x:c>
      <x:c r="BH307" s="4" t="n">
        <x:v>11.8</x:v>
      </x:c>
      <x:c r="BI307" s="4" t="n">
        <x:v>89.2</x:v>
      </x:c>
      <x:c r="BJ307" s="4" t="n">
        <x:v>101</x:v>
      </x:c>
      <x:c r="BK307" s="4" t="n">
        <x:v>50.5</x:v>
      </x:c>
      <x:c r="BL307" s="4" t="n">
        <x:v>49.5</x:v>
      </x:c>
      <x:c r="BM307" s="4" t="n">
        <x:v>22.483333333333334</x:v>
      </x:c>
      <x:c r="BN307" s="4" t="n">
        <x:v>18.95</x:v>
      </x:c>
      <x:c r="BO307" s="10" t="n">
        <x:v>36</x:v>
      </x:c>
      <x:c r="BP307" s="10" t="n">
        <x:v>95</x:v>
      </x:c>
      <x:c r="BQ307" s="4" t="n">
        <x:v>0.4</x:v>
      </x:c>
      <x:c r="BR307" s="10" t="n">
        <x:v>357</x:v>
      </x:c>
      <x:c r="BS307" s="4" t="n">
        <x:v>44.3</x:v>
      </x:c>
      <x:c r="BT307" s="10" t="n">
        <x:v>80</x:v>
      </x:c>
      <x:c r="BU307" s="4" t="str">
        <x:v>MTL</x:v>
      </x:c>
      <x:c r="BV307" s="10" t="n">
        <x:v>144</x:v>
      </x:c>
      <x:c r="BW307" s="10" t="n">
        <x:v>161</x:v>
      </x:c>
      <x:c r="BX307" s="10" t="n">
        <x:v>222</x:v>
      </x:c>
      <x:c r="BY307" s="4" t="str">
        <x:v>Noah Dobson</x:v>
      </x:c>
      <x:c r="BZ307" s="4" t="str">
        <x:v>Noah Dobson</x:v>
      </x:c>
      <x:c r="CA307" s="4" t="str">
        <x:v>Noah Dobson</x:v>
      </x:c>
      <x:c r="CB307" s="4" t="str">
        <x:v>dobsono01</x:v>
      </x:c>
    </x:row>
    <x:row r="308" ht="22" customHeight="1">
      <x:c r="A308" s="4" t="str">
        <x:v>Noah Hanifin</x:v>
      </x:c>
      <x:c r="B308" s="4" t="str">
        <x:v>noahhanifin</x:v>
      </x:c>
      <x:c r="C308" s="10" t="n">
        <x:v>1</x:v>
      </x:c>
      <x:c r="D308" s="10" t="n">
        <x:v>1</x:v>
      </x:c>
      <x:c r="E308" s="10" t="n">
        <x:v>1</x:v>
      </x:c>
      <x:c r="F308" s="4" t="n">
        <x:f>IF(COUNT(N308,Q308,T308,W308,Z308,AC308,AF308,AI308)=8,N308*Guide!$E$5+Q308*Guide!$E$6+T308*Guide!$E$7+W308*Guide!$E$8+Z308*Guide!$E$9+AC308*Guide!$E$10+AF308*Guide!$E$11+AI308*Guide!$E$12,"")</x:f>
        <x:v>283</x:v>
      </x:c>
      <x:c r="G308" s="4" t="n">
        <x:f>IF(COUNT(O308,R308,U308,X308,AA308,AD308,AG308,AJ308)=8,O308*Guide!$E$5+R308*Guide!$E$6+U308*Guide!$E$7+X308*Guide!$E$8+AA308*Guide!$E$9+AD308*Guide!$E$10+AG308*Guide!$E$11+AJ308*Guide!$E$12,"")</x:f>
        <x:v>223.75</x:v>
      </x:c>
      <x:c r="H308" s="4" t="n">
        <x:f>IF(COUNT(G308,F308)=2,G308-F308,"")</x:f>
        <x:v>-59.25</x:v>
      </x:c>
      <x:c r="I308" s="4" t="n">
        <x:f>IF(AND(ISNUMBER(F308),K308&gt;0),F308/K308,"")</x:f>
        <x:v>3.5375</x:v>
      </x:c>
      <x:c r="J308" s="4" t="n">
        <x:f>IF(AND(ISNUMBER(G308),L308&gt;0),G308/L308,"")</x:f>
        <x:v>3.1514084507042255</x:v>
      </x:c>
      <x:c r="K308" s="10" t="n">
        <x:v>80</x:v>
      </x:c>
      <x:c r="L308" s="10" t="n">
        <x:v>71</x:v>
      </x:c>
      <x:c r="M308" s="10" t="n">
        <x:f>IF(COUNT(L308,K308)=2,L308-K308,"")</x:f>
        <x:v>-9</x:v>
      </x:c>
      <x:c r="N308" s="10" t="n">
        <x:v>9</x:v>
      </x:c>
      <x:c r="O308" s="10" t="n">
        <x:v>3</x:v>
      </x:c>
      <x:c r="P308" s="10" t="n">
        <x:f>IF(COUNT(O308,N308)=2,O308-N308,"")</x:f>
        <x:v>-6</x:v>
      </x:c>
      <x:c r="Q308" s="10" t="n">
        <x:v>31</x:v>
      </x:c>
      <x:c r="R308" s="10" t="n">
        <x:v>25</x:v>
      </x:c>
      <x:c r="S308" s="10" t="n">
        <x:f>IF(COUNT(R308,Q308)=2,R308-Q308,"")</x:f>
        <x:v>-6</x:v>
      </x:c>
      <x:c r="T308" s="10" t="n">
        <x:v>10</x:v>
      </x:c>
      <x:c r="U308" s="10" t="n">
        <x:v>0</x:v>
      </x:c>
      <x:c r="V308" s="10" t="n">
        <x:f>IF(COUNT(U308,T308)=2,U308-T308,"")</x:f>
        <x:v>-10</x:v>
      </x:c>
      <x:c r="W308" s="10" t="n">
        <x:v>10</x:v>
      </x:c>
      <x:c r="X308" s="10" t="n">
        <x:f>IF(COUNT(AV308,AW308)=2,AV308+AW308,"")</x:f>
        <x:v>7</x:v>
      </x:c>
      <x:c r="Y308" s="10" t="n">
        <x:f>IF(COUNT(X308,W308)=2,X308-W308,"")</x:f>
        <x:v>-3</x:v>
      </x:c>
      <x:c r="Z308" s="10" t="n">
        <x:v>1</x:v>
      </x:c>
      <x:c r="AA308" s="10" t="n">
        <x:f>IF(COUNT(AX308,AY308)=2,AX308+AY308,"")</x:f>
        <x:v>0</x:v>
      </x:c>
      <x:c r="AB308" s="10" t="n">
        <x:f>IF(COUNT(AA308,Z308)=2,AA308-Z308,"")</x:f>
        <x:v>-1</x:v>
      </x:c>
      <x:c r="AC308" s="10" t="n">
        <x:v>142</x:v>
      </x:c>
      <x:c r="AD308" s="10" t="n">
        <x:v>135</x:v>
      </x:c>
      <x:c r="AE308" s="10" t="n">
        <x:f>IF(COUNT(AD308,AC308)=2,AD308-AC308,"")</x:f>
        <x:v>-7</x:v>
      </x:c>
      <x:c r="AF308" s="10" t="n">
        <x:v>46</x:v>
      </x:c>
      <x:c r="AG308" s="10" t="n">
        <x:v>36</x:v>
      </x:c>
      <x:c r="AH308" s="10" t="n">
        <x:f>IF(COUNT(AG308,AF308)=2,AG308-AF308,"")</x:f>
        <x:v>-10</x:v>
      </x:c>
      <x:c r="AI308" s="10" t="n">
        <x:v>112</x:v>
      </x:c>
      <x:c r="AJ308" s="10" t="n">
        <x:v>116</x:v>
      </x:c>
      <x:c r="AK308" s="10" t="n">
        <x:f>IF(COUNT(AJ308,AI308)=2,AJ308-AI308,"")</x:f>
        <x:v>4</x:v>
      </x:c>
      <x:c r="AL308" s="10" t="n">
        <x:v>29</x:v>
      </x:c>
      <x:c r="AM308" s="10" t="n">
        <x:v>29</x:v>
      </x:c>
      <x:c r="AN308" s="4" t="str">
        <x:v>D</x:v>
      </x:c>
      <x:c r="AO308" s="4" t="str">
        <x:v>D</x:v>
      </x:c>
      <x:c r="AP308" s="4" t="str">
        <x:v>VGK</x:v>
      </x:c>
      <x:c r="AQ308" s="4" t="str">
        <x:v>VEG</x:v>
      </x:c>
      <x:c r="AR308" s="4" t="n">
        <x:v>22.04</x:v>
      </x:c>
      <x:c r="AS308" s="4" t="n">
        <x:v>22.6</x:v>
      </x:c>
      <x:c r="AT308" s="4" t="n">
        <x:v>1.38</x:v>
      </x:c>
      <x:c r="AU308" s="4" t="n">
        <x:v>2.2</x:v>
      </x:c>
      <x:c r="AV308" s="10" t="n">
        <x:v>0</x:v>
      </x:c>
      <x:c r="AW308" s="10" t="n">
        <x:v>7</x:v>
      </x:c>
      <x:c r="AX308" s="10" t="n">
        <x:v>0</x:v>
      </x:c>
      <x:c r="AY308" s="10" t="n">
        <x:v>0</x:v>
      </x:c>
      <x:c r="AZ308" s="10" t="n">
        <x:v>1425</x:v>
      </x:c>
      <x:c r="BA308" s="10" t="n">
        <x:v>1241</x:v>
      </x:c>
      <x:c r="BB308" s="4" t="n">
        <x:v>53.5</x:v>
      </x:c>
      <x:c r="BC308" s="4" t="n">
        <x:v>1.4</x:v>
      </x:c>
      <x:c r="BD308" s="10" t="n">
        <x:v>1020</x:v>
      </x:c>
      <x:c r="BE308" s="10" t="n">
        <x:v>905</x:v>
      </x:c>
      <x:c r="BF308" s="4" t="n">
        <x:v>53</x:v>
      </x:c>
      <x:c r="BG308" s="4" t="n">
        <x:v>0.5</x:v>
      </x:c>
      <x:c r="BH308" s="4" t="n">
        <x:v>9</x:v>
      </x:c>
      <x:c r="BI308" s="4" t="n">
        <x:v>89</x:v>
      </x:c>
      <x:c r="BJ308" s="4" t="n">
        <x:v>98</x:v>
      </x:c>
      <x:c r="BK308" s="4" t="n">
        <x:v>59.7</x:v>
      </x:c>
      <x:c r="BL308" s="4" t="n">
        <x:v>40.3</x:v>
      </x:c>
      <x:c r="BM308" s="4" t="n">
        <x:v>22.6</x:v>
      </x:c>
      <x:c r="BN308" s="4" t="n">
        <x:v>20.183333333333334</x:v>
      </x:c>
      <x:c r="BO308" s="10" t="n">
        <x:v>36</x:v>
      </x:c>
      <x:c r="BP308" s="10" t="n">
        <x:v>98</x:v>
      </x:c>
      <x:c r="BQ308" s="4" t="n">
        <x:v>13.9</x:v>
      </x:c>
      <x:c r="BR308" s="10" t="n">
        <x:v>305</x:v>
      </x:c>
      <x:c r="BS308" s="4" t="n">
        <x:v>44.3</x:v>
      </x:c>
      <x:c r="BT308" s="10" t="n">
        <x:v>71</x:v>
      </x:c>
      <x:c r="BU308" s="4" t="str">
        <x:v>VEG</x:v>
      </x:c>
      <x:c r="BV308" s="10" t="n">
        <x:v>247</x:v>
      </x:c>
      <x:c r="BW308" s="10" t="n">
        <x:v>355</x:v>
      </x:c>
      <x:c r="BX308" s="10" t="n">
        <x:v>386</x:v>
      </x:c>
      <x:c r="BY308" s="4" t="str">
        <x:v>Noah Hanifin</x:v>
      </x:c>
      <x:c r="BZ308" s="4" t="str">
        <x:v>Noah Hanifin</x:v>
      </x:c>
      <x:c r="CA308" s="4" t="str">
        <x:v>Noah Hanifin</x:v>
      </x:c>
      <x:c r="CB308" s="4" t="str">
        <x:v>hanifno01</x:v>
      </x:c>
    </x:row>
    <x:row r="309" ht="22" customHeight="1">
      <x:c r="A309" s="4" t="str">
        <x:v>Noel Acciari</x:v>
      </x:c>
      <x:c r="B309" s="4" t="str">
        <x:v>noelacciari</x:v>
      </x:c>
      <x:c r="C309" s="10" t="n">
        <x:v>1</x:v>
      </x:c>
      <x:c r="D309" s="10" t="n">
        <x:v>1</x:v>
      </x:c>
      <x:c r="E309" s="10" t="n">
        <x:v>1</x:v>
      </x:c>
      <x:c r="F309" s="4" t="n">
        <x:f>IF(COUNT(N309,Q309,T309,W309,Z309,AC309,AF309,AI309)=8,N309*Guide!$E$5+Q309*Guide!$E$6+T309*Guide!$E$7+W309*Guide!$E$8+Z309*Guide!$E$9+AC309*Guide!$E$10+AF309*Guide!$E$11+AI309*Guide!$E$12,"")</x:f>
        <x:v>190.75</x:v>
      </x:c>
      <x:c r="G309" s="4" t="n">
        <x:f>IF(COUNT(O309,R309,U309,X309,AA309,AD309,AG309,AJ309)=8,O309*Guide!$E$5+R309*Guide!$E$6+U309*Guide!$E$7+X309*Guide!$E$8+AA309*Guide!$E$9+AD309*Guide!$E$10+AG309*Guide!$E$11+AJ309*Guide!$E$12,"")</x:f>
        <x:v>188</x:v>
      </x:c>
      <x:c r="H309" s="4" t="n">
        <x:f>IF(COUNT(G309,F309)=2,G309-F309,"")</x:f>
        <x:v>-2.75</x:v>
      </x:c>
      <x:c r="I309" s="4" t="n">
        <x:f>IF(AND(ISNUMBER(F309),K309&gt;0),F309/K309,"")</x:f>
        <x:v>2.4455128205128207</x:v>
      </x:c>
      <x:c r="J309" s="4" t="n">
        <x:f>IF(AND(ISNUMBER(G309),L309&gt;0),G309/L309,"")</x:f>
        <x:v>2.8059701492537314</x:v>
      </x:c>
      <x:c r="K309" s="10" t="n">
        <x:v>78</x:v>
      </x:c>
      <x:c r="L309" s="10" t="n">
        <x:v>67</x:v>
      </x:c>
      <x:c r="M309" s="10" t="n">
        <x:f>IF(COUNT(L309,K309)=2,L309-K309,"")</x:f>
        <x:v>-11</x:v>
      </x:c>
      <x:c r="N309" s="10" t="n">
        <x:v>8</x:v>
      </x:c>
      <x:c r="O309" s="10" t="n">
        <x:v>13</x:v>
      </x:c>
      <x:c r="P309" s="10" t="n">
        <x:f>IF(COUNT(O309,N309)=2,O309-N309,"")</x:f>
        <x:v>5</x:v>
      </x:c>
      <x:c r="Q309" s="10" t="n">
        <x:v>9</x:v>
      </x:c>
      <x:c r="R309" s="10" t="n">
        <x:v>12</x:v>
      </x:c>
      <x:c r="S309" s="10" t="n">
        <x:f>IF(COUNT(R309,Q309)=2,R309-Q309,"")</x:f>
        <x:v>3</x:v>
      </x:c>
      <x:c r="T309" s="10" t="n">
        <x:v>-8</x:v>
      </x:c>
      <x:c r="U309" s="10" t="n">
        <x:v>14</x:v>
      </x:c>
      <x:c r="V309" s="10" t="n">
        <x:f>IF(COUNT(U309,T309)=2,U309-T309,"")</x:f>
        <x:v>22</x:v>
      </x:c>
      <x:c r="W309" s="10" t="n">
        <x:v>0</x:v>
      </x:c>
      <x:c r="X309" s="10" t="n">
        <x:f>IF(COUNT(AV309,AW309)=2,AV309+AW309,"")</x:f>
        <x:v>0</x:v>
      </x:c>
      <x:c r="Y309" s="10" t="n">
        <x:f>IF(COUNT(X309,W309)=2,X309-W309,"")</x:f>
        <x:v>0</x:v>
      </x:c>
      <x:c r="Z309" s="10" t="n">
        <x:v>1</x:v>
      </x:c>
      <x:c r="AA309" s="10" t="n">
        <x:f>IF(COUNT(AX309,AY309)=2,AX309+AY309,"")</x:f>
        <x:v>0</x:v>
      </x:c>
      <x:c r="AB309" s="10" t="n">
        <x:f>IF(COUNT(AA309,Z309)=2,AA309-Z309,"")</x:f>
        <x:v>-1</x:v>
      </x:c>
      <x:c r="AC309" s="10" t="n">
        <x:v>77</x:v>
      </x:c>
      <x:c r="AD309" s="10" t="n">
        <x:v>93</x:v>
      </x:c>
      <x:c r="AE309" s="10" t="n">
        <x:f>IF(COUNT(AD309,AC309)=2,AD309-AC309,"")</x:f>
        <x:v>16</x:v>
      </x:c>
      <x:c r="AF309" s="10" t="n">
        <x:v>179</x:v>
      </x:c>
      <x:c r="AG309" s="10" t="n">
        <x:v>65</x:v>
      </x:c>
      <x:c r="AH309" s="10" t="n">
        <x:f>IF(COUNT(AG309,AF309)=2,AG309-AF309,"")</x:f>
        <x:v>-114</x:v>
      </x:c>
      <x:c r="AI309" s="10" t="n">
        <x:v>97</x:v>
      </x:c>
      <x:c r="AJ309" s="10" t="n">
        <x:v>62</x:v>
      </x:c>
      <x:c r="AK309" s="10" t="n">
        <x:f>IF(COUNT(AJ309,AI309)=2,AJ309-AI309,"")</x:f>
        <x:v>-35</x:v>
      </x:c>
      <x:c r="AL309" s="10" t="n">
        <x:v>34</x:v>
      </x:c>
      <x:c r="AM309" s="10" t="n">
        <x:v>34</x:v>
      </x:c>
      <x:c r="AN309" s="4" t="str">
        <x:v>C,RW</x:v>
      </x:c>
      <x:c r="AO309" s="4" t="str">
        <x:v>C</x:v>
      </x:c>
      <x:c r="AP309" s="4" t="str">
        <x:v>PIT</x:v>
      </x:c>
      <x:c r="AQ309" s="4" t="str">
        <x:v>PIT</x:v>
      </x:c>
      <x:c r="AR309" s="4" t="n">
        <x:v>13.45</x:v>
      </x:c>
      <x:c r="AS309" s="4" t="n">
        <x:v>13.7</x:v>
      </x:c>
      <x:c r="AT309" s="4" t="n">
        <x:v>0.09</x:v>
      </x:c>
      <x:c r="AU309" s="4" t="n">
        <x:v>14</x:v>
      </x:c>
      <x:c r="AV309" s="10" t="n">
        <x:v>0</x:v>
      </x:c>
      <x:c r="AW309" s="10" t="n">
        <x:v>0</x:v>
      </x:c>
      <x:c r="AX309" s="10" t="n">
        <x:v>0</x:v>
      </x:c>
      <x:c r="AY309" s="10" t="n">
        <x:v>0</x:v>
      </x:c>
      <x:c r="AZ309" s="10" t="n">
        <x:v>667</x:v>
      </x:c>
      <x:c r="BA309" s="10" t="n">
        <x:v>737</x:v>
      </x:c>
      <x:c r="BB309" s="4" t="n">
        <x:v>47.5</x:v>
      </x:c>
      <x:c r="BC309" s="4" t="n">
        <x:v>-3.1</x:v>
      </x:c>
      <x:c r="BD309" s="10" t="n">
        <x:v>475</x:v>
      </x:c>
      <x:c r="BE309" s="10" t="n">
        <x:v>508</x:v>
      </x:c>
      <x:c r="BF309" s="4" t="n">
        <x:v>48.3</x:v>
      </x:c>
      <x:c r="BG309" s="4" t="n">
        <x:v>-2.3</x:v>
      </x:c>
      <x:c r="BH309" s="4" t="n">
        <x:v>13.4</x:v>
      </x:c>
      <x:c r="BI309" s="4" t="n">
        <x:v>91.7</x:v>
      </x:c>
      <x:c r="BJ309" s="4" t="n">
        <x:v>105.1</x:v>
      </x:c>
      <x:c r="BK309" s="4" t="n">
        <x:v>16.7</x:v>
      </x:c>
      <x:c r="BL309" s="4" t="n">
        <x:v>83.3</x:v>
      </x:c>
      <x:c r="BM309" s="4" t="n">
        <x:v>13.7</x:v>
      </x:c>
      <x:c r="BN309" s="4" t="n">
        <x:v>11.05</x:v>
      </x:c>
      <x:c r="BO309" s="10" t="n">
        <x:v>12</x:v>
      </x:c>
      <x:c r="BP309" s="10" t="n">
        <x:v>22</x:v>
      </x:c>
      <x:c r="BQ309" s="4" t="n">
        <x:v>0.4</x:v>
      </x:c>
      <x:c r="BR309" s="10" t="n">
        <x:v>165</x:v>
      </x:c>
      <x:c r="BS309" s="4" t="n">
        <x:v>56.4</x:v>
      </x:c>
      <x:c r="BT309" s="10" t="n">
        <x:v>67</x:v>
      </x:c>
      <x:c r="BU309" s="4" t="str">
        <x:v>PIT</x:v>
      </x:c>
      <x:c r="BV309" s="10" t="n">
        <x:v>587</x:v>
      </x:c>
      <x:c r="BW309" s="10" t="n">
        <x:v>389</x:v>
      </x:c>
      <x:c r="BX309" s="10" t="n">
        <x:v>4</x:v>
      </x:c>
      <x:c r="BY309" s="4" t="str">
        <x:v>Noel Acciari</x:v>
      </x:c>
      <x:c r="BZ309" s="4" t="str">
        <x:v>Noel Acciari</x:v>
      </x:c>
      <x:c r="CA309" s="4" t="str">
        <x:v>Noel Acciari</x:v>
      </x:c>
      <x:c r="CB309" s="4" t="str">
        <x:v>acciano01</x:v>
      </x:c>
    </x:row>
    <x:row r="310" ht="22" customHeight="1">
      <x:c r="A310" s="4" t="str">
        <x:v>Olen Zellweger</x:v>
      </x:c>
      <x:c r="B310" s="4" t="str">
        <x:v>olenzellweger</x:v>
      </x:c>
      <x:c r="C310" s="10" t="n">
        <x:v>1</x:v>
      </x:c>
      <x:c r="D310" s="10" t="n">
        <x:v>1</x:v>
      </x:c>
      <x:c r="E310" s="10" t="n">
        <x:v>1</x:v>
      </x:c>
      <x:c r="F310" s="4" t="n">
        <x:f>IF(COUNT(N310,Q310,T310,W310,Z310,AC310,AF310,AI310)=8,N310*Guide!$E$5+Q310*Guide!$E$6+T310*Guide!$E$7+W310*Guide!$E$8+Z310*Guide!$E$9+AC310*Guide!$E$10+AF310*Guide!$E$11+AI310*Guide!$E$12,"")</x:f>
        <x:v>219.75</x:v>
      </x:c>
      <x:c r="G310" s="4" t="n">
        <x:f>IF(COUNT(O310,R310,U310,X310,AA310,AD310,AG310,AJ310)=8,O310*Guide!$E$5+R310*Guide!$E$6+U310*Guide!$E$7+X310*Guide!$E$8+AA310*Guide!$E$9+AD310*Guide!$E$10+AG310*Guide!$E$11+AJ310*Guide!$E$12,"")</x:f>
        <x:v>181.75</x:v>
      </x:c>
      <x:c r="H310" s="4" t="n">
        <x:f>IF(COUNT(G310,F310)=2,G310-F310,"")</x:f>
        <x:v>-38</x:v>
      </x:c>
      <x:c r="I310" s="4" t="n">
        <x:f>IF(AND(ISNUMBER(F310),K310&gt;0),F310/K310,"")</x:f>
        <x:v>2.8914473684210527</x:v>
      </x:c>
      <x:c r="J310" s="4" t="n">
        <x:f>IF(AND(ISNUMBER(G310),L310&gt;0),G310/L310,"")</x:f>
        <x:v>2.3914473684210527</x:v>
      </x:c>
      <x:c r="K310" s="10" t="n">
        <x:v>76</x:v>
      </x:c>
      <x:c r="L310" s="10" t="n">
        <x:v>76</x:v>
      </x:c>
      <x:c r="M310" s="10" t="n">
        <x:f>IF(COUNT(L310,K310)=2,L310-K310,"")</x:f>
        <x:v>0</x:v>
      </x:c>
      <x:c r="N310" s="10" t="n">
        <x:v>9</x:v>
      </x:c>
      <x:c r="O310" s="10" t="n">
        <x:v>7</x:v>
      </x:c>
      <x:c r="P310" s="10" t="n">
        <x:f>IF(COUNT(O310,N310)=2,O310-N310,"")</x:f>
        <x:v>-2</x:v>
      </x:c>
      <x:c r="Q310" s="10" t="n">
        <x:v>22</x:v>
      </x:c>
      <x:c r="R310" s="10" t="n">
        <x:v>15</x:v>
      </x:c>
      <x:c r="S310" s="10" t="n">
        <x:f>IF(COUNT(R310,Q310)=2,R310-Q310,"")</x:f>
        <x:v>-7</x:v>
      </x:c>
      <x:c r="T310" s="10" t="n">
        <x:v>-11</x:v>
      </x:c>
      <x:c r="U310" s="10" t="n">
        <x:v>4</x:v>
      </x:c>
      <x:c r="V310" s="10" t="n">
        <x:f>IF(COUNT(U310,T310)=2,U310-T310,"")</x:f>
        <x:v>15</x:v>
      </x:c>
      <x:c r="W310" s="10" t="n">
        <x:v>11</x:v>
      </x:c>
      <x:c r="X310" s="10" t="n">
        <x:f>IF(COUNT(AV310,AW310)=2,AV310+AW310,"")</x:f>
        <x:v>3</x:v>
      </x:c>
      <x:c r="Y310" s="10" t="n">
        <x:f>IF(COUNT(X310,W310)=2,X310-W310,"")</x:f>
        <x:v>-8</x:v>
      </x:c>
      <x:c r="Z310" s="10" t="n">
        <x:v>0</x:v>
      </x:c>
      <x:c r="AA310" s="10" t="n">
        <x:f>IF(COUNT(AX310,AY310)=2,AX310+AY310,"")</x:f>
        <x:v>0</x:v>
      </x:c>
      <x:c r="AB310" s="10" t="n">
        <x:f>IF(COUNT(AA310,Z310)=2,AA310-Z310,"")</x:f>
        <x:v>0</x:v>
      </x:c>
      <x:c r="AC310" s="10" t="n">
        <x:v>145</x:v>
      </x:c>
      <x:c r="AD310" s="10" t="n">
        <x:v>119</x:v>
      </x:c>
      <x:c r="AE310" s="10" t="n">
        <x:f>IF(COUNT(AD310,AC310)=2,AD310-AC310,"")</x:f>
        <x:v>-26</x:v>
      </x:c>
      <x:c r="AF310" s="10" t="n">
        <x:v>44</x:v>
      </x:c>
      <x:c r="AG310" s="10" t="n">
        <x:v>33</x:v>
      </x:c>
      <x:c r="AH310" s="10" t="n">
        <x:f>IF(COUNT(AG310,AF310)=2,AG310-AF310,"")</x:f>
        <x:v>-11</x:v>
      </x:c>
      <x:c r="AI310" s="10" t="n">
        <x:v>94</x:v>
      </x:c>
      <x:c r="AJ310" s="10" t="n">
        <x:v>85</x:v>
      </x:c>
      <x:c r="AK310" s="10" t="n">
        <x:f>IF(COUNT(AJ310,AI310)=2,AJ310-AI310,"")</x:f>
        <x:v>-9</x:v>
      </x:c>
      <x:c r="AL310" s="10" t="n">
        <x:v>22</x:v>
      </x:c>
      <x:c r="AM310" s="10" t="n">
        <x:v>22</x:v>
      </x:c>
      <x:c r="AN310" s="4" t="str">
        <x:v>D</x:v>
      </x:c>
      <x:c r="AO310" s="4" t="str">
        <x:v>D</x:v>
      </x:c>
      <x:c r="AP310" s="4" t="str">
        <x:v>ANA</x:v>
      </x:c>
      <x:c r="AQ310" s="4" t="str">
        <x:v>ANA</x:v>
      </x:c>
      <x:c r="AR310" s="4" t="n">
        <x:v>19.020000000000003</x:v>
      </x:c>
      <x:c r="AS310" s="4" t="n">
        <x:v>16.983333333333334</x:v>
      </x:c>
      <x:c r="AT310" s="4" t="n">
        <x:v>2.3</x:v>
      </x:c>
      <x:c r="AU310" s="4" t="n">
        <x:v>5.9</x:v>
      </x:c>
      <x:c r="AV310" s="10" t="n">
        <x:v>1</x:v>
      </x:c>
      <x:c r="AW310" s="10" t="n">
        <x:v>2</x:v>
      </x:c>
      <x:c r="AX310" s="10" t="n">
        <x:v>0</x:v>
      </x:c>
      <x:c r="AY310" s="10" t="n">
        <x:v>0</x:v>
      </x:c>
      <x:c r="AZ310" s="10" t="n">
        <x:v>1329</x:v>
      </x:c>
      <x:c r="BA310" s="10" t="n">
        <x:v>1160</x:v>
      </x:c>
      <x:c r="BB310" s="4" t="n">
        <x:v>53.4</x:v>
      </x:c>
      <x:c r="BC310" s="4" t="n">
        <x:v>1.7</x:v>
      </x:c>
      <x:c r="BD310" s="10" t="n">
        <x:v>970</x:v>
      </x:c>
      <x:c r="BE310" s="10" t="n">
        <x:v>840</x:v>
      </x:c>
      <x:c r="BF310" s="4" t="n">
        <x:v>53.6</x:v>
      </x:c>
      <x:c r="BG310" s="4" t="n">
        <x:v>1.9</x:v>
      </x:c>
      <x:c r="BH310" s="4" t="n">
        <x:v>10</x:v>
      </x:c>
      <x:c r="BI310" s="4" t="n">
        <x:v>89.6</x:v>
      </x:c>
      <x:c r="BJ310" s="4" t="n">
        <x:v>99.6</x:v>
      </x:c>
      <x:c r="BK310" s="4" t="n">
        <x:v>55.8</x:v>
      </x:c>
      <x:c r="BL310" s="4" t="n">
        <x:v>44.2</x:v>
      </x:c>
      <x:c r="BM310" s="4" t="n">
        <x:v>16.983333333333334</x:v>
      </x:c>
      <x:c r="BN310" s="4" t="n">
        <x:v>15.333333333333334</x:v>
      </x:c>
      <x:c r="BO310" s="10" t="n">
        <x:v>19</x:v>
      </x:c>
      <x:c r="BP310" s="10" t="n">
        <x:v>64</x:v>
      </x:c>
      <x:c r="BQ310" s="4" t="n">
        <x:v>-3.3</x:v>
      </x:c>
      <x:c r="BR310" s="10" t="n">
        <x:v>302</x:v>
      </x:c>
      <x:c r="BS310" s="4" t="n">
        <x:v>39.4</x:v>
      </x:c>
      <x:c r="BT310" s="10" t="n">
        <x:v>76</x:v>
      </x:c>
      <x:c r="BU310" s="4" t="str">
        <x:v>ANA</x:v>
      </x:c>
      <x:c r="BV310" s="10" t="n">
        <x:v>355</x:v>
      </x:c>
      <x:c r="BW310" s="10" t="n">
        <x:v>440</x:v>
      </x:c>
      <x:c r="BX310" s="10" t="n">
        <x:v>1100</x:v>
      </x:c>
      <x:c r="BY310" s="4" t="str">
        <x:v>Olen Zellweger</x:v>
      </x:c>
      <x:c r="BZ310" s="4" t="str">
        <x:v>Olen Zellweger</x:v>
      </x:c>
      <x:c r="CA310" s="4" t="str">
        <x:v>Olen Zellweger</x:v>
      </x:c>
      <x:c r="CB310" s="4" t="str">
        <x:v>zellwol01</x:v>
      </x:c>
    </x:row>
    <x:row r="311" ht="22" customHeight="1">
      <x:c r="A311" s="4" t="str">
        <x:v>Oliver Bjorkstrand</x:v>
      </x:c>
      <x:c r="B311" s="4" t="str">
        <x:v>oliverbjorkstrand</x:v>
      </x:c>
      <x:c r="C311" s="10" t="n">
        <x:v>1</x:v>
      </x:c>
      <x:c r="D311" s="10" t="n">
        <x:v>1</x:v>
      </x:c>
      <x:c r="E311" s="10" t="n">
        <x:v>1</x:v>
      </x:c>
      <x:c r="F311" s="4" t="n">
        <x:f>IF(COUNT(N311,Q311,T311,W311,Z311,AC311,AF311,AI311)=8,N311*Guide!$E$5+Q311*Guide!$E$6+T311*Guide!$E$7+W311*Guide!$E$8+Z311*Guide!$E$9+AC311*Guide!$E$10+AF311*Guide!$E$11+AI311*Guide!$E$12,"")</x:f>
        <x:v>240.5</x:v>
      </x:c>
      <x:c r="G311" s="4" t="n">
        <x:f>IF(COUNT(O311,R311,U311,X311,AA311,AD311,AG311,AJ311)=8,O311*Guide!$E$5+R311*Guide!$E$6+U311*Guide!$E$7+X311*Guide!$E$8+AA311*Guide!$E$9+AD311*Guide!$E$10+AG311*Guide!$E$11+AJ311*Guide!$E$12,"")</x:f>
        <x:v>191</x:v>
      </x:c>
      <x:c r="H311" s="4" t="n">
        <x:f>IF(COUNT(G311,F311)=2,G311-F311,"")</x:f>
        <x:v>-49.5</x:v>
      </x:c>
      <x:c r="I311" s="4" t="n">
        <x:f>IF(AND(ISNUMBER(F311),K311&gt;0),F311/K311,"")</x:f>
        <x:v>3.0833333333333335</x:v>
      </x:c>
      <x:c r="J311" s="4" t="n">
        <x:f>IF(AND(ISNUMBER(G311),L311&gt;0),G311/L311,"")</x:f>
        <x:v>2.3875</x:v>
      </x:c>
      <x:c r="K311" s="10" t="n">
        <x:v>78</x:v>
      </x:c>
      <x:c r="L311" s="10" t="n">
        <x:v>80</x:v>
      </x:c>
      <x:c r="M311" s="10" t="n">
        <x:f>IF(COUNT(L311,K311)=2,L311-K311,"")</x:f>
        <x:v>2</x:v>
      </x:c>
      <x:c r="N311" s="10" t="n">
        <x:v>18</x:v>
      </x:c>
      <x:c r="O311" s="10" t="n">
        <x:v>12</x:v>
      </x:c>
      <x:c r="P311" s="10" t="n">
        <x:f>IF(COUNT(O311,N311)=2,O311-N311,"")</x:f>
        <x:v>-6</x:v>
      </x:c>
      <x:c r="Q311" s="10" t="n">
        <x:v>28</x:v>
      </x:c>
      <x:c r="R311" s="10" t="n">
        <x:v>20</x:v>
      </x:c>
      <x:c r="S311" s="10" t="n">
        <x:f>IF(COUNT(R311,Q311)=2,R311-Q311,"")</x:f>
        <x:v>-8</x:v>
      </x:c>
      <x:c r="T311" s="10" t="n">
        <x:v>-5</x:v>
      </x:c>
      <x:c r="U311" s="10" t="n">
        <x:v>-14</x:v>
      </x:c>
      <x:c r="V311" s="10" t="n">
        <x:f>IF(COUNT(U311,T311)=2,U311-T311,"")</x:f>
        <x:v>-9</x:v>
      </x:c>
      <x:c r="W311" s="10" t="n">
        <x:v>14</x:v>
      </x:c>
      <x:c r="X311" s="10" t="n">
        <x:f>IF(COUNT(AV311,AW311)=2,AV311+AW311,"")</x:f>
        <x:v>14</x:v>
      </x:c>
      <x:c r="Y311" s="10" t="n">
        <x:f>IF(COUNT(X311,W311)=2,X311-W311,"")</x:f>
        <x:v>0</x:v>
      </x:c>
      <x:c r="Z311" s="10" t="n">
        <x:v>0</x:v>
      </x:c>
      <x:c r="AA311" s="10" t="n">
        <x:f>IF(COUNT(AX311,AY311)=2,AX311+AY311,"")</x:f>
        <x:v>0</x:v>
      </x:c>
      <x:c r="AB311" s="10" t="n">
        <x:f>IF(COUNT(AA311,Z311)=2,AA311-Z311,"")</x:f>
        <x:v>0</x:v>
      </x:c>
      <x:c r="AC311" s="10" t="n">
        <x:v>149</x:v>
      </x:c>
      <x:c r="AD311" s="10" t="n">
        <x:v>130</x:v>
      </x:c>
      <x:c r="AE311" s="10" t="n">
        <x:f>IF(COUNT(AD311,AC311)=2,AD311-AC311,"")</x:f>
        <x:v>-19</x:v>
      </x:c>
      <x:c r="AF311" s="10" t="n">
        <x:v>69</x:v>
      </x:c>
      <x:c r="AG311" s="10" t="n">
        <x:v>85</x:v>
      </x:c>
      <x:c r="AH311" s="10" t="n">
        <x:f>IF(COUNT(AG311,AF311)=2,AG311-AF311,"")</x:f>
        <x:v>16</x:v>
      </x:c>
      <x:c r="AI311" s="10" t="n">
        <x:v>28</x:v>
      </x:c>
      <x:c r="AJ311" s="10" t="n">
        <x:v>39</x:v>
      </x:c>
      <x:c r="AK311" s="10" t="n">
        <x:f>IF(COUNT(AJ311,AI311)=2,AJ311-AI311,"")</x:f>
        <x:v>11</x:v>
      </x:c>
      <x:c r="AL311" s="10" t="n">
        <x:v>30</x:v>
      </x:c>
      <x:c r="AM311" s="10" t="n">
        <x:v>30</x:v>
      </x:c>
      <x:c r="AN311" s="4" t="str">
        <x:v>RW</x:v>
      </x:c>
      <x:c r="AO311" s="4" t="str">
        <x:v>RW</x:v>
      </x:c>
      <x:c r="AP311" s="4" t="str">
        <x:v>TB</x:v>
      </x:c>
      <x:c r="AQ311" s="4" t="str">
        <x:v>TBL</x:v>
      </x:c>
      <x:c r="AR311" s="4" t="n">
        <x:v>15.05</x:v>
      </x:c>
      <x:c r="AS311" s="4" t="n">
        <x:v>13.633333333333333</x:v>
      </x:c>
      <x:c r="AT311" s="4" t="n">
        <x:v>2.21</x:v>
      </x:c>
      <x:c r="AU311" s="4" t="n">
        <x:v>9.2</x:v>
      </x:c>
      <x:c r="AV311" s="10" t="n">
        <x:v>9</x:v>
      </x:c>
      <x:c r="AW311" s="10" t="n">
        <x:v>5</x:v>
      </x:c>
      <x:c r="AX311" s="10" t="n">
        <x:v>0</x:v>
      </x:c>
      <x:c r="AY311" s="10" t="n">
        <x:v>0</x:v>
      </x:c>
      <x:c r="AZ311" s="10" t="n">
        <x:v>780</x:v>
      </x:c>
      <x:c r="BA311" s="10" t="n">
        <x:v>737</x:v>
      </x:c>
      <x:c r="BB311" s="4" t="n">
        <x:v>51.4</x:v>
      </x:c>
      <x:c r="BC311" s="4" t="n">
        <x:v>-2</x:v>
      </x:c>
      <x:c r="BD311" s="10" t="n">
        <x:v>541</x:v>
      </x:c>
      <x:c r="BE311" s="10" t="n">
        <x:v>526</x:v>
      </x:c>
      <x:c r="BF311" s="4" t="n">
        <x:v>50.7</x:v>
      </x:c>
      <x:c r="BG311" s="4" t="n">
        <x:v>-2</x:v>
      </x:c>
      <x:c r="BH311" s="4" t="n">
        <x:v>8</x:v>
      </x:c>
      <x:c r="BI311" s="4" t="n">
        <x:v>89.4</x:v>
      </x:c>
      <x:c r="BJ311" s="4" t="n">
        <x:v>97.4</x:v>
      </x:c>
      <x:c r="BK311" s="4" t="n">
        <x:v>55.5</x:v>
      </x:c>
      <x:c r="BL311" s="4" t="n">
        <x:v>44.5</x:v>
      </x:c>
      <x:c r="BM311" s="4" t="n">
        <x:v>13.633333333333333</x:v>
      </x:c>
      <x:c r="BN311" s="4" t="n">
        <x:v>10.516666666666667</x:v>
      </x:c>
      <x:c r="BO311" s="10" t="n">
        <x:v>14</x:v>
      </x:c>
      <x:c r="BP311" s="10" t="n">
        <x:v>38</x:v>
      </x:c>
      <x:c r="BQ311" s="4" t="n">
        <x:v>0</x:v>
      </x:c>
      <x:c r="BR311" s="10" t="n">
        <x:v>266</x:v>
      </x:c>
      <x:c r="BS311" s="4" t="n">
        <x:v>48.9</x:v>
      </x:c>
      <x:c r="BT311" s="10" t="n">
        <x:v>80</x:v>
      </x:c>
      <x:c r="BU311" s="4" t="str">
        <x:v>TBL</x:v>
      </x:c>
      <x:c r="BV311" s="10" t="n">
        <x:v>195</x:v>
      </x:c>
      <x:c r="BW311" s="10" t="n">
        <x:v>298</x:v>
      </x:c>
      <x:c r="BX311" s="10" t="n">
        <x:v>58</x:v>
      </x:c>
      <x:c r="BY311" s="4" t="str">
        <x:v>Oliver Bjorkstrand</x:v>
      </x:c>
      <x:c r="BZ311" s="4" t="str">
        <x:v>Oliver Bjorkstrand</x:v>
      </x:c>
      <x:c r="CA311" s="4" t="str">
        <x:v>Oliver Bjorkstrand</x:v>
      </x:c>
      <x:c r="CB311" s="4" t="str">
        <x:v>bjorkol01</x:v>
      </x:c>
    </x:row>
    <x:row r="312" ht="22" customHeight="1">
      <x:c r="A312" s="4" t="str">
        <x:v>Oliver Ekman-Larsson</x:v>
      </x:c>
      <x:c r="B312" s="4" t="str">
        <x:v>oliverekmanlarsson</x:v>
      </x:c>
      <x:c r="C312" s="10" t="n">
        <x:v>1</x:v>
      </x:c>
      <x:c r="D312" s="10" t="n">
        <x:v>1</x:v>
      </x:c>
      <x:c r="E312" s="10" t="n">
        <x:v>1</x:v>
      </x:c>
      <x:c r="F312" s="4" t="n">
        <x:f>IF(COUNT(N312,Q312,T312,W312,Z312,AC312,AF312,AI312)=8,N312*Guide!$E$5+Q312*Guide!$E$6+T312*Guide!$E$7+W312*Guide!$E$8+Z312*Guide!$E$9+AC312*Guide!$E$10+AF312*Guide!$E$11+AI312*Guide!$E$12,"")</x:f>
        <x:v>228.75</x:v>
      </x:c>
      <x:c r="G312" s="4" t="n">
        <x:f>IF(COUNT(O312,R312,U312,X312,AA312,AD312,AG312,AJ312)=8,O312*Guide!$E$5+R312*Guide!$E$6+U312*Guide!$E$7+X312*Guide!$E$8+AA312*Guide!$E$9+AD312*Guide!$E$10+AG312*Guide!$E$11+AJ312*Guide!$E$12,"")</x:f>
        <x:v>230.5</x:v>
      </x:c>
      <x:c r="H312" s="4" t="n">
        <x:f>IF(COUNT(G312,F312)=2,G312-F312,"")</x:f>
        <x:v>1.75</x:v>
      </x:c>
      <x:c r="I312" s="4" t="n">
        <x:f>IF(AND(ISNUMBER(F312),K312&gt;0),F312/K312,"")</x:f>
        <x:v>3.0098684210526314</x:v>
      </x:c>
      <x:c r="J312" s="4" t="n">
        <x:f>IF(AND(ISNUMBER(G312),L312&gt;0),G312/L312,"")</x:f>
        <x:v>2.9551282051282053</x:v>
      </x:c>
      <x:c r="K312" s="10" t="n">
        <x:v>76</x:v>
      </x:c>
      <x:c r="L312" s="10" t="n">
        <x:v>78</x:v>
      </x:c>
      <x:c r="M312" s="10" t="n">
        <x:f>IF(COUNT(L312,K312)=2,L312-K312,"")</x:f>
        <x:v>2</x:v>
      </x:c>
      <x:c r="N312" s="10" t="n">
        <x:v>6</x:v>
      </x:c>
      <x:c r="O312" s="10" t="n">
        <x:v>8</x:v>
      </x:c>
      <x:c r="P312" s="10" t="n">
        <x:f>IF(COUNT(O312,N312)=2,O312-N312,"")</x:f>
        <x:v>2</x:v>
      </x:c>
      <x:c r="Q312" s="10" t="n">
        <x:v>27</x:v>
      </x:c>
      <x:c r="R312" s="10" t="n">
        <x:v>31</x:v>
      </x:c>
      <x:c r="S312" s="10" t="n">
        <x:f>IF(COUNT(R312,Q312)=2,R312-Q312,"")</x:f>
        <x:v>4</x:v>
      </x:c>
      <x:c r="T312" s="10" t="n">
        <x:v>5</x:v>
      </x:c>
      <x:c r="U312" s="10" t="n">
        <x:v>-6</x:v>
      </x:c>
      <x:c r="V312" s="10" t="n">
        <x:f>IF(COUNT(U312,T312)=2,U312-T312,"")</x:f>
        <x:v>-11</x:v>
      </x:c>
      <x:c r="W312" s="10" t="n">
        <x:v>8</x:v>
      </x:c>
      <x:c r="X312" s="10" t="n">
        <x:f>IF(COUNT(AV312,AW312)=2,AV312+AW312,"")</x:f>
        <x:v>9</x:v>
      </x:c>
      <x:c r="Y312" s="10" t="n">
        <x:f>IF(COUNT(X312,W312)=2,X312-W312,"")</x:f>
        <x:v>1</x:v>
      </x:c>
      <x:c r="Z312" s="10" t="n">
        <x:v>0</x:v>
      </x:c>
      <x:c r="AA312" s="10" t="n">
        <x:f>IF(COUNT(AX312,AY312)=2,AX312+AY312,"")</x:f>
        <x:v>0</x:v>
      </x:c>
      <x:c r="AB312" s="10" t="n">
        <x:f>IF(COUNT(AA312,Z312)=2,AA312-Z312,"")</x:f>
        <x:v>0</x:v>
      </x:c>
      <x:c r="AC312" s="10" t="n">
        <x:v>117</x:v>
      </x:c>
      <x:c r="AD312" s="10" t="n">
        <x:v>108</x:v>
      </x:c>
      <x:c r="AE312" s="10" t="n">
        <x:f>IF(COUNT(AD312,AC312)=2,AD312-AC312,"")</x:f>
        <x:v>-9</x:v>
      </x:c>
      <x:c r="AF312" s="10" t="n">
        <x:v>95</x:v>
      </x:c>
      <x:c r="AG312" s="10" t="n">
        <x:v>86</x:v>
      </x:c>
      <x:c r="AH312" s="10" t="n">
        <x:f>IF(COUNT(AG312,AF312)=2,AG312-AF312,"")</x:f>
        <x:v>-9</x:v>
      </x:c>
      <x:c r="AI312" s="10" t="n">
        <x:v>77</x:v>
      </x:c>
      <x:c r="AJ312" s="10" t="n">
        <x:v>72</x:v>
      </x:c>
      <x:c r="AK312" s="10" t="n">
        <x:f>IF(COUNT(AJ312,AI312)=2,AJ312-AI312,"")</x:f>
        <x:v>-5</x:v>
      </x:c>
      <x:c r="AL312" s="10" t="n">
        <x:v>34</x:v>
      </x:c>
      <x:c r="AM312" s="10" t="n">
        <x:v>34</x:v>
      </x:c>
      <x:c r="AN312" s="4" t="str">
        <x:v>D</x:v>
      </x:c>
      <x:c r="AO312" s="4" t="str">
        <x:v>D</x:v>
      </x:c>
      <x:c r="AP312" s="4" t="str">
        <x:v>TOR</x:v>
      </x:c>
      <x:c r="AQ312" s="4" t="str">
        <x:v>TOR</x:v>
      </x:c>
      <x:c r="AR312" s="4" t="n">
        <x:v>20.75</x:v>
      </x:c>
      <x:c r="AS312" s="4" t="n">
        <x:v>20.6</x:v>
      </x:c>
      <x:c r="AT312" s="4" t="n">
        <x:v>1.5</x:v>
      </x:c>
      <x:c r="AU312" s="4" t="n">
        <x:v>7.4</x:v>
      </x:c>
      <x:c r="AV312" s="10" t="n">
        <x:v>0</x:v>
      </x:c>
      <x:c r="AW312" s="10" t="n">
        <x:v>9</x:v>
      </x:c>
      <x:c r="AX312" s="10" t="n">
        <x:v>0</x:v>
      </x:c>
      <x:c r="AY312" s="10" t="n">
        <x:v>0</x:v>
      </x:c>
      <x:c r="AZ312" s="10" t="n">
        <x:v>1308</x:v>
      </x:c>
      <x:c r="BA312" s="10" t="n">
        <x:v>1483</x:v>
      </x:c>
      <x:c r="BB312" s="4" t="n">
        <x:v>46.9</x:v>
      </x:c>
      <x:c r="BC312" s="4" t="n">
        <x:v>2.7</x:v>
      </x:c>
      <x:c r="BD312" s="10" t="n">
        <x:v>983</x:v>
      </x:c>
      <x:c r="BE312" s="10" t="n">
        <x:v>1116</x:v>
      </x:c>
      <x:c r="BF312" s="4" t="n">
        <x:v>46.8</x:v>
      </x:c>
      <x:c r="BG312" s="4" t="n">
        <x:v>2.1</x:v>
      </x:c>
      <x:c r="BH312" s="4" t="n">
        <x:v>12.6</x:v>
      </x:c>
      <x:c r="BI312" s="4" t="n">
        <x:v>88.7</x:v>
      </x:c>
      <x:c r="BJ312" s="4" t="n">
        <x:v>101.3</x:v>
      </x:c>
      <x:c r="BK312" s="4" t="n">
        <x:v>56.2</x:v>
      </x:c>
      <x:c r="BL312" s="4" t="n">
        <x:v>43.8</x:v>
      </x:c>
      <x:c r="BM312" s="4" t="n">
        <x:v>20.6</x:v>
      </x:c>
      <x:c r="BN312" s="4" t="n">
        <x:v>18.483333333333334</x:v>
      </x:c>
      <x:c r="BO312" s="10" t="n">
        <x:v>16</x:v>
      </x:c>
      <x:c r="BP312" s="10" t="n">
        <x:v>109</x:v>
      </x:c>
      <x:c r="BQ312" s="4" t="n">
        <x:v>-6.1</x:v>
      </x:c>
      <x:c r="BR312" s="10" t="n">
        <x:v>269</x:v>
      </x:c>
      <x:c r="BS312" s="4" t="n">
        <x:v>40.1</x:v>
      </x:c>
      <x:c r="BT312" s="10" t="n">
        <x:v>78</x:v>
      </x:c>
      <x:c r="BU312" s="4" t="str">
        <x:v>TOR</x:v>
      </x:c>
      <x:c r="BV312" s="10" t="n">
        <x:v>324</x:v>
      </x:c>
      <x:c r="BW312" s="10" t="n">
        <x:v>219</x:v>
      </x:c>
      <x:c r="BX312" s="10" t="n">
        <x:v>265</x:v>
      </x:c>
      <x:c r="BY312" s="4" t="str">
        <x:v>Oliver Ekman-Larsson</x:v>
      </x:c>
      <x:c r="BZ312" s="4" t="str">
        <x:v>Oliver Ekman-Larsson</x:v>
      </x:c>
      <x:c r="CA312" s="4" t="str">
        <x:v>Oliver Ekman-Larsson</x:v>
      </x:c>
      <x:c r="CB312" s="4" t="str">
        <x:v>ekmanol01</x:v>
      </x:c>
    </x:row>
    <x:row r="313" ht="22" customHeight="1">
      <x:c r="A313" s="4" t="str">
        <x:v>Oliver Kapanen</x:v>
      </x:c>
      <x:c r="B313" s="4" t="str">
        <x:v>oliverkapanen</x:v>
      </x:c>
      <x:c r="C313" s="10" t="n">
        <x:v>1</x:v>
      </x:c>
      <x:c r="D313" s="10" t="n">
        <x:v>1</x:v>
      </x:c>
      <x:c r="E313" s="10" t="n">
        <x:v>1</x:v>
      </x:c>
      <x:c r="F313" s="4" t="n">
        <x:f>IF(COUNT(N313,Q313,T313,W313,Z313,AC313,AF313,AI313)=8,N313*Guide!$E$5+Q313*Guide!$E$6+T313*Guide!$E$7+W313*Guide!$E$8+Z313*Guide!$E$9+AC313*Guide!$E$10+AF313*Guide!$E$11+AI313*Guide!$E$12,"")</x:f>
        <x:v>75.75</x:v>
      </x:c>
      <x:c r="G313" s="4" t="n">
        <x:f>IF(COUNT(O313,R313,U313,X313,AA313,AD313,AG313,AJ313)=8,O313*Guide!$E$5+R313*Guide!$E$6+U313*Guide!$E$7+X313*Guide!$E$8+AA313*Guide!$E$9+AD313*Guide!$E$10+AG313*Guide!$E$11+AJ313*Guide!$E$12,"")</x:f>
        <x:v>238.75</x:v>
      </x:c>
      <x:c r="H313" s="4" t="n">
        <x:f>IF(COUNT(G313,F313)=2,G313-F313,"")</x:f>
        <x:v>163</x:v>
      </x:c>
      <x:c r="I313" s="4" t="n">
        <x:f>IF(AND(ISNUMBER(F313),K313&gt;0),F313/K313,"")</x:f>
        <x:v>1.993421052631579</x:v>
      </x:c>
      <x:c r="J313" s="4" t="n">
        <x:f>IF(AND(ISNUMBER(G313),L313&gt;0),G313/L313,"")</x:f>
        <x:v>2.9115853658536586</x:v>
      </x:c>
      <x:c r="K313" s="10" t="n">
        <x:v>38</x:v>
      </x:c>
      <x:c r="L313" s="10" t="n">
        <x:v>82</x:v>
      </x:c>
      <x:c r="M313" s="10" t="n">
        <x:f>IF(COUNT(L313,K313)=2,L313-K313,"")</x:f>
        <x:v>44</x:v>
      </x:c>
      <x:c r="N313" s="10" t="n">
        <x:v>6</x:v>
      </x:c>
      <x:c r="O313" s="10" t="n">
        <x:v>22</x:v>
      </x:c>
      <x:c r="P313" s="10" t="n">
        <x:f>IF(COUNT(O313,N313)=2,O313-N313,"")</x:f>
        <x:v>16</x:v>
      </x:c>
      <x:c r="Q313" s="10" t="n">
        <x:v>8</x:v>
      </x:c>
      <x:c r="R313" s="10" t="n">
        <x:v>15</x:v>
      </x:c>
      <x:c r="S313" s="10" t="n">
        <x:f>IF(COUNT(R313,Q313)=2,R313-Q313,"")</x:f>
        <x:v>7</x:v>
      </x:c>
      <x:c r="T313" s="10" t="n">
        <x:v>-2</x:v>
      </x:c>
      <x:c r="U313" s="10" t="n">
        <x:v>4</x:v>
      </x:c>
      <x:c r="V313" s="10" t="n">
        <x:f>IF(COUNT(U313,T313)=2,U313-T313,"")</x:f>
        <x:v>6</x:v>
      </x:c>
      <x:c r="W313" s="10" t="n">
        <x:v>5</x:v>
      </x:c>
      <x:c r="X313" s="10" t="n">
        <x:f>IF(COUNT(AV313,AW313)=2,AV313+AW313,"")</x:f>
        <x:v>1</x:v>
      </x:c>
      <x:c r="Y313" s="10" t="n">
        <x:f>IF(COUNT(X313,W313)=2,X313-W313,"")</x:f>
        <x:v>-4</x:v>
      </x:c>
      <x:c r="Z313" s="10" t="n">
        <x:v>0</x:v>
      </x:c>
      <x:c r="AA313" s="10" t="n">
        <x:f>IF(COUNT(AX313,AY313)=2,AX313+AY313,"")</x:f>
        <x:v>3</x:v>
      </x:c>
      <x:c r="AB313" s="10" t="n">
        <x:f>IF(COUNT(AA313,Z313)=2,AA313-Z313,"")</x:f>
        <x:v>3</x:v>
      </x:c>
      <x:c r="AC313" s="10" t="n">
        <x:v>47</x:v>
      </x:c>
      <x:c r="AD313" s="10" t="n">
        <x:v>131</x:v>
      </x:c>
      <x:c r="AE313" s="10" t="n">
        <x:f>IF(COUNT(AD313,AC313)=2,AD313-AC313,"")</x:f>
        <x:v>84</x:v>
      </x:c>
      <x:c r="AF313" s="10" t="n">
        <x:v>4</x:v>
      </x:c>
      <x:c r="AG313" s="10" t="n">
        <x:v>32</x:v>
      </x:c>
      <x:c r="AH313" s="10" t="n">
        <x:f>IF(COUNT(AG313,AF313)=2,AG313-AF313,"")</x:f>
        <x:v>28</x:v>
      </x:c>
      <x:c r="AI313" s="10" t="n">
        <x:v>16</x:v>
      </x:c>
      <x:c r="AJ313" s="10" t="n">
        <x:v>68</x:v>
      </x:c>
      <x:c r="AK313" s="10" t="n">
        <x:f>IF(COUNT(AJ313,AI313)=2,AJ313-AI313,"")</x:f>
        <x:v>52</x:v>
      </x:c>
      <x:c r="AL313" s="10" t="n">
        <x:v>22</x:v>
      </x:c>
      <x:c r="AM313" s="10" t="n">
        <x:v>22</x:v>
      </x:c>
      <x:c r="AN313" s="4" t="str">
        <x:v>C</x:v>
      </x:c>
      <x:c r="AO313" s="4" t="str">
        <x:v>C</x:v>
      </x:c>
      <x:c r="AP313" s="4" t="str">
        <x:v>MTL</x:v>
      </x:c>
      <x:c r="AQ313" s="4" t="str">
        <x:v>MTL</x:v>
      </x:c>
      <x:c r="AR313" s="4" t="n">
        <x:v>11.41</x:v>
      </x:c>
      <x:c r="AS313" s="4" t="n">
        <x:v>14.483333333333333</x:v>
      </x:c>
      <x:c r="AT313" s="4" t="n">
        <x:v>1.41</x:v>
      </x:c>
      <x:c r="AU313" s="4" t="n">
        <x:v>16.8</x:v>
      </x:c>
      <x:c r="AV313" s="10" t="n">
        <x:v>1</x:v>
      </x:c>
      <x:c r="AW313" s="10" t="n">
        <x:v>0</x:v>
      </x:c>
      <x:c r="AX313" s="10" t="n">
        <x:v>1</x:v>
      </x:c>
      <x:c r="AY313" s="10" t="n">
        <x:v>2</x:v>
      </x:c>
      <x:c r="AZ313" s="10" t="n">
        <x:v>815</x:v>
      </x:c>
      <x:c r="BA313" s="10" t="n">
        <x:v>1086</x:v>
      </x:c>
      <x:c r="BB313" s="4" t="n">
        <x:v>42.9</x:v>
      </x:c>
      <x:c r="BC313" s="4" t="n">
        <x:v>-7.6</x:v>
      </x:c>
      <x:c r="BD313" s="10" t="n">
        <x:v>613</x:v>
      </x:c>
      <x:c r="BE313" s="10" t="n">
        <x:v>767</x:v>
      </x:c>
      <x:c r="BF313" s="4" t="n">
        <x:v>44.4</x:v>
      </x:c>
      <x:c r="BG313" s="4" t="n">
        <x:v>-6.8</x:v>
      </x:c>
      <x:c r="BH313" s="4" t="n">
        <x:v>14.6</x:v>
      </x:c>
      <x:c r="BI313" s="4" t="n">
        <x:v>90.1</x:v>
      </x:c>
      <x:c r="BJ313" s="4" t="n">
        <x:v>104.7</x:v>
      </x:c>
      <x:c r="BK313" s="4" t="n">
        <x:v>57.4</x:v>
      </x:c>
      <x:c r="BL313" s="4" t="n">
        <x:v>42.6</x:v>
      </x:c>
      <x:c r="BM313" s="4" t="n">
        <x:v>14.483333333333333</x:v>
      </x:c>
      <x:c r="BN313" s="4" t="n">
        <x:v>11.933333333333334</x:v>
      </x:c>
      <x:c r="BO313" s="10" t="n">
        <x:v>14</x:v>
      </x:c>
      <x:c r="BP313" s="10" t="n">
        <x:v>38</x:v>
      </x:c>
      <x:c r="BQ313" s="4" t="n">
        <x:v>-8.5</x:v>
      </x:c>
      <x:c r="BR313" s="10" t="n">
        <x:v>231</x:v>
      </x:c>
      <x:c r="BS313" s="4" t="n">
        <x:v>56.7</x:v>
      </x:c>
      <x:c r="BT313" s="10" t="n">
        <x:v>82</x:v>
      </x:c>
      <x:c r="BU313" s="4" t="str">
        <x:v>MTL</x:v>
      </x:c>
      <x:c r="BV313" s="10" t="n">
        <x:v>658</x:v>
      </x:c>
      <x:c r="BW313" s="10" t="n">
        <x:v>232</x:v>
      </x:c>
      <x:c r="BX313" s="10" t="n">
        <x:v>497</x:v>
      </x:c>
      <x:c r="BY313" s="4" t="str">
        <x:v>Oliver Kapanen</x:v>
      </x:c>
      <x:c r="BZ313" s="4" t="str">
        <x:v>Oliver Kapanen</x:v>
      </x:c>
      <x:c r="CA313" s="4" t="str">
        <x:v>Oliver Kapanen</x:v>
      </x:c>
      <x:c r="CB313" s="4" t="str">
        <x:v>kapanol01</x:v>
      </x:c>
    </x:row>
    <x:row r="314" ht="22" customHeight="1">
      <x:c r="A314" s="4" t="str">
        <x:v>Oliver Moore</x:v>
      </x:c>
      <x:c r="B314" s="4" t="str">
        <x:v>olivermoore</x:v>
      </x:c>
      <x:c r="C314" s="10" t="n">
        <x:v>1</x:v>
      </x:c>
      <x:c r="D314" s="10" t="n">
        <x:v>1</x:v>
      </x:c>
      <x:c r="E314" s="10" t="n">
        <x:v>1</x:v>
      </x:c>
      <x:c r="F314" s="4" t="n">
        <x:f>IF(COUNT(N314,Q314,T314,W314,Z314,AC314,AF314,AI314)=8,N314*Guide!$E$5+Q314*Guide!$E$6+T314*Guide!$E$7+W314*Guide!$E$8+Z314*Guide!$E$9+AC314*Guide!$E$10+AF314*Guide!$E$11+AI314*Guide!$E$12,"")</x:f>
        <x:v>191.25</x:v>
      </x:c>
      <x:c r="G314" s="4" t="n">
        <x:f>IF(COUNT(O314,R314,U314,X314,AA314,AD314,AG314,AJ314)=8,O314*Guide!$E$5+R314*Guide!$E$6+U314*Guide!$E$7+X314*Guide!$E$8+AA314*Guide!$E$9+AD314*Guide!$E$10+AG314*Guide!$E$11+AJ314*Guide!$E$12,"")</x:f>
        <x:v>82.25</x:v>
      </x:c>
      <x:c r="H314" s="4" t="n">
        <x:f>IF(COUNT(G314,F314)=2,G314-F314,"")</x:f>
        <x:v>-109</x:v>
      </x:c>
      <x:c r="I314" s="4" t="n">
        <x:f>IF(AND(ISNUMBER(F314),K314&gt;0),F314/K314,"")</x:f>
        <x:v>2.5164473684210527</x:v>
      </x:c>
      <x:c r="J314" s="4" t="n">
        <x:f>IF(AND(ISNUMBER(G314),L314&gt;0),G314/L314,"")</x:f>
        <x:v>1.6127450980392157</x:v>
      </x:c>
      <x:c r="K314" s="10" t="n">
        <x:v>76</x:v>
      </x:c>
      <x:c r="L314" s="10" t="n">
        <x:v>51</x:v>
      </x:c>
      <x:c r="M314" s="10" t="n">
        <x:f>IF(COUNT(L314,K314)=2,L314-K314,"")</x:f>
        <x:v>-25</x:v>
      </x:c>
      <x:c r="N314" s="10" t="n">
        <x:v>14</x:v>
      </x:c>
      <x:c r="O314" s="10" t="n">
        <x:v>5</x:v>
      </x:c>
      <x:c r="P314" s="10" t="n">
        <x:f>IF(COUNT(O314,N314)=2,O314-N314,"")</x:f>
        <x:v>-9</x:v>
      </x:c>
      <x:c r="Q314" s="10" t="n">
        <x:v>18</x:v>
      </x:c>
      <x:c r="R314" s="10" t="n">
        <x:v>14</x:v>
      </x:c>
      <x:c r="S314" s="10" t="n">
        <x:f>IF(COUNT(R314,Q314)=2,R314-Q314,"")</x:f>
        <x:v>-4</x:v>
      </x:c>
      <x:c r="T314" s="10" t="n">
        <x:v>-4</x:v>
      </x:c>
      <x:c r="U314" s="10" t="n">
        <x:v>-15</x:v>
      </x:c>
      <x:c r="V314" s="10" t="n">
        <x:f>IF(COUNT(U314,T314)=2,U314-T314,"")</x:f>
        <x:v>-11</x:v>
      </x:c>
      <x:c r="W314" s="10" t="n">
        <x:v>5</x:v>
      </x:c>
      <x:c r="X314" s="10" t="n">
        <x:f>IF(COUNT(AV314,AW314)=2,AV314+AW314,"")</x:f>
        <x:v>5</x:v>
      </x:c>
      <x:c r="Y314" s="10" t="n">
        <x:f>IF(COUNT(X314,W314)=2,X314-W314,"")</x:f>
        <x:v>0</x:v>
      </x:c>
      <x:c r="Z314" s="10" t="n">
        <x:v>0</x:v>
      </x:c>
      <x:c r="AA314" s="10" t="n">
        <x:f>IF(COUNT(AX314,AY314)=2,AX314+AY314,"")</x:f>
        <x:v>0</x:v>
      </x:c>
      <x:c r="AB314" s="10" t="n">
        <x:f>IF(COUNT(AA314,Z314)=2,AA314-Z314,"")</x:f>
        <x:v>0</x:v>
      </x:c>
      <x:c r="AC314" s="10" t="n">
        <x:v>109</x:v>
      </x:c>
      <x:c r="AD314" s="10" t="n">
        <x:v>57</x:v>
      </x:c>
      <x:c r="AE314" s="10" t="n">
        <x:f>IF(COUNT(AD314,AC314)=2,AD314-AC314,"")</x:f>
        <x:v>-52</x:v>
      </x:c>
      <x:c r="AF314" s="10" t="n">
        <x:v>101</x:v>
      </x:c>
      <x:c r="AG314" s="10" t="n">
        <x:v>25</x:v>
      </x:c>
      <x:c r="AH314" s="10" t="n">
        <x:f>IF(COUNT(AG314,AF314)=2,AG314-AF314,"")</x:f>
        <x:v>-76</x:v>
      </x:c>
      <x:c r="AI314" s="10" t="n">
        <x:v>37</x:v>
      </x:c>
      <x:c r="AJ314" s="10" t="n">
        <x:v>13</x:v>
      </x:c>
      <x:c r="AK314" s="10" t="n">
        <x:f>IF(COUNT(AJ314,AI314)=2,AJ314-AI314,"")</x:f>
        <x:v>-24</x:v>
      </x:c>
      <x:c r="AL314" s="10"/>
      <x:c r="AM314" s="10" t="n">
        <x:v>21</x:v>
      </x:c>
      <x:c r="AN314" s="4" t="str">
        <x:v>C</x:v>
      </x:c>
      <x:c r="AO314" s="4" t="str">
        <x:v>C</x:v>
      </x:c>
      <x:c r="AP314" s="4" t="str">
        <x:v>CHI</x:v>
      </x:c>
      <x:c r="AQ314" s="4" t="str">
        <x:v>CHI</x:v>
      </x:c>
      <x:c r="AR314" s="4" t="n">
        <x:v>13.3</x:v>
      </x:c>
      <x:c r="AS314" s="4" t="n">
        <x:v>12.85</x:v>
      </x:c>
      <x:c r="AT314" s="4" t="n">
        <x:v>1</x:v>
      </x:c>
      <x:c r="AU314" s="4" t="n">
        <x:v>8.8</x:v>
      </x:c>
      <x:c r="AV314" s="10" t="n">
        <x:v>2</x:v>
      </x:c>
      <x:c r="AW314" s="10" t="n">
        <x:v>3</x:v>
      </x:c>
      <x:c r="AX314" s="10" t="n">
        <x:v>0</x:v>
      </x:c>
      <x:c r="AY314" s="10" t="n">
        <x:v>0</x:v>
      </x:c>
      <x:c r="AZ314" s="10" t="n">
        <x:v>500</x:v>
      </x:c>
      <x:c r="BA314" s="10" t="n">
        <x:v>563</x:v>
      </x:c>
      <x:c r="BB314" s="4" t="n">
        <x:v>47</x:v>
      </x:c>
      <x:c r="BC314" s="4" t="n">
        <x:v>0.8</x:v>
      </x:c>
      <x:c r="BD314" s="10" t="n">
        <x:v>379</x:v>
      </x:c>
      <x:c r="BE314" s="10" t="n">
        <x:v>421</x:v>
      </x:c>
      <x:c r="BF314" s="4" t="n">
        <x:v>47.4</x:v>
      </x:c>
      <x:c r="BG314" s="4" t="n">
        <x:v>2.1</x:v>
      </x:c>
      <x:c r="BH314" s="4" t="n">
        <x:v>8.7</x:v>
      </x:c>
      <x:c r="BI314" s="4" t="n">
        <x:v>87.5</x:v>
      </x:c>
      <x:c r="BJ314" s="4" t="n">
        <x:v>96.2</x:v>
      </x:c>
      <x:c r="BK314" s="4" t="n">
        <x:v>55.5</x:v>
      </x:c>
      <x:c r="BL314" s="4" t="n">
        <x:v>44.5</x:v>
      </x:c>
      <x:c r="BM314" s="4" t="n">
        <x:v>12.85</x:v>
      </x:c>
      <x:c r="BN314" s="4" t="n">
        <x:v>11.5</x:v>
      </x:c>
      <x:c r="BO314" s="10" t="n">
        <x:v>15</x:v>
      </x:c>
      <x:c r="BP314" s="10" t="n">
        <x:v>41</x:v>
      </x:c>
      <x:c r="BQ314" s="4" t="n">
        <x:v>-5.6</x:v>
      </x:c>
      <x:c r="BR314" s="10" t="n">
        <x:v>111</x:v>
      </x:c>
      <x:c r="BS314" s="4" t="n">
        <x:v>51.4</x:v>
      </x:c>
      <x:c r="BT314" s="10" t="n">
        <x:v>51</x:v>
      </x:c>
      <x:c r="BU314" s="4" t="str">
        <x:v>CHI</x:v>
      </x:c>
      <x:c r="BV314" s="10" t="n">
        <x:v>347</x:v>
      </x:c>
      <x:c r="BW314" s="10" t="n">
        <x:v>477</x:v>
      </x:c>
      <x:c r="BX314" s="10" t="n">
        <x:v>712</x:v>
      </x:c>
      <x:c r="BY314" s="4" t="str">
        <x:v>Oliver Moore</x:v>
      </x:c>
      <x:c r="BZ314" s="4" t="str">
        <x:v>Oliver Moore</x:v>
      </x:c>
      <x:c r="CA314" s="4" t="str">
        <x:v>Oliver Moore</x:v>
      </x:c>
      <x:c r="CB314" s="4" t="str">
        <x:v>mooreol01</x:v>
      </x:c>
    </x:row>
    <x:row r="315" ht="22" customHeight="1">
      <x:c r="A315" s="4" t="str">
        <x:v>Owen Power</x:v>
      </x:c>
      <x:c r="B315" s="4" t="str">
        <x:v>owenpower</x:v>
      </x:c>
      <x:c r="C315" s="10" t="n">
        <x:v>1</x:v>
      </x:c>
      <x:c r="D315" s="10" t="n">
        <x:v>1</x:v>
      </x:c>
      <x:c r="E315" s="10" t="n">
        <x:v>1</x:v>
      </x:c>
      <x:c r="F315" s="4" t="n">
        <x:f>IF(COUNT(N315,Q315,T315,W315,Z315,AC315,AF315,AI315)=8,N315*Guide!$E$5+Q315*Guide!$E$6+T315*Guide!$E$7+W315*Guide!$E$8+Z315*Guide!$E$9+AC315*Guide!$E$10+AF315*Guide!$E$11+AI315*Guide!$E$12,"")</x:f>
        <x:v>229.5</x:v>
      </x:c>
      <x:c r="G315" s="4" t="n">
        <x:f>IF(COUNT(O315,R315,U315,X315,AA315,AD315,AG315,AJ315)=8,O315*Guide!$E$5+R315*Guide!$E$6+U315*Guide!$E$7+X315*Guide!$E$8+AA315*Guide!$E$9+AD315*Guide!$E$10+AG315*Guide!$E$11+AJ315*Guide!$E$12,"")</x:f>
        <x:v>221.5</x:v>
      </x:c>
      <x:c r="H315" s="4" t="n">
        <x:f>IF(COUNT(G315,F315)=2,G315-F315,"")</x:f>
        <x:v>-8</x:v>
      </x:c>
      <x:c r="I315" s="4" t="n">
        <x:f>IF(AND(ISNUMBER(F315),K315&gt;0),F315/K315,"")</x:f>
        <x:v>2.9423076923076925</x:v>
      </x:c>
      <x:c r="J315" s="4" t="n">
        <x:f>IF(AND(ISNUMBER(G315),L315&gt;0),G315/L315,"")</x:f>
        <x:v>2.734567901234568</x:v>
      </x:c>
      <x:c r="K315" s="10" t="n">
        <x:v>78</x:v>
      </x:c>
      <x:c r="L315" s="10" t="n">
        <x:v>81</x:v>
      </x:c>
      <x:c r="M315" s="10" t="n">
        <x:f>IF(COUNT(L315,K315)=2,L315-K315,"")</x:f>
        <x:v>3</x:v>
      </x:c>
      <x:c r="N315" s="10" t="n">
        <x:v>7</x:v>
      </x:c>
      <x:c r="O315" s="10" t="n">
        <x:v>8</x:v>
      </x:c>
      <x:c r="P315" s="10" t="n">
        <x:f>IF(COUNT(O315,N315)=2,O315-N315,"")</x:f>
        <x:v>1</x:v>
      </x:c>
      <x:c r="Q315" s="10" t="n">
        <x:v>28</x:v>
      </x:c>
      <x:c r="R315" s="10" t="n">
        <x:v>21</x:v>
      </x:c>
      <x:c r="S315" s="10" t="n">
        <x:f>IF(COUNT(R315,Q315)=2,R315-Q315,"")</x:f>
        <x:v>-7</x:v>
      </x:c>
      <x:c r="T315" s="10" t="n">
        <x:v>-8</x:v>
      </x:c>
      <x:c r="U315" s="10" t="n">
        <x:v>9</x:v>
      </x:c>
      <x:c r="V315" s="10" t="n">
        <x:f>IF(COUNT(U315,T315)=2,U315-T315,"")</x:f>
        <x:v>17</x:v>
      </x:c>
      <x:c r="W315" s="10" t="n">
        <x:v>8</x:v>
      </x:c>
      <x:c r="X315" s="10" t="n">
        <x:f>IF(COUNT(AV315,AW315)=2,AV315+AW315,"")</x:f>
        <x:v>0</x:v>
      </x:c>
      <x:c r="Y315" s="10" t="n">
        <x:f>IF(COUNT(X315,W315)=2,X315-W315,"")</x:f>
        <x:v>-8</x:v>
      </x:c>
      <x:c r="Z315" s="10" t="n">
        <x:v>1</x:v>
      </x:c>
      <x:c r="AA315" s="10" t="n">
        <x:f>IF(COUNT(AX315,AY315)=2,AX315+AY315,"")</x:f>
        <x:v>3</x:v>
      </x:c>
      <x:c r="AB315" s="10" t="n">
        <x:f>IF(COUNT(AA315,Z315)=2,AA315-Z315,"")</x:f>
        <x:v>2</x:v>
      </x:c>
      <x:c r="AC315" s="10" t="n">
        <x:v>122</x:v>
      </x:c>
      <x:c r="AD315" s="10" t="n">
        <x:v>120</x:v>
      </x:c>
      <x:c r="AE315" s="10" t="n">
        <x:f>IF(COUNT(AD315,AC315)=2,AD315-AC315,"")</x:f>
        <x:v>-2</x:v>
      </x:c>
      <x:c r="AF315" s="10" t="n">
        <x:v>27</x:v>
      </x:c>
      <x:c r="AG315" s="10" t="n">
        <x:v>29</x:v>
      </x:c>
      <x:c r="AH315" s="10" t="n">
        <x:f>IF(COUNT(AG315,AF315)=2,AG315-AF315,"")</x:f>
        <x:v>2</x:v>
      </x:c>
      <x:c r="AI315" s="10" t="n">
        <x:v>103</x:v>
      </x:c>
      <x:c r="AJ315" s="10" t="n">
        <x:v>95</x:v>
      </x:c>
      <x:c r="AK315" s="10" t="n">
        <x:f>IF(COUNT(AJ315,AI315)=2,AJ315-AI315,"")</x:f>
        <x:v>-8</x:v>
      </x:c>
      <x:c r="AL315" s="10" t="n">
        <x:v>23</x:v>
      </x:c>
      <x:c r="AM315" s="10" t="n">
        <x:v>23</x:v>
      </x:c>
      <x:c r="AN315" s="4" t="str">
        <x:v>D</x:v>
      </x:c>
      <x:c r="AO315" s="4" t="str">
        <x:v>D</x:v>
      </x:c>
      <x:c r="AP315" s="4" t="str">
        <x:v>BUF</x:v>
      </x:c>
      <x:c r="AQ315" s="4" t="str">
        <x:v>BUF</x:v>
      </x:c>
      <x:c r="AR315" s="4" t="n">
        <x:v>21.52</x:v>
      </x:c>
      <x:c r="AS315" s="4" t="n">
        <x:v>21.65</x:v>
      </x:c>
      <x:c r="AT315" s="4" t="n">
        <x:v>1.59</x:v>
      </x:c>
      <x:c r="AU315" s="4" t="n">
        <x:v>6.7</x:v>
      </x:c>
      <x:c r="AV315" s="10" t="n">
        <x:v>0</x:v>
      </x:c>
      <x:c r="AW315" s="10" t="n">
        <x:v>0</x:v>
      </x:c>
      <x:c r="AX315" s="10" t="n">
        <x:v>0</x:v>
      </x:c>
      <x:c r="AY315" s="10" t="n">
        <x:v>3</x:v>
      </x:c>
      <x:c r="AZ315" s="10" t="n">
        <x:v>1513</x:v>
      </x:c>
      <x:c r="BA315" s="10" t="n">
        <x:v>1431</x:v>
      </x:c>
      <x:c r="BB315" s="4" t="n">
        <x:v>51.4</x:v>
      </x:c>
      <x:c r="BC315" s="4" t="n">
        <x:v>3.9</x:v>
      </x:c>
      <x:c r="BD315" s="10" t="n">
        <x:v>1121</x:v>
      </x:c>
      <x:c r="BE315" s="10" t="n">
        <x:v>1082</x:v>
      </x:c>
      <x:c r="BF315" s="4" t="n">
        <x:v>50.9</x:v>
      </x:c>
      <x:c r="BG315" s="4" t="n">
        <x:v>2.4</x:v>
      </x:c>
      <x:c r="BH315" s="4" t="n">
        <x:v>10.6</x:v>
      </x:c>
      <x:c r="BI315" s="4" t="n">
        <x:v>90</x:v>
      </x:c>
      <x:c r="BJ315" s="4" t="n">
        <x:v>100.6</x:v>
      </x:c>
      <x:c r="BK315" s="4" t="n">
        <x:v>48.3</x:v>
      </x:c>
      <x:c r="BL315" s="4" t="n">
        <x:v>51.7</x:v>
      </x:c>
      <x:c r="BM315" s="4" t="n">
        <x:v>21.65</x:v>
      </x:c>
      <x:c r="BN315" s="4" t="n">
        <x:v>18.85</x:v>
      </x:c>
      <x:c r="BO315" s="10" t="n">
        <x:v>22</x:v>
      </x:c>
      <x:c r="BP315" s="10" t="n">
        <x:v>79</x:v>
      </x:c>
      <x:c r="BQ315" s="4" t="n">
        <x:v>-5.7</x:v>
      </x:c>
      <x:c r="BR315" s="10" t="n">
        <x:v>249</x:v>
      </x:c>
      <x:c r="BS315" s="4" t="n">
        <x:v>48.2</x:v>
      </x:c>
      <x:c r="BT315" s="10" t="n">
        <x:v>81</x:v>
      </x:c>
      <x:c r="BU315" s="4" t="str">
        <x:v>BUF</x:v>
      </x:c>
      <x:c r="BV315" s="10" t="n">
        <x:v>303</x:v>
      </x:c>
      <x:c r="BW315" s="10" t="n">
        <x:v>346</x:v>
      </x:c>
      <x:c r="BX315" s="10" t="n">
        <x:v>830</x:v>
      </x:c>
      <x:c r="BY315" s="4" t="str">
        <x:v>Owen Power</x:v>
      </x:c>
      <x:c r="BZ315" s="4" t="str">
        <x:v>Owen Power</x:v>
      </x:c>
      <x:c r="CA315" s="4" t="str">
        <x:v>Owen Power</x:v>
      </x:c>
      <x:c r="CB315" s="4" t="str">
        <x:v>powerow01</x:v>
      </x:c>
    </x:row>
    <x:row r="316" ht="22" customHeight="1">
      <x:c r="A316" s="4" t="str">
        <x:v>Owen Tippett</x:v>
      </x:c>
      <x:c r="B316" s="4" t="str">
        <x:v>owentippett</x:v>
      </x:c>
      <x:c r="C316" s="10" t="n">
        <x:v>1</x:v>
      </x:c>
      <x:c r="D316" s="10" t="n">
        <x:v>1</x:v>
      </x:c>
      <x:c r="E316" s="10" t="n">
        <x:v>1</x:v>
      </x:c>
      <x:c r="F316" s="4" t="n">
        <x:f>IF(COUNT(N316,Q316,T316,W316,Z316,AC316,AF316,AI316)=8,N316*Guide!$E$5+Q316*Guide!$E$6+T316*Guide!$E$7+W316*Guide!$E$8+Z316*Guide!$E$9+AC316*Guide!$E$10+AF316*Guide!$E$11+AI316*Guide!$E$12,"")</x:f>
        <x:v>300.25</x:v>
      </x:c>
      <x:c r="G316" s="4" t="n">
        <x:f>IF(COUNT(O316,R316,U316,X316,AA316,AD316,AG316,AJ316)=8,O316*Guide!$E$5+R316*Guide!$E$6+U316*Guide!$E$7+X316*Guide!$E$8+AA316*Guide!$E$9+AD316*Guide!$E$10+AG316*Guide!$E$11+AJ316*Guide!$E$12,"")</x:f>
        <x:v>325</x:v>
      </x:c>
      <x:c r="H316" s="4" t="n">
        <x:f>IF(COUNT(G316,F316)=2,G316-F316,"")</x:f>
        <x:v>24.75</x:v>
      </x:c>
      <x:c r="I316" s="4" t="n">
        <x:f>IF(AND(ISNUMBER(F316),K316&gt;0),F316/K316,"")</x:f>
        <x:v>3.8493589743589745</x:v>
      </x:c>
      <x:c r="J316" s="4" t="n">
        <x:f>IF(AND(ISNUMBER(G316),L316&gt;0),G316/L316,"")</x:f>
        <x:v>4.012345679012346</x:v>
      </x:c>
      <x:c r="K316" s="10" t="n">
        <x:v>78</x:v>
      </x:c>
      <x:c r="L316" s="10" t="n">
        <x:v>81</x:v>
      </x:c>
      <x:c r="M316" s="10" t="n">
        <x:f>IF(COUNT(L316,K316)=2,L316-K316,"")</x:f>
        <x:v>3</x:v>
      </x:c>
      <x:c r="N316" s="10" t="n">
        <x:v>24</x:v>
      </x:c>
      <x:c r="O316" s="10" t="n">
        <x:v>28</x:v>
      </x:c>
      <x:c r="P316" s="10" t="n">
        <x:f>IF(COUNT(O316,N316)=2,O316-N316,"")</x:f>
        <x:v>4</x:v>
      </x:c>
      <x:c r="Q316" s="10" t="n">
        <x:v>22</x:v>
      </x:c>
      <x:c r="R316" s="10" t="n">
        <x:v>23</x:v>
      </x:c>
      <x:c r="S316" s="10" t="n">
        <x:f>IF(COUNT(R316,Q316)=2,R316-Q316,"")</x:f>
        <x:v>1</x:v>
      </x:c>
      <x:c r="T316" s="10" t="n">
        <x:v>3</x:v>
      </x:c>
      <x:c r="U316" s="10" t="n">
        <x:v>-6</x:v>
      </x:c>
      <x:c r="V316" s="10" t="n">
        <x:f>IF(COUNT(U316,T316)=2,U316-T316,"")</x:f>
        <x:v>-9</x:v>
      </x:c>
      <x:c r="W316" s="10" t="n">
        <x:v>8</x:v>
      </x:c>
      <x:c r="X316" s="10" t="n">
        <x:f>IF(COUNT(AV316,AW316)=2,AV316+AW316,"")</x:f>
        <x:v>7</x:v>
      </x:c>
      <x:c r="Y316" s="10" t="n">
        <x:f>IF(COUNT(X316,W316)=2,X316-W316,"")</x:f>
        <x:v>-1</x:v>
      </x:c>
      <x:c r="Z316" s="10" t="n">
        <x:v>0</x:v>
      </x:c>
      <x:c r="AA316" s="10" t="n">
        <x:f>IF(COUNT(AX316,AY316)=2,AX316+AY316,"")</x:f>
        <x:v>3</x:v>
      </x:c>
      <x:c r="AB316" s="10" t="n">
        <x:f>IF(COUNT(AA316,Z316)=2,AA316-Z316,"")</x:f>
        <x:v>3</x:v>
      </x:c>
      <x:c r="AC316" s="10" t="n">
        <x:v>206</x:v>
      </x:c>
      <x:c r="AD316" s="10" t="n">
        <x:v>220</x:v>
      </x:c>
      <x:c r="AE316" s="10" t="n">
        <x:f>IF(COUNT(AD316,AC316)=2,AD316-AC316,"")</x:f>
        <x:v>14</x:v>
      </x:c>
      <x:c r="AF316" s="10" t="n">
        <x:v>123</x:v>
      </x:c>
      <x:c r="AG316" s="10" t="n">
        <x:v>166</x:v>
      </x:c>
      <x:c r="AH316" s="10" t="n">
        <x:f>IF(COUNT(AG316,AF316)=2,AG316-AF316,"")</x:f>
        <x:v>43</x:v>
      </x:c>
      <x:c r="AI316" s="10" t="n">
        <x:v>60</x:v>
      </x:c>
      <x:c r="AJ316" s="10" t="n">
        <x:v>50</x:v>
      </x:c>
      <x:c r="AK316" s="10" t="n">
        <x:f>IF(COUNT(AJ316,AI316)=2,AJ316-AI316,"")</x:f>
        <x:v>-10</x:v>
      </x:c>
      <x:c r="AL316" s="10" t="n">
        <x:v>26</x:v>
      </x:c>
      <x:c r="AM316" s="10" t="n">
        <x:v>26</x:v>
      </x:c>
      <x:c r="AN316" s="4" t="str">
        <x:v>LW,RW</x:v>
      </x:c>
      <x:c r="AO316" s="4" t="str">
        <x:v>RW</x:v>
      </x:c>
      <x:c r="AP316" s="4" t="str">
        <x:v>PHI</x:v>
      </x:c>
      <x:c r="AQ316" s="4" t="str">
        <x:v>PHI</x:v>
      </x:c>
      <x:c r="AR316" s="4" t="n">
        <x:v>16.32</x:v>
      </x:c>
      <x:c r="AS316" s="4" t="n">
        <x:v>16.85</x:v>
      </x:c>
      <x:c r="AT316" s="4" t="n">
        <x:v>2.03</x:v>
      </x:c>
      <x:c r="AU316" s="4" t="n">
        <x:v>12.7</x:v>
      </x:c>
      <x:c r="AV316" s="10" t="n">
        <x:v>3</x:v>
      </x:c>
      <x:c r="AW316" s="10" t="n">
        <x:v>4</x:v>
      </x:c>
      <x:c r="AX316" s="10" t="n">
        <x:v>3</x:v>
      </x:c>
      <x:c r="AY316" s="10" t="n">
        <x:v>0</x:v>
      </x:c>
      <x:c r="AZ316" s="10" t="n">
        <x:v>1038</x:v>
      </x:c>
      <x:c r="BA316" s="10" t="n">
        <x:v>1071</x:v>
      </x:c>
      <x:c r="BB316" s="4" t="n">
        <x:v>49.2</x:v>
      </x:c>
      <x:c r="BC316" s="4" t="n">
        <x:v>1.9</x:v>
      </x:c>
      <x:c r="BD316" s="10" t="n">
        <x:v>768</x:v>
      </x:c>
      <x:c r="BE316" s="10" t="n">
        <x:v>764</x:v>
      </x:c>
      <x:c r="BF316" s="4" t="n">
        <x:v>50.1</x:v>
      </x:c>
      <x:c r="BG316" s="4" t="n">
        <x:v>2</x:v>
      </x:c>
      <x:c r="BH316" s="4" t="n">
        <x:v>11.7</x:v>
      </x:c>
      <x:c r="BI316" s="4" t="n">
        <x:v>87.1</x:v>
      </x:c>
      <x:c r="BJ316" s="4" t="n">
        <x:v>98.8</x:v>
      </x:c>
      <x:c r="BK316" s="4" t="n">
        <x:v>46.5</x:v>
      </x:c>
      <x:c r="BL316" s="4" t="n">
        <x:v>53.5</x:v>
      </x:c>
      <x:c r="BM316" s="4" t="n">
        <x:v>16.85</x:v>
      </x:c>
      <x:c r="BN316" s="4" t="n">
        <x:v>14.2</x:v>
      </x:c>
      <x:c r="BO316" s="10" t="n">
        <x:v>28</x:v>
      </x:c>
      <x:c r="BP316" s="10" t="n">
        <x:v>89</x:v>
      </x:c>
      <x:c r="BQ316" s="4" t="n">
        <x:v>7.7</x:v>
      </x:c>
      <x:c r="BR316" s="10" t="n">
        <x:v>435</x:v>
      </x:c>
      <x:c r="BS316" s="4" t="n">
        <x:v>50.8</x:v>
      </x:c>
      <x:c r="BT316" s="10" t="n">
        <x:v>81</x:v>
      </x:c>
      <x:c r="BU316" s="4" t="str">
        <x:v>PHI</x:v>
      </x:c>
      <x:c r="BV316" s="10" t="n">
        <x:v>189</x:v>
      </x:c>
      <x:c r="BW316" s="10" t="n">
        <x:v>139</x:v>
      </x:c>
      <x:c r="BX316" s="10" t="n">
        <x:v>1017</x:v>
      </x:c>
      <x:c r="BY316" s="4" t="str">
        <x:v>Owen Tippett</x:v>
      </x:c>
      <x:c r="BZ316" s="4" t="str">
        <x:v>Owen Tippett</x:v>
      </x:c>
      <x:c r="CA316" s="4" t="str">
        <x:v>Owen Tippett</x:v>
      </x:c>
      <x:c r="CB316" s="4" t="str">
        <x:v>tippeow01</x:v>
      </x:c>
    </x:row>
    <x:row r="317" ht="22" customHeight="1">
      <x:c r="A317" s="4" t="str">
        <x:v>Parker Kelly</x:v>
      </x:c>
      <x:c r="B317" s="4" t="str">
        <x:v>parkerkelly</x:v>
      </x:c>
      <x:c r="C317" s="10" t="n">
        <x:v>1</x:v>
      </x:c>
      <x:c r="D317" s="10" t="n">
        <x:v>1</x:v>
      </x:c>
      <x:c r="E317" s="10" t="n">
        <x:v>1</x:v>
      </x:c>
      <x:c r="F317" s="4" t="n">
        <x:f>IF(COUNT(N317,Q317,T317,W317,Z317,AC317,AF317,AI317)=8,N317*Guide!$E$5+Q317*Guide!$E$6+T317*Guide!$E$7+W317*Guide!$E$8+Z317*Guide!$E$9+AC317*Guide!$E$10+AF317*Guide!$E$11+AI317*Guide!$E$12,"")</x:f>
        <x:v>197.5</x:v>
      </x:c>
      <x:c r="G317" s="4" t="n">
        <x:f>IF(COUNT(O317,R317,U317,X317,AA317,AD317,AG317,AJ317)=8,O317*Guide!$E$5+R317*Guide!$E$6+U317*Guide!$E$7+X317*Guide!$E$8+AA317*Guide!$E$9+AD317*Guide!$E$10+AG317*Guide!$E$11+AJ317*Guide!$E$12,"")</x:f>
        <x:v>260.75</x:v>
      </x:c>
      <x:c r="H317" s="4" t="n">
        <x:f>IF(COUNT(G317,F317)=2,G317-F317,"")</x:f>
        <x:v>63.25</x:v>
      </x:c>
      <x:c r="I317" s="4" t="n">
        <x:f>IF(AND(ISNUMBER(F317),K317&gt;0),F317/K317,"")</x:f>
        <x:v>2.46875</x:v>
      </x:c>
      <x:c r="J317" s="4" t="n">
        <x:f>IF(AND(ISNUMBER(G317),L317&gt;0),G317/L317,"")</x:f>
        <x:v>3.1798780487804876</x:v>
      </x:c>
      <x:c r="K317" s="10" t="n">
        <x:v>80</x:v>
      </x:c>
      <x:c r="L317" s="10" t="n">
        <x:v>82</x:v>
      </x:c>
      <x:c r="M317" s="10" t="n">
        <x:f>IF(COUNT(L317,K317)=2,L317-K317,"")</x:f>
        <x:v>2</x:v>
      </x:c>
      <x:c r="N317" s="10" t="n">
        <x:v>9</x:v>
      </x:c>
      <x:c r="O317" s="10" t="n">
        <x:v>21</x:v>
      </x:c>
      <x:c r="P317" s="10" t="n">
        <x:f>IF(COUNT(O317,N317)=2,O317-N317,"")</x:f>
        <x:v>12</x:v>
      </x:c>
      <x:c r="Q317" s="10" t="n">
        <x:v>12</x:v>
      </x:c>
      <x:c r="R317" s="10" t="n">
        <x:v>14</x:v>
      </x:c>
      <x:c r="S317" s="10" t="n">
        <x:f>IF(COUNT(R317,Q317)=2,R317-Q317,"")</x:f>
        <x:v>2</x:v>
      </x:c>
      <x:c r="T317" s="10" t="n">
        <x:v>-2</x:v>
      </x:c>
      <x:c r="U317" s="10" t="n">
        <x:v>18</x:v>
      </x:c>
      <x:c r="V317" s="10" t="n">
        <x:f>IF(COUNT(U317,T317)=2,U317-T317,"")</x:f>
        <x:v>20</x:v>
      </x:c>
      <x:c r="W317" s="10" t="n">
        <x:v>2</x:v>
      </x:c>
      <x:c r="X317" s="10" t="n">
        <x:f>IF(COUNT(AV317,AW317)=2,AV317+AW317,"")</x:f>
        <x:v>0</x:v>
      </x:c>
      <x:c r="Y317" s="10" t="n">
        <x:f>IF(COUNT(X317,W317)=2,X317-W317,"")</x:f>
        <x:v>-2</x:v>
      </x:c>
      <x:c r="Z317" s="10" t="n">
        <x:v>2</x:v>
      </x:c>
      <x:c r="AA317" s="10" t="n">
        <x:f>IF(COUNT(AX317,AY317)=2,AX317+AY317,"")</x:f>
        <x:v>1</x:v>
      </x:c>
      <x:c r="AB317" s="10" t="n">
        <x:f>IF(COUNT(AA317,Z317)=2,AA317-Z317,"")</x:f>
        <x:v>-1</x:v>
      </x:c>
      <x:c r="AC317" s="10" t="n">
        <x:v>98</x:v>
      </x:c>
      <x:c r="AD317" s="10" t="n">
        <x:v>104</x:v>
      </x:c>
      <x:c r="AE317" s="10" t="n">
        <x:f>IF(COUNT(AD317,AC317)=2,AD317-AC317,"")</x:f>
        <x:v>6</x:v>
      </x:c>
      <x:c r="AF317" s="10" t="n">
        <x:v>182</x:v>
      </x:c>
      <x:c r="AG317" s="10" t="n">
        <x:v>177</x:v>
      </x:c>
      <x:c r="AH317" s="10" t="n">
        <x:f>IF(COUNT(AG317,AF317)=2,AG317-AF317,"")</x:f>
        <x:v>-5</x:v>
      </x:c>
      <x:c r="AI317" s="10" t="n">
        <x:v>66</x:v>
      </x:c>
      <x:c r="AJ317" s="10" t="n">
        <x:v>58</x:v>
      </x:c>
      <x:c r="AK317" s="10" t="n">
        <x:f>IF(COUNT(AJ317,AI317)=2,AJ317-AI317,"")</x:f>
        <x:v>-8</x:v>
      </x:c>
      <x:c r="AL317" s="10" t="n">
        <x:v>26</x:v>
      </x:c>
      <x:c r="AM317" s="10" t="n">
        <x:v>26</x:v>
      </x:c>
      <x:c r="AN317" s="4" t="str">
        <x:v>C,LW</x:v>
      </x:c>
      <x:c r="AO317" s="4" t="str">
        <x:v>F</x:v>
      </x:c>
      <x:c r="AP317" s="4" t="str">
        <x:v>COL</x:v>
      </x:c>
      <x:c r="AQ317" s="4" t="str">
        <x:v>COL</x:v>
      </x:c>
      <x:c r="AR317" s="4" t="n">
        <x:v>12.72</x:v>
      </x:c>
      <x:c r="AS317" s="4" t="n">
        <x:v>12.7</x:v>
      </x:c>
      <x:c r="AT317" s="4" t="n">
        <x:v>0.23</x:v>
      </x:c>
      <x:c r="AU317" s="4" t="n">
        <x:v>20.2</x:v>
      </x:c>
      <x:c r="AV317" s="10" t="n">
        <x:v>0</x:v>
      </x:c>
      <x:c r="AW317" s="10" t="n">
        <x:v>0</x:v>
      </x:c>
      <x:c r="AX317" s="10" t="n">
        <x:v>1</x:v>
      </x:c>
      <x:c r="AY317" s="10" t="n">
        <x:v>0</x:v>
      </x:c>
      <x:c r="AZ317" s="10" t="n">
        <x:v>952</x:v>
      </x:c>
      <x:c r="BA317" s="10" t="n">
        <x:v>736</x:v>
      </x:c>
      <x:c r="BB317" s="4" t="n">
        <x:v>56.4</x:v>
      </x:c>
      <x:c r="BC317" s="4" t="n">
        <x:v>0.1</x:v>
      </x:c>
      <x:c r="BD317" s="10" t="n">
        <x:v>648</x:v>
      </x:c>
      <x:c r="BE317" s="10" t="n">
        <x:v>508</x:v>
      </x:c>
      <x:c r="BF317" s="4" t="n">
        <x:v>56.1</x:v>
      </x:c>
      <x:c r="BG317" s="4" t="n">
        <x:v>0.5</x:v>
      </x:c>
      <x:c r="BH317" s="4" t="n">
        <x:v>10.1</x:v>
      </x:c>
      <x:c r="BI317" s="4" t="n">
        <x:v>91.1</x:v>
      </x:c>
      <x:c r="BJ317" s="4" t="n">
        <x:v>101.2</x:v>
      </x:c>
      <x:c r="BK317" s="4" t="n">
        <x:v>43.3</x:v>
      </x:c>
      <x:c r="BL317" s="4" t="n">
        <x:v>56.7</x:v>
      </x:c>
      <x:c r="BM317" s="4" t="n">
        <x:v>12.7</x:v>
      </x:c>
      <x:c r="BN317" s="4" t="n">
        <x:v>10.55</x:v>
      </x:c>
      <x:c r="BO317" s="10" t="n">
        <x:v>15</x:v>
      </x:c>
      <x:c r="BP317" s="10" t="n">
        <x:v>48</x:v>
      </x:c>
      <x:c r="BQ317" s="4" t="n">
        <x:v>13.4</x:v>
      </x:c>
      <x:c r="BR317" s="10" t="n">
        <x:v>203</x:v>
      </x:c>
      <x:c r="BS317" s="4" t="n">
        <x:v>51.2</x:v>
      </x:c>
      <x:c r="BT317" s="10" t="n">
        <x:v>82</x:v>
      </x:c>
      <x:c r="BU317" s="4" t="str">
        <x:v>COL</x:v>
      </x:c>
      <x:c r="BV317" s="10" t="n">
        <x:v>501</x:v>
      </x:c>
      <x:c r="BW317" s="10" t="n">
        <x:v>266</x:v>
      </x:c>
      <x:c r="BX317" s="10" t="n">
        <x:v>510</x:v>
      </x:c>
      <x:c r="BY317" s="4" t="str">
        <x:v>Parker Kelly</x:v>
      </x:c>
      <x:c r="BZ317" s="4" t="str">
        <x:v>Parker Kelly</x:v>
      </x:c>
      <x:c r="CA317" s="4" t="str">
        <x:v>Parker Kelly</x:v>
      </x:c>
      <x:c r="CB317" s="4" t="str">
        <x:v>kellypa01</x:v>
      </x:c>
    </x:row>
    <x:row r="318" ht="22" customHeight="1">
      <x:c r="A318" s="4" t="str">
        <x:v>Parker Wotherspoon</x:v>
      </x:c>
      <x:c r="B318" s="4" t="str">
        <x:v>parkerwotherspoon</x:v>
      </x:c>
      <x:c r="C318" s="10" t="n">
        <x:v>1</x:v>
      </x:c>
      <x:c r="D318" s="10" t="n">
        <x:v>1</x:v>
      </x:c>
      <x:c r="E318" s="10" t="n">
        <x:v>1</x:v>
      </x:c>
      <x:c r="F318" s="4" t="n">
        <x:f>IF(COUNT(N318,Q318,T318,W318,Z318,AC318,AF318,AI318)=8,N318*Guide!$E$5+Q318*Guide!$E$6+T318*Guide!$E$7+W318*Guide!$E$8+Z318*Guide!$E$9+AC318*Guide!$E$10+AF318*Guide!$E$11+AI318*Guide!$E$12,"")</x:f>
        <x:v>130.25</x:v>
      </x:c>
      <x:c r="G318" s="4" t="n">
        <x:f>IF(COUNT(O318,R318,U318,X318,AA318,AD318,AG318,AJ318)=8,O318*Guide!$E$5+R318*Guide!$E$6+U318*Guide!$E$7+X318*Guide!$E$8+AA318*Guide!$E$9+AD318*Guide!$E$10+AG318*Guide!$E$11+AJ318*Guide!$E$12,"")</x:f>
        <x:v>258</x:v>
      </x:c>
      <x:c r="H318" s="4" t="n">
        <x:f>IF(COUNT(G318,F318)=2,G318-F318,"")</x:f>
        <x:v>127.75</x:v>
      </x:c>
      <x:c r="I318" s="4" t="n">
        <x:f>IF(AND(ISNUMBER(F318),K318&gt;0),F318/K318,"")</x:f>
        <x:v>2.1352459016393444</x:v>
      </x:c>
      <x:c r="J318" s="4" t="n">
        <x:f>IF(AND(ISNUMBER(G318),L318&gt;0),G318/L318,"")</x:f>
        <x:v>3.225</x:v>
      </x:c>
      <x:c r="K318" s="10" t="n">
        <x:v>61</x:v>
      </x:c>
      <x:c r="L318" s="10" t="n">
        <x:v>80</x:v>
      </x:c>
      <x:c r="M318" s="10" t="n">
        <x:f>IF(COUNT(L318,K318)=2,L318-K318,"")</x:f>
        <x:v>19</x:v>
      </x:c>
      <x:c r="N318" s="10" t="n">
        <x:v>2</x:v>
      </x:c>
      <x:c r="O318" s="10" t="n">
        <x:v>3</x:v>
      </x:c>
      <x:c r="P318" s="10" t="n">
        <x:f>IF(COUNT(O318,N318)=2,O318-N318,"")</x:f>
        <x:v>1</x:v>
      </x:c>
      <x:c r="Q318" s="10" t="n">
        <x:v>11</x:v>
      </x:c>
      <x:c r="R318" s="10" t="n">
        <x:v>27</x:v>
      </x:c>
      <x:c r="S318" s="10" t="n">
        <x:f>IF(COUNT(R318,Q318)=2,R318-Q318,"")</x:f>
        <x:v>16</x:v>
      </x:c>
      <x:c r="T318" s="10" t="n">
        <x:v>-2</x:v>
      </x:c>
      <x:c r="U318" s="10" t="n">
        <x:v>17</x:v>
      </x:c>
      <x:c r="V318" s="10" t="n">
        <x:f>IF(COUNT(U318,T318)=2,U318-T318,"")</x:f>
        <x:v>19</x:v>
      </x:c>
      <x:c r="W318" s="10" t="n">
        <x:v>1</x:v>
      </x:c>
      <x:c r="X318" s="10" t="n">
        <x:f>IF(COUNT(AV318,AW318)=2,AV318+AW318,"")</x:f>
        <x:v>0</x:v>
      </x:c>
      <x:c r="Y318" s="10" t="n">
        <x:f>IF(COUNT(X318,W318)=2,X318-W318,"")</x:f>
        <x:v>-1</x:v>
      </x:c>
      <x:c r="Z318" s="10" t="n">
        <x:v>0</x:v>
      </x:c>
      <x:c r="AA318" s="10" t="n">
        <x:f>IF(COUNT(AX318,AY318)=2,AX318+AY318,"")</x:f>
        <x:v>2</x:v>
      </x:c>
      <x:c r="AB318" s="10" t="n">
        <x:f>IF(COUNT(AA318,Z318)=2,AA318-Z318,"")</x:f>
        <x:v>2</x:v>
      </x:c>
      <x:c r="AC318" s="10" t="n">
        <x:v>49</x:v>
      </x:c>
      <x:c r="AD318" s="10" t="n">
        <x:v>70</x:v>
      </x:c>
      <x:c r="AE318" s="10" t="n">
        <x:f>IF(COUNT(AD318,AC318)=2,AD318-AC318,"")</x:f>
        <x:v>21</x:v>
      </x:c>
      <x:c r="AF318" s="10" t="n">
        <x:v>78</x:v>
      </x:c>
      <x:c r="AG318" s="10" t="n">
        <x:v>162</x:v>
      </x:c>
      <x:c r="AH318" s="10" t="n">
        <x:f>IF(COUNT(AG318,AF318)=2,AG318-AF318,"")</x:f>
        <x:v>84</x:v>
      </x:c>
      <x:c r="AI318" s="10" t="n">
        <x:v>78</x:v>
      </x:c>
      <x:c r="AJ318" s="10" t="n">
        <x:v>112</x:v>
      </x:c>
      <x:c r="AK318" s="10" t="n">
        <x:f>IF(COUNT(AJ318,AI318)=2,AJ318-AI318,"")</x:f>
        <x:v>34</x:v>
      </x:c>
      <x:c r="AL318" s="10" t="n">
        <x:v>28</x:v>
      </x:c>
      <x:c r="AM318" s="10" t="n">
        <x:v>28</x:v>
      </x:c>
      <x:c r="AN318" s="4" t="str">
        <x:v>D</x:v>
      </x:c>
      <x:c r="AO318" s="4" t="str">
        <x:v>D</x:v>
      </x:c>
      <x:c r="AP318" s="4" t="str">
        <x:v>PIT</x:v>
      </x:c>
      <x:c r="AQ318" s="4" t="str">
        <x:v>PIT</x:v>
      </x:c>
      <x:c r="AR318" s="4" t="n">
        <x:v>18.09</x:v>
      </x:c>
      <x:c r="AS318" s="4" t="n">
        <x:v>20.166666666666668</x:v>
      </x:c>
      <x:c r="AT318" s="4" t="n">
        <x:v>0.14</x:v>
      </x:c>
      <x:c r="AU318" s="4" t="n">
        <x:v>4.3</x:v>
      </x:c>
      <x:c r="AV318" s="10" t="n">
        <x:v>0</x:v>
      </x:c>
      <x:c r="AW318" s="10" t="n">
        <x:v>0</x:v>
      </x:c>
      <x:c r="AX318" s="10" t="n">
        <x:v>0</x:v>
      </x:c>
      <x:c r="AY318" s="10" t="n">
        <x:v>2</x:v>
      </x:c>
      <x:c r="AZ318" s="10" t="n">
        <x:v>1374</x:v>
      </x:c>
      <x:c r="BA318" s="10" t="n">
        <x:v>1295</x:v>
      </x:c>
      <x:c r="BB318" s="4" t="n">
        <x:v>51.5</x:v>
      </x:c>
      <x:c r="BC318" s="4" t="n">
        <x:v>1.6</x:v>
      </x:c>
      <x:c r="BD318" s="10" t="n">
        <x:v>989</x:v>
      </x:c>
      <x:c r="BE318" s="10" t="n">
        <x:v>963</x:v>
      </x:c>
      <x:c r="BF318" s="4" t="n">
        <x:v>50.7</x:v>
      </x:c>
      <x:c r="BG318" s="4" t="n">
        <x:v>0</x:v>
      </x:c>
      <x:c r="BH318" s="4" t="n">
        <x:v>11.4</x:v>
      </x:c>
      <x:c r="BI318" s="4" t="n">
        <x:v>89.8</x:v>
      </x:c>
      <x:c r="BJ318" s="4" t="n">
        <x:v>101.1</x:v>
      </x:c>
      <x:c r="BK318" s="4" t="n">
        <x:v>49.5</x:v>
      </x:c>
      <x:c r="BL318" s="4" t="n">
        <x:v>50.5</x:v>
      </x:c>
      <x:c r="BM318" s="4" t="n">
        <x:v>20.166666666666668</x:v>
      </x:c>
      <x:c r="BN318" s="4" t="n">
        <x:v>17.766666666666666</x:v>
      </x:c>
      <x:c r="BO318" s="10" t="n">
        <x:v>26</x:v>
      </x:c>
      <x:c r="BP318" s="10" t="n">
        <x:v>118</x:v>
      </x:c>
      <x:c r="BQ318" s="4" t="n">
        <x:v>10</x:v>
      </x:c>
      <x:c r="BR318" s="10" t="n">
        <x:v>159</x:v>
      </x:c>
      <x:c r="BS318" s="4" t="n">
        <x:v>44</x:v>
      </x:c>
      <x:c r="BT318" s="10" t="n">
        <x:v>80</x:v>
      </x:c>
      <x:c r="BU318" s="4" t="str">
        <x:v>PIT</x:v>
      </x:c>
      <x:c r="BV318" s="10" t="n">
        <x:v>668</x:v>
      </x:c>
      <x:c r="BW318" s="10" t="n">
        <x:v>334</x:v>
      </x:c>
      <x:c r="BX318" s="10" t="n">
        <x:v>1083</x:v>
      </x:c>
      <x:c r="BY318" s="4" t="str">
        <x:v>Parker Wotherspoon</x:v>
      </x:c>
      <x:c r="BZ318" s="4" t="str">
        <x:v>Parker Wotherspoon</x:v>
      </x:c>
      <x:c r="CA318" s="4" t="str">
        <x:v>Parker Wotherspoon</x:v>
      </x:c>
      <x:c r="CB318" s="4" t="str">
        <x:v>wothepa01</x:v>
      </x:c>
    </x:row>
    <x:row r="319" ht="22" customHeight="1">
      <x:c r="A319" s="4" t="str">
        <x:v>Patrick Kane</x:v>
      </x:c>
      <x:c r="B319" s="4" t="str">
        <x:v>patrickkane</x:v>
      </x:c>
      <x:c r="C319" s="10" t="n">
        <x:v>1</x:v>
      </x:c>
      <x:c r="D319" s="10" t="n">
        <x:v>1</x:v>
      </x:c>
      <x:c r="E319" s="10" t="n">
        <x:v>1</x:v>
      </x:c>
      <x:c r="F319" s="4" t="n">
        <x:f>IF(COUNT(N319,Q319,T319,W319,Z319,AC319,AF319,AI319)=8,N319*Guide!$E$5+Q319*Guide!$E$6+T319*Guide!$E$7+W319*Guide!$E$8+Z319*Guide!$E$9+AC319*Guide!$E$10+AF319*Guide!$E$11+AI319*Guide!$E$12,"")</x:f>
        <x:v>272</x:v>
      </x:c>
      <x:c r="G319" s="4" t="n">
        <x:f>IF(COUNT(O319,R319,U319,X319,AA319,AD319,AG319,AJ319)=8,O319*Guide!$E$5+R319*Guide!$E$6+U319*Guide!$E$7+X319*Guide!$E$8+AA319*Guide!$E$9+AD319*Guide!$E$10+AG319*Guide!$E$11+AJ319*Guide!$E$12,"")</x:f>
        <x:v>270.5</x:v>
      </x:c>
      <x:c r="H319" s="4" t="n">
        <x:f>IF(COUNT(G319,F319)=2,G319-F319,"")</x:f>
        <x:v>-1.5</x:v>
      </x:c>
      <x:c r="I319" s="4" t="n">
        <x:f>IF(AND(ISNUMBER(F319),K319&gt;0),F319/K319,"")</x:f>
        <x:v>3.7260273972602738</x:v>
      </x:c>
      <x:c r="J319" s="4" t="n">
        <x:f>IF(AND(ISNUMBER(G319),L319&gt;0),G319/L319,"")</x:f>
        <x:v>4.037313432835821</x:v>
      </x:c>
      <x:c r="K319" s="10" t="n">
        <x:v>73</x:v>
      </x:c>
      <x:c r="L319" s="10" t="n">
        <x:v>67</x:v>
      </x:c>
      <x:c r="M319" s="10" t="n">
        <x:f>IF(COUNT(L319,K319)=2,L319-K319,"")</x:f>
        <x:v>-6</x:v>
      </x:c>
      <x:c r="N319" s="10" t="n">
        <x:v>21</x:v>
      </x:c>
      <x:c r="O319" s="10" t="n">
        <x:v>16</x:v>
      </x:c>
      <x:c r="P319" s="10" t="n">
        <x:f>IF(COUNT(O319,N319)=2,O319-N319,"")</x:f>
        <x:v>-5</x:v>
      </x:c>
      <x:c r="Q319" s="10" t="n">
        <x:v>38</x:v>
      </x:c>
      <x:c r="R319" s="10" t="n">
        <x:v>41</x:v>
      </x:c>
      <x:c r="S319" s="10" t="n">
        <x:f>IF(COUNT(R319,Q319)=2,R319-Q319,"")</x:f>
        <x:v>3</x:v>
      </x:c>
      <x:c r="T319" s="10" t="n">
        <x:v>-14</x:v>
      </x:c>
      <x:c r="U319" s="10" t="n">
        <x:v>-1</x:v>
      </x:c>
      <x:c r="V319" s="10" t="n">
        <x:f>IF(COUNT(U319,T319)=2,U319-T319,"")</x:f>
        <x:v>13</x:v>
      </x:c>
      <x:c r="W319" s="10" t="n">
        <x:v>23</x:v>
      </x:c>
      <x:c r="X319" s="10" t="n">
        <x:f>IF(COUNT(AV319,AW319)=2,AV319+AW319,"")</x:f>
        <x:v>19</x:v>
      </x:c>
      <x:c r="Y319" s="10" t="n">
        <x:f>IF(COUNT(X319,W319)=2,X319-W319,"")</x:f>
        <x:v>-4</x:v>
      </x:c>
      <x:c r="Z319" s="10" t="n">
        <x:v>0</x:v>
      </x:c>
      <x:c r="AA319" s="10" t="n">
        <x:f>IF(COUNT(AX319,AY319)=2,AX319+AY319,"")</x:f>
        <x:v>0</x:v>
      </x:c>
      <x:c r="AB319" s="10" t="n">
        <x:f>IF(COUNT(AA319,Z319)=2,AA319-Z319,"")</x:f>
        <x:v>0</x:v>
      </x:c>
      <x:c r="AC319" s="10" t="n">
        <x:v>172</x:v>
      </x:c>
      <x:c r="AD319" s="10" t="n">
        <x:v>169</x:v>
      </x:c>
      <x:c r="AE319" s="10" t="n">
        <x:f>IF(COUNT(AD319,AC319)=2,AD319-AC319,"")</x:f>
        <x:v>-3</x:v>
      </x:c>
      <x:c r="AF319" s="10" t="n">
        <x:v>19</x:v>
      </x:c>
      <x:c r="AG319" s="10" t="n">
        <x:v>21</x:v>
      </x:c>
      <x:c r="AH319" s="10" t="n">
        <x:f>IF(COUNT(AG319,AF319)=2,AG319-AF319,"")</x:f>
        <x:v>2</x:v>
      </x:c>
      <x:c r="AI319" s="10" t="n">
        <x:v>23</x:v>
      </x:c>
      <x:c r="AJ319" s="10" t="n">
        <x:v>24</x:v>
      </x:c>
      <x:c r="AK319" s="10" t="n">
        <x:f>IF(COUNT(AJ319,AI319)=2,AJ319-AI319,"")</x:f>
        <x:v>1</x:v>
      </x:c>
      <x:c r="AL319" s="10" t="n">
        <x:v>37</x:v>
      </x:c>
      <x:c r="AM319" s="10" t="n">
        <x:v>37</x:v>
      </x:c>
      <x:c r="AN319" s="4" t="str">
        <x:v>RW</x:v>
      </x:c>
      <x:c r="AO319" s="4" t="str">
        <x:v>RW</x:v>
      </x:c>
      <x:c r="AP319" s="4" t="str">
        <x:v>DET</x:v>
      </x:c>
      <x:c r="AQ319" s="4" t="str">
        <x:v>DET</x:v>
      </x:c>
      <x:c r="AR319" s="4" t="n">
        <x:v>17.650000000000002</x:v>
      </x:c>
      <x:c r="AS319" s="4" t="n">
        <x:v>17.7</x:v>
      </x:c>
      <x:c r="AT319" s="4" t="n">
        <x:v>2.79</x:v>
      </x:c>
      <x:c r="AU319" s="4" t="n">
        <x:v>9.5</x:v>
      </x:c>
      <x:c r="AV319" s="10" t="n">
        <x:v>2</x:v>
      </x:c>
      <x:c r="AW319" s="10" t="n">
        <x:v>17</x:v>
      </x:c>
      <x:c r="AX319" s="10" t="n">
        <x:v>0</x:v>
      </x:c>
      <x:c r="AY319" s="10" t="n">
        <x:v>0</x:v>
      </x:c>
      <x:c r="AZ319" s="10" t="n">
        <x:v>1059</x:v>
      </x:c>
      <x:c r="BA319" s="10" t="n">
        <x:v>981</x:v>
      </x:c>
      <x:c r="BB319" s="4" t="n">
        <x:v>51.9</x:v>
      </x:c>
      <x:c r="BC319" s="4" t="n">
        <x:v>4.4</x:v>
      </x:c>
      <x:c r="BD319" s="10" t="n">
        <x:v>804</x:v>
      </x:c>
      <x:c r="BE319" s="10" t="n">
        <x:v>679</x:v>
      </x:c>
      <x:c r="BF319" s="4" t="n">
        <x:v>54.2</x:v>
      </x:c>
      <x:c r="BG319" s="4" t="n">
        <x:v>6.2</x:v>
      </x:c>
      <x:c r="BH319" s="4" t="n">
        <x:v>9.8</x:v>
      </x:c>
      <x:c r="BI319" s="4" t="n">
        <x:v>88.3</x:v>
      </x:c>
      <x:c r="BJ319" s="4" t="n">
        <x:v>98.1</x:v>
      </x:c>
      <x:c r="BK319" s="4" t="n">
        <x:v>56.5</x:v>
      </x:c>
      <x:c r="BL319" s="4" t="n">
        <x:v>43.5</x:v>
      </x:c>
      <x:c r="BM319" s="4" t="n">
        <x:v>17.7</x:v>
      </x:c>
      <x:c r="BN319" s="4" t="n">
        <x:v>14.516666666666667</x:v>
      </x:c>
      <x:c r="BO319" s="10" t="n">
        <x:v>9</x:v>
      </x:c>
      <x:c r="BP319" s="10" t="n">
        <x:v>67</x:v>
      </x:c>
      <x:c r="BQ319" s="4" t="n">
        <x:v>11.3</x:v>
      </x:c>
      <x:c r="BR319" s="10" t="n">
        <x:v>314</x:v>
      </x:c>
      <x:c r="BS319" s="4" t="n">
        <x:v>53.8</x:v>
      </x:c>
      <x:c r="BT319" s="10" t="n">
        <x:v>67</x:v>
      </x:c>
      <x:c r="BU319" s="4" t="str">
        <x:v>DET</x:v>
      </x:c>
      <x:c r="BV319" s="10" t="n">
        <x:v>98</x:v>
      </x:c>
      <x:c r="BW319" s="10" t="n">
        <x:v>106</x:v>
      </x:c>
      <x:c r="BX319" s="10" t="n">
        <x:v>495</x:v>
      </x:c>
      <x:c r="BY319" s="4" t="str">
        <x:v>Patrick Kane</x:v>
      </x:c>
      <x:c r="BZ319" s="4" t="str">
        <x:v>Patrick Kane</x:v>
      </x:c>
      <x:c r="CA319" s="4" t="str">
        <x:v>Patrick Kane</x:v>
      </x:c>
      <x:c r="CB319" s="4" t="str">
        <x:v>kanepa01</x:v>
      </x:c>
    </x:row>
    <x:row r="320" ht="22" customHeight="1">
      <x:c r="A320" s="4" t="str">
        <x:v>Pavel Buchnevich</x:v>
      </x:c>
      <x:c r="B320" s="4" t="str">
        <x:v>pavelbuchnevich</x:v>
      </x:c>
      <x:c r="C320" s="10" t="n">
        <x:v>1</x:v>
      </x:c>
      <x:c r="D320" s="10" t="n">
        <x:v>1</x:v>
      </x:c>
      <x:c r="E320" s="10" t="n">
        <x:v>1</x:v>
      </x:c>
      <x:c r="F320" s="4" t="n">
        <x:f>IF(COUNT(N320,Q320,T320,W320,Z320,AC320,AF320,AI320)=8,N320*Guide!$E$5+Q320*Guide!$E$6+T320*Guide!$E$7+W320*Guide!$E$8+Z320*Guide!$E$9+AC320*Guide!$E$10+AF320*Guide!$E$11+AI320*Guide!$E$12,"")</x:f>
        <x:v>306.25</x:v>
      </x:c>
      <x:c r="G320" s="4" t="n">
        <x:f>IF(COUNT(O320,R320,U320,X320,AA320,AD320,AG320,AJ320)=8,O320*Guide!$E$5+R320*Guide!$E$6+U320*Guide!$E$7+X320*Guide!$E$8+AA320*Guide!$E$9+AD320*Guide!$E$10+AG320*Guide!$E$11+AJ320*Guide!$E$12,"")</x:f>
        <x:v>242</x:v>
      </x:c>
      <x:c r="H320" s="4" t="n">
        <x:f>IF(COUNT(G320,F320)=2,G320-F320,"")</x:f>
        <x:v>-64.25</x:v>
      </x:c>
      <x:c r="I320" s="4" t="n">
        <x:f>IF(AND(ISNUMBER(F320),K320&gt;0),F320/K320,"")</x:f>
        <x:v>4.029605263157895</x:v>
      </x:c>
      <x:c r="J320" s="4" t="n">
        <x:f>IF(AND(ISNUMBER(G320),L320&gt;0),G320/L320,"")</x:f>
        <x:v>2.9876543209876543</x:v>
      </x:c>
      <x:c r="K320" s="10" t="n">
        <x:v>76</x:v>
      </x:c>
      <x:c r="L320" s="10" t="n">
        <x:v>81</x:v>
      </x:c>
      <x:c r="M320" s="10" t="n">
        <x:f>IF(COUNT(L320,K320)=2,L320-K320,"")</x:f>
        <x:v>5</x:v>
      </x:c>
      <x:c r="N320" s="10" t="n">
        <x:v>24</x:v>
      </x:c>
      <x:c r="O320" s="10" t="n">
        <x:v>20</x:v>
      </x:c>
      <x:c r="P320" s="10" t="n">
        <x:f>IF(COUNT(O320,N320)=2,O320-N320,"")</x:f>
        <x:v>-4</x:v>
      </x:c>
      <x:c r="Q320" s="10" t="n">
        <x:v>38</x:v>
      </x:c>
      <x:c r="R320" s="10" t="n">
        <x:v>28</x:v>
      </x:c>
      <x:c r="S320" s="10" t="n">
        <x:f>IF(COUNT(R320,Q320)=2,R320-Q320,"")</x:f>
        <x:v>-10</x:v>
      </x:c>
      <x:c r="T320" s="10" t="n">
        <x:v>7</x:v>
      </x:c>
      <x:c r="U320" s="10" t="n">
        <x:v>-10</x:v>
      </x:c>
      <x:c r="V320" s="10" t="n">
        <x:f>IF(COUNT(U320,T320)=2,U320-T320,"")</x:f>
        <x:v>-17</x:v>
      </x:c>
      <x:c r="W320" s="10" t="n">
        <x:v>15</x:v>
      </x:c>
      <x:c r="X320" s="10" t="n">
        <x:f>IF(COUNT(AV320,AW320)=2,AV320+AW320,"")</x:f>
        <x:v>15</x:v>
      </x:c>
      <x:c r="Y320" s="10" t="n">
        <x:f>IF(COUNT(X320,W320)=2,X320-W320,"")</x:f>
        <x:v>0</x:v>
      </x:c>
      <x:c r="Z320" s="10" t="n">
        <x:v>1</x:v>
      </x:c>
      <x:c r="AA320" s="10" t="n">
        <x:f>IF(COUNT(AX320,AY320)=2,AX320+AY320,"")</x:f>
        <x:v>0</x:v>
      </x:c>
      <x:c r="AB320" s="10" t="n">
        <x:f>IF(COUNT(AA320,Z320)=2,AA320-Z320,"")</x:f>
        <x:v>-1</x:v>
      </x:c>
      <x:c r="AC320" s="10" t="n">
        <x:v>146</x:v>
      </x:c>
      <x:c r="AD320" s="10" t="n">
        <x:v>142</x:v>
      </x:c>
      <x:c r="AE320" s="10" t="n">
        <x:f>IF(COUNT(AD320,AC320)=2,AD320-AC320,"")</x:f>
        <x:v>-4</x:v>
      </x:c>
      <x:c r="AF320" s="10" t="n">
        <x:v>46</x:v>
      </x:c>
      <x:c r="AG320" s="10" t="n">
        <x:v>30</x:v>
      </x:c>
      <x:c r="AH320" s="10" t="n">
        <x:f>IF(COUNT(AG320,AF320)=2,AG320-AF320,"")</x:f>
        <x:v>-16</x:v>
      </x:c>
      <x:c r="AI320" s="10" t="n">
        <x:v>31</x:v>
      </x:c>
      <x:c r="AJ320" s="10" t="n">
        <x:v>40</x:v>
      </x:c>
      <x:c r="AK320" s="10" t="n">
        <x:f>IF(COUNT(AJ320,AI320)=2,AJ320-AI320,"")</x:f>
        <x:v>9</x:v>
      </x:c>
      <x:c r="AL320" s="10" t="n">
        <x:v>30</x:v>
      </x:c>
      <x:c r="AM320" s="10" t="n">
        <x:v>30</x:v>
      </x:c>
      <x:c r="AN320" s="4" t="str">
        <x:v>C,LW,RW</x:v>
      </x:c>
      <x:c r="AO320" s="4" t="str">
        <x:v>LW</x:v>
      </x:c>
      <x:c r="AP320" s="4" t="str">
        <x:v>STL</x:v>
      </x:c>
      <x:c r="AQ320" s="4" t="str">
        <x:v>STL</x:v>
      </x:c>
      <x:c r="AR320" s="4" t="n">
        <x:v>18.9</x:v>
      </x:c>
      <x:c r="AS320" s="4" t="n">
        <x:v>17.933333333333334</x:v>
      </x:c>
      <x:c r="AT320" s="4" t="n">
        <x:v>2.29</x:v>
      </x:c>
      <x:c r="AU320" s="4" t="n">
        <x:v>14.1</x:v>
      </x:c>
      <x:c r="AV320" s="10" t="n">
        <x:v>4</x:v>
      </x:c>
      <x:c r="AW320" s="10" t="n">
        <x:v>11</x:v>
      </x:c>
      <x:c r="AX320" s="10" t="n">
        <x:v>0</x:v>
      </x:c>
      <x:c r="AY320" s="10" t="n">
        <x:v>0</x:v>
      </x:c>
      <x:c r="AZ320" s="10" t="n">
        <x:v>1052</x:v>
      </x:c>
      <x:c r="BA320" s="10" t="n">
        <x:v>1049</x:v>
      </x:c>
      <x:c r="BB320" s="4" t="n">
        <x:v>50.1</x:v>
      </x:c>
      <x:c r="BC320" s="4" t="n">
        <x:v>2.7</x:v>
      </x:c>
      <x:c r="BD320" s="10" t="n">
        <x:v>759</x:v>
      </x:c>
      <x:c r="BE320" s="10" t="n">
        <x:v>796</x:v>
      </x:c>
      <x:c r="BF320" s="4" t="n">
        <x:v>48.8</x:v>
      </x:c>
      <x:c r="BG320" s="4" t="n">
        <x:v>1.4</x:v>
      </x:c>
      <x:c r="BH320" s="4" t="n">
        <x:v>11.3</x:v>
      </x:c>
      <x:c r="BI320" s="4" t="n">
        <x:v>87.9</x:v>
      </x:c>
      <x:c r="BJ320" s="4" t="n">
        <x:v>99.2</x:v>
      </x:c>
      <x:c r="BK320" s="4" t="n">
        <x:v>52.9</x:v>
      </x:c>
      <x:c r="BL320" s="4" t="n">
        <x:v>47.1</x:v>
      </x:c>
      <x:c r="BM320" s="4" t="n">
        <x:v>17.933333333333334</x:v>
      </x:c>
      <x:c r="BN320" s="4" t="n">
        <x:v>13.85</x:v>
      </x:c>
      <x:c r="BO320" s="10" t="n">
        <x:v>26</x:v>
      </x:c>
      <x:c r="BP320" s="10" t="n">
        <x:v>66</x:v>
      </x:c>
      <x:c r="BQ320" s="4" t="n">
        <x:v>-1.7</x:v>
      </x:c>
      <x:c r="BR320" s="10" t="n">
        <x:v>280</x:v>
      </x:c>
      <x:c r="BS320" s="4" t="n">
        <x:v>50.7</x:v>
      </x:c>
      <x:c r="BT320" s="10" t="n">
        <x:v>81</x:v>
      </x:c>
      <x:c r="BU320" s="4" t="str">
        <x:v>STL</x:v>
      </x:c>
      <x:c r="BV320" s="10" t="n">
        <x:v>85</x:v>
      </x:c>
      <x:c r="BW320" s="10" t="n">
        <x:v>155</x:v>
      </x:c>
      <x:c r="BX320" s="10" t="n">
        <x:v>107</x:v>
      </x:c>
      <x:c r="BY320" s="4" t="str">
        <x:v>Pavel Buchnevich</x:v>
      </x:c>
      <x:c r="BZ320" s="4" t="str">
        <x:v>Pavel Buchnevich</x:v>
      </x:c>
      <x:c r="CA320" s="4" t="str">
        <x:v>Pavel Buchnevich</x:v>
      </x:c>
      <x:c r="CB320" s="4" t="str">
        <x:v>buchnpa01</x:v>
      </x:c>
    </x:row>
    <x:row r="321" ht="22" customHeight="1">
      <x:c r="A321" s="4" t="str">
        <x:v>Pavel Dorofeyev</x:v>
      </x:c>
      <x:c r="B321" s="4" t="str">
        <x:v>paveldorofeyev</x:v>
      </x:c>
      <x:c r="C321" s="10" t="n">
        <x:v>1</x:v>
      </x:c>
      <x:c r="D321" s="10" t="n">
        <x:v>1</x:v>
      </x:c>
      <x:c r="E321" s="10" t="n">
        <x:v>1</x:v>
      </x:c>
      <x:c r="F321" s="4" t="n">
        <x:f>IF(COUNT(N321,Q321,T321,W321,Z321,AC321,AF321,AI321)=8,N321*Guide!$E$5+Q321*Guide!$E$6+T321*Guide!$E$7+W321*Guide!$E$8+Z321*Guide!$E$9+AC321*Guide!$E$10+AF321*Guide!$E$11+AI321*Guide!$E$12,"")</x:f>
        <x:v>295.75</x:v>
      </x:c>
      <x:c r="G321" s="4" t="n">
        <x:f>IF(COUNT(O321,R321,U321,X321,AA321,AD321,AG321,AJ321)=8,O321*Guide!$E$5+R321*Guide!$E$6+U321*Guide!$E$7+X321*Guide!$E$8+AA321*Guide!$E$9+AD321*Guide!$E$10+AG321*Guide!$E$11+AJ321*Guide!$E$12,"")</x:f>
        <x:v>341.25</x:v>
      </x:c>
      <x:c r="H321" s="4" t="n">
        <x:f>IF(COUNT(G321,F321)=2,G321-F321,"")</x:f>
        <x:v>45.5</x:v>
      </x:c>
      <x:c r="I321" s="4" t="n">
        <x:f>IF(AND(ISNUMBER(F321),K321&gt;0),F321/K321,"")</x:f>
        <x:v>3.7916666666666665</x:v>
      </x:c>
      <x:c r="J321" s="4" t="n">
        <x:f>IF(AND(ISNUMBER(G321),L321&gt;0),G321/L321,"")</x:f>
        <x:v>4.161585365853658</x:v>
      </x:c>
      <x:c r="K321" s="10" t="n">
        <x:v>78</x:v>
      </x:c>
      <x:c r="L321" s="10" t="n">
        <x:v>82</x:v>
      </x:c>
      <x:c r="M321" s="10" t="n">
        <x:f>IF(COUNT(L321,K321)=2,L321-K321,"")</x:f>
        <x:v>4</x:v>
      </x:c>
      <x:c r="N321" s="10" t="n">
        <x:v>30</x:v>
      </x:c>
      <x:c r="O321" s="10" t="n">
        <x:v>37</x:v>
      </x:c>
      <x:c r="P321" s="10" t="n">
        <x:f>IF(COUNT(O321,N321)=2,O321-N321,"")</x:f>
        <x:v>7</x:v>
      </x:c>
      <x:c r="Q321" s="10" t="n">
        <x:v>22</x:v>
      </x:c>
      <x:c r="R321" s="10" t="n">
        <x:v>27</x:v>
      </x:c>
      <x:c r="S321" s="10" t="n">
        <x:f>IF(COUNT(R321,Q321)=2,R321-Q321,"")</x:f>
        <x:v>5</x:v>
      </x:c>
      <x:c r="T321" s="10" t="n">
        <x:v>6</x:v>
      </x:c>
      <x:c r="U321" s="10" t="n">
        <x:v>-3</x:v>
      </x:c>
      <x:c r="V321" s="10" t="n">
        <x:f>IF(COUNT(U321,T321)=2,U321-T321,"")</x:f>
        <x:v>-9</x:v>
      </x:c>
      <x:c r="W321" s="10" t="n">
        <x:v>15</x:v>
      </x:c>
      <x:c r="X321" s="10" t="n">
        <x:f>IF(COUNT(AV321,AW321)=2,AV321+AW321,"")</x:f>
        <x:v>30</x:v>
      </x:c>
      <x:c r="Y321" s="10" t="n">
        <x:f>IF(COUNT(X321,W321)=2,X321-W321,"")</x:f>
        <x:v>15</x:v>
      </x:c>
      <x:c r="Z321" s="10" t="n">
        <x:v>0</x:v>
      </x:c>
      <x:c r="AA321" s="10" t="n">
        <x:f>IF(COUNT(AX321,AY321)=2,AX321+AY321,"")</x:f>
        <x:v>0</x:v>
      </x:c>
      <x:c r="AB321" s="10" t="n">
        <x:f>IF(COUNT(AA321,Z321)=2,AA321-Z321,"")</x:f>
        <x:v>0</x:v>
      </x:c>
      <x:c r="AC321" s="10" t="n">
        <x:v>206</x:v>
      </x:c>
      <x:c r="AD321" s="10" t="n">
        <x:v>230</x:v>
      </x:c>
      <x:c r="AE321" s="10" t="n">
        <x:f>IF(COUNT(AD321,AC321)=2,AD321-AC321,"")</x:f>
        <x:v>24</x:v>
      </x:c>
      <x:c r="AF321" s="10" t="n">
        <x:v>29</x:v>
      </x:c>
      <x:c r="AG321" s="10" t="n">
        <x:v>27</x:v>
      </x:c>
      <x:c r="AH321" s="10" t="n">
        <x:f>IF(COUNT(AG321,AF321)=2,AG321-AF321,"")</x:f>
        <x:v>-2</x:v>
      </x:c>
      <x:c r="AI321" s="10" t="n">
        <x:v>40</x:v>
      </x:c>
      <x:c r="AJ321" s="10" t="n">
        <x:v>28</x:v>
      </x:c>
      <x:c r="AK321" s="10" t="n">
        <x:f>IF(COUNT(AJ321,AI321)=2,AJ321-AI321,"")</x:f>
        <x:v>-12</x:v>
      </x:c>
      <x:c r="AL321" s="10" t="n">
        <x:v>25</x:v>
      </x:c>
      <x:c r="AM321" s="10" t="n">
        <x:v>25</x:v>
      </x:c>
      <x:c r="AN321" s="4" t="str">
        <x:v>LW,RW</x:v>
      </x:c>
      <x:c r="AO321" s="4" t="str">
        <x:v>LW</x:v>
      </x:c>
      <x:c r="AP321" s="4" t="str">
        <x:v>VGK</x:v>
      </x:c>
      <x:c r="AQ321" s="4" t="str">
        <x:v>VEG</x:v>
      </x:c>
      <x:c r="AR321" s="4" t="n">
        <x:v>16.270000000000003</x:v>
      </x:c>
      <x:c r="AS321" s="4" t="n">
        <x:v>17.6</x:v>
      </x:c>
      <x:c r="AT321" s="4" t="n">
        <x:v>2.04</x:v>
      </x:c>
      <x:c r="AU321" s="4" t="n">
        <x:v>16.1</x:v>
      </x:c>
      <x:c r="AV321" s="10" t="n">
        <x:v>20</x:v>
      </x:c>
      <x:c r="AW321" s="10" t="n">
        <x:v>10</x:v>
      </x:c>
      <x:c r="AX321" s="10" t="n">
        <x:v>0</x:v>
      </x:c>
      <x:c r="AY321" s="10" t="n">
        <x:v>0</x:v>
      </x:c>
      <x:c r="AZ321" s="10" t="n">
        <x:v>1244</x:v>
      </x:c>
      <x:c r="BA321" s="10" t="n">
        <x:v>969</x:v>
      </x:c>
      <x:c r="BB321" s="4" t="n">
        <x:v>56.2</x:v>
      </x:c>
      <x:c r="BC321" s="4" t="n">
        <x:v>5.6</x:v>
      </x:c>
      <x:c r="BD321" s="10" t="n">
        <x:v>849</x:v>
      </x:c>
      <x:c r="BE321" s="10" t="n">
        <x:v>693</x:v>
      </x:c>
      <x:c r="BF321" s="4" t="n">
        <x:v>55.1</x:v>
      </x:c>
      <x:c r="BG321" s="4" t="n">
        <x:v>3.5</x:v>
      </x:c>
      <x:c r="BH321" s="4" t="n">
        <x:v>9.8</x:v>
      </x:c>
      <x:c r="BI321" s="4" t="n">
        <x:v>87.8</x:v>
      </x:c>
      <x:c r="BJ321" s="4" t="n">
        <x:v>97.5</x:v>
      </x:c>
      <x:c r="BK321" s="4" t="n">
        <x:v>64.9</x:v>
      </x:c>
      <x:c r="BL321" s="4" t="n">
        <x:v>35.1</x:v>
      </x:c>
      <x:c r="BM321" s="4" t="n">
        <x:v>17.6</x:v>
      </x:c>
      <x:c r="BN321" s="4" t="n">
        <x:v>14.15</x:v>
      </x:c>
      <x:c r="BO321" s="10" t="n">
        <x:v>17</x:v>
      </x:c>
      <x:c r="BP321" s="10" t="n">
        <x:v>64</x:v>
      </x:c>
      <x:c r="BQ321" s="4" t="n">
        <x:v>11.9</x:v>
      </x:c>
      <x:c r="BR321" s="10" t="n">
        <x:v>456</x:v>
      </x:c>
      <x:c r="BS321" s="4" t="n">
        <x:v>50.4</x:v>
      </x:c>
      <x:c r="BT321" s="10" t="n">
        <x:v>82</x:v>
      </x:c>
      <x:c r="BU321" s="4" t="str">
        <x:v>VEG</x:v>
      </x:c>
      <x:c r="BV321" s="10" t="n">
        <x:v>140</x:v>
      </x:c>
      <x:c r="BW321" s="10" t="n">
        <x:v>76</x:v>
      </x:c>
      <x:c r="BX321" s="10" t="n">
        <x:v>226</x:v>
      </x:c>
      <x:c r="BY321" s="4" t="str">
        <x:v>Pavel Dorofeyev</x:v>
      </x:c>
      <x:c r="BZ321" s="4" t="str">
        <x:v>Pavel Dorofeyev</x:v>
      </x:c>
      <x:c r="CA321" s="4" t="str">
        <x:v>Pavel Dorofeyev</x:v>
      </x:c>
      <x:c r="CB321" s="4" t="str">
        <x:v>dorofpa01</x:v>
      </x:c>
    </x:row>
    <x:row r="322" ht="22" customHeight="1">
      <x:c r="A322" s="4" t="str">
        <x:v>Pavel Mintyukov</x:v>
      </x:c>
      <x:c r="B322" s="4" t="str">
        <x:v>pavelmintyukov</x:v>
      </x:c>
      <x:c r="C322" s="10" t="n">
        <x:v>1</x:v>
      </x:c>
      <x:c r="D322" s="10" t="n">
        <x:v>1</x:v>
      </x:c>
      <x:c r="E322" s="10" t="n">
        <x:v>1</x:v>
      </x:c>
      <x:c r="F322" s="4" t="n">
        <x:f>IF(COUNT(N322,Q322,T322,W322,Z322,AC322,AF322,AI322)=8,N322*Guide!$E$5+Q322*Guide!$E$6+T322*Guide!$E$7+W322*Guide!$E$8+Z322*Guide!$E$9+AC322*Guide!$E$10+AF322*Guide!$E$11+AI322*Guide!$E$12,"")</x:f>
        <x:v>186.75</x:v>
      </x:c>
      <x:c r="G322" s="4" t="n">
        <x:f>IF(COUNT(O322,R322,U322,X322,AA322,AD322,AG322,AJ322)=8,O322*Guide!$E$5+R322*Guide!$E$6+U322*Guide!$E$7+X322*Guide!$E$8+AA322*Guide!$E$9+AD322*Guide!$E$10+AG322*Guide!$E$11+AJ322*Guide!$E$12,"")</x:f>
        <x:v>189.5</x:v>
      </x:c>
      <x:c r="H322" s="4" t="n">
        <x:f>IF(COUNT(G322,F322)=2,G322-F322,"")</x:f>
        <x:v>2.75</x:v>
      </x:c>
      <x:c r="I322" s="4" t="n">
        <x:f>IF(AND(ISNUMBER(F322),K322&gt;0),F322/K322,"")</x:f>
        <x:v>2.5236486486486487</x:v>
      </x:c>
      <x:c r="J322" s="4" t="n">
        <x:f>IF(AND(ISNUMBER(G322),L322&gt;0),G322/L322,"")</x:f>
        <x:v>2.595890410958904</x:v>
      </x:c>
      <x:c r="K322" s="10" t="n">
        <x:v>74</x:v>
      </x:c>
      <x:c r="L322" s="10" t="n">
        <x:v>73</x:v>
      </x:c>
      <x:c r="M322" s="10" t="n">
        <x:f>IF(COUNT(L322,K322)=2,L322-K322,"")</x:f>
        <x:v>-1</x:v>
      </x:c>
      <x:c r="N322" s="10" t="n">
        <x:v>6</x:v>
      </x:c>
      <x:c r="O322" s="10" t="n">
        <x:v>8</x:v>
      </x:c>
      <x:c r="P322" s="10" t="n">
        <x:f>IF(COUNT(O322,N322)=2,O322-N322,"")</x:f>
        <x:v>2</x:v>
      </x:c>
      <x:c r="Q322" s="10" t="n">
        <x:v>20</x:v>
      </x:c>
      <x:c r="R322" s="10" t="n">
        <x:v>14</x:v>
      </x:c>
      <x:c r="S322" s="10" t="n">
        <x:f>IF(COUNT(R322,Q322)=2,R322-Q322,"")</x:f>
        <x:v>-6</x:v>
      </x:c>
      <x:c r="T322" s="10" t="n">
        <x:v>-12</x:v>
      </x:c>
      <x:c r="U322" s="10" t="n">
        <x:v>-3</x:v>
      </x:c>
      <x:c r="V322" s="10" t="n">
        <x:f>IF(COUNT(U322,T322)=2,U322-T322,"")</x:f>
        <x:v>9</x:v>
      </x:c>
      <x:c r="W322" s="10" t="n">
        <x:v>4</x:v>
      </x:c>
      <x:c r="X322" s="10" t="n">
        <x:f>IF(COUNT(AV322,AW322)=2,AV322+AW322,"")</x:f>
        <x:v>2</x:v>
      </x:c>
      <x:c r="Y322" s="10" t="n">
        <x:f>IF(COUNT(X322,W322)=2,X322-W322,"")</x:f>
        <x:v>-2</x:v>
      </x:c>
      <x:c r="Z322" s="10" t="n">
        <x:v>0</x:v>
      </x:c>
      <x:c r="AA322" s="10" t="n">
        <x:f>IF(COUNT(AX322,AY322)=2,AX322+AY322,"")</x:f>
        <x:v>1</x:v>
      </x:c>
      <x:c r="AB322" s="10" t="n">
        <x:f>IF(COUNT(AA322,Z322)=2,AA322-Z322,"")</x:f>
        <x:v>1</x:v>
      </x:c>
      <x:c r="AC322" s="10" t="n">
        <x:v>86</x:v>
      </x:c>
      <x:c r="AD322" s="10" t="n">
        <x:v>79</x:v>
      </x:c>
      <x:c r="AE322" s="10" t="n">
        <x:f>IF(COUNT(AD322,AC322)=2,AD322-AC322,"")</x:f>
        <x:v>-7</x:v>
      </x:c>
      <x:c r="AF322" s="10" t="n">
        <x:v>84</x:v>
      </x:c>
      <x:c r="AG322" s="10" t="n">
        <x:v>39</x:v>
      </x:c>
      <x:c r="AH322" s="10" t="n">
        <x:f>IF(COUNT(AG322,AF322)=2,AG322-AF322,"")</x:f>
        <x:v>-45</x:v>
      </x:c>
      <x:c r="AI322" s="10" t="n">
        <x:v>91</x:v>
      </x:c>
      <x:c r="AJ322" s="10" t="n">
        <x:v>112</x:v>
      </x:c>
      <x:c r="AK322" s="10" t="n">
        <x:f>IF(COUNT(AJ322,AI322)=2,AJ322-AI322,"")</x:f>
        <x:v>21</x:v>
      </x:c>
      <x:c r="AL322" s="10" t="n">
        <x:v>22</x:v>
      </x:c>
      <x:c r="AM322" s="10" t="n">
        <x:v>22</x:v>
      </x:c>
      <x:c r="AN322" s="4" t="str">
        <x:v>D</x:v>
      </x:c>
      <x:c r="AO322" s="4" t="str">
        <x:v>D</x:v>
      </x:c>
      <x:c r="AP322" s="4" t="str">
        <x:v>ANA</x:v>
      </x:c>
      <x:c r="AQ322" s="4" t="str">
        <x:v>ANA</x:v>
      </x:c>
      <x:c r="AR322" s="4" t="n">
        <x:v>17.8</x:v>
      </x:c>
      <x:c r="AS322" s="4" t="n">
        <x:v>18.433333333333334</x:v>
      </x:c>
      <x:c r="AT322" s="4" t="n">
        <x:v>1.04</x:v>
      </x:c>
      <x:c r="AU322" s="4" t="n">
        <x:v>10.1</x:v>
      </x:c>
      <x:c r="AV322" s="10" t="n">
        <x:v>0</x:v>
      </x:c>
      <x:c r="AW322" s="10" t="n">
        <x:v>2</x:v>
      </x:c>
      <x:c r="AX322" s="10" t="n">
        <x:v>0</x:v>
      </x:c>
      <x:c r="AY322" s="10" t="n">
        <x:v>1</x:v>
      </x:c>
      <x:c r="AZ322" s="10" t="n">
        <x:v>1130</x:v>
      </x:c>
      <x:c r="BA322" s="10" t="n">
        <x:v>1154</x:v>
      </x:c>
      <x:c r="BB322" s="4" t="n">
        <x:v>49.5</x:v>
      </x:c>
      <x:c r="BC322" s="4" t="n">
        <x:v>-4.3</x:v>
      </x:c>
      <x:c r="BD322" s="10" t="n">
        <x:v>833</x:v>
      </x:c>
      <x:c r="BE322" s="10" t="n">
        <x:v>833</x:v>
      </x:c>
      <x:c r="BF322" s="4" t="n">
        <x:v>50</x:v>
      </x:c>
      <x:c r="BG322" s="4" t="n">
        <x:v>-3.6</x:v>
      </x:c>
      <x:c r="BH322" s="4" t="n">
        <x:v>9.5</x:v>
      </x:c>
      <x:c r="BI322" s="4" t="n">
        <x:v>89.7</x:v>
      </x:c>
      <x:c r="BJ322" s="4" t="n">
        <x:v>99.2</x:v>
      </x:c>
      <x:c r="BK322" s="4" t="n">
        <x:v>50.2</x:v>
      </x:c>
      <x:c r="BL322" s="4" t="n">
        <x:v>49.8</x:v>
      </x:c>
      <x:c r="BM322" s="4" t="n">
        <x:v>18.433333333333334</x:v>
      </x:c>
      <x:c r="BN322" s="4" t="n">
        <x:v>15.4</x:v>
      </x:c>
      <x:c r="BO322" s="10" t="n">
        <x:v>18</x:v>
      </x:c>
      <x:c r="BP322" s="10" t="n">
        <x:v>66</x:v>
      </x:c>
      <x:c r="BQ322" s="4" t="n">
        <x:v>1.1</x:v>
      </x:c>
      <x:c r="BR322" s="10" t="n">
        <x:v>204</x:v>
      </x:c>
      <x:c r="BS322" s="4" t="n">
        <x:v>38.7</x:v>
      </x:c>
      <x:c r="BT322" s="10" t="n">
        <x:v>73</x:v>
      </x:c>
      <x:c r="BU322" s="4" t="str">
        <x:v>ANA</x:v>
      </x:c>
      <x:c r="BV322" s="10" t="n">
        <x:v>420</x:v>
      </x:c>
      <x:c r="BW322" s="10" t="n">
        <x:v>436</x:v>
      </x:c>
      <x:c r="BX322" s="10" t="n">
        <x:v>702</x:v>
      </x:c>
      <x:c r="BY322" s="4" t="str">
        <x:v>Pavel Mintyukov</x:v>
      </x:c>
      <x:c r="BZ322" s="4" t="str">
        <x:v>Pavel Mintyukov</x:v>
      </x:c>
      <x:c r="CA322" s="4" t="str">
        <x:v>Pavel Mintyukov</x:v>
      </x:c>
      <x:c r="CB322" s="4" t="str">
        <x:v>mintypa01</x:v>
      </x:c>
    </x:row>
    <x:row r="323" ht="22" customHeight="1">
      <x:c r="A323" s="4" t="str">
        <x:v>Pavel Zacha</x:v>
      </x:c>
      <x:c r="B323" s="4" t="str">
        <x:v>pavelzacha</x:v>
      </x:c>
      <x:c r="C323" s="10" t="n">
        <x:v>1</x:v>
      </x:c>
      <x:c r="D323" s="10" t="n">
        <x:v>1</x:v>
      </x:c>
      <x:c r="E323" s="10" t="n">
        <x:v>1</x:v>
      </x:c>
      <x:c r="F323" s="4" t="n">
        <x:f>IF(COUNT(N323,Q323,T323,W323,Z323,AC323,AF323,AI323)=8,N323*Guide!$E$5+Q323*Guide!$E$6+T323*Guide!$E$7+W323*Guide!$E$8+Z323*Guide!$E$9+AC323*Guide!$E$10+AF323*Guide!$E$11+AI323*Guide!$E$12,"")</x:f>
        <x:v>279</x:v>
      </x:c>
      <x:c r="G323" s="4" t="n">
        <x:f>IF(COUNT(O323,R323,U323,X323,AA323,AD323,AG323,AJ323)=8,O323*Guide!$E$5+R323*Guide!$E$6+U323*Guide!$E$7+X323*Guide!$E$8+AA323*Guide!$E$9+AD323*Guide!$E$10+AG323*Guide!$E$11+AJ323*Guide!$E$12,"")</x:f>
        <x:v>319.25</x:v>
      </x:c>
      <x:c r="H323" s="4" t="n">
        <x:f>IF(COUNT(G323,F323)=2,G323-F323,"")</x:f>
        <x:v>40.25</x:v>
      </x:c>
      <x:c r="I323" s="4" t="n">
        <x:f>IF(AND(ISNUMBER(F323),K323&gt;0),F323/K323,"")</x:f>
        <x:v>3.4444444444444446</x:v>
      </x:c>
      <x:c r="J323" s="4" t="n">
        <x:f>IF(AND(ISNUMBER(G323),L323&gt;0),G323/L323,"")</x:f>
        <x:v>4.092948717948718</x:v>
      </x:c>
      <x:c r="K323" s="10" t="n">
        <x:v>81</x:v>
      </x:c>
      <x:c r="L323" s="10" t="n">
        <x:v>78</x:v>
      </x:c>
      <x:c r="M323" s="10" t="n">
        <x:f>IF(COUNT(L323,K323)=2,L323-K323,"")</x:f>
        <x:v>-3</x:v>
      </x:c>
      <x:c r="N323" s="10" t="n">
        <x:v>20</x:v>
      </x:c>
      <x:c r="O323" s="10" t="n">
        <x:v>30</x:v>
      </x:c>
      <x:c r="P323" s="10" t="n">
        <x:f>IF(COUNT(O323,N323)=2,O323-N323,"")</x:f>
        <x:v>10</x:v>
      </x:c>
      <x:c r="Q323" s="10" t="n">
        <x:v>35</x:v>
      </x:c>
      <x:c r="R323" s="10" t="n">
        <x:v>35</x:v>
      </x:c>
      <x:c r="S323" s="10" t="n">
        <x:f>IF(COUNT(R323,Q323)=2,R323-Q323,"")</x:f>
        <x:v>0</x:v>
      </x:c>
      <x:c r="T323" s="10" t="n">
        <x:v>3</x:v>
      </x:c>
      <x:c r="U323" s="10" t="n">
        <x:v>4</x:v>
      </x:c>
      <x:c r="V323" s="10" t="n">
        <x:f>IF(COUNT(U323,T323)=2,U323-T323,"")</x:f>
        <x:v>1</x:v>
      </x:c>
      <x:c r="W323" s="10" t="n">
        <x:v>13</x:v>
      </x:c>
      <x:c r="X323" s="10" t="n">
        <x:f>IF(COUNT(AV323,AW323)=2,AV323+AW323,"")</x:f>
        <x:v>22</x:v>
      </x:c>
      <x:c r="Y323" s="10" t="n">
        <x:f>IF(COUNT(X323,W323)=2,X323-W323,"")</x:f>
        <x:v>9</x:v>
      </x:c>
      <x:c r="Z323" s="10" t="n">
        <x:v>1</x:v>
      </x:c>
      <x:c r="AA323" s="10" t="n">
        <x:f>IF(COUNT(AX323,AY323)=2,AX323+AY323,"")</x:f>
        <x:v>0</x:v>
      </x:c>
      <x:c r="AB323" s="10" t="n">
        <x:f>IF(COUNT(AA323,Z323)=2,AA323-Z323,"")</x:f>
        <x:v>-1</x:v>
      </x:c>
      <x:c r="AC323" s="10" t="n">
        <x:v>132</x:v>
      </x:c>
      <x:c r="AD323" s="10" t="n">
        <x:v>131</x:v>
      </x:c>
      <x:c r="AE323" s="10" t="n">
        <x:f>IF(COUNT(AD323,AC323)=2,AD323-AC323,"")</x:f>
        <x:v>-1</x:v>
      </x:c>
      <x:c r="AF323" s="10" t="n">
        <x:v>72</x:v>
      </x:c>
      <x:c r="AG323" s="10" t="n">
        <x:v>64</x:v>
      </x:c>
      <x:c r="AH323" s="10" t="n">
        <x:f>IF(COUNT(AG323,AF323)=2,AG323-AF323,"")</x:f>
        <x:v>-8</x:v>
      </x:c>
      <x:c r="AI323" s="10" t="n">
        <x:v>32</x:v>
      </x:c>
      <x:c r="AJ323" s="10" t="n">
        <x:v>26</x:v>
      </x:c>
      <x:c r="AK323" s="10" t="n">
        <x:f>IF(COUNT(AJ323,AI323)=2,AJ323-AI323,"")</x:f>
        <x:v>-6</x:v>
      </x:c>
      <x:c r="AL323" s="10" t="n">
        <x:v>28</x:v>
      </x:c>
      <x:c r="AM323" s="10" t="n">
        <x:v>28</x:v>
      </x:c>
      <x:c r="AN323" s="4" t="str">
        <x:v>C,LW</x:v>
      </x:c>
      <x:c r="AO323" s="4" t="str">
        <x:v>C</x:v>
      </x:c>
      <x:c r="AP323" s="4" t="str">
        <x:v>BOS</x:v>
      </x:c>
      <x:c r="AQ323" s="4" t="str">
        <x:v>BOS</x:v>
      </x:c>
      <x:c r="AR323" s="4" t="n">
        <x:v>18.650000000000002</x:v>
      </x:c>
      <x:c r="AS323" s="4" t="n">
        <x:v>16.85</x:v>
      </x:c>
      <x:c r="AT323" s="4" t="n">
        <x:v>2.49</x:v>
      </x:c>
      <x:c r="AU323" s="4" t="n">
        <x:v>22.9</x:v>
      </x:c>
      <x:c r="AV323" s="10" t="n">
        <x:v>11</x:v>
      </x:c>
      <x:c r="AW323" s="10" t="n">
        <x:v>11</x:v>
      </x:c>
      <x:c r="AX323" s="10" t="n">
        <x:v>0</x:v>
      </x:c>
      <x:c r="AY323" s="10" t="n">
        <x:v>0</x:v>
      </x:c>
      <x:c r="AZ323" s="10" t="n">
        <x:v>970</x:v>
      </x:c>
      <x:c r="BA323" s="10" t="n">
        <x:v>1042</x:v>
      </x:c>
      <x:c r="BB323" s="4" t="n">
        <x:v>48.2</x:v>
      </x:c>
      <x:c r="BC323" s="4" t="n">
        <x:v>-0.7</x:v>
      </x:c>
      <x:c r="BD323" s="10" t="n">
        <x:v>716</x:v>
      </x:c>
      <x:c r="BE323" s="10" t="n">
        <x:v>753</x:v>
      </x:c>
      <x:c r="BF323" s="4" t="n">
        <x:v>48.7</x:v>
      </x:c>
      <x:c r="BG323" s="4" t="n">
        <x:v>-0.3</x:v>
      </x:c>
      <x:c r="BH323" s="4" t="n">
        <x:v>14.2</x:v>
      </x:c>
      <x:c r="BI323" s="4" t="n">
        <x:v>89</x:v>
      </x:c>
      <x:c r="BJ323" s="4" t="n">
        <x:v>103.1</x:v>
      </x:c>
      <x:c r="BK323" s="4" t="n">
        <x:v>45.5</x:v>
      </x:c>
      <x:c r="BL323" s="4" t="n">
        <x:v>54.5</x:v>
      </x:c>
      <x:c r="BM323" s="4" t="n">
        <x:v>16.85</x:v>
      </x:c>
      <x:c r="BN323" s="4" t="n">
        <x:v>13.016666666666667</x:v>
      </x:c>
      <x:c r="BO323" s="10" t="n">
        <x:v>18</x:v>
      </x:c>
      <x:c r="BP323" s="10" t="n">
        <x:v>61</x:v>
      </x:c>
      <x:c r="BQ323" s="4" t="n">
        <x:v>-9.4</x:v>
      </x:c>
      <x:c r="BR323" s="10" t="n">
        <x:v>233</x:v>
      </x:c>
      <x:c r="BS323" s="4" t="n">
        <x:v>56.2</x:v>
      </x:c>
      <x:c r="BT323" s="10" t="n">
        <x:v>78</x:v>
      </x:c>
      <x:c r="BU323" s="4" t="str">
        <x:v>BOS</x:v>
      </x:c>
      <x:c r="BV323" s="10" t="n">
        <x:v>123</x:v>
      </x:c>
      <x:c r="BW323" s="10" t="n">
        <x:v>75</x:v>
      </x:c>
      <x:c r="BX323" s="10" t="n">
        <x:v>1093</x:v>
      </x:c>
      <x:c r="BY323" s="4" t="str">
        <x:v>Pavel Zacha</x:v>
      </x:c>
      <x:c r="BZ323" s="4" t="str">
        <x:v>Pavel Zacha</x:v>
      </x:c>
      <x:c r="CA323" s="4" t="str">
        <x:v>Pavel Zacha</x:v>
      </x:c>
      <x:c r="CB323" s="4" t="str">
        <x:v>zachapa01</x:v>
      </x:c>
    </x:row>
    <x:row r="324" ht="22" customHeight="1">
      <x:c r="A324" s="4" t="str">
        <x:v>Peyton Krebs</x:v>
      </x:c>
      <x:c r="B324" s="4" t="str">
        <x:v>peytonkrebs</x:v>
      </x:c>
      <x:c r="C324" s="10" t="n">
        <x:v>1</x:v>
      </x:c>
      <x:c r="D324" s="10" t="n">
        <x:v>1</x:v>
      </x:c>
      <x:c r="E324" s="10" t="n">
        <x:v>1</x:v>
      </x:c>
      <x:c r="F324" s="4" t="n">
        <x:f>IF(COUNT(N324,Q324,T324,W324,Z324,AC324,AF324,AI324)=8,N324*Guide!$E$5+Q324*Guide!$E$6+T324*Guide!$E$7+W324*Guide!$E$8+Z324*Guide!$E$9+AC324*Guide!$E$10+AF324*Guide!$E$11+AI324*Guide!$E$12,"")</x:f>
        <x:v>172.75</x:v>
      </x:c>
      <x:c r="G324" s="4" t="n">
        <x:f>IF(COUNT(O324,R324,U324,X324,AA324,AD324,AG324,AJ324)=8,O324*Guide!$E$5+R324*Guide!$E$6+U324*Guide!$E$7+X324*Guide!$E$8+AA324*Guide!$E$9+AD324*Guide!$E$10+AG324*Guide!$E$11+AJ324*Guide!$E$12,"")</x:f>
        <x:v>247.25</x:v>
      </x:c>
      <x:c r="H324" s="4" t="n">
        <x:f>IF(COUNT(G324,F324)=2,G324-F324,"")</x:f>
        <x:v>74.5</x:v>
      </x:c>
      <x:c r="I324" s="4" t="n">
        <x:f>IF(AND(ISNUMBER(F324),K324&gt;0),F324/K324,"")</x:f>
        <x:v>2.132716049382716</x:v>
      </x:c>
      <x:c r="J324" s="4" t="n">
        <x:f>IF(AND(ISNUMBER(G324),L324&gt;0),G324/L324,"")</x:f>
        <x:v>3.0152439024390243</x:v>
      </x:c>
      <x:c r="K324" s="10" t="n">
        <x:v>81</x:v>
      </x:c>
      <x:c r="L324" s="10" t="n">
        <x:v>82</x:v>
      </x:c>
      <x:c r="M324" s="10" t="n">
        <x:f>IF(COUNT(L324,K324)=2,L324-K324,"")</x:f>
        <x:v>1</x:v>
      </x:c>
      <x:c r="N324" s="10" t="n">
        <x:v>10</x:v>
      </x:c>
      <x:c r="O324" s="10" t="n">
        <x:v>12</x:v>
      </x:c>
      <x:c r="P324" s="10" t="n">
        <x:f>IF(COUNT(O324,N324)=2,O324-N324,"")</x:f>
        <x:v>2</x:v>
      </x:c>
      <x:c r="Q324" s="10" t="n">
        <x:v>19</x:v>
      </x:c>
      <x:c r="R324" s="10" t="n">
        <x:v>27</x:v>
      </x:c>
      <x:c r="S324" s="10" t="n">
        <x:f>IF(COUNT(R324,Q324)=2,R324-Q324,"")</x:f>
        <x:v>8</x:v>
      </x:c>
      <x:c r="T324" s="10" t="n">
        <x:v>-5</x:v>
      </x:c>
      <x:c r="U324" s="10" t="n">
        <x:v>13</x:v>
      </x:c>
      <x:c r="V324" s="10" t="n">
        <x:f>IF(COUNT(U324,T324)=2,U324-T324,"")</x:f>
        <x:v>18</x:v>
      </x:c>
      <x:c r="W324" s="10" t="n">
        <x:v>3</x:v>
      </x:c>
      <x:c r="X324" s="10" t="n">
        <x:f>IF(COUNT(AV324,AW324)=2,AV324+AW324,"")</x:f>
        <x:v>1</x:v>
      </x:c>
      <x:c r="Y324" s="10" t="n">
        <x:f>IF(COUNT(X324,W324)=2,X324-W324,"")</x:f>
        <x:v>-2</x:v>
      </x:c>
      <x:c r="Z324" s="10" t="n">
        <x:v>0</x:v>
      </x:c>
      <x:c r="AA324" s="10" t="n">
        <x:f>IF(COUNT(AX324,AY324)=2,AX324+AY324,"")</x:f>
        <x:v>0</x:v>
      </x:c>
      <x:c r="AB324" s="10" t="n">
        <x:f>IF(COUNT(AA324,Z324)=2,AA324-Z324,"")</x:f>
        <x:v>0</x:v>
      </x:c>
      <x:c r="AC324" s="10" t="n">
        <x:v>87</x:v>
      </x:c>
      <x:c r="AD324" s="10" t="n">
        <x:v>93</x:v>
      </x:c>
      <x:c r="AE324" s="10" t="n">
        <x:f>IF(COUNT(AD324,AC324)=2,AD324-AC324,"")</x:f>
        <x:v>6</x:v>
      </x:c>
      <x:c r="AF324" s="10" t="n">
        <x:v>128</x:v>
      </x:c>
      <x:c r="AG324" s="10" t="n">
        <x:v>201</x:v>
      </x:c>
      <x:c r="AH324" s="10" t="n">
        <x:f>IF(COUNT(AG324,AF324)=2,AG324-AF324,"")</x:f>
        <x:v>73</x:v>
      </x:c>
      <x:c r="AI324" s="10" t="n">
        <x:v>32</x:v>
      </x:c>
      <x:c r="AJ324" s="10" t="n">
        <x:v>41</x:v>
      </x:c>
      <x:c r="AK324" s="10" t="n">
        <x:f>IF(COUNT(AJ324,AI324)=2,AJ324-AI324,"")</x:f>
        <x:v>9</x:v>
      </x:c>
      <x:c r="AL324" s="10" t="n">
        <x:v>25</x:v>
      </x:c>
      <x:c r="AM324" s="10" t="n">
        <x:v>25</x:v>
      </x:c>
      <x:c r="AN324" s="4" t="str">
        <x:v>C</x:v>
      </x:c>
      <x:c r="AO324" s="4" t="str">
        <x:v>C</x:v>
      </x:c>
      <x:c r="AP324" s="4" t="str">
        <x:v>BUF</x:v>
      </x:c>
      <x:c r="AQ324" s="4" t="str">
        <x:v>BUF</x:v>
      </x:c>
      <x:c r="AR324" s="4" t="n">
        <x:v>14.09</x:v>
      </x:c>
      <x:c r="AS324" s="4" t="n">
        <x:v>13.766666666666667</x:v>
      </x:c>
      <x:c r="AT324" s="4" t="n">
        <x:v>0.69</x:v>
      </x:c>
      <x:c r="AU324" s="4" t="n">
        <x:v>12.9</x:v>
      </x:c>
      <x:c r="AV324" s="10" t="n">
        <x:v>0</x:v>
      </x:c>
      <x:c r="AW324" s="10" t="n">
        <x:v>1</x:v>
      </x:c>
      <x:c r="AX324" s="10" t="n">
        <x:v>0</x:v>
      </x:c>
      <x:c r="AY324" s="10" t="n">
        <x:v>0</x:v>
      </x:c>
      <x:c r="AZ324" s="10" t="n">
        <x:v>1051</x:v>
      </x:c>
      <x:c r="BA324" s="10" t="n">
        <x:v>1130</x:v>
      </x:c>
      <x:c r="BB324" s="4" t="n">
        <x:v>48.2</x:v>
      </x:c>
      <x:c r="BC324" s="4" t="n">
        <x:v>-1.1</x:v>
      </x:c>
      <x:c r="BD324" s="10" t="n">
        <x:v>776</x:v>
      </x:c>
      <x:c r="BE324" s="10" t="n">
        <x:v>835</x:v>
      </x:c>
      <x:c r="BF324" s="4" t="n">
        <x:v>48.2</x:v>
      </x:c>
      <x:c r="BG324" s="4" t="n">
        <x:v>-1.7</x:v>
      </x:c>
      <x:c r="BH324" s="4" t="n">
        <x:v>12.1</x:v>
      </x:c>
      <x:c r="BI324" s="4" t="n">
        <x:v>90.6</x:v>
      </x:c>
      <x:c r="BJ324" s="4" t="n">
        <x:v>102.7</x:v>
      </x:c>
      <x:c r="BK324" s="4" t="n">
        <x:v>43</x:v>
      </x:c>
      <x:c r="BL324" s="4" t="n">
        <x:v>57</x:v>
      </x:c>
      <x:c r="BM324" s="4" t="n">
        <x:v>13.766666666666667</x:v>
      </x:c>
      <x:c r="BN324" s="4" t="n">
        <x:v>13.55</x:v>
      </x:c>
      <x:c r="BO324" s="10" t="n">
        <x:v>22</x:v>
      </x:c>
      <x:c r="BP324" s="10" t="n">
        <x:v>58</x:v>
      </x:c>
      <x:c r="BQ324" s="4" t="n">
        <x:v>-5.1</x:v>
      </x:c>
      <x:c r="BR324" s="10" t="n">
        <x:v>182</x:v>
      </x:c>
      <x:c r="BS324" s="4" t="n">
        <x:v>51.1</x:v>
      </x:c>
      <x:c r="BT324" s="10" t="n">
        <x:v>82</x:v>
      </x:c>
      <x:c r="BU324" s="4" t="str">
        <x:v>BUF</x:v>
      </x:c>
      <x:c r="BV324" s="10" t="n">
        <x:v>387</x:v>
      </x:c>
      <x:c r="BW324" s="10" t="n">
        <x:v>221</x:v>
      </x:c>
      <x:c r="BX324" s="10" t="n">
        <x:v>541</x:v>
      </x:c>
      <x:c r="BY324" s="4" t="str">
        <x:v>Peyton Krebs</x:v>
      </x:c>
      <x:c r="BZ324" s="4" t="str">
        <x:v>Peyton Krebs</x:v>
      </x:c>
      <x:c r="CA324" s="4" t="str">
        <x:v>Peyton Krebs</x:v>
      </x:c>
      <x:c r="CB324" s="4" t="str">
        <x:v>krebspe01</x:v>
      </x:c>
    </x:row>
    <x:row r="325" ht="22" customHeight="1">
      <x:c r="A325" s="4" t="str">
        <x:v>Philip Broberg</x:v>
      </x:c>
      <x:c r="B325" s="4" t="str">
        <x:v>philipbroberg</x:v>
      </x:c>
      <x:c r="C325" s="10" t="n">
        <x:v>1</x:v>
      </x:c>
      <x:c r="D325" s="10" t="n">
        <x:v>1</x:v>
      </x:c>
      <x:c r="E325" s="10" t="n">
        <x:v>1</x:v>
      </x:c>
      <x:c r="F325" s="4" t="n">
        <x:f>IF(COUNT(N325,Q325,T325,W325,Z325,AC325,AF325,AI325)=8,N325*Guide!$E$5+Q325*Guide!$E$6+T325*Guide!$E$7+W325*Guide!$E$8+Z325*Guide!$E$9+AC325*Guide!$E$10+AF325*Guide!$E$11+AI325*Guide!$E$12,"")</x:f>
        <x:v>210</x:v>
      </x:c>
      <x:c r="G325" s="4" t="n">
        <x:f>IF(COUNT(O325,R325,U325,X325,AA325,AD325,AG325,AJ325)=8,O325*Guide!$E$5+R325*Guide!$E$6+U325*Guide!$E$7+X325*Guide!$E$8+AA325*Guide!$E$9+AD325*Guide!$E$10+AG325*Guide!$E$11+AJ325*Guide!$E$12,"")</x:f>
        <x:v>233.75</x:v>
      </x:c>
      <x:c r="H325" s="4" t="n">
        <x:f>IF(COUNT(G325,F325)=2,G325-F325,"")</x:f>
        <x:v>23.75</x:v>
      </x:c>
      <x:c r="I325" s="4" t="n">
        <x:f>IF(AND(ISNUMBER(F325),K325&gt;0),F325/K325,"")</x:f>
        <x:v>2.8767123287671232</x:v>
      </x:c>
      <x:c r="J325" s="4" t="n">
        <x:f>IF(AND(ISNUMBER(G325),L325&gt;0),G325/L325,"")</x:f>
        <x:v>2.8858024691358026</x:v>
      </x:c>
      <x:c r="K325" s="10" t="n">
        <x:v>73</x:v>
      </x:c>
      <x:c r="L325" s="10" t="n">
        <x:v>81</x:v>
      </x:c>
      <x:c r="M325" s="10" t="n">
        <x:f>IF(COUNT(L325,K325)=2,L325-K325,"")</x:f>
        <x:v>8</x:v>
      </x:c>
      <x:c r="N325" s="10" t="n">
        <x:v>6</x:v>
      </x:c>
      <x:c r="O325" s="10" t="n">
        <x:v>6</x:v>
      </x:c>
      <x:c r="P325" s="10" t="n">
        <x:f>IF(COUNT(O325,N325)=2,O325-N325,"")</x:f>
        <x:v>0</x:v>
      </x:c>
      <x:c r="Q325" s="10" t="n">
        <x:v>20</x:v>
      </x:c>
      <x:c r="R325" s="10" t="n">
        <x:v>28</x:v>
      </x:c>
      <x:c r="S325" s="10" t="n">
        <x:f>IF(COUNT(R325,Q325)=2,R325-Q325,"")</x:f>
        <x:v>8</x:v>
      </x:c>
      <x:c r="T325" s="10" t="n">
        <x:v>11</x:v>
      </x:c>
      <x:c r="U325" s="10" t="n">
        <x:v>14</x:v>
      </x:c>
      <x:c r="V325" s="10" t="n">
        <x:f>IF(COUNT(U325,T325)=2,U325-T325,"")</x:f>
        <x:v>3</x:v>
      </x:c>
      <x:c r="W325" s="10" t="n">
        <x:v>2</x:v>
      </x:c>
      <x:c r="X325" s="10" t="n">
        <x:f>IF(COUNT(AV325,AW325)=2,AV325+AW325,"")</x:f>
        <x:v>5</x:v>
      </x:c>
      <x:c r="Y325" s="10" t="n">
        <x:f>IF(COUNT(X325,W325)=2,X325-W325,"")</x:f>
        <x:v>3</x:v>
      </x:c>
      <x:c r="Z325" s="10" t="n">
        <x:v>0</x:v>
      </x:c>
      <x:c r="AA325" s="10" t="n">
        <x:f>IF(COUNT(AX325,AY325)=2,AX325+AY325,"")</x:f>
        <x:v>0</x:v>
      </x:c>
      <x:c r="AB325" s="10" t="n">
        <x:f>IF(COUNT(AA325,Z325)=2,AA325-Z325,"")</x:f>
        <x:v>0</x:v>
      </x:c>
      <x:c r="AC325" s="10" t="n">
        <x:v>100</x:v>
      </x:c>
      <x:c r="AD325" s="10" t="n">
        <x:v>98</x:v>
      </x:c>
      <x:c r="AE325" s="10" t="n">
        <x:f>IF(COUNT(AD325,AC325)=2,AD325-AC325,"")</x:f>
        <x:v>-2</x:v>
      </x:c>
      <x:c r="AF325" s="10" t="n">
        <x:v>46</x:v>
      </x:c>
      <x:c r="AG325" s="10" t="n">
        <x:v>35</x:v>
      </x:c>
      <x:c r="AH325" s="10" t="n">
        <x:f>IF(COUNT(AG325,AF325)=2,AG325-AF325,"")</x:f>
        <x:v>-11</x:v>
      </x:c>
      <x:c r="AI325" s="10" t="n">
        <x:v>102</x:v>
      </x:c>
      <x:c r="AJ325" s="10" t="n">
        <x:v>98</x:v>
      </x:c>
      <x:c r="AK325" s="10" t="n">
        <x:f>IF(COUNT(AJ325,AI325)=2,AJ325-AI325,"")</x:f>
        <x:v>-4</x:v>
      </x:c>
      <x:c r="AL325" s="10" t="n">
        <x:v>24</x:v>
      </x:c>
      <x:c r="AM325" s="10" t="n">
        <x:v>24</x:v>
      </x:c>
      <x:c r="AN325" s="4" t="str">
        <x:v>D</x:v>
      </x:c>
      <x:c r="AO325" s="4" t="str">
        <x:v>D</x:v>
      </x:c>
      <x:c r="AP325" s="4" t="str">
        <x:v>STL</x:v>
      </x:c>
      <x:c r="AQ325" s="4" t="str">
        <x:v>STL</x:v>
      </x:c>
      <x:c r="AR325" s="4" t="n">
        <x:v>19.71</x:v>
      </x:c>
      <x:c r="AS325" s="4" t="n">
        <x:v>23.35</x:v>
      </x:c>
      <x:c r="AT325" s="4" t="n">
        <x:v>0.44</x:v>
      </x:c>
      <x:c r="AU325" s="4" t="n">
        <x:v>6.1</x:v>
      </x:c>
      <x:c r="AV325" s="10" t="n">
        <x:v>2</x:v>
      </x:c>
      <x:c r="AW325" s="10" t="n">
        <x:v>3</x:v>
      </x:c>
      <x:c r="AX325" s="10" t="n">
        <x:v>0</x:v>
      </x:c>
      <x:c r="AY325" s="10" t="n">
        <x:v>0</x:v>
      </x:c>
      <x:c r="AZ325" s="10" t="n">
        <x:v>1336</x:v>
      </x:c>
      <x:c r="BA325" s="10" t="n">
        <x:v>1543</x:v>
      </x:c>
      <x:c r="BB325" s="4" t="n">
        <x:v>46.4</x:v>
      </x:c>
      <x:c r="BC325" s="4" t="n">
        <x:v>-2.9</x:v>
      </x:c>
      <x:c r="BD325" s="10" t="n">
        <x:v>987</x:v>
      </x:c>
      <x:c r="BE325" s="10" t="n">
        <x:v>1105</x:v>
      </x:c>
      <x:c r="BF325" s="4" t="n">
        <x:v>47.2</x:v>
      </x:c>
      <x:c r="BG325" s="4" t="n">
        <x:v>-1.2</x:v>
      </x:c>
      <x:c r="BH325" s="4" t="n">
        <x:v>12.1</x:v>
      </x:c>
      <x:c r="BI325" s="4" t="n">
        <x:v>91.3</x:v>
      </x:c>
      <x:c r="BJ325" s="4" t="n">
        <x:v>103.4</x:v>
      </x:c>
      <x:c r="BK325" s="4" t="n">
        <x:v>43.7</x:v>
      </x:c>
      <x:c r="BL325" s="4" t="n">
        <x:v>56.3</x:v>
      </x:c>
      <x:c r="BM325" s="4" t="n">
        <x:v>23.35</x:v>
      </x:c>
      <x:c r="BN325" s="4" t="n">
        <x:v>19.616666666666667</x:v>
      </x:c>
      <x:c r="BO325" s="10" t="n">
        <x:v>26</x:v>
      </x:c>
      <x:c r="BP325" s="10" t="n">
        <x:v>111</x:v>
      </x:c>
      <x:c r="BQ325" s="4" t="n">
        <x:v>-6.8</x:v>
      </x:c>
      <x:c r="BR325" s="10" t="n">
        <x:v>253</x:v>
      </x:c>
      <x:c r="BS325" s="4" t="n">
        <x:v>38.7</x:v>
      </x:c>
      <x:c r="BT325" s="10" t="n">
        <x:v>81</x:v>
      </x:c>
      <x:c r="BU325" s="4" t="str">
        <x:v>STL</x:v>
      </x:c>
      <x:c r="BV325" s="10" t="n">
        <x:v>421</x:v>
      </x:c>
      <x:c r="BW325" s="10" t="n">
        <x:v>279</x:v>
      </x:c>
      <x:c r="BX325" s="10" t="n">
        <x:v>97</x:v>
      </x:c>
      <x:c r="BY325" s="4" t="str">
        <x:v>Philip Broberg</x:v>
      </x:c>
      <x:c r="BZ325" s="4" t="str">
        <x:v>Philip Broberg</x:v>
      </x:c>
      <x:c r="CA325" s="4" t="str">
        <x:v>Philip Broberg</x:v>
      </x:c>
      <x:c r="CB325" s="4" t="str">
        <x:v>brobeph01</x:v>
      </x:c>
    </x:row>
    <x:row r="326" ht="22" customHeight="1">
      <x:c r="A326" s="4" t="str">
        <x:v>Philipp Kurashev</x:v>
      </x:c>
      <x:c r="B326" s="4" t="str">
        <x:v>philippkurashev</x:v>
      </x:c>
      <x:c r="C326" s="10" t="n">
        <x:v>1</x:v>
      </x:c>
      <x:c r="D326" s="10" t="n">
        <x:v>1</x:v>
      </x:c>
      <x:c r="E326" s="10" t="n">
        <x:v>1</x:v>
      </x:c>
      <x:c r="F326" s="4" t="n">
        <x:f>IF(COUNT(N326,Q326,T326,W326,Z326,AC326,AF326,AI326)=8,N326*Guide!$E$5+Q326*Guide!$E$6+T326*Guide!$E$7+W326*Guide!$E$8+Z326*Guide!$E$9+AC326*Guide!$E$10+AF326*Guide!$E$11+AI326*Guide!$E$12,"")</x:f>
        <x:v>115.5</x:v>
      </x:c>
      <x:c r="G326" s="4" t="n">
        <x:f>IF(COUNT(O326,R326,U326,X326,AA326,AD326,AG326,AJ326)=8,O326*Guide!$E$5+R326*Guide!$E$6+U326*Guide!$E$7+X326*Guide!$E$8+AA326*Guide!$E$9+AD326*Guide!$E$10+AG326*Guide!$E$11+AJ326*Guide!$E$12,"")</x:f>
        <x:v>106</x:v>
      </x:c>
      <x:c r="H326" s="4" t="n">
        <x:f>IF(COUNT(G326,F326)=2,G326-F326,"")</x:f>
        <x:v>-9.5</x:v>
      </x:c>
      <x:c r="I326" s="4" t="n">
        <x:f>IF(AND(ISNUMBER(F326),K326&gt;0),F326/K326,"")</x:f>
        <x:v>1.925</x:v>
      </x:c>
      <x:c r="J326" s="4" t="n">
        <x:f>IF(AND(ISNUMBER(G326),L326&gt;0),G326/L326,"")</x:f>
        <x:v>2.4651162790697674</x:v>
      </x:c>
      <x:c r="K326" s="10" t="n">
        <x:v>60</x:v>
      </x:c>
      <x:c r="L326" s="10" t="n">
        <x:v>43</x:v>
      </x:c>
      <x:c r="M326" s="10" t="n">
        <x:f>IF(COUNT(L326,K326)=2,L326-K326,"")</x:f>
        <x:v>-17</x:v>
      </x:c>
      <x:c r="N326" s="10" t="n">
        <x:v>10</x:v>
      </x:c>
      <x:c r="O326" s="10" t="n">
        <x:v>7</x:v>
      </x:c>
      <x:c r="P326" s="10" t="n">
        <x:f>IF(COUNT(O326,N326)=2,O326-N326,"")</x:f>
        <x:v>-3</x:v>
      </x:c>
      <x:c r="Q326" s="10" t="n">
        <x:v>14</x:v>
      </x:c>
      <x:c r="R326" s="10" t="n">
        <x:v>13</x:v>
      </x:c>
      <x:c r="S326" s="10" t="n">
        <x:f>IF(COUNT(R326,Q326)=2,R326-Q326,"")</x:f>
        <x:v>-1</x:v>
      </x:c>
      <x:c r="T326" s="10" t="n">
        <x:v>-16</x:v>
      </x:c>
      <x:c r="U326" s="10" t="n">
        <x:v>1</x:v>
      </x:c>
      <x:c r="V326" s="10" t="n">
        <x:f>IF(COUNT(U326,T326)=2,U326-T326,"")</x:f>
        <x:v>17</x:v>
      </x:c>
      <x:c r="W326" s="10" t="n">
        <x:v>3</x:v>
      </x:c>
      <x:c r="X326" s="10" t="n">
        <x:f>IF(COUNT(AV326,AW326)=2,AV326+AW326,"")</x:f>
        <x:v>2</x:v>
      </x:c>
      <x:c r="Y326" s="10" t="n">
        <x:f>IF(COUNT(X326,W326)=2,X326-W326,"")</x:f>
        <x:v>-1</x:v>
      </x:c>
      <x:c r="Z326" s="10" t="n">
        <x:v>0</x:v>
      </x:c>
      <x:c r="AA326" s="10" t="n">
        <x:f>IF(COUNT(AX326,AY326)=2,AX326+AY326,"")</x:f>
        <x:v>0</x:v>
      </x:c>
      <x:c r="AB326" s="10" t="n">
        <x:f>IF(COUNT(AA326,Z326)=2,AA326-Z326,"")</x:f>
        <x:v>0</x:v>
      </x:c>
      <x:c r="AC326" s="10" t="n">
        <x:v>72</x:v>
      </x:c>
      <x:c r="AD326" s="10" t="n">
        <x:v>62</x:v>
      </x:c>
      <x:c r="AE326" s="10" t="n">
        <x:f>IF(COUNT(AD326,AC326)=2,AD326-AC326,"")</x:f>
        <x:v>-10</x:v>
      </x:c>
      <x:c r="AF326" s="10" t="n">
        <x:v>33</x:v>
      </x:c>
      <x:c r="AG326" s="10" t="n">
        <x:v>40</x:v>
      </x:c>
      <x:c r="AH326" s="10" t="n">
        <x:f>IF(COUNT(AG326,AF326)=2,AG326-AF326,"")</x:f>
        <x:v>7</x:v>
      </x:c>
      <x:c r="AI326" s="10" t="n">
        <x:v>27</x:v>
      </x:c>
      <x:c r="AJ326" s="10" t="n">
        <x:v>14</x:v>
      </x:c>
      <x:c r="AK326" s="10" t="n">
        <x:f>IF(COUNT(AJ326,AI326)=2,AJ326-AI326,"")</x:f>
        <x:v>-13</x:v>
      </x:c>
      <x:c r="AL326" s="10" t="n">
        <x:v>26</x:v>
      </x:c>
      <x:c r="AM326" s="10" t="n">
        <x:v>26</x:v>
      </x:c>
      <x:c r="AN326" s="4" t="str">
        <x:v>C,RW</x:v>
      </x:c>
      <x:c r="AO326" s="4" t="str">
        <x:v>C</x:v>
      </x:c>
      <x:c r="AP326" s="4" t="str">
        <x:v>SJ</x:v>
      </x:c>
      <x:c r="AQ326" s="4" t="str">
        <x:v>SJS</x:v>
      </x:c>
      <x:c r="AR326" s="4" t="n">
        <x:v>14.690000000000001</x:v>
      </x:c>
      <x:c r="AS326" s="4" t="n">
        <x:v>15.483333333333333</x:v>
      </x:c>
      <x:c r="AT326" s="4" t="n">
        <x:v>0.88</x:v>
      </x:c>
      <x:c r="AU326" s="4" t="n">
        <x:v>11.3</x:v>
      </x:c>
      <x:c r="AV326" s="10" t="n">
        <x:v>0</x:v>
      </x:c>
      <x:c r="AW326" s="10" t="n">
        <x:v>2</x:v>
      </x:c>
      <x:c r="AX326" s="10" t="n">
        <x:v>0</x:v>
      </x:c>
      <x:c r="AY326" s="10" t="n">
        <x:v>0</x:v>
      </x:c>
      <x:c r="AZ326" s="10" t="n">
        <x:v>474</x:v>
      </x:c>
      <x:c r="BA326" s="10" t="n">
        <x:v>547</x:v>
      </x:c>
      <x:c r="BB326" s="4" t="n">
        <x:v>46.4</x:v>
      </x:c>
      <x:c r="BC326" s="4" t="n">
        <x:v>1.4</x:v>
      </x:c>
      <x:c r="BD326" s="10" t="n">
        <x:v>313</x:v>
      </x:c>
      <x:c r="BE326" s="10" t="n">
        <x:v>399</x:v>
      </x:c>
      <x:c r="BF326" s="4" t="n">
        <x:v>44</x:v>
      </x:c>
      <x:c r="BG326" s="4" t="n">
        <x:v>-0.2</x:v>
      </x:c>
      <x:c r="BH326" s="4" t="n">
        <x:v>12.9</x:v>
      </x:c>
      <x:c r="BI326" s="4" t="n">
        <x:v>89.4</x:v>
      </x:c>
      <x:c r="BJ326" s="4" t="n">
        <x:v>102.3</x:v>
      </x:c>
      <x:c r="BK326" s="4" t="n">
        <x:v>36.1</x:v>
      </x:c>
      <x:c r="BL326" s="4" t="n">
        <x:v>63.9</x:v>
      </x:c>
      <x:c r="BM326" s="4" t="n">
        <x:v>15.483333333333333</x:v>
      </x:c>
      <x:c r="BN326" s="4" t="n">
        <x:v>13.033333333333333</x:v>
      </x:c>
      <x:c r="BO326" s="10" t="n">
        <x:v>8</x:v>
      </x:c>
      <x:c r="BP326" s="10" t="n">
        <x:v>32</x:v>
      </x:c>
      <x:c r="BQ326" s="4" t="n">
        <x:v>-0.5</x:v>
      </x:c>
      <x:c r="BR326" s="10" t="n">
        <x:v>113</x:v>
      </x:c>
      <x:c r="BS326" s="4" t="n">
        <x:v>54.9</x:v>
      </x:c>
      <x:c r="BT326" s="10" t="n">
        <x:v>43</x:v>
      </x:c>
      <x:c r="BU326" s="4" t="str">
        <x:v>SJS</x:v>
      </x:c>
      <x:c r="BV326" s="10" t="n">
        <x:v>458</x:v>
      </x:c>
      <x:c r="BW326" s="10" t="n">
        <x:v>467</x:v>
      </x:c>
      <x:c r="BX326" s="10" t="n">
        <x:v>554</x:v>
      </x:c>
      <x:c r="BY326" s="4" t="str">
        <x:v>Philipp Kurashev</x:v>
      </x:c>
      <x:c r="BZ326" s="4" t="str">
        <x:v>Philipp Kurashev</x:v>
      </x:c>
      <x:c r="CA326" s="4" t="str">
        <x:v>Philipp Kurashev</x:v>
      </x:c>
      <x:c r="CB326" s="4" t="str">
        <x:v>kurasph01</x:v>
      </x:c>
    </x:row>
    <x:row r="327" ht="22" customHeight="1">
      <x:c r="A327" s="4" t="str">
        <x:v>Pierre-Luc Dubois</x:v>
      </x:c>
      <x:c r="B327" s="4" t="str">
        <x:v>pierrelucdubois</x:v>
      </x:c>
      <x:c r="C327" s="10" t="n">
        <x:v>1</x:v>
      </x:c>
      <x:c r="D327" s="10" t="n">
        <x:v>1</x:v>
      </x:c>
      <x:c r="E327" s="10" t="n">
        <x:v>1</x:v>
      </x:c>
      <x:c r="F327" s="4" t="n">
        <x:f>IF(COUNT(N327,Q327,T327,W327,Z327,AC327,AF327,AI327)=8,N327*Guide!$E$5+Q327*Guide!$E$6+T327*Guide!$E$7+W327*Guide!$E$8+Z327*Guide!$E$9+AC327*Guide!$E$10+AF327*Guide!$E$11+AI327*Guide!$E$12,"")</x:f>
        <x:v>304</x:v>
      </x:c>
      <x:c r="G327" s="4" t="n">
        <x:f>IF(COUNT(O327,R327,U327,X327,AA327,AD327,AG327,AJ327)=8,O327*Guide!$E$5+R327*Guide!$E$6+U327*Guide!$E$7+X327*Guide!$E$8+AA327*Guide!$E$9+AD327*Guide!$E$10+AG327*Guide!$E$11+AJ327*Guide!$E$12,"")</x:f>
        <x:v>90</x:v>
      </x:c>
      <x:c r="H327" s="4" t="n">
        <x:f>IF(COUNT(G327,F327)=2,G327-F327,"")</x:f>
        <x:v>-214</x:v>
      </x:c>
      <x:c r="I327" s="4" t="n">
        <x:f>IF(AND(ISNUMBER(F327),K327&gt;0),F327/K327,"")</x:f>
        <x:v>3.707317073170732</x:v>
      </x:c>
      <x:c r="J327" s="4" t="n">
        <x:f>IF(AND(ISNUMBER(G327),L327&gt;0),G327/L327,"")</x:f>
        <x:v>3.103448275862069</x:v>
      </x:c>
      <x:c r="K327" s="10" t="n">
        <x:v>82</x:v>
      </x:c>
      <x:c r="L327" s="10" t="n">
        <x:v>29</x:v>
      </x:c>
      <x:c r="M327" s="10" t="n">
        <x:f>IF(COUNT(L327,K327)=2,L327-K327,"")</x:f>
        <x:v>-53</x:v>
      </x:c>
      <x:c r="N327" s="10" t="n">
        <x:v>22</x:v>
      </x:c>
      <x:c r="O327" s="10" t="n">
        <x:v>5</x:v>
      </x:c>
      <x:c r="P327" s="10" t="n">
        <x:f>IF(COUNT(O327,N327)=2,O327-N327,"")</x:f>
        <x:v>-17</x:v>
      </x:c>
      <x:c r="Q327" s="10" t="n">
        <x:v>33</x:v>
      </x:c>
      <x:c r="R327" s="10" t="n">
        <x:v>14</x:v>
      </x:c>
      <x:c r="S327" s="10" t="n">
        <x:f>IF(COUNT(R327,Q327)=2,R327-Q327,"")</x:f>
        <x:v>-19</x:v>
      </x:c>
      <x:c r="T327" s="10" t="n">
        <x:v>9</x:v>
      </x:c>
      <x:c r="U327" s="10" t="n">
        <x:v>-4</x:v>
      </x:c>
      <x:c r="V327" s="10" t="n">
        <x:f>IF(COUNT(U327,T327)=2,U327-T327,"")</x:f>
        <x:v>-13</x:v>
      </x:c>
      <x:c r="W327" s="10" t="n">
        <x:v>12</x:v>
      </x:c>
      <x:c r="X327" s="10" t="n">
        <x:f>IF(COUNT(AV327,AW327)=2,AV327+AW327,"")</x:f>
        <x:v>6</x:v>
      </x:c>
      <x:c r="Y327" s="10" t="n">
        <x:f>IF(COUNT(X327,W327)=2,X327-W327,"")</x:f>
        <x:v>-6</x:v>
      </x:c>
      <x:c r="Z327" s="10" t="n">
        <x:v>0</x:v>
      </x:c>
      <x:c r="AA327" s="10" t="n">
        <x:f>IF(COUNT(AX327,AY327)=2,AX327+AY327,"")</x:f>
        <x:v>0</x:v>
      </x:c>
      <x:c r="AB327" s="10" t="n">
        <x:f>IF(COUNT(AA327,Z327)=2,AA327-Z327,"")</x:f>
        <x:v>0</x:v>
      </x:c>
      <x:c r="AC327" s="10" t="n">
        <x:v>150</x:v>
      </x:c>
      <x:c r="AD327" s="10" t="n">
        <x:v>42</x:v>
      </x:c>
      <x:c r="AE327" s="10" t="n">
        <x:f>IF(COUNT(AD327,AC327)=2,AD327-AC327,"")</x:f>
        <x:v>-108</x:v>
      </x:c>
      <x:c r="AF327" s="10" t="n">
        <x:v>72</x:v>
      </x:c>
      <x:c r="AG327" s="10" t="n">
        <x:v>23</x:v>
      </x:c>
      <x:c r="AH327" s="10" t="n">
        <x:f>IF(COUNT(AG327,AF327)=2,AG327-AF327,"")</x:f>
        <x:v>-49</x:v>
      </x:c>
      <x:c r="AI327" s="10" t="n">
        <x:v>54</x:v>
      </x:c>
      <x:c r="AJ327" s="10" t="n">
        <x:v>13</x:v>
      </x:c>
      <x:c r="AK327" s="10" t="n">
        <x:f>IF(COUNT(AJ327,AI327)=2,AJ327-AI327,"")</x:f>
        <x:v>-41</x:v>
      </x:c>
      <x:c r="AL327" s="10" t="n">
        <x:v>27</x:v>
      </x:c>
      <x:c r="AM327" s="10" t="n">
        <x:v>27</x:v>
      </x:c>
      <x:c r="AN327" s="4" t="str">
        <x:v>C,LW</x:v>
      </x:c>
      <x:c r="AO327" s="4" t="str">
        <x:v>C</x:v>
      </x:c>
      <x:c r="AP327" s="4" t="str">
        <x:v>WSH</x:v>
      </x:c>
      <x:c r="AQ327" s="4" t="str">
        <x:v>WSH</x:v>
      </x:c>
      <x:c r="AR327" s="4" t="n">
        <x:v>17.18</x:v>
      </x:c>
      <x:c r="AS327" s="4" t="n">
        <x:v>16.816666666666666</x:v>
      </x:c>
      <x:c r="AT327" s="4" t="n">
        <x:v>2.08</x:v>
      </x:c>
      <x:c r="AU327" s="4" t="n">
        <x:v>11.9</x:v>
      </x:c>
      <x:c r="AV327" s="10" t="n">
        <x:v>3</x:v>
      </x:c>
      <x:c r="AW327" s="10" t="n">
        <x:v>3</x:v>
      </x:c>
      <x:c r="AX327" s="10" t="n">
        <x:v>0</x:v>
      </x:c>
      <x:c r="AY327" s="10" t="n">
        <x:v>0</x:v>
      </x:c>
      <x:c r="AZ327" s="10" t="n">
        <x:v>392</x:v>
      </x:c>
      <x:c r="BA327" s="10" t="n">
        <x:v>435</x:v>
      </x:c>
      <x:c r="BB327" s="4" t="n">
        <x:v>47.4</x:v>
      </x:c>
      <x:c r="BC327" s="4" t="n">
        <x:v>0.3</x:v>
      </x:c>
      <x:c r="BD327" s="10" t="n">
        <x:v>286</x:v>
      </x:c>
      <x:c r="BE327" s="10" t="n">
        <x:v>297</x:v>
      </x:c>
      <x:c r="BF327" s="4" t="n">
        <x:v>49.1</x:v>
      </x:c>
      <x:c r="BG327" s="4" t="n">
        <x:v>1.5</x:v>
      </x:c>
      <x:c r="BH327" s="4" t="n">
        <x:v>11.8</x:v>
      </x:c>
      <x:c r="BI327" s="4" t="n">
        <x:v>87</x:v>
      </x:c>
      <x:c r="BJ327" s="4" t="n">
        <x:v>98.9</x:v>
      </x:c>
      <x:c r="BK327" s="4" t="n">
        <x:v>44.4</x:v>
      </x:c>
      <x:c r="BL327" s="4" t="n">
        <x:v>55.6</x:v>
      </x:c>
      <x:c r="BM327" s="4" t="n">
        <x:v>16.816666666666666</x:v>
      </x:c>
      <x:c r="BN327" s="4" t="n">
        <x:v>14.35</x:v>
      </x:c>
      <x:c r="BO327" s="10" t="n">
        <x:v>5</x:v>
      </x:c>
      <x:c r="BP327" s="10" t="n">
        <x:v>28</x:v>
      </x:c>
      <x:c r="BQ327" s="4" t="n">
        <x:v>-0.6</x:v>
      </x:c>
      <x:c r="BR327" s="10" t="n">
        <x:v>87</x:v>
      </x:c>
      <x:c r="BS327" s="4" t="n">
        <x:v>48.3</x:v>
      </x:c>
      <x:c r="BT327" s="10" t="n">
        <x:v>29</x:v>
      </x:c>
      <x:c r="BU327" s="4" t="str">
        <x:v>WSH</x:v>
      </x:c>
      <x:c r="BV327" s="10" t="n">
        <x:v>117</x:v>
      </x:c>
      <x:c r="BW327" s="10" t="n">
        <x:v>474</x:v>
      </x:c>
      <x:c r="BX327" s="10" t="n">
        <x:v>242</x:v>
      </x:c>
      <x:c r="BY327" s="4" t="str">
        <x:v>Pierre-Luc Dubois</x:v>
      </x:c>
      <x:c r="BZ327" s="4" t="str">
        <x:v>Pierre-Luc Dubois</x:v>
      </x:c>
      <x:c r="CA327" s="4" t="str">
        <x:v>Pierre-Luc Dubois</x:v>
      </x:c>
      <x:c r="CB327" s="4" t="str">
        <x:v>duboipi01</x:v>
      </x:c>
    </x:row>
    <x:row r="328" ht="22" customHeight="1">
      <x:c r="A328" s="4" t="str">
        <x:v>Pius Suter</x:v>
      </x:c>
      <x:c r="B328" s="4" t="str">
        <x:v>piussuter</x:v>
      </x:c>
      <x:c r="C328" s="10" t="n">
        <x:v>1</x:v>
      </x:c>
      <x:c r="D328" s="10" t="n">
        <x:v>1</x:v>
      </x:c>
      <x:c r="E328" s="10" t="n">
        <x:v>1</x:v>
      </x:c>
      <x:c r="F328" s="4" t="n">
        <x:f>IF(COUNT(N328,Q328,T328,W328,Z328,AC328,AF328,AI328)=8,N328*Guide!$E$5+Q328*Guide!$E$6+T328*Guide!$E$7+W328*Guide!$E$8+Z328*Guide!$E$9+AC328*Guide!$E$10+AF328*Guide!$E$11+AI328*Guide!$E$12,"")</x:f>
        <x:v>226</x:v>
      </x:c>
      <x:c r="G328" s="4" t="n">
        <x:f>IF(COUNT(O328,R328,U328,X328,AA328,AD328,AG328,AJ328)=8,O328*Guide!$E$5+R328*Guide!$E$6+U328*Guide!$E$7+X328*Guide!$E$8+AA328*Guide!$E$9+AD328*Guide!$E$10+AG328*Guide!$E$11+AJ328*Guide!$E$12,"")</x:f>
        <x:v>175</x:v>
      </x:c>
      <x:c r="H328" s="4" t="n">
        <x:f>IF(COUNT(G328,F328)=2,G328-F328,"")</x:f>
        <x:v>-51</x:v>
      </x:c>
      <x:c r="I328" s="4" t="n">
        <x:f>IF(AND(ISNUMBER(F328),K328&gt;0),F328/K328,"")</x:f>
        <x:v>2.935064935064935</x:v>
      </x:c>
      <x:c r="J328" s="4" t="n">
        <x:f>IF(AND(ISNUMBER(G328),L328&gt;0),G328/L328,"")</x:f>
        <x:v>2.734375</x:v>
      </x:c>
      <x:c r="K328" s="10" t="n">
        <x:v>77</x:v>
      </x:c>
      <x:c r="L328" s="10" t="n">
        <x:v>64</x:v>
      </x:c>
      <x:c r="M328" s="10" t="n">
        <x:f>IF(COUNT(L328,K328)=2,L328-K328,"")</x:f>
        <x:v>-13</x:v>
      </x:c>
      <x:c r="N328" s="10" t="n">
        <x:v>20</x:v>
      </x:c>
      <x:c r="O328" s="10" t="n">
        <x:v>13</x:v>
      </x:c>
      <x:c r="P328" s="10" t="n">
        <x:f>IF(COUNT(O328,N328)=2,O328-N328,"")</x:f>
        <x:v>-7</x:v>
      </x:c>
      <x:c r="Q328" s="10" t="n">
        <x:v>19</x:v>
      </x:c>
      <x:c r="R328" s="10" t="n">
        <x:v>16</x:v>
      </x:c>
      <x:c r="S328" s="10" t="n">
        <x:f>IF(COUNT(R328,Q328)=2,R328-Q328,"")</x:f>
        <x:v>-3</x:v>
      </x:c>
      <x:c r="T328" s="10" t="n">
        <x:v>7</x:v>
      </x:c>
      <x:c r="U328" s="10" t="n">
        <x:v>13</x:v>
      </x:c>
      <x:c r="V328" s="10" t="n">
        <x:f>IF(COUNT(U328,T328)=2,U328-T328,"")</x:f>
        <x:v>6</x:v>
      </x:c>
      <x:c r="W328" s="10" t="n">
        <x:v>7</x:v>
      </x:c>
      <x:c r="X328" s="10" t="n">
        <x:f>IF(COUNT(AV328,AW328)=2,AV328+AW328,"")</x:f>
        <x:v>4</x:v>
      </x:c>
      <x:c r="Y328" s="10" t="n">
        <x:f>IF(COUNT(X328,W328)=2,X328-W328,"")</x:f>
        <x:v>-3</x:v>
      </x:c>
      <x:c r="Z328" s="10" t="n">
        <x:v>1</x:v>
      </x:c>
      <x:c r="AA328" s="10" t="n">
        <x:f>IF(COUNT(AX328,AY328)=2,AX328+AY328,"")</x:f>
        <x:v>2</x:v>
      </x:c>
      <x:c r="AB328" s="10" t="n">
        <x:f>IF(COUNT(AA328,Z328)=2,AA328-Z328,"")</x:f>
        <x:v>1</x:v>
      </x:c>
      <x:c r="AC328" s="10" t="n">
        <x:v>119</x:v>
      </x:c>
      <x:c r="AD328" s="10" t="n">
        <x:v>95</x:v>
      </x:c>
      <x:c r="AE328" s="10" t="n">
        <x:f>IF(COUNT(AD328,AC328)=2,AD328-AC328,"")</x:f>
        <x:v>-24</x:v>
      </x:c>
      <x:c r="AF328" s="10" t="n">
        <x:v>55</x:v>
      </x:c>
      <x:c r="AG328" s="10" t="n">
        <x:v>41</x:v>
      </x:c>
      <x:c r="AH328" s="10" t="n">
        <x:f>IF(COUNT(AG328,AF328)=2,AG328-AF328,"")</x:f>
        <x:v>-14</x:v>
      </x:c>
      <x:c r="AI328" s="10" t="n">
        <x:v>38</x:v>
      </x:c>
      <x:c r="AJ328" s="10" t="n">
        <x:v>24</x:v>
      </x:c>
      <x:c r="AK328" s="10" t="n">
        <x:f>IF(COUNT(AJ328,AI328)=2,AJ328-AI328,"")</x:f>
        <x:v>-14</x:v>
      </x:c>
      <x:c r="AL328" s="10" t="n">
        <x:v>29</x:v>
      </x:c>
      <x:c r="AM328" s="10" t="n">
        <x:v>29</x:v>
      </x:c>
      <x:c r="AN328" s="4" t="str">
        <x:v>C,LW</x:v>
      </x:c>
      <x:c r="AO328" s="4" t="str">
        <x:v>F</x:v>
      </x:c>
      <x:c r="AP328" s="4" t="str">
        <x:v>STL</x:v>
      </x:c>
      <x:c r="AQ328" s="4" t="str">
        <x:v>STL</x:v>
      </x:c>
      <x:c r="AR328" s="4" t="n">
        <x:v>16.770000000000003</x:v>
      </x:c>
      <x:c r="AS328" s="4" t="n">
        <x:v>15.9</x:v>
      </x:c>
      <x:c r="AT328" s="4" t="n">
        <x:v>1.39</x:v>
      </x:c>
      <x:c r="AU328" s="4" t="n">
        <x:v>13.7</x:v>
      </x:c>
      <x:c r="AV328" s="10" t="n">
        <x:v>1</x:v>
      </x:c>
      <x:c r="AW328" s="10" t="n">
        <x:v>3</x:v>
      </x:c>
      <x:c r="AX328" s="10" t="n">
        <x:v>1</x:v>
      </x:c>
      <x:c r="AY328" s="10" t="n">
        <x:v>1</x:v>
      </x:c>
      <x:c r="AZ328" s="10" t="n">
        <x:v>744</x:v>
      </x:c>
      <x:c r="BA328" s="10" t="n">
        <x:v>788</x:v>
      </x:c>
      <x:c r="BB328" s="4" t="n">
        <x:v>48.6</x:v>
      </x:c>
      <x:c r="BC328" s="4" t="n">
        <x:v>0</x:v>
      </x:c>
      <x:c r="BD328" s="10" t="n">
        <x:v>563</x:v>
      </x:c>
      <x:c r="BE328" s="10" t="n">
        <x:v>585</x:v>
      </x:c>
      <x:c r="BF328" s="4" t="n">
        <x:v>49</x:v>
      </x:c>
      <x:c r="BG328" s="4" t="n">
        <x:v>0.9</x:v>
      </x:c>
      <x:c r="BH328" s="4" t="n">
        <x:v>10.2</x:v>
      </x:c>
      <x:c r="BI328" s="4" t="n">
        <x:v>92.5</x:v>
      </x:c>
      <x:c r="BJ328" s="4" t="n">
        <x:v>102.7</x:v>
      </x:c>
      <x:c r="BK328" s="4" t="n">
        <x:v>42.3</x:v>
      </x:c>
      <x:c r="BL328" s="4" t="n">
        <x:v>57.7</x:v>
      </x:c>
      <x:c r="BM328" s="4" t="n">
        <x:v>15.9</x:v>
      </x:c>
      <x:c r="BN328" s="4" t="n">
        <x:v>13.033333333333333</x:v>
      </x:c>
      <x:c r="BO328" s="10" t="n">
        <x:v>13</x:v>
      </x:c>
      <x:c r="BP328" s="10" t="n">
        <x:v>34</x:v>
      </x:c>
      <x:c r="BQ328" s="4" t="n">
        <x:v>2.1</x:v>
      </x:c>
      <x:c r="BR328" s="10" t="n">
        <x:v>181</x:v>
      </x:c>
      <x:c r="BS328" s="4" t="n">
        <x:v>52.5</x:v>
      </x:c>
      <x:c r="BT328" s="10" t="n">
        <x:v>64</x:v>
      </x:c>
      <x:c r="BU328" s="4" t="str">
        <x:v>STL</x:v>
      </x:c>
      <x:c r="BV328" s="10" t="n">
        <x:v>264</x:v>
      </x:c>
      <x:c r="BW328" s="10" t="n">
        <x:v>349</x:v>
      </x:c>
      <x:c r="BX328" s="10" t="n">
        <x:v>997</x:v>
      </x:c>
      <x:c r="BY328" s="4" t="str">
        <x:v>Pius Suter</x:v>
      </x:c>
      <x:c r="BZ328" s="4" t="str">
        <x:v>Pius Suter</x:v>
      </x:c>
      <x:c r="CA328" s="4" t="str">
        <x:v>Pius Suter</x:v>
      </x:c>
      <x:c r="CB328" s="4" t="str">
        <x:v>suterpi01</x:v>
      </x:c>
    </x:row>
    <x:row r="329" ht="22" customHeight="1">
      <x:c r="A329" s="4" t="str">
        <x:v>Pontus Holmberg</x:v>
      </x:c>
      <x:c r="B329" s="4" t="str">
        <x:v>pontusholmberg</x:v>
      </x:c>
      <x:c r="C329" s="10" t="n">
        <x:v>1</x:v>
      </x:c>
      <x:c r="D329" s="10" t="n">
        <x:v>1</x:v>
      </x:c>
      <x:c r="E329" s="10" t="n">
        <x:v>1</x:v>
      </x:c>
      <x:c r="F329" s="4" t="n">
        <x:f>IF(COUNT(N329,Q329,T329,W329,Z329,AC329,AF329,AI329)=8,N329*Guide!$E$5+Q329*Guide!$E$6+T329*Guide!$E$7+W329*Guide!$E$8+Z329*Guide!$E$9+AC329*Guide!$E$10+AF329*Guide!$E$11+AI329*Guide!$E$12,"")</x:f>
        <x:v>165</x:v>
      </x:c>
      <x:c r="G329" s="4" t="n">
        <x:f>IF(COUNT(O329,R329,U329,X329,AA329,AD329,AG329,AJ329)=8,O329*Guide!$E$5+R329*Guide!$E$6+U329*Guide!$E$7+X329*Guide!$E$8+AA329*Guide!$E$9+AD329*Guide!$E$10+AG329*Guide!$E$11+AJ329*Guide!$E$12,"")</x:f>
        <x:v>140.25</x:v>
      </x:c>
      <x:c r="H329" s="4" t="n">
        <x:f>IF(COUNT(G329,F329)=2,G329-F329,"")</x:f>
        <x:v>-24.75</x:v>
      </x:c>
      <x:c r="I329" s="4" t="n">
        <x:f>IF(AND(ISNUMBER(F329),K329&gt;0),F329/K329,"")</x:f>
        <x:v>2.2916666666666665</x:v>
      </x:c>
      <x:c r="J329" s="4" t="n">
        <x:f>IF(AND(ISNUMBER(G329),L329&gt;0),G329/L329,"")</x:f>
        <x:v>2.0035714285714286</x:v>
      </x:c>
      <x:c r="K329" s="10" t="n">
        <x:v>72</x:v>
      </x:c>
      <x:c r="L329" s="10" t="n">
        <x:v>70</x:v>
      </x:c>
      <x:c r="M329" s="10" t="n">
        <x:f>IF(COUNT(L329,K329)=2,L329-K329,"")</x:f>
        <x:v>-2</x:v>
      </x:c>
      <x:c r="N329" s="10" t="n">
        <x:v>10</x:v>
      </x:c>
      <x:c r="O329" s="10" t="n">
        <x:v>11</x:v>
      </x:c>
      <x:c r="P329" s="10" t="n">
        <x:f>IF(COUNT(O329,N329)=2,O329-N329,"")</x:f>
        <x:v>1</x:v>
      </x:c>
      <x:c r="Q329" s="10" t="n">
        <x:v>15</x:v>
      </x:c>
      <x:c r="R329" s="10" t="n">
        <x:v>11</x:v>
      </x:c>
      <x:c r="S329" s="10" t="n">
        <x:f>IF(COUNT(R329,Q329)=2,R329-Q329,"")</x:f>
        <x:v>-4</x:v>
      </x:c>
      <x:c r="T329" s="10" t="n">
        <x:v>3</x:v>
      </x:c>
      <x:c r="U329" s="10" t="n">
        <x:v>1</x:v>
      </x:c>
      <x:c r="V329" s="10" t="n">
        <x:f>IF(COUNT(U329,T329)=2,U329-T329,"")</x:f>
        <x:v>-2</x:v>
      </x:c>
      <x:c r="W329" s="10" t="n">
        <x:v>2</x:v>
      </x:c>
      <x:c r="X329" s="10" t="n">
        <x:f>IF(COUNT(AV329,AW329)=2,AV329+AW329,"")</x:f>
        <x:v>0</x:v>
      </x:c>
      <x:c r="Y329" s="10" t="n">
        <x:f>IF(COUNT(X329,W329)=2,X329-W329,"")</x:f>
        <x:v>-2</x:v>
      </x:c>
      <x:c r="Z329" s="10" t="n">
        <x:v>1</x:v>
      </x:c>
      <x:c r="AA329" s="10" t="n">
        <x:f>IF(COUNT(AX329,AY329)=2,AX329+AY329,"")</x:f>
        <x:v>0</x:v>
      </x:c>
      <x:c r="AB329" s="10" t="n">
        <x:f>IF(COUNT(AA329,Z329)=2,AA329-Z329,"")</x:f>
        <x:v>-1</x:v>
      </x:c>
      <x:c r="AC329" s="10" t="n">
        <x:v>73</x:v>
      </x:c>
      <x:c r="AD329" s="10" t="n">
        <x:v>90</x:v>
      </x:c>
      <x:c r="AE329" s="10" t="n">
        <x:f>IF(COUNT(AD329,AC329)=2,AD329-AC329,"")</x:f>
        <x:v>17</x:v>
      </x:c>
      <x:c r="AF329" s="10" t="n">
        <x:v>53</x:v>
      </x:c>
      <x:c r="AG329" s="10" t="n">
        <x:v>66</x:v>
      </x:c>
      <x:c r="AH329" s="10" t="n">
        <x:f>IF(COUNT(AG329,AF329)=2,AG329-AF329,"")</x:f>
        <x:v>13</x:v>
      </x:c>
      <x:c r="AI329" s="10" t="n">
        <x:v>54</x:v>
      </x:c>
      <x:c r="AJ329" s="10" t="n">
        <x:v>31</x:v>
      </x:c>
      <x:c r="AK329" s="10" t="n">
        <x:f>IF(COUNT(AJ329,AI329)=2,AJ329-AI329,"")</x:f>
        <x:v>-23</x:v>
      </x:c>
      <x:c r="AL329" s="10" t="n">
        <x:v>26</x:v>
      </x:c>
      <x:c r="AM329" s="10" t="n">
        <x:v>26</x:v>
      </x:c>
      <x:c r="AN329" s="4" t="str">
        <x:v>RW</x:v>
      </x:c>
      <x:c r="AO329" s="4" t="str">
        <x:v>RW</x:v>
      </x:c>
      <x:c r="AP329" s="4" t="str">
        <x:v>TB</x:v>
      </x:c>
      <x:c r="AQ329" s="4" t="str">
        <x:v>TBL</x:v>
      </x:c>
      <x:c r="AR329" s="4" t="n">
        <x:v>12.629999999999999</x:v>
      </x:c>
      <x:c r="AS329" s="4" t="n">
        <x:v>13.35</x:v>
      </x:c>
      <x:c r="AT329" s="4" t="n">
        <x:v>0.29</x:v>
      </x:c>
      <x:c r="AU329" s="4" t="n">
        <x:v>12.2</x:v>
      </x:c>
      <x:c r="AV329" s="10" t="n">
        <x:v>0</x:v>
      </x:c>
      <x:c r="AW329" s="10" t="n">
        <x:v>0</x:v>
      </x:c>
      <x:c r="AX329" s="10" t="n">
        <x:v>0</x:v>
      </x:c>
      <x:c r="AY329" s="10" t="n">
        <x:v>0</x:v>
      </x:c>
      <x:c r="AZ329" s="10" t="n">
        <x:v>862</x:v>
      </x:c>
      <x:c r="BA329" s="10" t="n">
        <x:v>721</x:v>
      </x:c>
      <x:c r="BB329" s="4" t="n">
        <x:v>54.5</x:v>
      </x:c>
      <x:c r="BC329" s="4" t="n">
        <x:v>0.9</x:v>
      </x:c>
      <x:c r="BD329" s="10" t="n">
        <x:v>616</x:v>
      </x:c>
      <x:c r="BE329" s="10" t="n">
        <x:v>532</x:v>
      </x:c>
      <x:c r="BF329" s="4" t="n">
        <x:v>53.7</x:v>
      </x:c>
      <x:c r="BG329" s="4" t="n">
        <x:v>1</x:v>
      </x:c>
      <x:c r="BH329" s="4" t="n">
        <x:v>9.2</x:v>
      </x:c>
      <x:c r="BI329" s="4" t="n">
        <x:v>90.3</x:v>
      </x:c>
      <x:c r="BJ329" s="4" t="n">
        <x:v>99.4</x:v>
      </x:c>
      <x:c r="BK329" s="4" t="n">
        <x:v>38.9</x:v>
      </x:c>
      <x:c r="BL329" s="4" t="n">
        <x:v>61.1</x:v>
      </x:c>
      <x:c r="BM329" s="4" t="n">
        <x:v>13.35</x:v>
      </x:c>
      <x:c r="BN329" s="4" t="n">
        <x:v>13.05</x:v>
      </x:c>
      <x:c r="BO329" s="10" t="n">
        <x:v>12</x:v>
      </x:c>
      <x:c r="BP329" s="10" t="n">
        <x:v>46</x:v>
      </x:c>
      <x:c r="BQ329" s="4" t="n">
        <x:v>3.1</x:v>
      </x:c>
      <x:c r="BR329" s="10" t="n">
        <x:v>200</x:v>
      </x:c>
      <x:c r="BS329" s="4" t="n">
        <x:v>45.5</x:v>
      </x:c>
      <x:c r="BT329" s="10" t="n">
        <x:v>70</x:v>
      </x:c>
      <x:c r="BU329" s="4" t="str">
        <x:v>TBL</x:v>
      </x:c>
      <x:c r="BV329" s="10" t="n">
        <x:v>440</x:v>
      </x:c>
      <x:c r="BW329" s="10" t="n">
        <x:v>430</x:v>
      </x:c>
      <x:c r="BX329" s="10" t="n">
        <x:v>422</x:v>
      </x:c>
      <x:c r="BY329" s="4" t="str">
        <x:v>Pontus Holmberg</x:v>
      </x:c>
      <x:c r="BZ329" s="4" t="str">
        <x:v>Pontus Holmberg</x:v>
      </x:c>
      <x:c r="CA329" s="4" t="str">
        <x:v>Pontus Holmberg</x:v>
      </x:c>
      <x:c r="CB329" s="4" t="str">
        <x:v>holmbpo01</x:v>
      </x:c>
    </x:row>
    <x:row r="330" ht="22" customHeight="1">
      <x:c r="A330" s="4" t="str">
        <x:v>Quinn Hughes</x:v>
      </x:c>
      <x:c r="B330" s="4" t="str">
        <x:v>quinnhughes</x:v>
      </x:c>
      <x:c r="C330" s="10" t="n">
        <x:v>1</x:v>
      </x:c>
      <x:c r="D330" s="10" t="n">
        <x:v>1</x:v>
      </x:c>
      <x:c r="E330" s="10" t="n">
        <x:v>1</x:v>
      </x:c>
      <x:c r="F330" s="4" t="n">
        <x:f>IF(COUNT(N330,Q330,T330,W330,Z330,AC330,AF330,AI330)=8,N330*Guide!$E$5+Q330*Guide!$E$6+T330*Guide!$E$7+W330*Guide!$E$8+Z330*Guide!$E$9+AC330*Guide!$E$10+AF330*Guide!$E$11+AI330*Guide!$E$12,"")</x:f>
        <x:v>420.5</x:v>
      </x:c>
      <x:c r="G330" s="4" t="n">
        <x:f>IF(COUNT(O330,R330,U330,X330,AA330,AD330,AG330,AJ330)=8,O330*Guide!$E$5+R330*Guide!$E$6+U330*Guide!$E$7+X330*Guide!$E$8+AA330*Guide!$E$9+AD330*Guide!$E$10+AG330*Guide!$E$11+AJ330*Guide!$E$12,"")</x:f>
        <x:v>378.75</x:v>
      </x:c>
      <x:c r="H330" s="4" t="n">
        <x:f>IF(COUNT(G330,F330)=2,G330-F330,"")</x:f>
        <x:v>-41.75</x:v>
      </x:c>
      <x:c r="I330" s="4" t="n">
        <x:f>IF(AND(ISNUMBER(F330),K330&gt;0),F330/K330,"")</x:f>
        <x:v>5.532894736842105</x:v>
      </x:c>
      <x:c r="J330" s="4" t="n">
        <x:f>IF(AND(ISNUMBER(G330),L330&gt;0),G330/L330,"")</x:f>
        <x:v>5.118243243243243</x:v>
      </x:c>
      <x:c r="K330" s="10" t="n">
        <x:v>76</x:v>
      </x:c>
      <x:c r="L330" s="10" t="n">
        <x:v>74</x:v>
      </x:c>
      <x:c r="M330" s="10" t="n">
        <x:f>IF(COUNT(L330,K330)=2,L330-K330,"")</x:f>
        <x:v>-2</x:v>
      </x:c>
      <x:c r="N330" s="10" t="n">
        <x:v>15</x:v>
      </x:c>
      <x:c r="O330" s="10" t="n">
        <x:v>7</x:v>
      </x:c>
      <x:c r="P330" s="10" t="n">
        <x:f>IF(COUNT(O330,N330)=2,O330-N330,"")</x:f>
        <x:v>-8</x:v>
      </x:c>
      <x:c r="Q330" s="10" t="n">
        <x:v>66</x:v>
      </x:c>
      <x:c r="R330" s="10" t="n">
        <x:v>69</x:v>
      </x:c>
      <x:c r="S330" s="10" t="n">
        <x:f>IF(COUNT(R330,Q330)=2,R330-Q330,"")</x:f>
        <x:v>3</x:v>
      </x:c>
      <x:c r="T330" s="10" t="n">
        <x:v>19</x:v>
      </x:c>
      <x:c r="U330" s="10" t="n">
        <x:v>-4</x:v>
      </x:c>
      <x:c r="V330" s="10" t="n">
        <x:f>IF(COUNT(U330,T330)=2,U330-T330,"")</x:f>
        <x:v>-23</x:v>
      </x:c>
      <x:c r="W330" s="10" t="n">
        <x:v>34</x:v>
      </x:c>
      <x:c r="X330" s="10" t="n">
        <x:f>IF(COUNT(AV330,AW330)=2,AV330+AW330,"")</x:f>
        <x:v>34</x:v>
      </x:c>
      <x:c r="Y330" s="10" t="n">
        <x:f>IF(COUNT(X330,W330)=2,X330-W330,"")</x:f>
        <x:v>0</x:v>
      </x:c>
      <x:c r="Z330" s="10" t="n">
        <x:v>0</x:v>
      </x:c>
      <x:c r="AA330" s="10" t="n">
        <x:f>IF(COUNT(AX330,AY330)=2,AX330+AY330,"")</x:f>
        <x:v>0</x:v>
      </x:c>
      <x:c r="AB330" s="10" t="n">
        <x:f>IF(COUNT(AA330,Z330)=2,AA330-Z330,"")</x:f>
        <x:v>0</x:v>
      </x:c>
      <x:c r="AC330" s="10" t="n">
        <x:v>200</x:v>
      </x:c>
      <x:c r="AD330" s="10" t="n">
        <x:v>187</x:v>
      </x:c>
      <x:c r="AE330" s="10" t="n">
        <x:f>IF(COUNT(AD330,AC330)=2,AD330-AC330,"")</x:f>
        <x:v>-13</x:v>
      </x:c>
      <x:c r="AF330" s="10" t="n">
        <x:v>19</x:v>
      </x:c>
      <x:c r="AG330" s="10" t="n">
        <x:v>7</x:v>
      </x:c>
      <x:c r="AH330" s="10" t="n">
        <x:f>IF(COUNT(AG330,AF330)=2,AG330-AF330,"")</x:f>
        <x:v>-12</x:v>
      </x:c>
      <x:c r="AI330" s="10" t="n">
        <x:v>73</x:v>
      </x:c>
      <x:c r="AJ330" s="10" t="n">
        <x:v>87</x:v>
      </x:c>
      <x:c r="AK330" s="10" t="n">
        <x:f>IF(COUNT(AJ330,AI330)=2,AJ330-AI330,"")</x:f>
        <x:v>14</x:v>
      </x:c>
      <x:c r="AL330" s="10" t="n">
        <x:v>26</x:v>
      </x:c>
      <x:c r="AM330" s="10" t="n">
        <x:v>26</x:v>
      </x:c>
      <x:c r="AN330" s="4" t="str">
        <x:v>D</x:v>
      </x:c>
      <x:c r="AO330" s="4" t="str">
        <x:v>D</x:v>
      </x:c>
      <x:c r="AP330" s="4" t="str">
        <x:v>VAN</x:v>
      </x:c>
      <x:c r="AQ330" s="4" t="str">
        <x:v>2TM</x:v>
      </x:c>
      <x:c r="AR330" s="4" t="n">
        <x:v>25.720000000000002</x:v>
      </x:c>
      <x:c r="AS330" s="4" t="n">
        <x:v>27.733333333333334</x:v>
      </x:c>
      <x:c r="AT330" s="4" t="n">
        <x:v>3.69</x:v>
      </x:c>
      <x:c r="AU330" s="4" t="n">
        <x:v>3.7</x:v>
      </x:c>
      <x:c r="AV330" s="10" t="n">
        <x:v>2</x:v>
      </x:c>
      <x:c r="AW330" s="10" t="n">
        <x:v>32</x:v>
      </x:c>
      <x:c r="AX330" s="10" t="n">
        <x:v>0</x:v>
      </x:c>
      <x:c r="AY330" s="10" t="n">
        <x:v>0</x:v>
      </x:c>
      <x:c r="AZ330" s="10" t="n">
        <x:v>1906</x:v>
      </x:c>
      <x:c r="BA330" s="10" t="n">
        <x:v>1617</x:v>
      </x:c>
      <x:c r="BB330" s="4" t="n">
        <x:v>54.1</x:v>
      </x:c>
      <x:c r="BC330" s="4" t="n">
        <x:v>8.3</x:v>
      </x:c>
      <x:c r="BD330" s="10" t="n">
        <x:v>1389</x:v>
      </x:c>
      <x:c r="BE330" s="10" t="n">
        <x:v>1191</x:v>
      </x:c>
      <x:c r="BF330" s="4" t="n">
        <x:v>53.8</x:v>
      </x:c>
      <x:c r="BG330" s="4" t="n">
        <x:v>6.8</x:v>
      </x:c>
      <x:c r="BH330" s="4" t="n">
        <x:v>11.1</x:v>
      </x:c>
      <x:c r="BI330" s="4" t="n">
        <x:v>87.5</x:v>
      </x:c>
      <x:c r="BJ330" s="4" t="n">
        <x:v>98.6</x:v>
      </x:c>
      <x:c r="BK330" s="4" t="n">
        <x:v>56.5</x:v>
      </x:c>
      <x:c r="BL330" s="4" t="n">
        <x:v>43.5</x:v>
      </x:c>
      <x:c r="BM330" s="4" t="n">
        <x:v>27.733333333333334</x:v>
      </x:c>
      <x:c r="BN330" s="4" t="n">
        <x:v>23.45</x:v>
      </x:c>
      <x:c r="BO330" s="10" t="n">
        <x:v>34</x:v>
      </x:c>
      <x:c r="BP330" s="10" t="n">
        <x:v>116</x:v>
      </x:c>
      <x:c r="BQ330" s="4" t="n">
        <x:v>12.3</x:v>
      </x:c>
      <x:c r="BR330" s="10" t="n">
        <x:v>476</x:v>
      </x:c>
      <x:c r="BS330" s="4" t="n">
        <x:v>39.3</x:v>
      </x:c>
      <x:c r="BT330" s="10" t="n">
        <x:v>74</x:v>
      </x:c>
      <x:c r="BU330" s="4" t="str">
        <x:v>TOT</x:v>
      </x:c>
      <x:c r="BV330" s="10" t="n">
        <x:v>18</x:v>
      </x:c>
      <x:c r="BW330" s="10" t="n">
        <x:v>38</x:v>
      </x:c>
      <x:c r="BX330" s="10" t="n">
        <x:v>436</x:v>
      </x:c>
      <x:c r="BY330" s="4" t="str">
        <x:v>Quinn Hughes</x:v>
      </x:c>
      <x:c r="BZ330" s="4" t="str">
        <x:v>Quinn Hughes</x:v>
      </x:c>
      <x:c r="CA330" s="4" t="str">
        <x:v>Quinn Hughes</x:v>
      </x:c>
      <x:c r="CB330" s="4" t="str">
        <x:v>hughequ01</x:v>
      </x:c>
    </x:row>
    <x:row r="331" ht="22" customHeight="1">
      <x:c r="A331" s="4" t="str">
        <x:v>Quinton Byfield</x:v>
      </x:c>
      <x:c r="B331" s="4" t="str">
        <x:v>quintonbyfield</x:v>
      </x:c>
      <x:c r="C331" s="10" t="n">
        <x:v>1</x:v>
      </x:c>
      <x:c r="D331" s="10" t="n">
        <x:v>1</x:v>
      </x:c>
      <x:c r="E331" s="10" t="n">
        <x:v>1</x:v>
      </x:c>
      <x:c r="F331" s="4" t="n">
        <x:f>IF(COUNT(N331,Q331,T331,W331,Z331,AC331,AF331,AI331)=8,N331*Guide!$E$5+Q331*Guide!$E$6+T331*Guide!$E$7+W331*Guide!$E$8+Z331*Guide!$E$9+AC331*Guide!$E$10+AF331*Guide!$E$11+AI331*Guide!$E$12,"")</x:f>
        <x:v>308.5</x:v>
      </x:c>
      <x:c r="G331" s="4" t="n">
        <x:f>IF(COUNT(O331,R331,U331,X331,AA331,AD331,AG331,AJ331)=8,O331*Guide!$E$5+R331*Guide!$E$6+U331*Guide!$E$7+X331*Guide!$E$8+AA331*Guide!$E$9+AD331*Guide!$E$10+AG331*Guide!$E$11+AJ331*Guide!$E$12,"")</x:f>
        <x:v>277.5</x:v>
      </x:c>
      <x:c r="H331" s="4" t="n">
        <x:f>IF(COUNT(G331,F331)=2,G331-F331,"")</x:f>
        <x:v>-31</x:v>
      </x:c>
      <x:c r="I331" s="4" t="n">
        <x:f>IF(AND(ISNUMBER(F331),K331&gt;0),F331/K331,"")</x:f>
        <x:v>3.9551282051282053</x:v>
      </x:c>
      <x:c r="J331" s="4" t="n">
        <x:f>IF(AND(ISNUMBER(G331),L331&gt;0),G331/L331,"")</x:f>
        <x:v>3.5126582278481013</x:v>
      </x:c>
      <x:c r="K331" s="10" t="n">
        <x:v>78</x:v>
      </x:c>
      <x:c r="L331" s="10" t="n">
        <x:v>79</x:v>
      </x:c>
      <x:c r="M331" s="10" t="n">
        <x:f>IF(COUNT(L331,K331)=2,L331-K331,"")</x:f>
        <x:v>1</x:v>
      </x:c>
      <x:c r="N331" s="10" t="n">
        <x:v>24</x:v>
      </x:c>
      <x:c r="O331" s="10" t="n">
        <x:v>24</x:v>
      </x:c>
      <x:c r="P331" s="10" t="n">
        <x:f>IF(COUNT(O331,N331)=2,O331-N331,"")</x:f>
        <x:v>0</x:v>
      </x:c>
      <x:c r="Q331" s="10" t="n">
        <x:v>32</x:v>
      </x:c>
      <x:c r="R331" s="10" t="n">
        <x:v>25</x:v>
      </x:c>
      <x:c r="S331" s="10" t="n">
        <x:f>IF(COUNT(R331,Q331)=2,R331-Q331,"")</x:f>
        <x:v>-7</x:v>
      </x:c>
      <x:c r="T331" s="10" t="n">
        <x:v>14</x:v>
      </x:c>
      <x:c r="U331" s="10" t="n">
        <x:v>-2</x:v>
      </x:c>
      <x:c r="V331" s="10" t="n">
        <x:f>IF(COUNT(U331,T331)=2,U331-T331,"")</x:f>
        <x:v>-16</x:v>
      </x:c>
      <x:c r="W331" s="10" t="n">
        <x:v>14</x:v>
      </x:c>
      <x:c r="X331" s="10" t="n">
        <x:f>IF(COUNT(AV331,AW331)=2,AV331+AW331,"")</x:f>
        <x:v>11</x:v>
      </x:c>
      <x:c r="Y331" s="10" t="n">
        <x:f>IF(COUNT(X331,W331)=2,X331-W331,"")</x:f>
        <x:v>-3</x:v>
      </x:c>
      <x:c r="Z331" s="10" t="n">
        <x:v>1</x:v>
      </x:c>
      <x:c r="AA331" s="10" t="n">
        <x:f>IF(COUNT(AX331,AY331)=2,AX331+AY331,"")</x:f>
        <x:v>1</x:v>
      </x:c>
      <x:c r="AB331" s="10" t="n">
        <x:f>IF(COUNT(AA331,Z331)=2,AA331-Z331,"")</x:f>
        <x:v>0</x:v>
      </x:c>
      <x:c r="AC331" s="10" t="n">
        <x:v>164</x:v>
      </x:c>
      <x:c r="AD331" s="10" t="n">
        <x:v>180</x:v>
      </x:c>
      <x:c r="AE331" s="10" t="n">
        <x:f>IF(COUNT(AD331,AC331)=2,AD331-AC331,"")</x:f>
        <x:v>16</x:v>
      </x:c>
      <x:c r="AF331" s="10" t="n">
        <x:v>79</x:v>
      </x:c>
      <x:c r="AG331" s="10" t="n">
        <x:v>66</x:v>
      </x:c>
      <x:c r="AH331" s="10" t="n">
        <x:f>IF(COUNT(AG331,AF331)=2,AG331-AF331,"")</x:f>
        <x:v>-13</x:v>
      </x:c>
      <x:c r="AI331" s="10" t="n">
        <x:v>33</x:v>
      </x:c>
      <x:c r="AJ331" s="10" t="n">
        <x:v>44</x:v>
      </x:c>
      <x:c r="AK331" s="10" t="n">
        <x:f>IF(COUNT(AJ331,AI331)=2,AJ331-AI331,"")</x:f>
        <x:v>11</x:v>
      </x:c>
      <x:c r="AL331" s="10" t="n">
        <x:v>23</x:v>
      </x:c>
      <x:c r="AM331" s="10" t="n">
        <x:v>23</x:v>
      </x:c>
      <x:c r="AN331" s="4" t="str">
        <x:v>C,LW</x:v>
      </x:c>
      <x:c r="AO331" s="4" t="str">
        <x:v>C</x:v>
      </x:c>
      <x:c r="AP331" s="4" t="str">
        <x:v>LA</x:v>
      </x:c>
      <x:c r="AQ331" s="4" t="str">
        <x:v>LAK</x:v>
      </x:c>
      <x:c r="AR331" s="4" t="n">
        <x:v>18.78</x:v>
      </x:c>
      <x:c r="AS331" s="4" t="n">
        <x:v>20.016666666666666</x:v>
      </x:c>
      <x:c r="AT331" s="4" t="n">
        <x:v>2.54</x:v>
      </x:c>
      <x:c r="AU331" s="4" t="n">
        <x:v>13.3</x:v>
      </x:c>
      <x:c r="AV331" s="10" t="n">
        <x:v>4</x:v>
      </x:c>
      <x:c r="AW331" s="10" t="n">
        <x:v>7</x:v>
      </x:c>
      <x:c r="AX331" s="10" t="n">
        <x:v>0</x:v>
      </x:c>
      <x:c r="AY331" s="10" t="n">
        <x:v>1</x:v>
      </x:c>
      <x:c r="AZ331" s="10" t="n">
        <x:v>1370</x:v>
      </x:c>
      <x:c r="BA331" s="10" t="n">
        <x:v>1196</x:v>
      </x:c>
      <x:c r="BB331" s="4" t="n">
        <x:v>53.4</x:v>
      </x:c>
      <x:c r="BC331" s="4" t="n">
        <x:v>1.8</x:v>
      </x:c>
      <x:c r="BD331" s="10" t="n">
        <x:v>968</x:v>
      </x:c>
      <x:c r="BE331" s="10" t="n">
        <x:v>869</x:v>
      </x:c>
      <x:c r="BF331" s="4" t="n">
        <x:v>52.7</x:v>
      </x:c>
      <x:c r="BG331" s="4" t="n">
        <x:v>1.2</x:v>
      </x:c>
      <x:c r="BH331" s="4" t="n">
        <x:v>10.5</x:v>
      </x:c>
      <x:c r="BI331" s="4" t="n">
        <x:v>88.7</x:v>
      </x:c>
      <x:c r="BJ331" s="4" t="n">
        <x:v>99.1</x:v>
      </x:c>
      <x:c r="BK331" s="4" t="n">
        <x:v>45.4</x:v>
      </x:c>
      <x:c r="BL331" s="4" t="n">
        <x:v>54.6</x:v>
      </x:c>
      <x:c r="BM331" s="4" t="n">
        <x:v>20.016666666666666</x:v>
      </x:c>
      <x:c r="BN331" s="4" t="n">
        <x:v>15.9</x:v>
      </x:c>
      <x:c r="BO331" s="10" t="n">
        <x:v>37</x:v>
      </x:c>
      <x:c r="BP331" s="10" t="n">
        <x:v>74</x:v>
      </x:c>
      <x:c r="BQ331" s="4" t="n">
        <x:v>0.4</x:v>
      </x:c>
      <x:c r="BR331" s="10" t="n">
        <x:v>361</x:v>
      </x:c>
      <x:c r="BS331" s="4" t="n">
        <x:v>50.1</x:v>
      </x:c>
      <x:c r="BT331" s="10" t="n">
        <x:v>79</x:v>
      </x:c>
      <x:c r="BU331" s="4" t="str">
        <x:v>LAK</x:v>
      </x:c>
      <x:c r="BV331" s="10" t="n">
        <x:v>110</x:v>
      </x:c>
      <x:c r="BW331" s="10" t="n">
        <x:v>147</x:v>
      </x:c>
      <x:c r="BX331" s="10" t="n">
        <x:v>118</x:v>
      </x:c>
      <x:c r="BY331" s="4" t="str">
        <x:v>Quinton Byfield</x:v>
      </x:c>
      <x:c r="BZ331" s="4" t="str">
        <x:v>Quinton Byfield</x:v>
      </x:c>
      <x:c r="CA331" s="4" t="str">
        <x:v>Quinton Byfield</x:v>
      </x:c>
      <x:c r="CB331" s="4" t="str">
        <x:v>byfiequ01</x:v>
      </x:c>
    </x:row>
    <x:row r="332" ht="22" customHeight="1">
      <x:c r="A332" s="4" t="str">
        <x:v>Rasmus Andersson</x:v>
      </x:c>
      <x:c r="B332" s="4" t="str">
        <x:v>rasmusandersson</x:v>
      </x:c>
      <x:c r="C332" s="10" t="n">
        <x:v>1</x:v>
      </x:c>
      <x:c r="D332" s="10" t="n">
        <x:v>1</x:v>
      </x:c>
      <x:c r="E332" s="10" t="n">
        <x:v>1</x:v>
      </x:c>
      <x:c r="F332" s="4" t="n">
        <x:f>IF(COUNT(N332,Q332,T332,W332,Z332,AC332,AF332,AI332)=8,N332*Guide!$E$5+Q332*Guide!$E$6+T332*Guide!$E$7+W332*Guide!$E$8+Z332*Guide!$E$9+AC332*Guide!$E$10+AF332*Guide!$E$11+AI332*Guide!$E$12,"")</x:f>
        <x:v>304.5</x:v>
      </x:c>
      <x:c r="G332" s="4" t="n">
        <x:f>IF(COUNT(O332,R332,U332,X332,AA332,AD332,AG332,AJ332)=8,O332*Guide!$E$5+R332*Guide!$E$6+U332*Guide!$E$7+X332*Guide!$E$8+AA332*Guide!$E$9+AD332*Guide!$E$10+AG332*Guide!$E$11+AJ332*Guide!$E$12,"")</x:f>
        <x:v>343.5</x:v>
      </x:c>
      <x:c r="H332" s="4" t="n">
        <x:f>IF(COUNT(G332,F332)=2,G332-F332,"")</x:f>
        <x:v>39</x:v>
      </x:c>
      <x:c r="I332" s="4" t="n">
        <x:f>IF(AND(ISNUMBER(F332),K332&gt;0),F332/K332,"")</x:f>
        <x:v>3.80625</x:v>
      </x:c>
      <x:c r="J332" s="4" t="n">
        <x:f>IF(AND(ISNUMBER(G332),L332&gt;0),G332/L332,"")</x:f>
        <x:v>4.2407407407407405</x:v>
      </x:c>
      <x:c r="K332" s="10" t="n">
        <x:v>80</x:v>
      </x:c>
      <x:c r="L332" s="10" t="n">
        <x:v>81</x:v>
      </x:c>
      <x:c r="M332" s="10" t="n">
        <x:f>IF(COUNT(L332,K332)=2,L332-K332,"")</x:f>
        <x:v>1</x:v>
      </x:c>
      <x:c r="N332" s="10" t="n">
        <x:v>11</x:v>
      </x:c>
      <x:c r="O332" s="10" t="n">
        <x:v>17</x:v>
      </x:c>
      <x:c r="P332" s="10" t="n">
        <x:f>IF(COUNT(O332,N332)=2,O332-N332,"")</x:f>
        <x:v>6</x:v>
      </x:c>
      <x:c r="Q332" s="10" t="n">
        <x:v>29</x:v>
      </x:c>
      <x:c r="R332" s="10" t="n">
        <x:v>30</x:v>
      </x:c>
      <x:c r="S332" s="10" t="n">
        <x:f>IF(COUNT(R332,Q332)=2,R332-Q332,"")</x:f>
        <x:v>1</x:v>
      </x:c>
      <x:c r="T332" s="10" t="n">
        <x:v>-20</x:v>
      </x:c>
      <x:c r="U332" s="10" t="n">
        <x:v>4</x:v>
      </x:c>
      <x:c r="V332" s="10" t="n">
        <x:f>IF(COUNT(U332,T332)=2,U332-T332,"")</x:f>
        <x:v>24</x:v>
      </x:c>
      <x:c r="W332" s="10" t="n">
        <x:v>12</x:v>
      </x:c>
      <x:c r="X332" s="10" t="n">
        <x:f>IF(COUNT(AV332,AW332)=2,AV332+AW332,"")</x:f>
        <x:v>13</x:v>
      </x:c>
      <x:c r="Y332" s="10" t="n">
        <x:f>IF(COUNT(X332,W332)=2,X332-W332,"")</x:f>
        <x:v>1</x:v>
      </x:c>
      <x:c r="Z332" s="10" t="n">
        <x:v>1</x:v>
      </x:c>
      <x:c r="AA332" s="10" t="n">
        <x:f>IF(COUNT(AX332,AY332)=2,AX332+AY332,"")</x:f>
        <x:v>1</x:v>
      </x:c>
      <x:c r="AB332" s="10" t="n">
        <x:f>IF(COUNT(AA332,Z332)=2,AA332-Z332,"")</x:f>
        <x:v>0</x:v>
      </x:c>
      <x:c r="AC332" s="10" t="n">
        <x:v>157</x:v>
      </x:c>
      <x:c r="AD332" s="10" t="n">
        <x:v>178</x:v>
      </x:c>
      <x:c r="AE332" s="10" t="n">
        <x:f>IF(COUNT(AD332,AC332)=2,AD332-AC332,"")</x:f>
        <x:v>21</x:v>
      </x:c>
      <x:c r="AF332" s="10" t="n">
        <x:v>35</x:v>
      </x:c>
      <x:c r="AG332" s="10" t="n">
        <x:v>37</x:v>
      </x:c>
      <x:c r="AH332" s="10" t="n">
        <x:f>IF(COUNT(AG332,AF332)=2,AG332-AF332,"")</x:f>
        <x:v>2</x:v>
      </x:c>
      <x:c r="AI332" s="10" t="n">
        <x:v>174</x:v>
      </x:c>
      <x:c r="AJ332" s="10" t="n">
        <x:v>149</x:v>
      </x:c>
      <x:c r="AK332" s="10" t="n">
        <x:f>IF(COUNT(AJ332,AI332)=2,AJ332-AI332,"")</x:f>
        <x:v>-25</x:v>
      </x:c>
      <x:c r="AL332" s="10" t="n">
        <x:v>29</x:v>
      </x:c>
      <x:c r="AM332" s="10" t="n">
        <x:v>29</x:v>
      </x:c>
      <x:c r="AN332" s="4" t="str">
        <x:v>D</x:v>
      </x:c>
      <x:c r="AO332" s="4" t="str">
        <x:v>D</x:v>
      </x:c>
      <x:c r="AP332" s="4" t="str">
        <x:v>CGY</x:v>
      </x:c>
      <x:c r="AQ332" s="4" t="str">
        <x:v>2TM</x:v>
      </x:c>
      <x:c r="AR332" s="4" t="n">
        <x:v>23.9</x:v>
      </x:c>
      <x:c r="AS332" s="4" t="n">
        <x:v>23.2</x:v>
      </x:c>
      <x:c r="AT332" s="4" t="n">
        <x:v>2.07</x:v>
      </x:c>
      <x:c r="AU332" s="4" t="n">
        <x:v>9.6</x:v>
      </x:c>
      <x:c r="AV332" s="10" t="n">
        <x:v>6</x:v>
      </x:c>
      <x:c r="AW332" s="10" t="n">
        <x:v>7</x:v>
      </x:c>
      <x:c r="AX332" s="10" t="n">
        <x:v>1</x:v>
      </x:c>
      <x:c r="AY332" s="10" t="n">
        <x:v>0</x:v>
      </x:c>
      <x:c r="AZ332" s="10" t="n">
        <x:v>1491</x:v>
      </x:c>
      <x:c r="BA332" s="10" t="n">
        <x:v>1502</x:v>
      </x:c>
      <x:c r="BB332" s="4" t="n">
        <x:v>49.8</x:v>
      </x:c>
      <x:c r="BC332" s="4" t="n">
        <x:v>-3.9</x:v>
      </x:c>
      <x:c r="BD332" s="10" t="n">
        <x:v>1072</x:v>
      </x:c>
      <x:c r="BE332" s="10" t="n">
        <x:v>1086</x:v>
      </x:c>
      <x:c r="BF332" s="4" t="n">
        <x:v>49.7</x:v>
      </x:c>
      <x:c r="BG332" s="4" t="n">
        <x:v>-3.7</x:v>
      </x:c>
      <x:c r="BH332" s="4" t="n">
        <x:v>10.4</x:v>
      </x:c>
      <x:c r="BI332" s="4" t="n">
        <x:v>89.5</x:v>
      </x:c>
      <x:c r="BJ332" s="4" t="n">
        <x:v>99.9</x:v>
      </x:c>
      <x:c r="BK332" s="4" t="n">
        <x:v>52.2</x:v>
      </x:c>
      <x:c r="BL332" s="4" t="n">
        <x:v>47.8</x:v>
      </x:c>
      <x:c r="BM332" s="4" t="n">
        <x:v>23.2</x:v>
      </x:c>
      <x:c r="BN332" s="4" t="n">
        <x:v>18.966666666666665</x:v>
      </x:c>
      <x:c r="BO332" s="10" t="n">
        <x:v>27</x:v>
      </x:c>
      <x:c r="BP332" s="10" t="n">
        <x:v>102</x:v>
      </x:c>
      <x:c r="BQ332" s="4" t="n">
        <x:v>1</x:v>
      </x:c>
      <x:c r="BR332" s="10" t="n">
        <x:v>402</x:v>
      </x:c>
      <x:c r="BS332" s="4" t="n">
        <x:v>44.3</x:v>
      </x:c>
      <x:c r="BT332" s="10" t="n">
        <x:v>81</x:v>
      </x:c>
      <x:c r="BU332" s="4" t="str">
        <x:v>TOT</x:v>
      </x:c>
      <x:c r="BV332" s="10" t="n">
        <x:v>241</x:v>
      </x:c>
      <x:c r="BW332" s="10" t="n">
        <x:v>164</x:v>
      </x:c>
      <x:c r="BX332" s="10" t="n">
        <x:v>13</x:v>
      </x:c>
      <x:c r="BY332" s="4" t="str">
        <x:v>Rasmus Andersson</x:v>
      </x:c>
      <x:c r="BZ332" s="4" t="str">
        <x:v>Rasmus Andersson</x:v>
      </x:c>
      <x:c r="CA332" s="4" t="str">
        <x:v>Rasmus Andersson</x:v>
      </x:c>
      <x:c r="CB332" s="4" t="str">
        <x:v>anderra01</x:v>
      </x:c>
    </x:row>
    <x:row r="333" ht="22" customHeight="1">
      <x:c r="A333" s="4" t="str">
        <x:v>Rasmus Dahlin</x:v>
      </x:c>
      <x:c r="B333" s="4" t="str">
        <x:v>rasmusdahlin</x:v>
      </x:c>
      <x:c r="C333" s="10" t="n">
        <x:v>1</x:v>
      </x:c>
      <x:c r="D333" s="10" t="n">
        <x:v>1</x:v>
      </x:c>
      <x:c r="E333" s="10" t="n">
        <x:v>1</x:v>
      </x:c>
      <x:c r="F333" s="4" t="n">
        <x:f>IF(COUNT(N333,Q333,T333,W333,Z333,AC333,AF333,AI333)=8,N333*Guide!$E$5+Q333*Guide!$E$6+T333*Guide!$E$7+W333*Guide!$E$8+Z333*Guide!$E$9+AC333*Guide!$E$10+AF333*Guide!$E$11+AI333*Guide!$E$12,"")</x:f>
        <x:v>392</x:v>
      </x:c>
      <x:c r="G333" s="4" t="n">
        <x:f>IF(COUNT(O333,R333,U333,X333,AA333,AD333,AG333,AJ333)=8,O333*Guide!$E$5+R333*Guide!$E$6+U333*Guide!$E$7+X333*Guide!$E$8+AA333*Guide!$E$9+AD333*Guide!$E$10+AG333*Guide!$E$11+AJ333*Guide!$E$12,"")</x:f>
        <x:v>405.75</x:v>
      </x:c>
      <x:c r="H333" s="4" t="n">
        <x:f>IF(COUNT(G333,F333)=2,G333-F333,"")</x:f>
        <x:v>13.75</x:v>
      </x:c>
      <x:c r="I333" s="4" t="n">
        <x:f>IF(AND(ISNUMBER(F333),K333&gt;0),F333/K333,"")</x:f>
        <x:v>5.157894736842105</x:v>
      </x:c>
      <x:c r="J333" s="4" t="n">
        <x:f>IF(AND(ISNUMBER(G333),L333&gt;0),G333/L333,"")</x:f>
        <x:v>5.26948051948052</x:v>
      </x:c>
      <x:c r="K333" s="10" t="n">
        <x:v>76</x:v>
      </x:c>
      <x:c r="L333" s="10" t="n">
        <x:v>77</x:v>
      </x:c>
      <x:c r="M333" s="10" t="n">
        <x:f>IF(COUNT(L333,K333)=2,L333-K333,"")</x:f>
        <x:v>1</x:v>
      </x:c>
      <x:c r="N333" s="10" t="n">
        <x:v>16</x:v>
      </x:c>
      <x:c r="O333" s="10" t="n">
        <x:v>19</x:v>
      </x:c>
      <x:c r="P333" s="10" t="n">
        <x:f>IF(COUNT(O333,N333)=2,O333-N333,"")</x:f>
        <x:v>3</x:v>
      </x:c>
      <x:c r="Q333" s="10" t="n">
        <x:v>47</x:v>
      </x:c>
      <x:c r="R333" s="10" t="n">
        <x:v>55</x:v>
      </x:c>
      <x:c r="S333" s="10" t="n">
        <x:f>IF(COUNT(R333,Q333)=2,R333-Q333,"")</x:f>
        <x:v>8</x:v>
      </x:c>
      <x:c r="T333" s="10" t="n">
        <x:v>3</x:v>
      </x:c>
      <x:c r="U333" s="10" t="n">
        <x:v>18</x:v>
      </x:c>
      <x:c r="V333" s="10" t="n">
        <x:f>IF(COUNT(U333,T333)=2,U333-T333,"")</x:f>
        <x:v>15</x:v>
      </x:c>
      <x:c r="W333" s="10" t="n">
        <x:v>22</x:v>
      </x:c>
      <x:c r="X333" s="10" t="n">
        <x:f>IF(COUNT(AV333,AW333)=2,AV333+AW333,"")</x:f>
        <x:v>22</x:v>
      </x:c>
      <x:c r="Y333" s="10" t="n">
        <x:f>IF(COUNT(X333,W333)=2,X333-W333,"")</x:f>
        <x:v>0</x:v>
      </x:c>
      <x:c r="Z333" s="10" t="n">
        <x:v>0</x:v>
      </x:c>
      <x:c r="AA333" s="10" t="n">
        <x:f>IF(COUNT(AX333,AY333)=2,AX333+AY333,"")</x:f>
        <x:v>0</x:v>
      </x:c>
      <x:c r="AB333" s="10" t="n">
        <x:f>IF(COUNT(AA333,Z333)=2,AA333-Z333,"")</x:f>
        <x:v>0</x:v>
      </x:c>
      <x:c r="AC333" s="10" t="n">
        <x:v>199</x:v>
      </x:c>
      <x:c r="AD333" s="10" t="n">
        <x:v>195</x:v>
      </x:c>
      <x:c r="AE333" s="10" t="n">
        <x:f>IF(COUNT(AD333,AC333)=2,AD333-AC333,"")</x:f>
        <x:v>-4</x:v>
      </x:c>
      <x:c r="AF333" s="10" t="n">
        <x:v>107</x:v>
      </x:c>
      <x:c r="AG333" s="10" t="n">
        <x:v>67</x:v>
      </x:c>
      <x:c r="AH333" s="10" t="n">
        <x:f>IF(COUNT(AG333,AF333)=2,AG333-AF333,"")</x:f>
        <x:v>-40</x:v>
      </x:c>
      <x:c r="AI333" s="10" t="n">
        <x:v>114</x:v>
      </x:c>
      <x:c r="AJ333" s="10" t="n">
        <x:v>79</x:v>
      </x:c>
      <x:c r="AK333" s="10" t="n">
        <x:f>IF(COUNT(AJ333,AI333)=2,AJ333-AI333,"")</x:f>
        <x:v>-35</x:v>
      </x:c>
      <x:c r="AL333" s="10" t="n">
        <x:v>25</x:v>
      </x:c>
      <x:c r="AM333" s="10" t="n">
        <x:v>25</x:v>
      </x:c>
      <x:c r="AN333" s="4" t="str">
        <x:v>D</x:v>
      </x:c>
      <x:c r="AO333" s="4" t="str">
        <x:v>D</x:v>
      </x:c>
      <x:c r="AP333" s="4" t="str">
        <x:v>BUF</x:v>
      </x:c>
      <x:c r="AQ333" s="4" t="str">
        <x:v>BUF</x:v>
      </x:c>
      <x:c r="AR333" s="4" t="n">
        <x:v>24.46</x:v>
      </x:c>
      <x:c r="AS333" s="4" t="n">
        <x:v>24.183333333333334</x:v>
      </x:c>
      <x:c r="AT333" s="4" t="n">
        <x:v>3.1</x:v>
      </x:c>
      <x:c r="AU333" s="4" t="n">
        <x:v>9.7</x:v>
      </x:c>
      <x:c r="AV333" s="10" t="n">
        <x:v>6</x:v>
      </x:c>
      <x:c r="AW333" s="10" t="n">
        <x:v>16</x:v>
      </x:c>
      <x:c r="AX333" s="10" t="n">
        <x:v>0</x:v>
      </x:c>
      <x:c r="AY333" s="10" t="n">
        <x:v>0</x:v>
      </x:c>
      <x:c r="AZ333" s="10" t="n">
        <x:v>1549</x:v>
      </x:c>
      <x:c r="BA333" s="10" t="n">
        <x:v>1455</x:v>
      </x:c>
      <x:c r="BB333" s="4" t="n">
        <x:v>51.6</x:v>
      </x:c>
      <x:c r="BC333" s="4" t="n">
        <x:v>3.8</x:v>
      </x:c>
      <x:c r="BD333" s="10" t="n">
        <x:v>1144</x:v>
      </x:c>
      <x:c r="BE333" s="10" t="n">
        <x:v>1071</x:v>
      </x:c>
      <x:c r="BF333" s="4" t="n">
        <x:v>51.6</x:v>
      </x:c>
      <x:c r="BG333" s="4" t="n">
        <x:v>3.1</x:v>
      </x:c>
      <x:c r="BH333" s="4" t="n">
        <x:v>12.1</x:v>
      </x:c>
      <x:c r="BI333" s="4" t="n">
        <x:v>89.4</x:v>
      </x:c>
      <x:c r="BJ333" s="4" t="n">
        <x:v>101.5</x:v>
      </x:c>
      <x:c r="BK333" s="4" t="n">
        <x:v>51.4</x:v>
      </x:c>
      <x:c r="BL333" s="4" t="n">
        <x:v>48.6</x:v>
      </x:c>
      <x:c r="BM333" s="4" t="n">
        <x:v>24.183333333333334</x:v>
      </x:c>
      <x:c r="BN333" s="4" t="n">
        <x:v>19.916666666666668</x:v>
      </x:c>
      <x:c r="BO333" s="10" t="n">
        <x:v>32</x:v>
      </x:c>
      <x:c r="BP333" s="10" t="n">
        <x:v>115</x:v>
      </x:c>
      <x:c r="BQ333" s="4" t="n">
        <x:v>10.9</x:v>
      </x:c>
      <x:c r="BR333" s="10" t="n">
        <x:v>437</x:v>
      </x:c>
      <x:c r="BS333" s="4" t="n">
        <x:v>44.9</x:v>
      </x:c>
      <x:c r="BT333" s="10" t="n">
        <x:v>77</x:v>
      </x:c>
      <x:c r="BU333" s="4" t="str">
        <x:v>BUF</x:v>
      </x:c>
      <x:c r="BV333" s="10" t="n">
        <x:v>76</x:v>
      </x:c>
      <x:c r="BW333" s="10" t="n">
        <x:v>44</x:v>
      </x:c>
      <x:c r="BX333" s="10" t="n">
        <x:v>194</x:v>
      </x:c>
      <x:c r="BY333" s="4" t="str">
        <x:v>Rasmus Dahlin</x:v>
      </x:c>
      <x:c r="BZ333" s="4" t="str">
        <x:v>Rasmus Dahlin</x:v>
      </x:c>
      <x:c r="CA333" s="4" t="str">
        <x:v>Rasmus Dahlin</x:v>
      </x:c>
      <x:c r="CB333" s="4" t="str">
        <x:v>dahlira01</x:v>
      </x:c>
    </x:row>
    <x:row r="334" ht="22" customHeight="1">
      <x:c r="A334" s="4" t="str">
        <x:v>Rasmus Sandin</x:v>
      </x:c>
      <x:c r="B334" s="4" t="str">
        <x:v>rasmussandin</x:v>
      </x:c>
      <x:c r="C334" s="10" t="n">
        <x:v>1</x:v>
      </x:c>
      <x:c r="D334" s="10" t="n">
        <x:v>1</x:v>
      </x:c>
      <x:c r="E334" s="10" t="n">
        <x:v>1</x:v>
      </x:c>
      <x:c r="F334" s="4" t="n">
        <x:f>IF(COUNT(N334,Q334,T334,W334,Z334,AC334,AF334,AI334)=8,N334*Guide!$E$5+Q334*Guide!$E$6+T334*Guide!$E$7+W334*Guide!$E$8+Z334*Guide!$E$9+AC334*Guide!$E$10+AF334*Guide!$E$11+AI334*Guide!$E$12,"")</x:f>
        <x:v>240</x:v>
      </x:c>
      <x:c r="G334" s="4" t="n">
        <x:f>IF(COUNT(O334,R334,U334,X334,AA334,AD334,AG334,AJ334)=8,O334*Guide!$E$5+R334*Guide!$E$6+U334*Guide!$E$7+X334*Guide!$E$8+AA334*Guide!$E$9+AD334*Guide!$E$10+AG334*Guide!$E$11+AJ334*Guide!$E$12,"")</x:f>
        <x:v>236.75</x:v>
      </x:c>
      <x:c r="H334" s="4" t="n">
        <x:f>IF(COUNT(G334,F334)=2,G334-F334,"")</x:f>
        <x:v>-3.25</x:v>
      </x:c>
      <x:c r="I334" s="4" t="n">
        <x:f>IF(AND(ISNUMBER(F334),K334&gt;0),F334/K334,"")</x:f>
        <x:v>3</x:v>
      </x:c>
      <x:c r="J334" s="4" t="n">
        <x:f>IF(AND(ISNUMBER(G334),L334&gt;0),G334/L334,"")</x:f>
        <x:v>3.243150684931507</x:v>
      </x:c>
      <x:c r="K334" s="10" t="n">
        <x:v>80</x:v>
      </x:c>
      <x:c r="L334" s="10" t="n">
        <x:v>73</x:v>
      </x:c>
      <x:c r="M334" s="10" t="n">
        <x:f>IF(COUNT(L334,K334)=2,L334-K334,"")</x:f>
        <x:v>-7</x:v>
      </x:c>
      <x:c r="N334" s="10" t="n">
        <x:v>6</x:v>
      </x:c>
      <x:c r="O334" s="10" t="n">
        <x:v>5</x:v>
      </x:c>
      <x:c r="P334" s="10" t="n">
        <x:f>IF(COUNT(O334,N334)=2,O334-N334,"")</x:f>
        <x:v>-1</x:v>
      </x:c>
      <x:c r="Q334" s="10" t="n">
        <x:v>25</x:v>
      </x:c>
      <x:c r="R334" s="10" t="n">
        <x:v>24</x:v>
      </x:c>
      <x:c r="S334" s="10" t="n">
        <x:f>IF(COUNT(R334,Q334)=2,R334-Q334,"")</x:f>
        <x:v>-1</x:v>
      </x:c>
      <x:c r="T334" s="10" t="n">
        <x:v>6</x:v>
      </x:c>
      <x:c r="U334" s="10" t="n">
        <x:v>4</x:v>
      </x:c>
      <x:c r="V334" s="10" t="n">
        <x:f>IF(COUNT(U334,T334)=2,U334-T334,"")</x:f>
        <x:v>-2</x:v>
      </x:c>
      <x:c r="W334" s="10" t="n">
        <x:v>5</x:v>
      </x:c>
      <x:c r="X334" s="10" t="n">
        <x:f>IF(COUNT(AV334,AW334)=2,AV334+AW334,"")</x:f>
        <x:v>1</x:v>
      </x:c>
      <x:c r="Y334" s="10" t="n">
        <x:f>IF(COUNT(X334,W334)=2,X334-W334,"")</x:f>
        <x:v>-4</x:v>
      </x:c>
      <x:c r="Z334" s="10" t="n">
        <x:v>0</x:v>
      </x:c>
      <x:c r="AA334" s="10" t="n">
        <x:f>IF(COUNT(AX334,AY334)=2,AX334+AY334,"")</x:f>
        <x:v>0</x:v>
      </x:c>
      <x:c r="AB334" s="10" t="n">
        <x:f>IF(COUNT(AA334,Z334)=2,AA334-Z334,"")</x:f>
        <x:v>0</x:v>
      </x:c>
      <x:c r="AC334" s="10" t="n">
        <x:v>88</x:v>
      </x:c>
      <x:c r="AD334" s="10" t="n">
        <x:v>90</x:v>
      </x:c>
      <x:c r="AE334" s="10" t="n">
        <x:f>IF(COUNT(AD334,AC334)=2,AD334-AC334,"")</x:f>
        <x:v>2</x:v>
      </x:c>
      <x:c r="AF334" s="10" t="n">
        <x:v>87</x:v>
      </x:c>
      <x:c r="AG334" s="10" t="n">
        <x:v>88</x:v>
      </x:c>
      <x:c r="AH334" s="10" t="n">
        <x:f>IF(COUNT(AG334,AF334)=2,AG334-AF334,"")</x:f>
        <x:v>1</x:v>
      </x:c>
      <x:c r="AI334" s="10" t="n">
        <x:v>115</x:v>
      </x:c>
      <x:c r="AJ334" s="10" t="n">
        <x:v>127</x:v>
      </x:c>
      <x:c r="AK334" s="10" t="n">
        <x:f>IF(COUNT(AJ334,AI334)=2,AJ334-AI334,"")</x:f>
        <x:v>12</x:v>
      </x:c>
      <x:c r="AL334" s="10" t="n">
        <x:v>25</x:v>
      </x:c>
      <x:c r="AM334" s="10" t="n">
        <x:v>25</x:v>
      </x:c>
      <x:c r="AN334" s="4" t="str">
        <x:v>D</x:v>
      </x:c>
      <x:c r="AO334" s="4" t="str">
        <x:v>D</x:v>
      </x:c>
      <x:c r="AP334" s="4" t="str">
        <x:v>WSH</x:v>
      </x:c>
      <x:c r="AQ334" s="4" t="str">
        <x:v>WSH</x:v>
      </x:c>
      <x:c r="AR334" s="4" t="n">
        <x:v>19.43</x:v>
      </x:c>
      <x:c r="AS334" s="4" t="n">
        <x:v>19.2</x:v>
      </x:c>
      <x:c r="AT334" s="4" t="n">
        <x:v>0.91</x:v>
      </x:c>
      <x:c r="AU334" s="4" t="n">
        <x:v>5.6</x:v>
      </x:c>
      <x:c r="AV334" s="10" t="n">
        <x:v>0</x:v>
      </x:c>
      <x:c r="AW334" s="10" t="n">
        <x:v>1</x:v>
      </x:c>
      <x:c r="AX334" s="10" t="n">
        <x:v>0</x:v>
      </x:c>
      <x:c r="AY334" s="10" t="n">
        <x:v>0</x:v>
      </x:c>
      <x:c r="AZ334" s="10" t="n">
        <x:v>1124</x:v>
      </x:c>
      <x:c r="BA334" s="10" t="n">
        <x:v>1250</x:v>
      </x:c>
      <x:c r="BB334" s="4" t="n">
        <x:v>47.3</x:v>
      </x:c>
      <x:c r="BC334" s="4" t="n">
        <x:v>-3.1</x:v>
      </x:c>
      <x:c r="BD334" s="10" t="n">
        <x:v>811</x:v>
      </x:c>
      <x:c r="BE334" s="10" t="n">
        <x:v>854</x:v>
      </x:c>
      <x:c r="BF334" s="4" t="n">
        <x:v>48.7</x:v>
      </x:c>
      <x:c r="BG334" s="4" t="n">
        <x:v>-2.8</x:v>
      </x:c>
      <x:c r="BH334" s="4" t="n">
        <x:v>11.7</x:v>
      </x:c>
      <x:c r="BI334" s="4" t="n">
        <x:v>89.9</x:v>
      </x:c>
      <x:c r="BJ334" s="4" t="n">
        <x:v>101.6</x:v>
      </x:c>
      <x:c r="BK334" s="4" t="n">
        <x:v>48.3</x:v>
      </x:c>
      <x:c r="BL334" s="4" t="n">
        <x:v>51.7</x:v>
      </x:c>
      <x:c r="BM334" s="4" t="n">
        <x:v>19.2</x:v>
      </x:c>
      <x:c r="BN334" s="4" t="n">
        <x:v>16.966666666666665</x:v>
      </x:c>
      <x:c r="BO334" s="10" t="n">
        <x:v>32</x:v>
      </x:c>
      <x:c r="BP334" s="10" t="n">
        <x:v>89</x:v>
      </x:c>
      <x:c r="BQ334" s="4" t="n">
        <x:v>-3.4</x:v>
      </x:c>
      <x:c r="BR334" s="10" t="n">
        <x:v>194</x:v>
      </x:c>
      <x:c r="BS334" s="4" t="n">
        <x:v>46.4</x:v>
      </x:c>
      <x:c r="BT334" s="10" t="n">
        <x:v>73</x:v>
      </x:c>
      <x:c r="BU334" s="4" t="str">
        <x:v>WSH</x:v>
      </x:c>
      <x:c r="BV334" s="10" t="n">
        <x:v>356</x:v>
      </x:c>
      <x:c r="BW334" s="10" t="n">
        <x:v>347</x:v>
      </x:c>
      <x:c r="BX334" s="10" t="n">
        <x:v>895</x:v>
      </x:c>
      <x:c r="BY334" s="4" t="str">
        <x:v>Rasmus Sandin</x:v>
      </x:c>
      <x:c r="BZ334" s="4" t="str">
        <x:v>Rasmus Sandin</x:v>
      </x:c>
      <x:c r="CA334" s="4" t="str">
        <x:v>Rasmus Sandin</x:v>
      </x:c>
      <x:c r="CB334" s="4" t="str">
        <x:v>sandira01</x:v>
      </x:c>
    </x:row>
    <x:row r="335" ht="22" customHeight="1">
      <x:c r="A335" s="4" t="str">
        <x:v>Reilly Smith</x:v>
      </x:c>
      <x:c r="B335" s="4" t="str">
        <x:v>reillysmith</x:v>
      </x:c>
      <x:c r="C335" s="10" t="n">
        <x:v>1</x:v>
      </x:c>
      <x:c r="D335" s="10" t="n">
        <x:v>1</x:v>
      </x:c>
      <x:c r="E335" s="10" t="n">
        <x:v>1</x:v>
      </x:c>
      <x:c r="F335" s="4" t="n">
        <x:f>IF(COUNT(N335,Q335,T335,W335,Z335,AC335,AF335,AI335)=8,N335*Guide!$E$5+Q335*Guide!$E$6+T335*Guide!$E$7+W335*Guide!$E$8+Z335*Guide!$E$9+AC335*Guide!$E$10+AF335*Guide!$E$11+AI335*Guide!$E$12,"")</x:f>
        <x:v>224.25</x:v>
      </x:c>
      <x:c r="G335" s="4" t="n">
        <x:f>IF(COUNT(O335,R335,U335,X335,AA335,AD335,AG335,AJ335)=8,O335*Guide!$E$5+R335*Guide!$E$6+U335*Guide!$E$7+X335*Guide!$E$8+AA335*Guide!$E$9+AD335*Guide!$E$10+AG335*Guide!$E$11+AJ335*Guide!$E$12,"")</x:f>
        <x:v>128.75</x:v>
      </x:c>
      <x:c r="H335" s="4" t="n">
        <x:f>IF(COUNT(G335,F335)=2,G335-F335,"")</x:f>
        <x:v>-95.5</x:v>
      </x:c>
      <x:c r="I335" s="4" t="n">
        <x:f>IF(AND(ISNUMBER(F335),K335&gt;0),F335/K335,"")</x:f>
        <x:v>2.803125</x:v>
      </x:c>
      <x:c r="J335" s="4" t="n">
        <x:f>IF(AND(ISNUMBER(G335),L335&gt;0),G335/L335,"")</x:f>
        <x:v>1.8659420289855073</x:v>
      </x:c>
      <x:c r="K335" s="10" t="n">
        <x:v>80</x:v>
      </x:c>
      <x:c r="L335" s="10" t="n">
        <x:v>69</x:v>
      </x:c>
      <x:c r="M335" s="10" t="n">
        <x:f>IF(COUNT(L335,K335)=2,L335-K335,"")</x:f>
        <x:v>-11</x:v>
      </x:c>
      <x:c r="N335" s="10" t="n">
        <x:v>15</x:v>
      </x:c>
      <x:c r="O335" s="10" t="n">
        <x:v>16</x:v>
      </x:c>
      <x:c r="P335" s="10" t="n">
        <x:f>IF(COUNT(O335,N335)=2,O335-N335,"")</x:f>
        <x:v>1</x:v>
      </x:c>
      <x:c r="Q335" s="10" t="n">
        <x:v>25</x:v>
      </x:c>
      <x:c r="R335" s="10" t="n">
        <x:v>10</x:v>
      </x:c>
      <x:c r="S335" s="10" t="n">
        <x:f>IF(COUNT(R335,Q335)=2,R335-Q335,"")</x:f>
        <x:v>-15</x:v>
      </x:c>
      <x:c r="T335" s="10" t="n">
        <x:v>6</x:v>
      </x:c>
      <x:c r="U335" s="10" t="n">
        <x:v>-9</x:v>
      </x:c>
      <x:c r="V335" s="10" t="n">
        <x:f>IF(COUNT(U335,T335)=2,U335-T335,"")</x:f>
        <x:v>-15</x:v>
      </x:c>
      <x:c r="W335" s="10" t="n">
        <x:v>5</x:v>
      </x:c>
      <x:c r="X335" s="10" t="n">
        <x:f>IF(COUNT(AV335,AW335)=2,AV335+AW335,"")</x:f>
        <x:v>1</x:v>
      </x:c>
      <x:c r="Y335" s="10" t="n">
        <x:f>IF(COUNT(X335,W335)=2,X335-W335,"")</x:f>
        <x:v>-4</x:v>
      </x:c>
      <x:c r="Z335" s="10" t="n">
        <x:v>2</x:v>
      </x:c>
      <x:c r="AA335" s="10" t="n">
        <x:f>IF(COUNT(AX335,AY335)=2,AX335+AY335,"")</x:f>
        <x:v>1</x:v>
      </x:c>
      <x:c r="AB335" s="10" t="n">
        <x:f>IF(COUNT(AA335,Z335)=2,AA335-Z335,"")</x:f>
        <x:v>-1</x:v>
      </x:c>
      <x:c r="AC335" s="10" t="n">
        <x:v>124</x:v>
      </x:c>
      <x:c r="AD335" s="10" t="n">
        <x:v>95</x:v>
      </x:c>
      <x:c r="AE335" s="10" t="n">
        <x:f>IF(COUNT(AD335,AC335)=2,AD335-AC335,"")</x:f>
        <x:v>-29</x:v>
      </x:c>
      <x:c r="AF335" s="10" t="n">
        <x:v>51</x:v>
      </x:c>
      <x:c r="AG335" s="10" t="n">
        <x:v>25</x:v>
      </x:c>
      <x:c r="AH335" s="10" t="n">
        <x:f>IF(COUNT(AG335,AF335)=2,AG335-AF335,"")</x:f>
        <x:v>-26</x:v>
      </x:c>
      <x:c r="AI335" s="10" t="n">
        <x:v>38</x:v>
      </x:c>
      <x:c r="AJ335" s="10" t="n">
        <x:v>13</x:v>
      </x:c>
      <x:c r="AK335" s="10" t="n">
        <x:f>IF(COUNT(AJ335,AI335)=2,AJ335-AI335,"")</x:f>
        <x:v>-25</x:v>
      </x:c>
      <x:c r="AL335" s="10" t="n">
        <x:v>34</x:v>
      </x:c>
      <x:c r="AM335" s="10" t="n">
        <x:v>34</x:v>
      </x:c>
      <x:c r="AN335" s="4" t="str">
        <x:v>RW</x:v>
      </x:c>
      <x:c r="AO335" s="4" t="str">
        <x:v>RW</x:v>
      </x:c>
      <x:c r="AP335" s="4" t="str">
        <x:v>VGK</x:v>
      </x:c>
      <x:c r="AQ335" s="4" t="str">
        <x:v>VEG</x:v>
      </x:c>
      <x:c r="AR335" s="4" t="n">
        <x:v>15.16</x:v>
      </x:c>
      <x:c r="AS335" s="4" t="n">
        <x:v>13.683333333333334</x:v>
      </x:c>
      <x:c r="AT335" s="4" t="n">
        <x:v>1.01</x:v>
      </x:c>
      <x:c r="AU335" s="4" t="n">
        <x:v>16.8</x:v>
      </x:c>
      <x:c r="AV335" s="10" t="n">
        <x:v>1</x:v>
      </x:c>
      <x:c r="AW335" s="10" t="n">
        <x:v>0</x:v>
      </x:c>
      <x:c r="AX335" s="10" t="n">
        <x:v>1</x:v>
      </x:c>
      <x:c r="AY335" s="10" t="n">
        <x:v>0</x:v>
      </x:c>
      <x:c r="AZ335" s="10" t="n">
        <x:v>803</x:v>
      </x:c>
      <x:c r="BA335" s="10" t="n">
        <x:v>789</x:v>
      </x:c>
      <x:c r="BB335" s="4" t="n">
        <x:v>50.4</x:v>
      </x:c>
      <x:c r="BC335" s="4" t="n">
        <x:v>-1.8</x:v>
      </x:c>
      <x:c r="BD335" s="10" t="n">
        <x:v>575</x:v>
      </x:c>
      <x:c r="BE335" s="10" t="n">
        <x:v>561</x:v>
      </x:c>
      <x:c r="BF335" s="4" t="n">
        <x:v>50.6</x:v>
      </x:c>
      <x:c r="BG335" s="4" t="n">
        <x:v>-1.8</x:v>
      </x:c>
      <x:c r="BH335" s="4" t="n">
        <x:v>8.3</x:v>
      </x:c>
      <x:c r="BI335" s="4" t="n">
        <x:v>88.3</x:v>
      </x:c>
      <x:c r="BJ335" s="4" t="n">
        <x:v>96.6</x:v>
      </x:c>
      <x:c r="BK335" s="4" t="n">
        <x:v>50.6</x:v>
      </x:c>
      <x:c r="BL335" s="4" t="n">
        <x:v>49.4</x:v>
      </x:c>
      <x:c r="BM335" s="4" t="n">
        <x:v>13.683333333333334</x:v>
      </x:c>
      <x:c r="BN335" s="4" t="n">
        <x:v>12.35</x:v>
      </x:c>
      <x:c r="BO335" s="10" t="n">
        <x:v>10</x:v>
      </x:c>
      <x:c r="BP335" s="10" t="n">
        <x:v>62</x:v>
      </x:c>
      <x:c r="BQ335" s="4" t="n">
        <x:v>2.2</x:v>
      </x:c>
      <x:c r="BR335" s="10" t="n">
        <x:v>165</x:v>
      </x:c>
      <x:c r="BS335" s="4" t="n">
        <x:v>57.6</x:v>
      </x:c>
      <x:c r="BT335" s="10" t="n">
        <x:v>69</x:v>
      </x:c>
      <x:c r="BU335" s="4" t="str">
        <x:v>VEG</x:v>
      </x:c>
      <x:c r="BV335" s="10" t="n">
        <x:v>255</x:v>
      </x:c>
      <x:c r="BW335" s="10" t="n">
        <x:v>381</x:v>
      </x:c>
      <x:c r="BX335" s="10" t="n">
        <x:v>949</x:v>
      </x:c>
      <x:c r="BY335" s="4" t="str">
        <x:v>Reilly Smith</x:v>
      </x:c>
      <x:c r="BZ335" s="4" t="str">
        <x:v>Reilly Smith</x:v>
      </x:c>
      <x:c r="CA335" s="4" t="str">
        <x:v>Reilly Smith</x:v>
      </x:c>
      <x:c r="CB335" s="4" t="str">
        <x:v>smithre01</x:v>
      </x:c>
    </x:row>
    <x:row r="336" ht="22" customHeight="1">
      <x:c r="A336" s="4" t="str">
        <x:v>Rickard Rakell</x:v>
      </x:c>
      <x:c r="B336" s="4" t="str">
        <x:v>rickardrakell</x:v>
      </x:c>
      <x:c r="C336" s="10" t="n">
        <x:v>1</x:v>
      </x:c>
      <x:c r="D336" s="10" t="n">
        <x:v>1</x:v>
      </x:c>
      <x:c r="E336" s="10" t="n">
        <x:v>1</x:v>
      </x:c>
      <x:c r="F336" s="4" t="n">
        <x:f>IF(COUNT(N336,Q336,T336,W336,Z336,AC336,AF336,AI336)=8,N336*Guide!$E$5+Q336*Guide!$E$6+T336*Guide!$E$7+W336*Guide!$E$8+Z336*Guide!$E$9+AC336*Guide!$E$10+AF336*Guide!$E$11+AI336*Guide!$E$12,"")</x:f>
        <x:v>333.5</x:v>
      </x:c>
      <x:c r="G336" s="4" t="n">
        <x:f>IF(COUNT(O336,R336,U336,X336,AA336,AD336,AG336,AJ336)=8,O336*Guide!$E$5+R336*Guide!$E$6+U336*Guide!$E$7+X336*Guide!$E$8+AA336*Guide!$E$9+AD336*Guide!$E$10+AG336*Guide!$E$11+AJ336*Guide!$E$12,"")</x:f>
        <x:v>279.5</x:v>
      </x:c>
      <x:c r="H336" s="4" t="n">
        <x:f>IF(COUNT(G336,F336)=2,G336-F336,"")</x:f>
        <x:v>-54</x:v>
      </x:c>
      <x:c r="I336" s="4" t="n">
        <x:f>IF(AND(ISNUMBER(F336),K336&gt;0),F336/K336,"")</x:f>
        <x:v>4.16875</x:v>
      </x:c>
      <x:c r="J336" s="4" t="n">
        <x:f>IF(AND(ISNUMBER(G336),L336&gt;0),G336/L336,"")</x:f>
        <x:v>4.658333333333333</x:v>
      </x:c>
      <x:c r="K336" s="10" t="n">
        <x:v>80</x:v>
      </x:c>
      <x:c r="L336" s="10" t="n">
        <x:v>60</x:v>
      </x:c>
      <x:c r="M336" s="10" t="n">
        <x:f>IF(COUNT(L336,K336)=2,L336-K336,"")</x:f>
        <x:v>-20</x:v>
      </x:c>
      <x:c r="N336" s="10" t="n">
        <x:v>28</x:v>
      </x:c>
      <x:c r="O336" s="10" t="n">
        <x:v>24</x:v>
      </x:c>
      <x:c r="P336" s="10" t="n">
        <x:f>IF(COUNT(O336,N336)=2,O336-N336,"")</x:f>
        <x:v>-4</x:v>
      </x:c>
      <x:c r="Q336" s="10" t="n">
        <x:v>27</x:v>
      </x:c>
      <x:c r="R336" s="10" t="n">
        <x:v>24</x:v>
      </x:c>
      <x:c r="S336" s="10" t="n">
        <x:f>IF(COUNT(R336,Q336)=2,R336-Q336,"")</x:f>
        <x:v>-3</x:v>
      </x:c>
      <x:c r="T336" s="10" t="n">
        <x:v>-1</x:v>
      </x:c>
      <x:c r="U336" s="10" t="n">
        <x:v>-2</x:v>
      </x:c>
      <x:c r="V336" s="10" t="n">
        <x:f>IF(COUNT(U336,T336)=2,U336-T336,"")</x:f>
        <x:v>-1</x:v>
      </x:c>
      <x:c r="W336" s="10" t="n">
        <x:v>14</x:v>
      </x:c>
      <x:c r="X336" s="10" t="n">
        <x:f>IF(COUNT(AV336,AW336)=2,AV336+AW336,"")</x:f>
        <x:v>16</x:v>
      </x:c>
      <x:c r="Y336" s="10" t="n">
        <x:f>IF(COUNT(X336,W336)=2,X336-W336,"")</x:f>
        <x:v>2</x:v>
      </x:c>
      <x:c r="Z336" s="10" t="n">
        <x:v>0</x:v>
      </x:c>
      <x:c r="AA336" s="10" t="n">
        <x:f>IF(COUNT(AX336,AY336)=2,AX336+AY336,"")</x:f>
        <x:v>2</x:v>
      </x:c>
      <x:c r="AB336" s="10" t="n">
        <x:f>IF(COUNT(AA336,Z336)=2,AA336-Z336,"")</x:f>
        <x:v>2</x:v>
      </x:c>
      <x:c r="AC336" s="10" t="n">
        <x:v>193</x:v>
      </x:c>
      <x:c r="AD336" s="10" t="n">
        <x:v>166</x:v>
      </x:c>
      <x:c r="AE336" s="10" t="n">
        <x:f>IF(COUNT(AD336,AC336)=2,AD336-AC336,"")</x:f>
        <x:v>-27</x:v>
      </x:c>
      <x:c r="AF336" s="10" t="n">
        <x:v>122</x:v>
      </x:c>
      <x:c r="AG336" s="10" t="n">
        <x:v>71</x:v>
      </x:c>
      <x:c r="AH336" s="10" t="n">
        <x:f>IF(COUNT(AG336,AF336)=2,AG336-AF336,"")</x:f>
        <x:v>-51</x:v>
      </x:c>
      <x:c r="AI336" s="10" t="n">
        <x:v>65</x:v>
      </x:c>
      <x:c r="AJ336" s="10" t="n">
        <x:v>43</x:v>
      </x:c>
      <x:c r="AK336" s="10" t="n">
        <x:f>IF(COUNT(AJ336,AI336)=2,AJ336-AI336,"")</x:f>
        <x:v>-22</x:v>
      </x:c>
      <x:c r="AL336" s="10" t="n">
        <x:v>32</x:v>
      </x:c>
      <x:c r="AM336" s="10" t="n">
        <x:v>32</x:v>
      </x:c>
      <x:c r="AN336" s="4" t="str">
        <x:v>C,LW,RW</x:v>
      </x:c>
      <x:c r="AO336" s="4" t="str">
        <x:v>RW</x:v>
      </x:c>
      <x:c r="AP336" s="4" t="str">
        <x:v>PIT</x:v>
      </x:c>
      <x:c r="AQ336" s="4" t="str">
        <x:v>PIT</x:v>
      </x:c>
      <x:c r="AR336" s="4" t="n">
        <x:v>18.540000000000003</x:v>
      </x:c>
      <x:c r="AS336" s="4" t="n">
        <x:v>18.95</x:v>
      </x:c>
      <x:c r="AT336" s="4" t="n">
        <x:v>2.49</x:v>
      </x:c>
      <x:c r="AU336" s="4" t="n">
        <x:v>14.5</x:v>
      </x:c>
      <x:c r="AV336" s="10" t="n">
        <x:v>7</x:v>
      </x:c>
      <x:c r="AW336" s="10" t="n">
        <x:v>9</x:v>
      </x:c>
      <x:c r="AX336" s="10" t="n">
        <x:v>1</x:v>
      </x:c>
      <x:c r="AY336" s="10" t="n">
        <x:v>1</x:v>
      </x:c>
      <x:c r="AZ336" s="10" t="n">
        <x:v>898</x:v>
      </x:c>
      <x:c r="BA336" s="10" t="n">
        <x:v>909</x:v>
      </x:c>
      <x:c r="BB336" s="4" t="n">
        <x:v>49.7</x:v>
      </x:c>
      <x:c r="BC336" s="4" t="n">
        <x:v>0.1</x:v>
      </x:c>
      <x:c r="BD336" s="10" t="n">
        <x:v>644</x:v>
      </x:c>
      <x:c r="BE336" s="10" t="n">
        <x:v>669</x:v>
      </x:c>
      <x:c r="BF336" s="4" t="n">
        <x:v>49</x:v>
      </x:c>
      <x:c r="BG336" s="4" t="n">
        <x:v>-1.3</x:v>
      </x:c>
      <x:c r="BH336" s="4" t="n">
        <x:v>12.6</x:v>
      </x:c>
      <x:c r="BI336" s="4" t="n">
        <x:v>87.6</x:v>
      </x:c>
      <x:c r="BJ336" s="4" t="n">
        <x:v>100.2</x:v>
      </x:c>
      <x:c r="BK336" s="4" t="n">
        <x:v>60.8</x:v>
      </x:c>
      <x:c r="BL336" s="4" t="n">
        <x:v>39.2</x:v>
      </x:c>
      <x:c r="BM336" s="4" t="n">
        <x:v>18.95</x:v>
      </x:c>
      <x:c r="BN336" s="4" t="n">
        <x:v>15.066666666666666</x:v>
      </x:c>
      <x:c r="BO336" s="10" t="n">
        <x:v>24</x:v>
      </x:c>
      <x:c r="BP336" s="10" t="n">
        <x:v>49</x:v>
      </x:c>
      <x:c r="BQ336" s="4" t="n">
        <x:v>4.4</x:v>
      </x:c>
      <x:c r="BR336" s="10" t="n">
        <x:v>294</x:v>
      </x:c>
      <x:c r="BS336" s="4" t="n">
        <x:v>56.5</x:v>
      </x:c>
      <x:c r="BT336" s="10" t="n">
        <x:v>60</x:v>
      </x:c>
      <x:c r="BU336" s="4" t="str">
        <x:v>PIT</x:v>
      </x:c>
      <x:c r="BV336" s="10" t="n">
        <x:v>118</x:v>
      </x:c>
      <x:c r="BW336" s="10" t="n">
        <x:v>159</x:v>
      </x:c>
      <x:c r="BX336" s="10" t="n">
        <x:v>840</x:v>
      </x:c>
      <x:c r="BY336" s="4" t="str">
        <x:v>Rickard Rakell</x:v>
      </x:c>
      <x:c r="BZ336" s="4" t="str">
        <x:v>Rickard Rakell</x:v>
      </x:c>
      <x:c r="CA336" s="4" t="str">
        <x:v>Rickard Rakell</x:v>
      </x:c>
      <x:c r="CB336" s="4" t="str">
        <x:v>rakelri01</x:v>
      </x:c>
    </x:row>
    <x:row r="337" ht="22" customHeight="1">
      <x:c r="A337" s="4" t="str">
        <x:v>Ridly Greig</x:v>
      </x:c>
      <x:c r="B337" s="4" t="str">
        <x:v>ridlygreig</x:v>
      </x:c>
      <x:c r="C337" s="10" t="n">
        <x:v>1</x:v>
      </x:c>
      <x:c r="D337" s="10" t="n">
        <x:v>1</x:v>
      </x:c>
      <x:c r="E337" s="10" t="n">
        <x:v>1</x:v>
      </x:c>
      <x:c r="F337" s="4" t="n">
        <x:f>IF(COUNT(N337,Q337,T337,W337,Z337,AC337,AF337,AI337)=8,N337*Guide!$E$5+Q337*Guide!$E$6+T337*Guide!$E$7+W337*Guide!$E$8+Z337*Guide!$E$9+AC337*Guide!$E$10+AF337*Guide!$E$11+AI337*Guide!$E$12,"")</x:f>
        <x:v>250</x:v>
      </x:c>
      <x:c r="G337" s="4" t="n">
        <x:f>IF(COUNT(O337,R337,U337,X337,AA337,AD337,AG337,AJ337)=8,O337*Guide!$E$5+R337*Guide!$E$6+U337*Guide!$E$7+X337*Guide!$E$8+AA337*Guide!$E$9+AD337*Guide!$E$10+AG337*Guide!$E$11+AJ337*Guide!$E$12,"")</x:f>
        <x:v>231</x:v>
      </x:c>
      <x:c r="H337" s="4" t="n">
        <x:f>IF(COUNT(G337,F337)=2,G337-F337,"")</x:f>
        <x:v>-19</x:v>
      </x:c>
      <x:c r="I337" s="4" t="n">
        <x:f>IF(AND(ISNUMBER(F337),K337&gt;0),F337/K337,"")</x:f>
        <x:v>3.2467532467532467</x:v>
      </x:c>
      <x:c r="J337" s="4" t="n">
        <x:f>IF(AND(ISNUMBER(G337),L337&gt;0),G337/L337,"")</x:f>
        <x:v>3</x:v>
      </x:c>
      <x:c r="K337" s="10" t="n">
        <x:v>77</x:v>
      </x:c>
      <x:c r="L337" s="10" t="n">
        <x:v>77</x:v>
      </x:c>
      <x:c r="M337" s="10" t="n">
        <x:f>IF(COUNT(L337,K337)=2,L337-K337,"")</x:f>
        <x:v>0</x:v>
      </x:c>
      <x:c r="N337" s="10" t="n">
        <x:v>17</x:v>
      </x:c>
      <x:c r="O337" s="10" t="n">
        <x:v>13</x:v>
      </x:c>
      <x:c r="P337" s="10" t="n">
        <x:f>IF(COUNT(O337,N337)=2,O337-N337,"")</x:f>
        <x:v>-4</x:v>
      </x:c>
      <x:c r="Q337" s="10" t="n">
        <x:v>22</x:v>
      </x:c>
      <x:c r="R337" s="10" t="n">
        <x:v>22</x:v>
      </x:c>
      <x:c r="S337" s="10" t="n">
        <x:f>IF(COUNT(R337,Q337)=2,R337-Q337,"")</x:f>
        <x:v>0</x:v>
      </x:c>
      <x:c r="T337" s="10" t="n">
        <x:v>0</x:v>
      </x:c>
      <x:c r="U337" s="10" t="n">
        <x:v>12</x:v>
      </x:c>
      <x:c r="V337" s="10" t="n">
        <x:f>IF(COUNT(U337,T337)=2,U337-T337,"")</x:f>
        <x:v>12</x:v>
      </x:c>
      <x:c r="W337" s="10" t="n">
        <x:v>10</x:v>
      </x:c>
      <x:c r="X337" s="10" t="n">
        <x:f>IF(COUNT(AV337,AW337)=2,AV337+AW337,"")</x:f>
        <x:v>3</x:v>
      </x:c>
      <x:c r="Y337" s="10" t="n">
        <x:f>IF(COUNT(X337,W337)=2,X337-W337,"")</x:f>
        <x:v>-7</x:v>
      </x:c>
      <x:c r="Z337" s="10" t="n">
        <x:v>2</x:v>
      </x:c>
      <x:c r="AA337" s="10" t="n">
        <x:f>IF(COUNT(AX337,AY337)=2,AX337+AY337,"")</x:f>
        <x:v>1</x:v>
      </x:c>
      <x:c r="AB337" s="10" t="n">
        <x:f>IF(COUNT(AA337,Z337)=2,AA337-Z337,"")</x:f>
        <x:v>-1</x:v>
      </x:c>
      <x:c r="AC337" s="10" t="n">
        <x:v>128</x:v>
      </x:c>
      <x:c r="AD337" s="10" t="n">
        <x:v>128</x:v>
      </x:c>
      <x:c r="AE337" s="10" t="n">
        <x:f>IF(COUNT(AD337,AC337)=2,AD337-AC337,"")</x:f>
        <x:v>0</x:v>
      </x:c>
      <x:c r="AF337" s="10" t="n">
        <x:v>137</x:v>
      </x:c>
      <x:c r="AG337" s="10" t="n">
        <x:v>96</x:v>
      </x:c>
      <x:c r="AH337" s="10" t="n">
        <x:f>IF(COUNT(AG337,AF337)=2,AG337-AF337,"")</x:f>
        <x:v>-41</x:v>
      </x:c>
      <x:c r="AI337" s="10" t="n">
        <x:v>45</x:v>
      </x:c>
      <x:c r="AJ337" s="10" t="n">
        <x:v>52</x:v>
      </x:c>
      <x:c r="AK337" s="10" t="n">
        <x:f>IF(COUNT(AJ337,AI337)=2,AJ337-AI337,"")</x:f>
        <x:v>7</x:v>
      </x:c>
      <x:c r="AL337" s="10" t="n">
        <x:v>23</x:v>
      </x:c>
      <x:c r="AM337" s="10" t="n">
        <x:v>23</x:v>
      </x:c>
      <x:c r="AN337" s="4" t="str">
        <x:v>C,RW</x:v>
      </x:c>
      <x:c r="AO337" s="4" t="str">
        <x:v>C</x:v>
      </x:c>
      <x:c r="AP337" s="4" t="str">
        <x:v>OTT</x:v>
      </x:c>
      <x:c r="AQ337" s="4" t="str">
        <x:v>OTT</x:v>
      </x:c>
      <x:c r="AR337" s="4" t="n">
        <x:v>16.92</x:v>
      </x:c>
      <x:c r="AS337" s="4" t="n">
        <x:v>16.7</x:v>
      </x:c>
      <x:c r="AT337" s="4" t="n">
        <x:v>1.8</x:v>
      </x:c>
      <x:c r="AU337" s="4" t="n">
        <x:v>10.2</x:v>
      </x:c>
      <x:c r="AV337" s="10" t="n">
        <x:v>1</x:v>
      </x:c>
      <x:c r="AW337" s="10" t="n">
        <x:v>2</x:v>
      </x:c>
      <x:c r="AX337" s="10" t="n">
        <x:v>1</x:v>
      </x:c>
      <x:c r="AY337" s="10" t="n">
        <x:v>0</x:v>
      </x:c>
      <x:c r="AZ337" s="10" t="n">
        <x:v>1005</x:v>
      </x:c>
      <x:c r="BA337" s="10" t="n">
        <x:v>953</x:v>
      </x:c>
      <x:c r="BB337" s="4" t="n">
        <x:v>51.3</x:v>
      </x:c>
      <x:c r="BC337" s="4" t="n">
        <x:v>-1.9</x:v>
      </x:c>
      <x:c r="BD337" s="10" t="n">
        <x:v>742</x:v>
      </x:c>
      <x:c r="BE337" s="10" t="n">
        <x:v>681</x:v>
      </x:c>
      <x:c r="BF337" s="4" t="n">
        <x:v>52.1</x:v>
      </x:c>
      <x:c r="BG337" s="4" t="n">
        <x:v>-2</x:v>
      </x:c>
      <x:c r="BH337" s="4" t="n">
        <x:v>12.1</x:v>
      </x:c>
      <x:c r="BI337" s="4" t="n">
        <x:v>88.9</x:v>
      </x:c>
      <x:c r="BJ337" s="4" t="n">
        <x:v>101</x:v>
      </x:c>
      <x:c r="BK337" s="4" t="n">
        <x:v>41.3</x:v>
      </x:c>
      <x:c r="BL337" s="4" t="n">
        <x:v>58.7</x:v>
      </x:c>
      <x:c r="BM337" s="4" t="n">
        <x:v>16.7</x:v>
      </x:c>
      <x:c r="BN337" s="4" t="n">
        <x:v>13.616666666666667</x:v>
      </x:c>
      <x:c r="BO337" s="10" t="n">
        <x:v>20</x:v>
      </x:c>
      <x:c r="BP337" s="10" t="n">
        <x:v>49</x:v>
      </x:c>
      <x:c r="BQ337" s="4" t="n">
        <x:v>2.6</x:v>
      </x:c>
      <x:c r="BR337" s="10" t="n">
        <x:v>248</x:v>
      </x:c>
      <x:c r="BS337" s="4" t="n">
        <x:v>51.6</x:v>
      </x:c>
      <x:c r="BT337" s="10" t="n">
        <x:v>77</x:v>
      </x:c>
      <x:c r="BU337" s="4" t="str">
        <x:v>OTT</x:v>
      </x:c>
      <x:c r="BV337" s="10" t="n">
        <x:v>260</x:v>
      </x:c>
      <x:c r="BW337" s="10" t="n">
        <x:v>263</x:v>
      </x:c>
      <x:c r="BX337" s="10" t="n">
        <x:v>360</x:v>
      </x:c>
      <x:c r="BY337" s="4" t="str">
        <x:v>Ridly Greig</x:v>
      </x:c>
      <x:c r="BZ337" s="4" t="str">
        <x:v>Ridly Greig</x:v>
      </x:c>
      <x:c r="CA337" s="4" t="str">
        <x:v>Ridly Greig</x:v>
      </x:c>
      <x:c r="CB337" s="4" t="str">
        <x:v>greigri01</x:v>
      </x:c>
    </x:row>
    <x:row r="338" ht="22" customHeight="1">
      <x:c r="A338" s="4" t="str">
        <x:v>Robert Thomas</x:v>
      </x:c>
      <x:c r="B338" s="4" t="str">
        <x:v>robertthomas</x:v>
      </x:c>
      <x:c r="C338" s="10" t="n">
        <x:v>1</x:v>
      </x:c>
      <x:c r="D338" s="10" t="n">
        <x:v>1</x:v>
      </x:c>
      <x:c r="E338" s="10" t="n">
        <x:v>1</x:v>
      </x:c>
      <x:c r="F338" s="4" t="n">
        <x:f>IF(COUNT(N338,Q338,T338,W338,Z338,AC338,AF338,AI338)=8,N338*Guide!$E$5+Q338*Guide!$E$6+T338*Guide!$E$7+W338*Guide!$E$8+Z338*Guide!$E$9+AC338*Guide!$E$10+AF338*Guide!$E$11+AI338*Guide!$E$12,"")</x:f>
        <x:v>377.25</x:v>
      </x:c>
      <x:c r="G338" s="4" t="n">
        <x:f>IF(COUNT(O338,R338,U338,X338,AA338,AD338,AG338,AJ338)=8,O338*Guide!$E$5+R338*Guide!$E$6+U338*Guide!$E$7+X338*Guide!$E$8+AA338*Guide!$E$9+AD338*Guide!$E$10+AG338*Guide!$E$11+AJ338*Guide!$E$12,"")</x:f>
        <x:v>320</x:v>
      </x:c>
      <x:c r="H338" s="4" t="n">
        <x:f>IF(COUNT(G338,F338)=2,G338-F338,"")</x:f>
        <x:v>-57.25</x:v>
      </x:c>
      <x:c r="I338" s="4" t="n">
        <x:f>IF(AND(ISNUMBER(F338),K338&gt;0),F338/K338,"")</x:f>
        <x:v>4.715625</x:v>
      </x:c>
      <x:c r="J338" s="4" t="n">
        <x:f>IF(AND(ISNUMBER(G338),L338&gt;0),G338/L338,"")</x:f>
        <x:v>5</x:v>
      </x:c>
      <x:c r="K338" s="10" t="n">
        <x:v>80</x:v>
      </x:c>
      <x:c r="L338" s="10" t="n">
        <x:v>64</x:v>
      </x:c>
      <x:c r="M338" s="10" t="n">
        <x:f>IF(COUNT(L338,K338)=2,L338-K338,"")</x:f>
        <x:v>-16</x:v>
      </x:c>
      <x:c r="N338" s="10" t="n">
        <x:v>24</x:v>
      </x:c>
      <x:c r="O338" s="10" t="n">
        <x:v>25</x:v>
      </x:c>
      <x:c r="P338" s="10" t="n">
        <x:f>IF(COUNT(O338,N338)=2,O338-N338,"")</x:f>
        <x:v>1</x:v>
      </x:c>
      <x:c r="Q338" s="10" t="n">
        <x:v>55</x:v>
      </x:c>
      <x:c r="R338" s="10" t="n">
        <x:v>39</x:v>
      </x:c>
      <x:c r="S338" s="10" t="n">
        <x:f>IF(COUNT(R338,Q338)=2,R338-Q338,"")</x:f>
        <x:v>-16</x:v>
      </x:c>
      <x:c r="T338" s="10" t="n">
        <x:v>11</x:v>
      </x:c>
      <x:c r="U338" s="10" t="n">
        <x:v>22</x:v>
      </x:c>
      <x:c r="V338" s="10" t="n">
        <x:f>IF(COUNT(U338,T338)=2,U338-T338,"")</x:f>
        <x:v>11</x:v>
      </x:c>
      <x:c r="W338" s="10" t="n">
        <x:v>22</x:v>
      </x:c>
      <x:c r="X338" s="10" t="n">
        <x:f>IF(COUNT(AV338,AW338)=2,AV338+AW338,"")</x:f>
        <x:v>14</x:v>
      </x:c>
      <x:c r="Y338" s="10" t="n">
        <x:f>IF(COUNT(X338,W338)=2,X338-W338,"")</x:f>
        <x:v>-8</x:v>
      </x:c>
      <x:c r="Z338" s="10" t="n">
        <x:v>1</x:v>
      </x:c>
      <x:c r="AA338" s="10" t="n">
        <x:f>IF(COUNT(AX338,AY338)=2,AX338+AY338,"")</x:f>
        <x:v>3</x:v>
      </x:c>
      <x:c r="AB338" s="10" t="n">
        <x:f>IF(COUNT(AA338,Z338)=2,AA338-Z338,"")</x:f>
        <x:v>2</x:v>
      </x:c>
      <x:c r="AC338" s="10" t="n">
        <x:v>149</x:v>
      </x:c>
      <x:c r="AD338" s="10" t="n">
        <x:v>102</x:v>
      </x:c>
      <x:c r="AE338" s="10" t="n">
        <x:f>IF(COUNT(AD338,AC338)=2,AD338-AC338,"")</x:f>
        <x:v>-47</x:v>
      </x:c>
      <x:c r="AF338" s="10" t="n">
        <x:v>16</x:v>
      </x:c>
      <x:c r="AG338" s="10" t="n">
        <x:v>10</x:v>
      </x:c>
      <x:c r="AH338" s="10" t="n">
        <x:f>IF(COUNT(AG338,AF338)=2,AG338-AF338,"")</x:f>
        <x:v>-6</x:v>
      </x:c>
      <x:c r="AI338" s="10" t="n">
        <x:v>52</x:v>
      </x:c>
      <x:c r="AJ338" s="10" t="n">
        <x:v>40</x:v>
      </x:c>
      <x:c r="AK338" s="10" t="n">
        <x:f>IF(COUNT(AJ338,AI338)=2,AJ338-AI338,"")</x:f>
        <x:v>-12</x:v>
      </x:c>
      <x:c r="AL338" s="10" t="n">
        <x:v>26</x:v>
      </x:c>
      <x:c r="AM338" s="10" t="n">
        <x:v>26</x:v>
      </x:c>
      <x:c r="AN338" s="4" t="str">
        <x:v>C</x:v>
      </x:c>
      <x:c r="AO338" s="4" t="str">
        <x:v>C</x:v>
      </x:c>
      <x:c r="AP338" s="4" t="str">
        <x:v>STL</x:v>
      </x:c>
      <x:c r="AQ338" s="4" t="str">
        <x:v>STL</x:v>
      </x:c>
      <x:c r="AR338" s="4" t="n">
        <x:v>20.120000000000005</x:v>
      </x:c>
      <x:c r="AS338" s="4" t="n">
        <x:v>19.016666666666666</x:v>
      </x:c>
      <x:c r="AT338" s="4" t="n">
        <x:v>2.49</x:v>
      </x:c>
      <x:c r="AU338" s="4" t="n">
        <x:v>24.5</x:v>
      </x:c>
      <x:c r="AV338" s="10" t="n">
        <x:v>3</x:v>
      </x:c>
      <x:c r="AW338" s="10" t="n">
        <x:v>11</x:v>
      </x:c>
      <x:c r="AX338" s="10" t="n">
        <x:v>2</x:v>
      </x:c>
      <x:c r="AY338" s="10" t="n">
        <x:v>1</x:v>
      </x:c>
      <x:c r="AZ338" s="10" t="n">
        <x:v>929</x:v>
      </x:c>
      <x:c r="BA338" s="10" t="n">
        <x:v>889</x:v>
      </x:c>
      <x:c r="BB338" s="4" t="n">
        <x:v>51.1</x:v>
      </x:c>
      <x:c r="BC338" s="4" t="n">
        <x:v>5.5</x:v>
      </x:c>
      <x:c r="BD338" s="10" t="n">
        <x:v>668</x:v>
      </x:c>
      <x:c r="BE338" s="10" t="n">
        <x:v>658</x:v>
      </x:c>
      <x:c r="BF338" s="4" t="n">
        <x:v>50.4</x:v>
      </x:c>
      <x:c r="BG338" s="4" t="n">
        <x:v>4.6</x:v>
      </x:c>
      <x:c r="BH338" s="4" t="n">
        <x:v>14.5</x:v>
      </x:c>
      <x:c r="BI338" s="4" t="n">
        <x:v>90.3</x:v>
      </x:c>
      <x:c r="BJ338" s="4" t="n">
        <x:v>104.8</x:v>
      </x:c>
      <x:c r="BK338" s="4" t="n">
        <x:v>51.7</x:v>
      </x:c>
      <x:c r="BL338" s="4" t="n">
        <x:v>48.3</x:v>
      </x:c>
      <x:c r="BM338" s="4" t="n">
        <x:v>19.016666666666666</x:v>
      </x:c>
      <x:c r="BN338" s="4" t="n">
        <x:v>15.133333333333333</x:v>
      </x:c>
      <x:c r="BO338" s="10" t="n">
        <x:v>31</x:v>
      </x:c>
      <x:c r="BP338" s="10" t="n">
        <x:v>96</x:v>
      </x:c>
      <x:c r="BQ338" s="4" t="n">
        <x:v>6.8</x:v>
      </x:c>
      <x:c r="BR338" s="10" t="n">
        <x:v>195</x:v>
      </x:c>
      <x:c r="BS338" s="4" t="n">
        <x:v>52.3</x:v>
      </x:c>
      <x:c r="BT338" s="10" t="n">
        <x:v>64</x:v>
      </x:c>
      <x:c r="BU338" s="4" t="str">
        <x:v>STL</x:v>
      </x:c>
      <x:c r="BV338" s="10" t="n">
        <x:v>23</x:v>
      </x:c>
      <x:c r="BW338" s="10" t="n">
        <x:v>79</x:v>
      </x:c>
      <x:c r="BX338" s="10" t="n">
        <x:v>1012</x:v>
      </x:c>
      <x:c r="BY338" s="4" t="str">
        <x:v>Robert Thomas</x:v>
      </x:c>
      <x:c r="BZ338" s="4" t="str">
        <x:v>Robert Thomas</x:v>
      </x:c>
      <x:c r="CA338" s="4" t="str">
        <x:v>Robert Thomas</x:v>
      </x:c>
      <x:c r="CB338" s="4" t="str">
        <x:v>thomaro01</x:v>
      </x:c>
    </x:row>
    <x:row r="339" ht="22" customHeight="1">
      <x:c r="A339" s="4" t="str">
        <x:v>Roman Josi</x:v>
      </x:c>
      <x:c r="B339" s="4" t="str">
        <x:v>romanjosi</x:v>
      </x:c>
      <x:c r="C339" s="10" t="n">
        <x:v>1</x:v>
      </x:c>
      <x:c r="D339" s="10" t="n">
        <x:v>1</x:v>
      </x:c>
      <x:c r="E339" s="10" t="n">
        <x:v>1</x:v>
      </x:c>
      <x:c r="F339" s="4" t="n">
        <x:f>IF(COUNT(N339,Q339,T339,W339,Z339,AC339,AF339,AI339)=8,N339*Guide!$E$5+Q339*Guide!$E$6+T339*Guide!$E$7+W339*Guide!$E$8+Z339*Guide!$E$9+AC339*Guide!$E$10+AF339*Guide!$E$11+AI339*Guide!$E$12,"")</x:f>
        <x:v>432</x:v>
      </x:c>
      <x:c r="G339" s="4" t="n">
        <x:f>IF(COUNT(O339,R339,U339,X339,AA339,AD339,AG339,AJ339)=8,O339*Guide!$E$5+R339*Guide!$E$6+U339*Guide!$E$7+X339*Guide!$E$8+AA339*Guide!$E$9+AD339*Guide!$E$10+AG339*Guide!$E$11+AJ339*Guide!$E$12,"")</x:f>
        <x:v>314</x:v>
      </x:c>
      <x:c r="H339" s="4" t="n">
        <x:f>IF(COUNT(G339,F339)=2,G339-F339,"")</x:f>
        <x:v>-118</x:v>
      </x:c>
      <x:c r="I339" s="4" t="n">
        <x:f>IF(AND(ISNUMBER(F339),K339&gt;0),F339/K339,"")</x:f>
        <x:v>5.6103896103896105</x:v>
      </x:c>
      <x:c r="J339" s="4" t="n">
        <x:f>IF(AND(ISNUMBER(G339),L339&gt;0),G339/L339,"")</x:f>
        <x:v>4.617647058823529</x:v>
      </x:c>
      <x:c r="K339" s="10" t="n">
        <x:v>77</x:v>
      </x:c>
      <x:c r="L339" s="10" t="n">
        <x:v>68</x:v>
      </x:c>
      <x:c r="M339" s="10" t="n">
        <x:f>IF(COUNT(L339,K339)=2,L339-K339,"")</x:f>
        <x:v>-9</x:v>
      </x:c>
      <x:c r="N339" s="10" t="n">
        <x:v>18</x:v>
      </x:c>
      <x:c r="O339" s="10" t="n">
        <x:v>13</x:v>
      </x:c>
      <x:c r="P339" s="10" t="n">
        <x:f>IF(COUNT(O339,N339)=2,O339-N339,"")</x:f>
        <x:v>-5</x:v>
      </x:c>
      <x:c r="Q339" s="10" t="n">
        <x:v>54</x:v>
      </x:c>
      <x:c r="R339" s="10" t="n">
        <x:v>42</x:v>
      </x:c>
      <x:c r="S339" s="10" t="n">
        <x:f>IF(COUNT(R339,Q339)=2,R339-Q339,"")</x:f>
        <x:v>-12</x:v>
      </x:c>
      <x:c r="T339" s="10" t="n">
        <x:v>-8</x:v>
      </x:c>
      <x:c r="U339" s="10" t="n">
        <x:v>-15</x:v>
      </x:c>
      <x:c r="V339" s="10" t="n">
        <x:f>IF(COUNT(U339,T339)=2,U339-T339,"")</x:f>
        <x:v>-7</x:v>
      </x:c>
      <x:c r="W339" s="10" t="n">
        <x:v>28</x:v>
      </x:c>
      <x:c r="X339" s="10" t="n">
        <x:f>IF(COUNT(AV339,AW339)=2,AV339+AW339,"")</x:f>
        <x:v>24</x:v>
      </x:c>
      <x:c r="Y339" s="10" t="n">
        <x:f>IF(COUNT(X339,W339)=2,X339-W339,"")</x:f>
        <x:v>-4</x:v>
      </x:c>
      <x:c r="Z339" s="10" t="n">
        <x:v>1</x:v>
      </x:c>
      <x:c r="AA339" s="10" t="n">
        <x:f>IF(COUNT(AX339,AY339)=2,AX339+AY339,"")</x:f>
        <x:v>0</x:v>
      </x:c>
      <x:c r="AB339" s="10" t="n">
        <x:f>IF(COUNT(AA339,Z339)=2,AA339-Z339,"")</x:f>
        <x:v>-1</x:v>
      </x:c>
      <x:c r="AC339" s="10" t="n">
        <x:v>229</x:v>
      </x:c>
      <x:c r="AD339" s="10" t="n">
        <x:v>181</x:v>
      </x:c>
      <x:c r="AE339" s="10" t="n">
        <x:f>IF(COUNT(AD339,AC339)=2,AD339-AC339,"")</x:f>
        <x:v>-48</x:v>
      </x:c>
      <x:c r="AF339" s="10" t="n">
        <x:v>54</x:v>
      </x:c>
      <x:c r="AG339" s="10" t="n">
        <x:v>24</x:v>
      </x:c>
      <x:c r="AH339" s="10" t="n">
        <x:f>IF(COUNT(AG339,AF339)=2,AG339-AF339,"")</x:f>
        <x:v>-30</x:v>
      </x:c>
      <x:c r="AI339" s="10" t="n">
        <x:v>139</x:v>
      </x:c>
      <x:c r="AJ339" s="10" t="n">
        <x:v>101</x:v>
      </x:c>
      <x:c r="AK339" s="10" t="n">
        <x:f>IF(COUNT(AJ339,AI339)=2,AJ339-AI339,"")</x:f>
        <x:v>-38</x:v>
      </x:c>
      <x:c r="AL339" s="10" t="n">
        <x:v>35</x:v>
      </x:c>
      <x:c r="AM339" s="10" t="n">
        <x:v>35</x:v>
      </x:c>
      <x:c r="AN339" s="4" t="str">
        <x:v>D</x:v>
      </x:c>
      <x:c r="AO339" s="4" t="str">
        <x:v>D</x:v>
      </x:c>
      <x:c r="AP339" s="4" t="str">
        <x:v>NSH</x:v>
      </x:c>
      <x:c r="AQ339" s="4" t="str">
        <x:v>NSH</x:v>
      </x:c>
      <x:c r="AR339" s="4" t="n">
        <x:v>24.86</x:v>
      </x:c>
      <x:c r="AS339" s="4" t="n">
        <x:v>24.883333333333333</x:v>
      </x:c>
      <x:c r="AT339" s="4" t="n">
        <x:v>3.34</x:v>
      </x:c>
      <x:c r="AU339" s="4" t="n">
        <x:v>7.2</x:v>
      </x:c>
      <x:c r="AV339" s="10" t="n">
        <x:v>4</x:v>
      </x:c>
      <x:c r="AW339" s="10" t="n">
        <x:v>20</x:v>
      </x:c>
      <x:c r="AX339" s="10" t="n">
        <x:v>0</x:v>
      </x:c>
      <x:c r="AY339" s="10" t="n">
        <x:v>0</x:v>
      </x:c>
      <x:c r="AZ339" s="10" t="n">
        <x:v>1402</x:v>
      </x:c>
      <x:c r="BA339" s="10" t="n">
        <x:v>1392</x:v>
      </x:c>
      <x:c r="BB339" s="4" t="n">
        <x:v>50.2</x:v>
      </x:c>
      <x:c r="BC339" s="4" t="n">
        <x:v>0.4</x:v>
      </x:c>
      <x:c r="BD339" s="10" t="n">
        <x:v>1023</x:v>
      </x:c>
      <x:c r="BE339" s="10" t="n">
        <x:v>1062</x:v>
      </x:c>
      <x:c r="BF339" s="4" t="n">
        <x:v>49.1</x:v>
      </x:c>
      <x:c r="BG339" s="4" t="n">
        <x:v>0.6</x:v>
      </x:c>
      <x:c r="BH339" s="4" t="n">
        <x:v>10.8</x:v>
      </x:c>
      <x:c r="BI339" s="4" t="n">
        <x:v>87.8</x:v>
      </x:c>
      <x:c r="BJ339" s="4" t="n">
        <x:v>98.6</x:v>
      </x:c>
      <x:c r="BK339" s="4" t="n">
        <x:v>53.2</x:v>
      </x:c>
      <x:c r="BL339" s="4" t="n">
        <x:v>46.8</x:v>
      </x:c>
      <x:c r="BM339" s="4" t="n">
        <x:v>24.883333333333333</x:v>
      </x:c>
      <x:c r="BN339" s="4" t="n">
        <x:v>20.416666666666668</x:v>
      </x:c>
      <x:c r="BO339" s="10" t="n">
        <x:v>23</x:v>
      </x:c>
      <x:c r="BP339" s="10" t="n">
        <x:v>77</x:v>
      </x:c>
      <x:c r="BQ339" s="4" t="n">
        <x:v>-2.8</x:v>
      </x:c>
      <x:c r="BR339" s="10" t="n">
        <x:v>385</x:v>
      </x:c>
      <x:c r="BS339" s="4" t="n">
        <x:v>47</x:v>
      </x:c>
      <x:c r="BT339" s="10" t="n">
        <x:v>68</x:v>
      </x:c>
      <x:c r="BU339" s="4" t="str">
        <x:v>NSH</x:v>
      </x:c>
      <x:c r="BV339" s="10" t="n">
        <x:v>40</x:v>
      </x:c>
      <x:c r="BW339" s="10" t="n">
        <x:v>112</x:v>
      </x:c>
      <x:c r="BX339" s="10" t="n">
        <x:v>482</x:v>
      </x:c>
      <x:c r="BY339" s="4" t="str">
        <x:v>Roman Josi</x:v>
      </x:c>
      <x:c r="BZ339" s="4" t="str">
        <x:v>Roman Josi</x:v>
      </x:c>
      <x:c r="CA339" s="4" t="str">
        <x:v>Roman Josi</x:v>
      </x:c>
      <x:c r="CB339" s="4" t="str">
        <x:v>josiro01</x:v>
      </x:c>
    </x:row>
    <x:row r="340" ht="22" customHeight="1">
      <x:c r="A340" s="4" t="str">
        <x:v>Roope Hintz</x:v>
      </x:c>
      <x:c r="B340" s="4" t="str">
        <x:v>roopehintz</x:v>
      </x:c>
      <x:c r="C340" s="10" t="n">
        <x:v>1</x:v>
      </x:c>
      <x:c r="D340" s="10" t="n">
        <x:v>1</x:v>
      </x:c>
      <x:c r="E340" s="10" t="n">
        <x:v>1</x:v>
      </x:c>
      <x:c r="F340" s="4" t="n">
        <x:f>IF(COUNT(N340,Q340,T340,W340,Z340,AC340,AF340,AI340)=8,N340*Guide!$E$5+Q340*Guide!$E$6+T340*Guide!$E$7+W340*Guide!$E$8+Z340*Guide!$E$9+AC340*Guide!$E$10+AF340*Guide!$E$11+AI340*Guide!$E$12,"")</x:f>
        <x:v>328.25</x:v>
      </x:c>
      <x:c r="G340" s="4" t="n">
        <x:f>IF(COUNT(O340,R340,U340,X340,AA340,AD340,AG340,AJ340)=8,O340*Guide!$E$5+R340*Guide!$E$6+U340*Guide!$E$7+X340*Guide!$E$8+AA340*Guide!$E$9+AD340*Guide!$E$10+AG340*Guide!$E$11+AJ340*Guide!$E$12,"")</x:f>
        <x:v>241.75</x:v>
      </x:c>
      <x:c r="H340" s="4" t="n">
        <x:f>IF(COUNT(G340,F340)=2,G340-F340,"")</x:f>
        <x:v>-86.5</x:v>
      </x:c>
      <x:c r="I340" s="4" t="n">
        <x:f>IF(AND(ISNUMBER(F340),K340&gt;0),F340/K340,"")</x:f>
        <x:v>4.376666666666667</x:v>
      </x:c>
      <x:c r="J340" s="4" t="n">
        <x:f>IF(AND(ISNUMBER(G340),L340&gt;0),G340/L340,"")</x:f>
        <x:v>4.561320754716981</x:v>
      </x:c>
      <x:c r="K340" s="10" t="n">
        <x:v>75</x:v>
      </x:c>
      <x:c r="L340" s="10" t="n">
        <x:v>53</x:v>
      </x:c>
      <x:c r="M340" s="10" t="n">
        <x:f>IF(COUNT(L340,K340)=2,L340-K340,"")</x:f>
        <x:v>-22</x:v>
      </x:c>
      <x:c r="N340" s="10" t="n">
        <x:v>29</x:v>
      </x:c>
      <x:c r="O340" s="10" t="n">
        <x:v>15</x:v>
      </x:c>
      <x:c r="P340" s="10" t="n">
        <x:f>IF(COUNT(O340,N340)=2,O340-N340,"")</x:f>
        <x:v>-14</x:v>
      </x:c>
      <x:c r="Q340" s="10" t="n">
        <x:v>32</x:v>
      </x:c>
      <x:c r="R340" s="10" t="n">
        <x:v>29</x:v>
      </x:c>
      <x:c r="S340" s="10" t="n">
        <x:f>IF(COUNT(R340,Q340)=2,R340-Q340,"")</x:f>
        <x:v>-3</x:v>
      </x:c>
      <x:c r="T340" s="10" t="n">
        <x:v>8</x:v>
      </x:c>
      <x:c r="U340" s="10" t="n">
        <x:v>16</x:v>
      </x:c>
      <x:c r="V340" s="10" t="n">
        <x:f>IF(COUNT(U340,T340)=2,U340-T340,"")</x:f>
        <x:v>8</x:v>
      </x:c>
      <x:c r="W340" s="10" t="n">
        <x:v>19</x:v>
      </x:c>
      <x:c r="X340" s="10" t="n">
        <x:f>IF(COUNT(AV340,AW340)=2,AV340+AW340,"")</x:f>
        <x:v>19</x:v>
      </x:c>
      <x:c r="Y340" s="10" t="n">
        <x:f>IF(COUNT(X340,W340)=2,X340-W340,"")</x:f>
        <x:v>0</x:v>
      </x:c>
      <x:c r="Z340" s="10" t="n">
        <x:v>2</x:v>
      </x:c>
      <x:c r="AA340" s="10" t="n">
        <x:f>IF(COUNT(AX340,AY340)=2,AX340+AY340,"")</x:f>
        <x:v>0</x:v>
      </x:c>
      <x:c r="AB340" s="10" t="n">
        <x:f>IF(COUNT(AA340,Z340)=2,AA340-Z340,"")</x:f>
        <x:v>-2</x:v>
      </x:c>
      <x:c r="AC340" s="10" t="n">
        <x:v>153</x:v>
      </x:c>
      <x:c r="AD340" s="10" t="n">
        <x:v>126</x:v>
      </x:c>
      <x:c r="AE340" s="10" t="n">
        <x:f>IF(COUNT(AD340,AC340)=2,AD340-AC340,"")</x:f>
        <x:v>-27</x:v>
      </x:c>
      <x:c r="AF340" s="10" t="n">
        <x:v>48</x:v>
      </x:c>
      <x:c r="AG340" s="10" t="n">
        <x:v>59</x:v>
      </x:c>
      <x:c r="AH340" s="10" t="n">
        <x:f>IF(COUNT(AG340,AF340)=2,AG340-AF340,"")</x:f>
        <x:v>11</x:v>
      </x:c>
      <x:c r="AI340" s="10" t="n">
        <x:v>44</x:v>
      </x:c>
      <x:c r="AJ340" s="10" t="n">
        <x:v>18</x:v>
      </x:c>
      <x:c r="AK340" s="10" t="n">
        <x:f>IF(COUNT(AJ340,AI340)=2,AJ340-AI340,"")</x:f>
        <x:v>-26</x:v>
      </x:c>
      <x:c r="AL340" s="10" t="n">
        <x:v>29</x:v>
      </x:c>
      <x:c r="AM340" s="10" t="n">
        <x:v>29</x:v>
      </x:c>
      <x:c r="AN340" s="4" t="str">
        <x:v>C</x:v>
      </x:c>
      <x:c r="AO340" s="4" t="str">
        <x:v>LW</x:v>
      </x:c>
      <x:c r="AP340" s="4" t="str">
        <x:v>DAL</x:v>
      </x:c>
      <x:c r="AQ340" s="4" t="str">
        <x:v>DAL</x:v>
      </x:c>
      <x:c r="AR340" s="4" t="n">
        <x:v>16.72</x:v>
      </x:c>
      <x:c r="AS340" s="4" t="n">
        <x:v>17.333333333333332</x:v>
      </x:c>
      <x:c r="AT340" s="4" t="n">
        <x:v>2.6</x:v>
      </x:c>
      <x:c r="AU340" s="4" t="n">
        <x:v>11.9</x:v>
      </x:c>
      <x:c r="AV340" s="10" t="n">
        <x:v>6</x:v>
      </x:c>
      <x:c r="AW340" s="10" t="n">
        <x:v>13</x:v>
      </x:c>
      <x:c r="AX340" s="10" t="n">
        <x:v>0</x:v>
      </x:c>
      <x:c r="AY340" s="10" t="n">
        <x:v>0</x:v>
      </x:c>
      <x:c r="AZ340" s="10" t="n">
        <x:v>690</x:v>
      </x:c>
      <x:c r="BA340" s="10" t="n">
        <x:v>663</x:v>
      </x:c>
      <x:c r="BB340" s="4" t="n">
        <x:v>51</x:v>
      </x:c>
      <x:c r="BC340" s="4" t="n">
        <x:v>5.4</x:v>
      </x:c>
      <x:c r="BD340" s="10" t="n">
        <x:v>486</x:v>
      </x:c>
      <x:c r="BE340" s="10" t="n">
        <x:v>456</x:v>
      </x:c>
      <x:c r="BF340" s="4" t="n">
        <x:v>51.6</x:v>
      </x:c>
      <x:c r="BG340" s="4" t="n">
        <x:v>5.2</x:v>
      </x:c>
      <x:c r="BH340" s="4" t="n">
        <x:v>14.7</x:v>
      </x:c>
      <x:c r="BI340" s="4" t="n">
        <x:v>90.5</x:v>
      </x:c>
      <x:c r="BJ340" s="4" t="n">
        <x:v>105.2</x:v>
      </x:c>
      <x:c r="BK340" s="4" t="n">
        <x:v>47.2</x:v>
      </x:c>
      <x:c r="BL340" s="4" t="n">
        <x:v>52.8</x:v>
      </x:c>
      <x:c r="BM340" s="4" t="n">
        <x:v>17.333333333333332</x:v>
      </x:c>
      <x:c r="BN340" s="4" t="n">
        <x:v>13.7</x:v>
      </x:c>
      <x:c r="BO340" s="10" t="n">
        <x:v>5</x:v>
      </x:c>
      <x:c r="BP340" s="10" t="n">
        <x:v>41</x:v>
      </x:c>
      <x:c r="BQ340" s="4" t="n">
        <x:v>10.3</x:v>
      </x:c>
      <x:c r="BR340" s="10" t="n">
        <x:v>205</x:v>
      </x:c>
      <x:c r="BS340" s="4" t="n">
        <x:v>61.5</x:v>
      </x:c>
      <x:c r="BT340" s="10" t="n">
        <x:v>53</x:v>
      </x:c>
      <x:c r="BU340" s="4" t="str">
        <x:v>DAL</x:v>
      </x:c>
      <x:c r="BV340" s="10" t="n">
        <x:v>91</x:v>
      </x:c>
      <x:c r="BW340" s="10" t="n">
        <x:v>183</x:v>
      </x:c>
      <x:c r="BX340" s="10" t="n">
        <x:v>416</x:v>
      </x:c>
      <x:c r="BY340" s="4" t="str">
        <x:v>Roope Hintz</x:v>
      </x:c>
      <x:c r="BZ340" s="4" t="str">
        <x:v>Roope Hintz</x:v>
      </x:c>
      <x:c r="CA340" s="4" t="str">
        <x:v>Roope Hintz</x:v>
      </x:c>
      <x:c r="CB340" s="4" t="str">
        <x:v>hintzro01</x:v>
      </x:c>
    </x:row>
    <x:row r="341" ht="22" customHeight="1">
      <x:c r="A341" s="4" t="str">
        <x:v>Ross Colton</x:v>
      </x:c>
      <x:c r="B341" s="4" t="str">
        <x:v>rosscolton</x:v>
      </x:c>
      <x:c r="C341" s="10" t="n">
        <x:v>1</x:v>
      </x:c>
      <x:c r="D341" s="10" t="n">
        <x:v>1</x:v>
      </x:c>
      <x:c r="E341" s="10" t="n">
        <x:v>1</x:v>
      </x:c>
      <x:c r="F341" s="4" t="n">
        <x:f>IF(COUNT(N341,Q341,T341,W341,Z341,AC341,AF341,AI341)=8,N341*Guide!$E$5+Q341*Guide!$E$6+T341*Guide!$E$7+W341*Guide!$E$8+Z341*Guide!$E$9+AC341*Guide!$E$10+AF341*Guide!$E$11+AI341*Guide!$E$12,"")</x:f>
        <x:v>270</x:v>
      </x:c>
      <x:c r="G341" s="4" t="n">
        <x:f>IF(COUNT(O341,R341,U341,X341,AA341,AD341,AG341,AJ341)=8,O341*Guide!$E$5+R341*Guide!$E$6+U341*Guide!$E$7+X341*Guide!$E$8+AA341*Guide!$E$9+AD341*Guide!$E$10+AG341*Guide!$E$11+AJ341*Guide!$E$12,"")</x:f>
        <x:v>186.75</x:v>
      </x:c>
      <x:c r="H341" s="4" t="n">
        <x:f>IF(COUNT(G341,F341)=2,G341-F341,"")</x:f>
        <x:v>-83.25</x:v>
      </x:c>
      <x:c r="I341" s="4" t="n">
        <x:f>IF(AND(ISNUMBER(F341),K341&gt;0),F341/K341,"")</x:f>
        <x:v>3.4615384615384617</x:v>
      </x:c>
      <x:c r="J341" s="4" t="n">
        <x:f>IF(AND(ISNUMBER(G341),L341&gt;0),G341/L341,"")</x:f>
        <x:v>2.558219178082192</x:v>
      </x:c>
      <x:c r="K341" s="10" t="n">
        <x:v>78</x:v>
      </x:c>
      <x:c r="L341" s="10" t="n">
        <x:v>73</x:v>
      </x:c>
      <x:c r="M341" s="10" t="n">
        <x:f>IF(COUNT(L341,K341)=2,L341-K341,"")</x:f>
        <x:v>-5</x:v>
      </x:c>
      <x:c r="N341" s="10" t="n">
        <x:v>20</x:v>
      </x:c>
      <x:c r="O341" s="10" t="n">
        <x:v>9</x:v>
      </x:c>
      <x:c r="P341" s="10" t="n">
        <x:f>IF(COUNT(O341,N341)=2,O341-N341,"")</x:f>
        <x:v>-11</x:v>
      </x:c>
      <x:c r="Q341" s="10" t="n">
        <x:v>21</x:v>
      </x:c>
      <x:c r="R341" s="10" t="n">
        <x:v>15</x:v>
      </x:c>
      <x:c r="S341" s="10" t="n">
        <x:f>IF(COUNT(R341,Q341)=2,R341-Q341,"")</x:f>
        <x:v>-6</x:v>
      </x:c>
      <x:c r="T341" s="10" t="n">
        <x:v>1</x:v>
      </x:c>
      <x:c r="U341" s="10" t="n">
        <x:v>9</x:v>
      </x:c>
      <x:c r="V341" s="10" t="n">
        <x:f>IF(COUNT(U341,T341)=2,U341-T341,"")</x:f>
        <x:v>8</x:v>
      </x:c>
      <x:c r="W341" s="10" t="n">
        <x:v>9</x:v>
      </x:c>
      <x:c r="X341" s="10" t="n">
        <x:f>IF(COUNT(AV341,AW341)=2,AV341+AW341,"")</x:f>
        <x:v>0</x:v>
      </x:c>
      <x:c r="Y341" s="10" t="n">
        <x:f>IF(COUNT(X341,W341)=2,X341-W341,"")</x:f>
        <x:v>-9</x:v>
      </x:c>
      <x:c r="Z341" s="10" t="n">
        <x:v>0</x:v>
      </x:c>
      <x:c r="AA341" s="10" t="n">
        <x:f>IF(COUNT(AX341,AY341)=2,AX341+AY341,"")</x:f>
        <x:v>0</x:v>
      </x:c>
      <x:c r="AB341" s="10" t="n">
        <x:f>IF(COUNT(AA341,Z341)=2,AA341-Z341,"")</x:f>
        <x:v>0</x:v>
      </x:c>
      <x:c r="AC341" s="10" t="n">
        <x:v>149</x:v>
      </x:c>
      <x:c r="AD341" s="10" t="n">
        <x:v>153</x:v>
      </x:c>
      <x:c r="AE341" s="10" t="n">
        <x:f>IF(COUNT(AD341,AC341)=2,AD341-AC341,"")</x:f>
        <x:v>4</x:v>
      </x:c>
      <x:c r="AF341" s="10" t="n">
        <x:v>175</x:v>
      </x:c>
      <x:c r="AG341" s="10" t="n">
        <x:v>159</x:v>
      </x:c>
      <x:c r="AH341" s="10" t="n">
        <x:f>IF(COUNT(AG341,AF341)=2,AG341-AF341,"")</x:f>
        <x:v>-16</x:v>
      </x:c>
      <x:c r="AI341" s="10" t="n">
        <x:v>48</x:v>
      </x:c>
      <x:c r="AJ341" s="10" t="n">
        <x:v>25</x:v>
      </x:c>
      <x:c r="AK341" s="10" t="n">
        <x:f>IF(COUNT(AJ341,AI341)=2,AJ341-AI341,"")</x:f>
        <x:v>-23</x:v>
      </x:c>
      <x:c r="AL341" s="10" t="n">
        <x:v>29</x:v>
      </x:c>
      <x:c r="AM341" s="10" t="n">
        <x:v>29</x:v>
      </x:c>
      <x:c r="AN341" s="4" t="str">
        <x:v>C,LW</x:v>
      </x:c>
      <x:c r="AO341" s="4" t="str">
        <x:v>C</x:v>
      </x:c>
      <x:c r="AP341" s="4" t="str">
        <x:v>COL</x:v>
      </x:c>
      <x:c r="AQ341" s="4" t="str">
        <x:v>COL</x:v>
      </x:c>
      <x:c r="AR341" s="4" t="n">
        <x:v>14.09</x:v>
      </x:c>
      <x:c r="AS341" s="4" t="n">
        <x:v>12.516666666666667</x:v>
      </x:c>
      <x:c r="AT341" s="4" t="n">
        <x:v>1.56</x:v>
      </x:c>
      <x:c r="AU341" s="4" t="n">
        <x:v>5.9</x:v>
      </x:c>
      <x:c r="AV341" s="10" t="n">
        <x:v>0</x:v>
      </x:c>
      <x:c r="AW341" s="10" t="n">
        <x:v>0</x:v>
      </x:c>
      <x:c r="AX341" s="10" t="n">
        <x:v>0</x:v>
      </x:c>
      <x:c r="AY341" s="10" t="n">
        <x:v>0</x:v>
      </x:c>
      <x:c r="AZ341" s="10" t="n">
        <x:v>1066</x:v>
      </x:c>
      <x:c r="BA341" s="10" t="n">
        <x:v>757</x:v>
      </x:c>
      <x:c r="BB341" s="4" t="n">
        <x:v>58.5</x:v>
      </x:c>
      <x:c r="BC341" s="4" t="n">
        <x:v>3.5</x:v>
      </x:c>
      <x:c r="BD341" s="10" t="n">
        <x:v>783</x:v>
      </x:c>
      <x:c r="BE341" s="10" t="n">
        <x:v>546</x:v>
      </x:c>
      <x:c r="BF341" s="4" t="n">
        <x:v>58.9</x:v>
      </x:c>
      <x:c r="BG341" s="4" t="n">
        <x:v>4.7</x:v>
      </x:c>
      <x:c r="BH341" s="4" t="n">
        <x:v>8.7</x:v>
      </x:c>
      <x:c r="BI341" s="4" t="n">
        <x:v>89.8</x:v>
      </x:c>
      <x:c r="BJ341" s="4" t="n">
        <x:v>98.5</x:v>
      </x:c>
      <x:c r="BK341" s="4" t="n">
        <x:v>46.2</x:v>
      </x:c>
      <x:c r="BL341" s="4" t="n">
        <x:v>53.8</x:v>
      </x:c>
      <x:c r="BM341" s="4" t="n">
        <x:v>12.516666666666667</x:v>
      </x:c>
      <x:c r="BN341" s="4" t="n">
        <x:v>11.683333333333334</x:v>
      </x:c>
      <x:c r="BO341" s="10" t="n">
        <x:v>19</x:v>
      </x:c>
      <x:c r="BP341" s="10" t="n">
        <x:v>51</x:v>
      </x:c>
      <x:c r="BQ341" s="4" t="n">
        <x:v>15</x:v>
      </x:c>
      <x:c r="BR341" s="10" t="n">
        <x:v>300</x:v>
      </x:c>
      <x:c r="BS341" s="4" t="n">
        <x:v>51</x:v>
      </x:c>
      <x:c r="BT341" s="10" t="n">
        <x:v>73</x:v>
      </x:c>
      <x:c r="BU341" s="4" t="str">
        <x:v>COL</x:v>
      </x:c>
      <x:c r="BV341" s="10" t="n">
        <x:v>232</x:v>
      </x:c>
      <x:c r="BW341" s="10" t="n">
        <x:v>405</x:v>
      </x:c>
      <x:c r="BX341" s="10" t="n">
        <x:v>167</x:v>
      </x:c>
      <x:c r="BY341" s="4" t="str">
        <x:v>Ross Colton</x:v>
      </x:c>
      <x:c r="BZ341" s="4" t="str">
        <x:v>Ross Colton</x:v>
      </x:c>
      <x:c r="CA341" s="4" t="str">
        <x:v>Ross Colton</x:v>
      </x:c>
      <x:c r="CB341" s="4" t="str">
        <x:v>coltoro01</x:v>
      </x:c>
    </x:row>
    <x:row r="342" ht="22" customHeight="1">
      <x:c r="A342" s="4" t="str">
        <x:v>Ryan Donato</x:v>
      </x:c>
      <x:c r="B342" s="4" t="str">
        <x:v>ryandonato</x:v>
      </x:c>
      <x:c r="C342" s="10" t="n">
        <x:v>1</x:v>
      </x:c>
      <x:c r="D342" s="10" t="n">
        <x:v>1</x:v>
      </x:c>
      <x:c r="E342" s="10" t="n">
        <x:v>1</x:v>
      </x:c>
      <x:c r="F342" s="4" t="n">
        <x:f>IF(COUNT(N342,Q342,T342,W342,Z342,AC342,AF342,AI342)=8,N342*Guide!$E$5+Q342*Guide!$E$6+T342*Guide!$E$7+W342*Guide!$E$8+Z342*Guide!$E$9+AC342*Guide!$E$10+AF342*Guide!$E$11+AI342*Guide!$E$12,"")</x:f>
        <x:v>236.5</x:v>
      </x:c>
      <x:c r="G342" s="4" t="n">
        <x:f>IF(COUNT(O342,R342,U342,X342,AA342,AD342,AG342,AJ342)=8,O342*Guide!$E$5+R342*Guide!$E$6+U342*Guide!$E$7+X342*Guide!$E$8+AA342*Guide!$E$9+AD342*Guide!$E$10+AG342*Guide!$E$11+AJ342*Guide!$E$12,"")</x:f>
        <x:v>156.75</x:v>
      </x:c>
      <x:c r="H342" s="4" t="n">
        <x:f>IF(COUNT(G342,F342)=2,G342-F342,"")</x:f>
        <x:v>-79.75</x:v>
      </x:c>
      <x:c r="I342" s="4" t="n">
        <x:f>IF(AND(ISNUMBER(F342),K342&gt;0),F342/K342,"")</x:f>
        <x:v>2.9936708860759493</x:v>
      </x:c>
      <x:c r="J342" s="4" t="n">
        <x:f>IF(AND(ISNUMBER(G342),L342&gt;0),G342/L342,"")</x:f>
        <x:v>1.9115853658536586</x:v>
      </x:c>
      <x:c r="K342" s="10" t="n">
        <x:v>79</x:v>
      </x:c>
      <x:c r="L342" s="10" t="n">
        <x:v>82</x:v>
      </x:c>
      <x:c r="M342" s="10" t="n">
        <x:f>IF(COUNT(L342,K342)=2,L342-K342,"")</x:f>
        <x:v>3</x:v>
      </x:c>
      <x:c r="N342" s="10" t="n">
        <x:v>22</x:v>
      </x:c>
      <x:c r="O342" s="10" t="n">
        <x:v>15</x:v>
      </x:c>
      <x:c r="P342" s="10" t="n">
        <x:f>IF(COUNT(O342,N342)=2,O342-N342,"")</x:f>
        <x:v>-7</x:v>
      </x:c>
      <x:c r="Q342" s="10" t="n">
        <x:v>23</x:v>
      </x:c>
      <x:c r="R342" s="10" t="n">
        <x:v>15</x:v>
      </x:c>
      <x:c r="S342" s="10" t="n">
        <x:f>IF(COUNT(R342,Q342)=2,R342-Q342,"")</x:f>
        <x:v>-8</x:v>
      </x:c>
      <x:c r="T342" s="10" t="n">
        <x:v>-12</x:v>
      </x:c>
      <x:c r="U342" s="10" t="n">
        <x:v>-16</x:v>
      </x:c>
      <x:c r="V342" s="10" t="n">
        <x:f>IF(COUNT(U342,T342)=2,U342-T342,"")</x:f>
        <x:v>-4</x:v>
      </x:c>
      <x:c r="W342" s="10" t="n">
        <x:v>9</x:v>
      </x:c>
      <x:c r="X342" s="10" t="n">
        <x:f>IF(COUNT(AV342,AW342)=2,AV342+AW342,"")</x:f>
        <x:v>2</x:v>
      </x:c>
      <x:c r="Y342" s="10" t="n">
        <x:f>IF(COUNT(X342,W342)=2,X342-W342,"")</x:f>
        <x:v>-7</x:v>
      </x:c>
      <x:c r="Z342" s="10" t="n">
        <x:v>0</x:v>
      </x:c>
      <x:c r="AA342" s="10" t="n">
        <x:f>IF(COUNT(AX342,AY342)=2,AX342+AY342,"")</x:f>
        <x:v>0</x:v>
      </x:c>
      <x:c r="AB342" s="10" t="n">
        <x:f>IF(COUNT(AA342,Z342)=2,AA342-Z342,"")</x:f>
        <x:v>0</x:v>
      </x:c>
      <x:c r="AC342" s="10" t="n">
        <x:v>162</x:v>
      </x:c>
      <x:c r="AD342" s="10" t="n">
        <x:v>122</x:v>
      </x:c>
      <x:c r="AE342" s="10" t="n">
        <x:f>IF(COUNT(AD342,AC342)=2,AD342-AC342,"")</x:f>
        <x:v>-40</x:v>
      </x:c>
      <x:c r="AF342" s="10" t="n">
        <x:v>102</x:v>
      </x:c>
      <x:c r="AG342" s="10" t="n">
        <x:v>78</x:v>
      </x:c>
      <x:c r="AH342" s="10" t="n">
        <x:f>IF(COUNT(AG342,AF342)=2,AG342-AF342,"")</x:f>
        <x:v>-24</x:v>
      </x:c>
      <x:c r="AI342" s="10" t="n">
        <x:v>22</x:v>
      </x:c>
      <x:c r="AJ342" s="10" t="n">
        <x:v>21</x:v>
      </x:c>
      <x:c r="AK342" s="10" t="n">
        <x:f>IF(COUNT(AJ342,AI342)=2,AJ342-AI342,"")</x:f>
        <x:v>-1</x:v>
      </x:c>
      <x:c r="AL342" s="10" t="n">
        <x:v>29</x:v>
      </x:c>
      <x:c r="AM342" s="10" t="n">
        <x:v>29</x:v>
      </x:c>
      <x:c r="AN342" s="4" t="str">
        <x:v>C,LW,RW</x:v>
      </x:c>
      <x:c r="AO342" s="4" t="str">
        <x:v>C</x:v>
      </x:c>
      <x:c r="AP342" s="4" t="str">
        <x:v>CHI</x:v>
      </x:c>
      <x:c r="AQ342" s="4" t="str">
        <x:v>CHI</x:v>
      </x:c>
      <x:c r="AR342" s="4" t="n">
        <x:v>15.649999999999999</x:v>
      </x:c>
      <x:c r="AS342" s="4" t="n">
        <x:v>14.733333333333333</x:v>
      </x:c>
      <x:c r="AT342" s="4" t="n">
        <x:v>1.78</x:v>
      </x:c>
      <x:c r="AU342" s="4" t="n">
        <x:v>12.3</x:v>
      </x:c>
      <x:c r="AV342" s="10" t="n">
        <x:v>1</x:v>
      </x:c>
      <x:c r="AW342" s="10" t="n">
        <x:v>1</x:v>
      </x:c>
      <x:c r="AX342" s="10" t="n">
        <x:v>0</x:v>
      </x:c>
      <x:c r="AY342" s="10" t="n">
        <x:v>0</x:v>
      </x:c>
      <x:c r="AZ342" s="10" t="n">
        <x:v>970</x:v>
      </x:c>
      <x:c r="BA342" s="10" t="n">
        <x:v>1044</x:v>
      </x:c>
      <x:c r="BB342" s="4" t="n">
        <x:v>48.2</x:v>
      </x:c>
      <x:c r="BC342" s="4" t="n">
        <x:v>3.2</x:v>
      </x:c>
      <x:c r="BD342" s="10" t="n">
        <x:v>719</x:v>
      </x:c>
      <x:c r="BE342" s="10" t="n">
        <x:v>790</x:v>
      </x:c>
      <x:c r="BF342" s="4" t="n">
        <x:v>47.6</x:v>
      </x:c>
      <x:c r="BG342" s="4" t="n">
        <x:v>3.1</x:v>
      </x:c>
      <x:c r="BH342" s="4" t="n">
        <x:v>8.6</x:v>
      </x:c>
      <x:c r="BI342" s="4" t="n">
        <x:v>89.6</x:v>
      </x:c>
      <x:c r="BJ342" s="4" t="n">
        <x:v>98.3</x:v>
      </x:c>
      <x:c r="BK342" s="4" t="n">
        <x:v>42.6</x:v>
      </x:c>
      <x:c r="BL342" s="4" t="n">
        <x:v>57.4</x:v>
      </x:c>
      <x:c r="BM342" s="4" t="n">
        <x:v>14.733333333333333</x:v>
      </x:c>
      <x:c r="BN342" s="4" t="n">
        <x:v>13.333333333333334</x:v>
      </x:c>
      <x:c r="BO342" s="10" t="n">
        <x:v>26</x:v>
      </x:c>
      <x:c r="BP342" s="10" t="n">
        <x:v>58</x:v>
      </x:c>
      <x:c r="BQ342" s="4" t="n">
        <x:v>-14.5</x:v>
      </x:c>
      <x:c r="BR342" s="10" t="n">
        <x:v>278</x:v>
      </x:c>
      <x:c r="BS342" s="4" t="n">
        <x:v>43.9</x:v>
      </x:c>
      <x:c r="BT342" s="10" t="n">
        <x:v>82</x:v>
      </x:c>
      <x:c r="BU342" s="4" t="str">
        <x:v>CHI</x:v>
      </x:c>
      <x:c r="BV342" s="10" t="n">
        <x:v>200</x:v>
      </x:c>
      <x:c r="BW342" s="10" t="n">
        <x:v>328</x:v>
      </x:c>
      <x:c r="BX342" s="10" t="n">
        <x:v>224</x:v>
      </x:c>
      <x:c r="BY342" s="4" t="str">
        <x:v>Ryan Donato</x:v>
      </x:c>
      <x:c r="BZ342" s="4" t="str">
        <x:v>Ryan Donato</x:v>
      </x:c>
      <x:c r="CA342" s="4" t="str">
        <x:v>Ryan Donato</x:v>
      </x:c>
      <x:c r="CB342" s="4" t="str">
        <x:v>donatry01</x:v>
      </x:c>
    </x:row>
    <x:row r="343" ht="22" customHeight="1">
      <x:c r="A343" s="4" t="str">
        <x:v>Ryan Hartman</x:v>
      </x:c>
      <x:c r="B343" s="4" t="str">
        <x:v>ryanhartman</x:v>
      </x:c>
      <x:c r="C343" s="10" t="n">
        <x:v>1</x:v>
      </x:c>
      <x:c r="D343" s="10" t="n">
        <x:v>1</x:v>
      </x:c>
      <x:c r="E343" s="10" t="n">
        <x:v>1</x:v>
      </x:c>
      <x:c r="F343" s="4" t="n">
        <x:f>IF(COUNT(N343,Q343,T343,W343,Z343,AC343,AF343,AI343)=8,N343*Guide!$E$5+Q343*Guide!$E$6+T343*Guide!$E$7+W343*Guide!$E$8+Z343*Guide!$E$9+AC343*Guide!$E$10+AF343*Guide!$E$11+AI343*Guide!$E$12,"")</x:f>
        <x:v>216.5</x:v>
      </x:c>
      <x:c r="G343" s="4" t="n">
        <x:f>IF(COUNT(O343,R343,U343,X343,AA343,AD343,AG343,AJ343)=8,O343*Guide!$E$5+R343*Guide!$E$6+U343*Guide!$E$7+X343*Guide!$E$8+AA343*Guide!$E$9+AD343*Guide!$E$10+AG343*Guide!$E$11+AJ343*Guide!$E$12,"")</x:f>
        <x:v>287</x:v>
      </x:c>
      <x:c r="H343" s="4" t="n">
        <x:f>IF(COUNT(G343,F343)=2,G343-F343,"")</x:f>
        <x:v>70.5</x:v>
      </x:c>
      <x:c r="I343" s="4" t="n">
        <x:f>IF(AND(ISNUMBER(F343),K343&gt;0),F343/K343,"")</x:f>
        <x:v>3.0069444444444446</x:v>
      </x:c>
      <x:c r="J343" s="4" t="n">
        <x:f>IF(AND(ISNUMBER(G343),L343&gt;0),G343/L343,"")</x:f>
        <x:v>3.776315789473684</x:v>
      </x:c>
      <x:c r="K343" s="10" t="n">
        <x:v>72</x:v>
      </x:c>
      <x:c r="L343" s="10" t="n">
        <x:v>76</x:v>
      </x:c>
      <x:c r="M343" s="10" t="n">
        <x:f>IF(COUNT(L343,K343)=2,L343-K343,"")</x:f>
        <x:v>4</x:v>
      </x:c>
      <x:c r="N343" s="10" t="n">
        <x:v>16</x:v>
      </x:c>
      <x:c r="O343" s="10" t="n">
        <x:v>23</x:v>
      </x:c>
      <x:c r="P343" s="10" t="n">
        <x:f>IF(COUNT(O343,N343)=2,O343-N343,"")</x:f>
        <x:v>7</x:v>
      </x:c>
      <x:c r="Q343" s="10" t="n">
        <x:v>18</x:v>
      </x:c>
      <x:c r="R343" s="10" t="n">
        <x:v>20</x:v>
      </x:c>
      <x:c r="S343" s="10" t="n">
        <x:f>IF(COUNT(R343,Q343)=2,R343-Q343,"")</x:f>
        <x:v>2</x:v>
      </x:c>
      <x:c r="T343" s="10" t="n">
        <x:v>-2</x:v>
      </x:c>
      <x:c r="U343" s="10" t="n">
        <x:v>-1</x:v>
      </x:c>
      <x:c r="V343" s="10" t="n">
        <x:f>IF(COUNT(U343,T343)=2,U343-T343,"")</x:f>
        <x:v>1</x:v>
      </x:c>
      <x:c r="W343" s="10" t="n">
        <x:v>7</x:v>
      </x:c>
      <x:c r="X343" s="10" t="n">
        <x:f>IF(COUNT(AV343,AW343)=2,AV343+AW343,"")</x:f>
        <x:v>7</x:v>
      </x:c>
      <x:c r="Y343" s="10" t="n">
        <x:f>IF(COUNT(X343,W343)=2,X343-W343,"")</x:f>
        <x:v>0</x:v>
      </x:c>
      <x:c r="Z343" s="10" t="n">
        <x:v>0</x:v>
      </x:c>
      <x:c r="AA343" s="10" t="n">
        <x:f>IF(COUNT(AX343,AY343)=2,AX343+AY343,"")</x:f>
        <x:v>0</x:v>
      </x:c>
      <x:c r="AB343" s="10" t="n">
        <x:f>IF(COUNT(AA343,Z343)=2,AA343-Z343,"")</x:f>
        <x:v>0</x:v>
      </x:c>
      <x:c r="AC343" s="10" t="n">
        <x:v>150</x:v>
      </x:c>
      <x:c r="AD343" s="10" t="n">
        <x:v>167</x:v>
      </x:c>
      <x:c r="AE343" s="10" t="n">
        <x:f>IF(COUNT(AD343,AC343)=2,AD343-AC343,"")</x:f>
        <x:v>17</x:v>
      </x:c>
      <x:c r="AF343" s="10" t="n">
        <x:v>74</x:v>
      </x:c>
      <x:c r="AG343" s="10" t="n">
        <x:v>64</x:v>
      </x:c>
      <x:c r="AH343" s="10" t="n">
        <x:f>IF(COUNT(AG343,AF343)=2,AG343-AF343,"")</x:f>
        <x:v>-10</x:v>
      </x:c>
      <x:c r="AI343" s="10" t="n">
        <x:v>50</x:v>
      </x:c>
      <x:c r="AJ343" s="10" t="n">
        <x:v>95</x:v>
      </x:c>
      <x:c r="AK343" s="10" t="n">
        <x:f>IF(COUNT(AJ343,AI343)=2,AJ343-AI343,"")</x:f>
        <x:v>45</x:v>
      </x:c>
      <x:c r="AL343" s="10" t="n">
        <x:v>31</x:v>
      </x:c>
      <x:c r="AM343" s="10" t="n">
        <x:v>31</x:v>
      </x:c>
      <x:c r="AN343" s="4" t="str">
        <x:v>C,RW</x:v>
      </x:c>
      <x:c r="AO343" s="4" t="str">
        <x:v>RW</x:v>
      </x:c>
      <x:c r="AP343" s="4" t="str">
        <x:v>MIN</x:v>
      </x:c>
      <x:c r="AQ343" s="4" t="str">
        <x:v>MIN</x:v>
      </x:c>
      <x:c r="AR343" s="4" t="n">
        <x:v>15.14</x:v>
      </x:c>
      <x:c r="AS343" s="4" t="n">
        <x:v>16.75</x:v>
      </x:c>
      <x:c r="AT343" s="4" t="n">
        <x:v>1.36</x:v>
      </x:c>
      <x:c r="AU343" s="4" t="n">
        <x:v>13.8</x:v>
      </x:c>
      <x:c r="AV343" s="10" t="n">
        <x:v>6</x:v>
      </x:c>
      <x:c r="AW343" s="10" t="n">
        <x:v>1</x:v>
      </x:c>
      <x:c r="AX343" s="10" t="n">
        <x:v>0</x:v>
      </x:c>
      <x:c r="AY343" s="10" t="n">
        <x:v>0</x:v>
      </x:c>
      <x:c r="AZ343" s="10" t="n">
        <x:v>1182</x:v>
      </x:c>
      <x:c r="BA343" s="10" t="n">
        <x:v>1189</x:v>
      </x:c>
      <x:c r="BB343" s="4" t="n">
        <x:v>49.9</x:v>
      </x:c>
      <x:c r="BC343" s="4" t="n">
        <x:v>1.4</x:v>
      </x:c>
      <x:c r="BD343" s="10" t="n">
        <x:v>854</x:v>
      </x:c>
      <x:c r="BE343" s="10" t="n">
        <x:v>850</x:v>
      </x:c>
      <x:c r="BF343" s="4" t="n">
        <x:v>50.1</x:v>
      </x:c>
      <x:c r="BG343" s="4" t="n">
        <x:v>0.6</x:v>
      </x:c>
      <x:c r="BH343" s="4" t="n">
        <x:v>8.9</x:v>
      </x:c>
      <x:c r="BI343" s="4" t="n">
        <x:v>91.3</x:v>
      </x:c>
      <x:c r="BJ343" s="4" t="n">
        <x:v>100.3</x:v>
      </x:c>
      <x:c r="BK343" s="4" t="n">
        <x:v>48.6</x:v>
      </x:c>
      <x:c r="BL343" s="4" t="n">
        <x:v>51.4</x:v>
      </x:c>
      <x:c r="BM343" s="4" t="n">
        <x:v>16.75</x:v>
      </x:c>
      <x:c r="BN343" s="4" t="n">
        <x:v>14.933333333333334</x:v>
      </x:c>
      <x:c r="BO343" s="10" t="n">
        <x:v>23</x:v>
      </x:c>
      <x:c r="BP343" s="10" t="n">
        <x:v>66</x:v>
      </x:c>
      <x:c r="BQ343" s="4" t="n">
        <x:v>1.8</x:v>
      </x:c>
      <x:c r="BR343" s="10" t="n">
        <x:v>354</x:v>
      </x:c>
      <x:c r="BS343" s="4" t="n">
        <x:v>47.2</x:v>
      </x:c>
      <x:c r="BT343" s="10" t="n">
        <x:v>76</x:v>
      </x:c>
      <x:c r="BU343" s="4" t="str">
        <x:v>MIN</x:v>
      </x:c>
      <x:c r="BV343" s="10" t="n">
        <x:v>316</x:v>
      </x:c>
      <x:c r="BW343" s="10" t="n">
        <x:v>194</x:v>
      </x:c>
      <x:c r="BX343" s="10" t="n">
        <x:v>391</x:v>
      </x:c>
      <x:c r="BY343" s="4" t="str">
        <x:v>Ryan Hartman</x:v>
      </x:c>
      <x:c r="BZ343" s="4" t="str">
        <x:v>Ryan Hartman</x:v>
      </x:c>
      <x:c r="CA343" s="4" t="str">
        <x:v>Ryan Hartman</x:v>
      </x:c>
      <x:c r="CB343" s="4" t="str">
        <x:v>hartmry01</x:v>
      </x:c>
    </x:row>
    <x:row r="344" ht="22" customHeight="1">
      <x:c r="A344" s="4" t="str">
        <x:v>Ryan Leonard</x:v>
      </x:c>
      <x:c r="B344" s="4" t="str">
        <x:v>ryanleonard</x:v>
      </x:c>
      <x:c r="C344" s="10" t="n">
        <x:v>1</x:v>
      </x:c>
      <x:c r="D344" s="10" t="n">
        <x:v>1</x:v>
      </x:c>
      <x:c r="E344" s="10" t="n">
        <x:v>1</x:v>
      </x:c>
      <x:c r="F344" s="4" t="n">
        <x:f>IF(COUNT(N344,Q344,T344,W344,Z344,AC344,AF344,AI344)=8,N344*Guide!$E$5+Q344*Guide!$E$6+T344*Guide!$E$7+W344*Guide!$E$8+Z344*Guide!$E$9+AC344*Guide!$E$10+AF344*Guide!$E$11+AI344*Guide!$E$12,"")</x:f>
        <x:v>273</x:v>
      </x:c>
      <x:c r="G344" s="4" t="n">
        <x:f>IF(COUNT(O344,R344,U344,X344,AA344,AD344,AG344,AJ344)=8,O344*Guide!$E$5+R344*Guide!$E$6+U344*Guide!$E$7+X344*Guide!$E$8+AA344*Guide!$E$9+AD344*Guide!$E$10+AG344*Guide!$E$11+AJ344*Guide!$E$12,"")</x:f>
        <x:v>259</x:v>
      </x:c>
      <x:c r="H344" s="4" t="n">
        <x:f>IF(COUNT(G344,F344)=2,G344-F344,"")</x:f>
        <x:v>-14</x:v>
      </x:c>
      <x:c r="I344" s="4" t="n">
        <x:f>IF(AND(ISNUMBER(F344),K344&gt;0),F344/K344,"")</x:f>
        <x:v>3.5921052631578947</x:v>
      </x:c>
      <x:c r="J344" s="4" t="n">
        <x:f>IF(AND(ISNUMBER(G344),L344&gt;0),G344/L344,"")</x:f>
        <x:v>3.453333333333333</x:v>
      </x:c>
      <x:c r="K344" s="10" t="n">
        <x:v>76</x:v>
      </x:c>
      <x:c r="L344" s="10" t="n">
        <x:v>75</x:v>
      </x:c>
      <x:c r="M344" s="10" t="n">
        <x:f>IF(COUNT(L344,K344)=2,L344-K344,"")</x:f>
        <x:v>-1</x:v>
      </x:c>
      <x:c r="N344" s="10" t="n">
        <x:v>19</x:v>
      </x:c>
      <x:c r="O344" s="10" t="n">
        <x:v>20</x:v>
      </x:c>
      <x:c r="P344" s="10" t="n">
        <x:f>IF(COUNT(O344,N344)=2,O344-N344,"")</x:f>
        <x:v>1</x:v>
      </x:c>
      <x:c r="Q344" s="10" t="n">
        <x:v>25</x:v>
      </x:c>
      <x:c r="R344" s="10" t="n">
        <x:v>25</x:v>
      </x:c>
      <x:c r="S344" s="10" t="n">
        <x:f>IF(COUNT(R344,Q344)=2,R344-Q344,"")</x:f>
        <x:v>0</x:v>
      </x:c>
      <x:c r="T344" s="10" t="n">
        <x:v>2</x:v>
      </x:c>
      <x:c r="U344" s="10" t="n">
        <x:v>2</x:v>
      </x:c>
      <x:c r="V344" s="10" t="n">
        <x:f>IF(COUNT(U344,T344)=2,U344-T344,"")</x:f>
        <x:v>0</x:v>
      </x:c>
      <x:c r="W344" s="10" t="n">
        <x:v>12</x:v>
      </x:c>
      <x:c r="X344" s="10" t="n">
        <x:f>IF(COUNT(AV344,AW344)=2,AV344+AW344,"")</x:f>
        <x:v>14</x:v>
      </x:c>
      <x:c r="Y344" s="10" t="n">
        <x:f>IF(COUNT(X344,W344)=2,X344-W344,"")</x:f>
        <x:v>2</x:v>
      </x:c>
      <x:c r="Z344" s="10" t="n">
        <x:v>0</x:v>
      </x:c>
      <x:c r="AA344" s="10" t="n">
        <x:f>IF(COUNT(AX344,AY344)=2,AX344+AY344,"")</x:f>
        <x:v>0</x:v>
      </x:c>
      <x:c r="AB344" s="10" t="n">
        <x:f>IF(COUNT(AA344,Z344)=2,AA344-Z344,"")</x:f>
        <x:v>0</x:v>
      </x:c>
      <x:c r="AC344" s="10" t="n">
        <x:v>185</x:v>
      </x:c>
      <x:c r="AD344" s="10" t="n">
        <x:v>153</x:v>
      </x:c>
      <x:c r="AE344" s="10" t="n">
        <x:f>IF(COUNT(AD344,AC344)=2,AD344-AC344,"")</x:f>
        <x:v>-32</x:v>
      </x:c>
      <x:c r="AF344" s="10" t="n">
        <x:v>148</x:v>
      </x:c>
      <x:c r="AG344" s="10" t="n">
        <x:v>124</x:v>
      </x:c>
      <x:c r="AH344" s="10" t="n">
        <x:f>IF(COUNT(AG344,AF344)=2,AG344-AF344,"")</x:f>
        <x:v>-24</x:v>
      </x:c>
      <x:c r="AI344" s="10" t="n">
        <x:v>33</x:v>
      </x:c>
      <x:c r="AJ344" s="10" t="n">
        <x:v>25</x:v>
      </x:c>
      <x:c r="AK344" s="10" t="n">
        <x:f>IF(COUNT(AJ344,AI344)=2,AJ344-AI344,"")</x:f>
        <x:v>-8</x:v>
      </x:c>
      <x:c r="AL344" s="10" t="n">
        <x:v>21</x:v>
      </x:c>
      <x:c r="AM344" s="10" t="n">
        <x:v>21</x:v>
      </x:c>
      <x:c r="AN344" s="4" t="str">
        <x:v>RW</x:v>
      </x:c>
      <x:c r="AO344" s="4" t="str">
        <x:v>RW</x:v>
      </x:c>
      <x:c r="AP344" s="4" t="str">
        <x:v>WSH</x:v>
      </x:c>
      <x:c r="AQ344" s="4" t="str">
        <x:v>WSH</x:v>
      </x:c>
      <x:c r="AR344" s="4" t="n">
        <x:v>15.46</x:v>
      </x:c>
      <x:c r="AS344" s="4" t="n">
        <x:v>14.416666666666666</x:v>
      </x:c>
      <x:c r="AT344" s="4" t="n">
        <x:v>1.96</x:v>
      </x:c>
      <x:c r="AU344" s="4" t="n">
        <x:v>13.1</x:v>
      </x:c>
      <x:c r="AV344" s="10" t="n">
        <x:v>4</x:v>
      </x:c>
      <x:c r="AW344" s="10" t="n">
        <x:v>10</x:v>
      </x:c>
      <x:c r="AX344" s="10" t="n">
        <x:v>0</x:v>
      </x:c>
      <x:c r="AY344" s="10" t="n">
        <x:v>0</x:v>
      </x:c>
      <x:c r="AZ344" s="10" t="n">
        <x:v>832</x:v>
      </x:c>
      <x:c r="BA344" s="10" t="n">
        <x:v>939</x:v>
      </x:c>
      <x:c r="BB344" s="4" t="n">
        <x:v>47</x:v>
      </x:c>
      <x:c r="BC344" s="4" t="n">
        <x:v>-3.2</x:v>
      </x:c>
      <x:c r="BD344" s="10" t="n">
        <x:v>608</x:v>
      </x:c>
      <x:c r="BE344" s="10" t="n">
        <x:v>650</x:v>
      </x:c>
      <x:c r="BF344" s="4" t="n">
        <x:v>48.3</x:v>
      </x:c>
      <x:c r="BG344" s="4" t="n">
        <x:v>-2.8</x:v>
      </x:c>
      <x:c r="BH344" s="4" t="n">
        <x:v>11.7</x:v>
      </x:c>
      <x:c r="BI344" s="4" t="n">
        <x:v>91.2</x:v>
      </x:c>
      <x:c r="BJ344" s="4" t="n">
        <x:v>102.8</x:v>
      </x:c>
      <x:c r="BK344" s="4" t="n">
        <x:v>46.2</x:v>
      </x:c>
      <x:c r="BL344" s="4" t="n">
        <x:v>53.8</x:v>
      </x:c>
      <x:c r="BM344" s="4" t="n">
        <x:v>14.416666666666666</x:v>
      </x:c>
      <x:c r="BN344" s="4" t="n">
        <x:v>12.066666666666666</x:v>
      </x:c>
      <x:c r="BO344" s="10" t="n">
        <x:v>14</x:v>
      </x:c>
      <x:c r="BP344" s="10" t="n">
        <x:v>72</x:v>
      </x:c>
      <x:c r="BQ344" s="4" t="n">
        <x:v>0.6</x:v>
      </x:c>
      <x:c r="BR344" s="10" t="n">
        <x:v>327</x:v>
      </x:c>
      <x:c r="BS344" s="4" t="n">
        <x:v>46.8</x:v>
      </x:c>
      <x:c r="BT344" s="10" t="n">
        <x:v>75</x:v>
      </x:c>
      <x:c r="BU344" s="4" t="str">
        <x:v>WSH</x:v>
      </x:c>
      <x:c r="BV344" s="10" t="n">
        <x:v>205</x:v>
      </x:c>
      <x:c r="BW344" s="10" t="n">
        <x:v>176</x:v>
      </x:c>
      <x:c r="BX344" s="10" t="n">
        <x:v>592</x:v>
      </x:c>
      <x:c r="BY344" s="4" t="str">
        <x:v>Ryan Leonard</x:v>
      </x:c>
      <x:c r="BZ344" s="4" t="str">
        <x:v>Ryan Leonard</x:v>
      </x:c>
      <x:c r="CA344" s="4" t="str">
        <x:v>Ryan Leonard</x:v>
      </x:c>
      <x:c r="CB344" s="4" t="str">
        <x:v>leonary01</x:v>
      </x:c>
    </x:row>
    <x:row r="345" ht="22" customHeight="1">
      <x:c r="A345" s="4" t="str">
        <x:v>Ryan McDonagh</x:v>
      </x:c>
      <x:c r="B345" s="4" t="str">
        <x:v>ryanmcdonagh</x:v>
      </x:c>
      <x:c r="C345" s="10" t="n">
        <x:v>1</x:v>
      </x:c>
      <x:c r="D345" s="10" t="n">
        <x:v>1</x:v>
      </x:c>
      <x:c r="E345" s="10" t="n">
        <x:v>1</x:v>
      </x:c>
      <x:c r="F345" s="4" t="n">
        <x:f>IF(COUNT(N345,Q345,T345,W345,Z345,AC345,AF345,AI345)=8,N345*Guide!$E$5+Q345*Guide!$E$6+T345*Guide!$E$7+W345*Guide!$E$8+Z345*Guide!$E$9+AC345*Guide!$E$10+AF345*Guide!$E$11+AI345*Guide!$E$12,"")</x:f>
        <x:v>251</x:v>
      </x:c>
      <x:c r="G345" s="4" t="n">
        <x:f>IF(COUNT(O345,R345,U345,X345,AA345,AD345,AG345,AJ345)=8,O345*Guide!$E$5+R345*Guide!$E$6+U345*Guide!$E$7+X345*Guide!$E$8+AA345*Guide!$E$9+AD345*Guide!$E$10+AG345*Guide!$E$11+AJ345*Guide!$E$12,"")</x:f>
        <x:v>154.5</x:v>
      </x:c>
      <x:c r="H345" s="4" t="n">
        <x:f>IF(COUNT(G345,F345)=2,G345-F345,"")</x:f>
        <x:v>-96.5</x:v>
      </x:c>
      <x:c r="I345" s="4" t="n">
        <x:f>IF(AND(ISNUMBER(F345),K345&gt;0),F345/K345,"")</x:f>
        <x:v>3.1375</x:v>
      </x:c>
      <x:c r="J345" s="4" t="n">
        <x:f>IF(AND(ISNUMBER(G345),L345&gt;0),G345/L345,"")</x:f>
        <x:v>3.21875</x:v>
      </x:c>
      <x:c r="K345" s="10" t="n">
        <x:v>80</x:v>
      </x:c>
      <x:c r="L345" s="10" t="n">
        <x:v>48</x:v>
      </x:c>
      <x:c r="M345" s="10" t="n">
        <x:f>IF(COUNT(L345,K345)=2,L345-K345,"")</x:f>
        <x:v>-32</x:v>
      </x:c>
      <x:c r="N345" s="10" t="n">
        <x:v>4</x:v>
      </x:c>
      <x:c r="O345" s="10" t="n">
        <x:v>6</x:v>
      </x:c>
      <x:c r="P345" s="10" t="n">
        <x:f>IF(COUNT(O345,N345)=2,O345-N345,"")</x:f>
        <x:v>2</x:v>
      </x:c>
      <x:c r="Q345" s="10" t="n">
        <x:v>25</x:v>
      </x:c>
      <x:c r="R345" s="10" t="n">
        <x:v>15</x:v>
      </x:c>
      <x:c r="S345" s="10" t="n">
        <x:f>IF(COUNT(R345,Q345)=2,R345-Q345,"")</x:f>
        <x:v>-10</x:v>
      </x:c>
      <x:c r="T345" s="10" t="n">
        <x:v>18</x:v>
      </x:c>
      <x:c r="U345" s="10" t="n">
        <x:v>14</x:v>
      </x:c>
      <x:c r="V345" s="10" t="n">
        <x:f>IF(COUNT(U345,T345)=2,U345-T345,"")</x:f>
        <x:v>-4</x:v>
      </x:c>
      <x:c r="W345" s="10" t="n">
        <x:v>2</x:v>
      </x:c>
      <x:c r="X345" s="10" t="n">
        <x:f>IF(COUNT(AV345,AW345)=2,AV345+AW345,"")</x:f>
        <x:v>0</x:v>
      </x:c>
      <x:c r="Y345" s="10" t="n">
        <x:f>IF(COUNT(X345,W345)=2,X345-W345,"")</x:f>
        <x:v>-2</x:v>
      </x:c>
      <x:c r="Z345" s="10" t="n">
        <x:v>1</x:v>
      </x:c>
      <x:c r="AA345" s="10" t="n">
        <x:f>IF(COUNT(AX345,AY345)=2,AX345+AY345,"")</x:f>
        <x:v>0</x:v>
      </x:c>
      <x:c r="AB345" s="10" t="n">
        <x:f>IF(COUNT(AA345,Z345)=2,AA345-Z345,"")</x:f>
        <x:v>-1</x:v>
      </x:c>
      <x:c r="AC345" s="10" t="n">
        <x:v>77</x:v>
      </x:c>
      <x:c r="AD345" s="10" t="n">
        <x:v>39</x:v>
      </x:c>
      <x:c r="AE345" s="10" t="n">
        <x:f>IF(COUNT(AD345,AC345)=2,AD345-AC345,"")</x:f>
        <x:v>-38</x:v>
      </x:c>
      <x:c r="AF345" s="10" t="n">
        <x:v>27</x:v>
      </x:c>
      <x:c r="AG345" s="10" t="n">
        <x:v>19</x:v>
      </x:c>
      <x:c r="AH345" s="10" t="n">
        <x:f>IF(COUNT(AG345,AF345)=2,AG345-AF345,"")</x:f>
        <x:v>-8</x:v>
      </x:c>
      <x:c r="AI345" s="10" t="n">
        <x:v>148</x:v>
      </x:c>
      <x:c r="AJ345" s="10" t="n">
        <x:v>76</x:v>
      </x:c>
      <x:c r="AK345" s="10" t="n">
        <x:f>IF(COUNT(AJ345,AI345)=2,AJ345-AI345,"")</x:f>
        <x:v>-72</x:v>
      </x:c>
      <x:c r="AL345" s="10" t="n">
        <x:v>36</x:v>
      </x:c>
      <x:c r="AM345" s="10" t="n">
        <x:v>36</x:v>
      </x:c>
      <x:c r="AN345" s="4" t="str">
        <x:v>D</x:v>
      </x:c>
      <x:c r="AO345" s="4" t="str">
        <x:v>D</x:v>
      </x:c>
      <x:c r="AP345" s="4" t="str">
        <x:v>TB</x:v>
      </x:c>
      <x:c r="AQ345" s="4" t="str">
        <x:v>TBL</x:v>
      </x:c>
      <x:c r="AR345" s="4" t="n">
        <x:v>20.61</x:v>
      </x:c>
      <x:c r="AS345" s="4" t="n">
        <x:v>19.25</x:v>
      </x:c>
      <x:c r="AT345" s="4" t="n">
        <x:v>0.32</x:v>
      </x:c>
      <x:c r="AU345" s="4" t="n">
        <x:v>15.4</x:v>
      </x:c>
      <x:c r="AV345" s="10" t="n">
        <x:v>0</x:v>
      </x:c>
      <x:c r="AW345" s="10" t="n">
        <x:v>0</x:v>
      </x:c>
      <x:c r="AX345" s="10" t="n">
        <x:v>0</x:v>
      </x:c>
      <x:c r="AY345" s="10" t="n">
        <x:v>0</x:v>
      </x:c>
      <x:c r="AZ345" s="10" t="n">
        <x:v>708</x:v>
      </x:c>
      <x:c r="BA345" s="10" t="n">
        <x:v>701</x:v>
      </x:c>
      <x:c r="BB345" s="4" t="n">
        <x:v>50.2</x:v>
      </x:c>
      <x:c r="BC345" s="4" t="n">
        <x:v>-3.6</x:v>
      </x:c>
      <x:c r="BD345" s="10" t="n">
        <x:v>522</x:v>
      </x:c>
      <x:c r="BE345" s="10" t="n">
        <x:v>494</x:v>
      </x:c>
      <x:c r="BF345" s="4" t="n">
        <x:v>51.4</x:v>
      </x:c>
      <x:c r="BG345" s="4" t="n">
        <x:v>-0.6</x:v>
      </x:c>
      <x:c r="BH345" s="4" t="n">
        <x:v>13</x:v>
      </x:c>
      <x:c r="BI345" s="4" t="n">
        <x:v>90.7</x:v>
      </x:c>
      <x:c r="BJ345" s="4" t="n">
        <x:v>103.6</x:v>
      </x:c>
      <x:c r="BK345" s="4" t="n">
        <x:v>43.4</x:v>
      </x:c>
      <x:c r="BL345" s="4" t="n">
        <x:v>56.6</x:v>
      </x:c>
      <x:c r="BM345" s="4" t="n">
        <x:v>19.25</x:v>
      </x:c>
      <x:c r="BN345" s="4" t="n">
        <x:v>16</x:v>
      </x:c>
      <x:c r="BO345" s="10" t="n">
        <x:v>14</x:v>
      </x:c>
      <x:c r="BP345" s="10" t="n">
        <x:v>47</x:v>
      </x:c>
      <x:c r="BQ345" s="4" t="n">
        <x:v>2.3</x:v>
      </x:c>
      <x:c r="BR345" s="10" t="n">
        <x:v>106</x:v>
      </x:c>
      <x:c r="BS345" s="4" t="n">
        <x:v>36.8</x:v>
      </x:c>
      <x:c r="BT345" s="10" t="n">
        <x:v>48</x:v>
      </x:c>
      <x:c r="BU345" s="4" t="str">
        <x:v>TBL</x:v>
      </x:c>
      <x:c r="BV345" s="10" t="n">
        <x:v>384</x:v>
      </x:c>
      <x:c r="BW345" s="10" t="n">
        <x:v>450</x:v>
      </x:c>
      <x:c r="BX345" s="10" t="n">
        <x:v>670</x:v>
      </x:c>
      <x:c r="BY345" s="4" t="str">
        <x:v>Ryan McDonagh</x:v>
      </x:c>
      <x:c r="BZ345" s="4" t="str">
        <x:v>Ryan McDonagh</x:v>
      </x:c>
      <x:c r="CA345" s="4" t="str">
        <x:v>Ryan McDonagh</x:v>
      </x:c>
      <x:c r="CB345" s="4" t="str">
        <x:v>mcdonry01</x:v>
      </x:c>
    </x:row>
    <x:row r="346" ht="22" customHeight="1">
      <x:c r="A346" s="4" t="str">
        <x:v>Ryan McLeod</x:v>
      </x:c>
      <x:c r="B346" s="4" t="str">
        <x:v>ryanmcleod</x:v>
      </x:c>
      <x:c r="C346" s="10" t="n">
        <x:v>1</x:v>
      </x:c>
      <x:c r="D346" s="10" t="n">
        <x:v>1</x:v>
      </x:c>
      <x:c r="E346" s="10" t="n">
        <x:v>1</x:v>
      </x:c>
      <x:c r="F346" s="4" t="n">
        <x:f>IF(COUNT(N346,Q346,T346,W346,Z346,AC346,AF346,AI346)=8,N346*Guide!$E$5+Q346*Guide!$E$6+T346*Guide!$E$7+W346*Guide!$E$8+Z346*Guide!$E$9+AC346*Guide!$E$10+AF346*Guide!$E$11+AI346*Guide!$E$12,"")</x:f>
        <x:v>218.75</x:v>
      </x:c>
      <x:c r="G346" s="4" t="n">
        <x:f>IF(COUNT(O346,R346,U346,X346,AA346,AD346,AG346,AJ346)=8,O346*Guide!$E$5+R346*Guide!$E$6+U346*Guide!$E$7+X346*Guide!$E$8+AA346*Guide!$E$9+AD346*Guide!$E$10+AG346*Guide!$E$11+AJ346*Guide!$E$12,"")</x:f>
        <x:v>278</x:v>
      </x:c>
      <x:c r="H346" s="4" t="n">
        <x:f>IF(COUNT(G346,F346)=2,G346-F346,"")</x:f>
        <x:v>59.25</x:v>
      </x:c>
      <x:c r="I346" s="4" t="n">
        <x:f>IF(AND(ISNUMBER(F346),K346&gt;0),F346/K346,"")</x:f>
        <x:v>2.8044871794871793</x:v>
      </x:c>
      <x:c r="J346" s="4" t="n">
        <x:f>IF(AND(ISNUMBER(G346),L346&gt;0),G346/L346,"")</x:f>
        <x:v>3.432098765432099</x:v>
      </x:c>
      <x:c r="K346" s="10" t="n">
        <x:v>78</x:v>
      </x:c>
      <x:c r="L346" s="10" t="n">
        <x:v>81</x:v>
      </x:c>
      <x:c r="M346" s="10" t="n">
        <x:f>IF(COUNT(L346,K346)=2,L346-K346,"")</x:f>
        <x:v>3</x:v>
      </x:c>
      <x:c r="N346" s="10" t="n">
        <x:v>17</x:v>
      </x:c>
      <x:c r="O346" s="10" t="n">
        <x:v>14</x:v>
      </x:c>
      <x:c r="P346" s="10" t="n">
        <x:f>IF(COUNT(O346,N346)=2,O346-N346,"")</x:f>
        <x:v>-3</x:v>
      </x:c>
      <x:c r="Q346" s="10" t="n">
        <x:v>25</x:v>
      </x:c>
      <x:c r="R346" s="10" t="n">
        <x:v>40</x:v>
      </x:c>
      <x:c r="S346" s="10" t="n">
        <x:f>IF(COUNT(R346,Q346)=2,R346-Q346,"")</x:f>
        <x:v>15</x:v>
      </x:c>
      <x:c r="T346" s="10" t="n">
        <x:v>1</x:v>
      </x:c>
      <x:c r="U346" s="10" t="n">
        <x:v>25</x:v>
      </x:c>
      <x:c r="V346" s="10" t="n">
        <x:f>IF(COUNT(U346,T346)=2,U346-T346,"")</x:f>
        <x:v>24</x:v>
      </x:c>
      <x:c r="W346" s="10" t="n">
        <x:v>3</x:v>
      </x:c>
      <x:c r="X346" s="10" t="n">
        <x:f>IF(COUNT(AV346,AW346)=2,AV346+AW346,"")</x:f>
        <x:v>7</x:v>
      </x:c>
      <x:c r="Y346" s="10" t="n">
        <x:f>IF(COUNT(X346,W346)=2,X346-W346,"")</x:f>
        <x:v>4</x:v>
      </x:c>
      <x:c r="Z346" s="10" t="n">
        <x:v>3</x:v>
      </x:c>
      <x:c r="AA346" s="10" t="n">
        <x:f>IF(COUNT(AX346,AY346)=2,AX346+AY346,"")</x:f>
        <x:v>6</x:v>
      </x:c>
      <x:c r="AB346" s="10" t="n">
        <x:f>IF(COUNT(AA346,Z346)=2,AA346-Z346,"")</x:f>
        <x:v>3</x:v>
      </x:c>
      <x:c r="AC346" s="10" t="n">
        <x:v>104</x:v>
      </x:c>
      <x:c r="AD346" s="10" t="n">
        <x:v>90</x:v>
      </x:c>
      <x:c r="AE346" s="10" t="n">
        <x:f>IF(COUNT(AD346,AC346)=2,AD346-AC346,"")</x:f>
        <x:v>-14</x:v>
      </x:c>
      <x:c r="AF346" s="10" t="n">
        <x:v>33</x:v>
      </x:c>
      <x:c r="AG346" s="10" t="n">
        <x:v>16</x:v>
      </x:c>
      <x:c r="AH346" s="10" t="n">
        <x:f>IF(COUNT(AG346,AF346)=2,AG346-AF346,"")</x:f>
        <x:v>-17</x:v>
      </x:c>
      <x:c r="AI346" s="10" t="n">
        <x:v>38</x:v>
      </x:c>
      <x:c r="AJ346" s="10" t="n">
        <x:v>34</x:v>
      </x:c>
      <x:c r="AK346" s="10" t="n">
        <x:f>IF(COUNT(AJ346,AI346)=2,AJ346-AI346,"")</x:f>
        <x:v>-4</x:v>
      </x:c>
      <x:c r="AL346" s="10" t="n">
        <x:v>26</x:v>
      </x:c>
      <x:c r="AM346" s="10" t="n">
        <x:v>26</x:v>
      </x:c>
      <x:c r="AN346" s="4" t="str">
        <x:v>C</x:v>
      </x:c>
      <x:c r="AO346" s="4" t="str">
        <x:v>C</x:v>
      </x:c>
      <x:c r="AP346" s="4" t="str">
        <x:v>BUF</x:v>
      </x:c>
      <x:c r="AQ346" s="4" t="str">
        <x:v>BUF</x:v>
      </x:c>
      <x:c r="AR346" s="4" t="n">
        <x:v>16.43</x:v>
      </x:c>
      <x:c r="AS346" s="4" t="n">
        <x:v>17.616666666666667</x:v>
      </x:c>
      <x:c r="AT346" s="4" t="n">
        <x:v>0.65</x:v>
      </x:c>
      <x:c r="AU346" s="4" t="n">
        <x:v>15.6</x:v>
      </x:c>
      <x:c r="AV346" s="10" t="n">
        <x:v>0</x:v>
      </x:c>
      <x:c r="AW346" s="10" t="n">
        <x:v>7</x:v>
      </x:c>
      <x:c r="AX346" s="10" t="n">
        <x:v>5</x:v>
      </x:c>
      <x:c r="AY346" s="10" t="n">
        <x:v>1</x:v>
      </x:c>
      <x:c r="AZ346" s="10" t="n">
        <x:v>1085</x:v>
      </x:c>
      <x:c r="BA346" s="10" t="n">
        <x:v>1086</x:v>
      </x:c>
      <x:c r="BB346" s="4" t="n">
        <x:v>50</x:v>
      </x:c>
      <x:c r="BC346" s="4" t="n">
        <x:v>1.4</x:v>
      </x:c>
      <x:c r="BD346" s="10" t="n">
        <x:v>830</x:v>
      </x:c>
      <x:c r="BE346" s="10" t="n">
        <x:v>827</x:v>
      </x:c>
      <x:c r="BF346" s="4" t="n">
        <x:v>50.1</x:v>
      </x:c>
      <x:c r="BG346" s="4" t="n">
        <x:v>0.9</x:v>
      </x:c>
      <x:c r="BH346" s="4" t="n">
        <x:v>14</x:v>
      </x:c>
      <x:c r="BI346" s="4" t="n">
        <x:v>89.3</x:v>
      </x:c>
      <x:c r="BJ346" s="4" t="n">
        <x:v>103.3</x:v>
      </x:c>
      <x:c r="BK346" s="4" t="n">
        <x:v>46.3</x:v>
      </x:c>
      <x:c r="BL346" s="4" t="n">
        <x:v>53.7</x:v>
      </x:c>
      <x:c r="BM346" s="4" t="n">
        <x:v>17.616666666666667</x:v>
      </x:c>
      <x:c r="BN346" s="4" t="n">
        <x:v>13.6</x:v>
      </x:c>
      <x:c r="BO346" s="10" t="n">
        <x:v>37</x:v>
      </x:c>
      <x:c r="BP346" s="10" t="n">
        <x:v>97</x:v>
      </x:c>
      <x:c r="BQ346" s="4" t="n">
        <x:v>4.1</x:v>
      </x:c>
      <x:c r="BR346" s="10" t="n">
        <x:v>179</x:v>
      </x:c>
      <x:c r="BS346" s="4" t="n">
        <x:v>50.3</x:v>
      </x:c>
      <x:c r="BT346" s="10" t="n">
        <x:v>81</x:v>
      </x:c>
      <x:c r="BU346" s="4" t="str">
        <x:v>BUF</x:v>
      </x:c>
      <x:c r="BV346" s="10" t="n">
        <x:v>230</x:v>
      </x:c>
      <x:c r="BW346" s="10" t="n">
        <x:v>118</x:v>
      </x:c>
      <x:c r="BX346" s="10" t="n">
        <x:v>676</x:v>
      </x:c>
      <x:c r="BY346" s="4" t="str">
        <x:v>Ryan McLeod</x:v>
      </x:c>
      <x:c r="BZ346" s="4" t="str">
        <x:v>Ryan McLeod</x:v>
      </x:c>
      <x:c r="CA346" s="4" t="str">
        <x:v>Ryan McLeod</x:v>
      </x:c>
      <x:c r="CB346" s="4" t="str">
        <x:v>mcleory01</x:v>
      </x:c>
    </x:row>
    <x:row r="347" ht="22" customHeight="1">
      <x:c r="A347" s="4" t="str">
        <x:v>Ryan Nugent-Hopkins</x:v>
      </x:c>
      <x:c r="B347" s="4" t="str">
        <x:v>ryannugenthopkins</x:v>
      </x:c>
      <x:c r="C347" s="10" t="n">
        <x:v>1</x:v>
      </x:c>
      <x:c r="D347" s="10" t="n">
        <x:v>1</x:v>
      </x:c>
      <x:c r="E347" s="10" t="n">
        <x:v>1</x:v>
      </x:c>
      <x:c r="F347" s="4" t="n">
        <x:f>IF(COUNT(N347,Q347,T347,W347,Z347,AC347,AF347,AI347)=8,N347*Guide!$E$5+Q347*Guide!$E$6+T347*Guide!$E$7+W347*Guide!$E$8+Z347*Guide!$E$9+AC347*Guide!$E$10+AF347*Guide!$E$11+AI347*Guide!$E$12,"")</x:f>
        <x:v>322.5</x:v>
      </x:c>
      <x:c r="G347" s="4" t="n">
        <x:f>IF(COUNT(O347,R347,U347,X347,AA347,AD347,AG347,AJ347)=8,O347*Guide!$E$5+R347*Guide!$E$6+U347*Guide!$E$7+X347*Guide!$E$8+AA347*Guide!$E$9+AD347*Guide!$E$10+AG347*Guide!$E$11+AJ347*Guide!$E$12,"")</x:f>
        <x:v>273.75</x:v>
      </x:c>
      <x:c r="H347" s="4" t="n">
        <x:f>IF(COUNT(G347,F347)=2,G347-F347,"")</x:f>
        <x:v>-48.75</x:v>
      </x:c>
      <x:c r="I347" s="4" t="n">
        <x:f>IF(AND(ISNUMBER(F347),K347&gt;0),F347/K347,"")</x:f>
        <x:v>4.134615384615385</x:v>
      </x:c>
      <x:c r="J347" s="4" t="n">
        <x:f>IF(AND(ISNUMBER(G347),L347&gt;0),G347/L347,"")</x:f>
        <x:v>3.8020833333333335</x:v>
      </x:c>
      <x:c r="K347" s="10" t="n">
        <x:v>78</x:v>
      </x:c>
      <x:c r="L347" s="10" t="n">
        <x:v>72</x:v>
      </x:c>
      <x:c r="M347" s="10" t="n">
        <x:f>IF(COUNT(L347,K347)=2,L347-K347,"")</x:f>
        <x:v>-6</x:v>
      </x:c>
      <x:c r="N347" s="10" t="n">
        <x:v>22</x:v>
      </x:c>
      <x:c r="O347" s="10" t="n">
        <x:v>20</x:v>
      </x:c>
      <x:c r="P347" s="10" t="n">
        <x:f>IF(COUNT(O347,N347)=2,O347-N347,"")</x:f>
        <x:v>-2</x:v>
      </x:c>
      <x:c r="Q347" s="10" t="n">
        <x:v>39</x:v>
      </x:c>
      <x:c r="R347" s="10" t="n">
        <x:v>36</x:v>
      </x:c>
      <x:c r="S347" s="10" t="n">
        <x:f>IF(COUNT(R347,Q347)=2,R347-Q347,"")</x:f>
        <x:v>-3</x:v>
      </x:c>
      <x:c r="T347" s="10" t="n">
        <x:v>9</x:v>
      </x:c>
      <x:c r="U347" s="10" t="n">
        <x:v>-9</x:v>
      </x:c>
      <x:c r="V347" s="10" t="n">
        <x:f>IF(COUNT(U347,T347)=2,U347-T347,"")</x:f>
        <x:v>-18</x:v>
      </x:c>
      <x:c r="W347" s="10" t="n">
        <x:v>26</x:v>
      </x:c>
      <x:c r="X347" s="10" t="n">
        <x:f>IF(COUNT(AV347,AW347)=2,AV347+AW347,"")</x:f>
        <x:v>29</x:v>
      </x:c>
      <x:c r="Y347" s="10" t="n">
        <x:f>IF(COUNT(X347,W347)=2,X347-W347,"")</x:f>
        <x:v>3</x:v>
      </x:c>
      <x:c r="Z347" s="10" t="n">
        <x:v>2</x:v>
      </x:c>
      <x:c r="AA347" s="10" t="n">
        <x:f>IF(COUNT(AX347,AY347)=2,AX347+AY347,"")</x:f>
        <x:v>1</x:v>
      </x:c>
      <x:c r="AB347" s="10" t="n">
        <x:f>IF(COUNT(AA347,Z347)=2,AA347-Z347,"")</x:f>
        <x:v>-1</x:v>
      </x:c>
      <x:c r="AC347" s="10" t="n">
        <x:v>153</x:v>
      </x:c>
      <x:c r="AD347" s="10" t="n">
        <x:v>133</x:v>
      </x:c>
      <x:c r="AE347" s="10" t="n">
        <x:f>IF(COUNT(AD347,AC347)=2,AD347-AC347,"")</x:f>
        <x:v>-20</x:v>
      </x:c>
      <x:c r="AF347" s="10" t="n">
        <x:v>33</x:v>
      </x:c>
      <x:c r="AG347" s="10" t="n">
        <x:v>25</x:v>
      </x:c>
      <x:c r="AH347" s="10" t="n">
        <x:f>IF(COUNT(AG347,AF347)=2,AG347-AF347,"")</x:f>
        <x:v>-8</x:v>
      </x:c>
      <x:c r="AI347" s="10" t="n">
        <x:v>40</x:v>
      </x:c>
      <x:c r="AJ347" s="10" t="n">
        <x:v>31</x:v>
      </x:c>
      <x:c r="AK347" s="10" t="n">
        <x:f>IF(COUNT(AJ347,AI347)=2,AJ347-AI347,"")</x:f>
        <x:v>-9</x:v>
      </x:c>
      <x:c r="AL347" s="10" t="n">
        <x:v>32</x:v>
      </x:c>
      <x:c r="AM347" s="10" t="n">
        <x:v>32</x:v>
      </x:c>
      <x:c r="AN347" s="4" t="str">
        <x:v>C,LW</x:v>
      </x:c>
      <x:c r="AO347" s="4" t="str">
        <x:v>C</x:v>
      </x:c>
      <x:c r="AP347" s="4" t="str">
        <x:v>EDM</x:v>
      </x:c>
      <x:c r="AQ347" s="4" t="str">
        <x:v>EDM</x:v>
      </x:c>
      <x:c r="AR347" s="4" t="n">
        <x:v>18.58</x:v>
      </x:c>
      <x:c r="AS347" s="4" t="n">
        <x:v>19.066666666666666</x:v>
      </x:c>
      <x:c r="AT347" s="4" t="n">
        <x:v>2.94</x:v>
      </x:c>
      <x:c r="AU347" s="4" t="n">
        <x:v>15</x:v>
      </x:c>
      <x:c r="AV347" s="10" t="n">
        <x:v>11</x:v>
      </x:c>
      <x:c r="AW347" s="10" t="n">
        <x:v>18</x:v>
      </x:c>
      <x:c r="AX347" s="10" t="n">
        <x:v>0</x:v>
      </x:c>
      <x:c r="AY347" s="10" t="n">
        <x:v>1</x:v>
      </x:c>
      <x:c r="AZ347" s="10" t="n">
        <x:v>1053</x:v>
      </x:c>
      <x:c r="BA347" s="10" t="n">
        <x:v>1058</x:v>
      </x:c>
      <x:c r="BB347" s="4" t="n">
        <x:v>49.9</x:v>
      </x:c>
      <x:c r="BC347" s="4" t="n">
        <x:v>-0.5</x:v>
      </x:c>
      <x:c r="BD347" s="10" t="n">
        <x:v>755</x:v>
      </x:c>
      <x:c r="BE347" s="10" t="n">
        <x:v>785</x:v>
      </x:c>
      <x:c r="BF347" s="4" t="n">
        <x:v>49</x:v>
      </x:c>
      <x:c r="BG347" s="4" t="n">
        <x:v>-3.2</x:v>
      </x:c>
      <x:c r="BH347" s="4" t="n">
        <x:v>10.3</x:v>
      </x:c>
      <x:c r="BI347" s="4" t="n">
        <x:v>88.3</x:v>
      </x:c>
      <x:c r="BJ347" s="4" t="n">
        <x:v>98.6</x:v>
      </x:c>
      <x:c r="BK347" s="4" t="n">
        <x:v>57.8</x:v>
      </x:c>
      <x:c r="BL347" s="4" t="n">
        <x:v>42.2</x:v>
      </x:c>
      <x:c r="BM347" s="4" t="n">
        <x:v>19.066666666666666</x:v>
      </x:c>
      <x:c r="BN347" s="4" t="n">
        <x:v>14.183333333333334</x:v>
      </x:c>
      <x:c r="BO347" s="10" t="n">
        <x:v>14</x:v>
      </x:c>
      <x:c r="BP347" s="10" t="n">
        <x:v>42</x:v>
      </x:c>
      <x:c r="BQ347" s="4" t="n">
        <x:v>8.1</x:v>
      </x:c>
      <x:c r="BR347" s="10" t="n">
        <x:v>264</x:v>
      </x:c>
      <x:c r="BS347" s="4" t="n">
        <x:v>50.4</x:v>
      </x:c>
      <x:c r="BT347" s="10" t="n">
        <x:v>72</x:v>
      </x:c>
      <x:c r="BU347" s="4" t="str">
        <x:v>EDM</x:v>
      </x:c>
      <x:c r="BV347" s="10" t="n">
        <x:v>88</x:v>
      </x:c>
      <x:c r="BW347" s="10" t="n">
        <x:v>110</x:v>
      </x:c>
      <x:c r="BX347" s="10" t="n">
        <x:v>746</x:v>
      </x:c>
      <x:c r="BY347" s="4" t="str">
        <x:v>Ryan Nugent-Hopkins</x:v>
      </x:c>
      <x:c r="BZ347" s="4" t="str">
        <x:v>Ryan Nugent-Hopkins</x:v>
      </x:c>
      <x:c r="CA347" s="4" t="str">
        <x:v>Ryan Nugent-Hopkins</x:v>
      </x:c>
      <x:c r="CB347" s="4" t="str">
        <x:v>nugenry01</x:v>
      </x:c>
    </x:row>
    <x:row r="348" ht="22" customHeight="1">
      <x:c r="A348" s="4" t="str">
        <x:v>Ryan O'Reilly</x:v>
      </x:c>
      <x:c r="B348" s="4" t="str">
        <x:v>ryanoreilly</x:v>
      </x:c>
      <x:c r="C348" s="10" t="n">
        <x:v>1</x:v>
      </x:c>
      <x:c r="D348" s="10" t="n">
        <x:v>1</x:v>
      </x:c>
      <x:c r="E348" s="10" t="n">
        <x:v>1</x:v>
      </x:c>
      <x:c r="F348" s="4" t="n">
        <x:f>IF(COUNT(N348,Q348,T348,W348,Z348,AC348,AF348,AI348)=8,N348*Guide!$E$5+Q348*Guide!$E$6+T348*Guide!$E$7+W348*Guide!$E$8+Z348*Guide!$E$9+AC348*Guide!$E$10+AF348*Guide!$E$11+AI348*Guide!$E$12,"")</x:f>
        <x:v>290</x:v>
      </x:c>
      <x:c r="G348" s="4" t="n">
        <x:f>IF(COUNT(O348,R348,U348,X348,AA348,AD348,AG348,AJ348)=8,O348*Guide!$E$5+R348*Guide!$E$6+U348*Guide!$E$7+X348*Guide!$E$8+AA348*Guide!$E$9+AD348*Guide!$E$10+AG348*Guide!$E$11+AJ348*Guide!$E$12,"")</x:f>
        <x:v>376</x:v>
      </x:c>
      <x:c r="H348" s="4" t="n">
        <x:f>IF(COUNT(G348,F348)=2,G348-F348,"")</x:f>
        <x:v>86</x:v>
      </x:c>
      <x:c r="I348" s="4" t="n">
        <x:f>IF(AND(ISNUMBER(F348),K348&gt;0),F348/K348,"")</x:f>
        <x:v>3.717948717948718</x:v>
      </x:c>
      <x:c r="J348" s="4" t="n">
        <x:f>IF(AND(ISNUMBER(G348),L348&gt;0),G348/L348,"")</x:f>
        <x:v>4.6419753086419755</x:v>
      </x:c>
      <x:c r="K348" s="10" t="n">
        <x:v>78</x:v>
      </x:c>
      <x:c r="L348" s="10" t="n">
        <x:v>81</x:v>
      </x:c>
      <x:c r="M348" s="10" t="n">
        <x:f>IF(COUNT(L348,K348)=2,L348-K348,"")</x:f>
        <x:v>3</x:v>
      </x:c>
      <x:c r="N348" s="10" t="n">
        <x:v>22</x:v>
      </x:c>
      <x:c r="O348" s="10" t="n">
        <x:v>25</x:v>
      </x:c>
      <x:c r="P348" s="10" t="n">
        <x:f>IF(COUNT(O348,N348)=2,O348-N348,"")</x:f>
        <x:v>3</x:v>
      </x:c>
      <x:c r="Q348" s="10" t="n">
        <x:v>33</x:v>
      </x:c>
      <x:c r="R348" s="10" t="n">
        <x:v>49</x:v>
      </x:c>
      <x:c r="S348" s="10" t="n">
        <x:f>IF(COUNT(R348,Q348)=2,R348-Q348,"")</x:f>
        <x:v>16</x:v>
      </x:c>
      <x:c r="T348" s="10" t="n">
        <x:v>-3</x:v>
      </x:c>
      <x:c r="U348" s="10" t="n">
        <x:v>8</x:v>
      </x:c>
      <x:c r="V348" s="10" t="n">
        <x:f>IF(COUNT(U348,T348)=2,U348-T348,"")</x:f>
        <x:v>11</x:v>
      </x:c>
      <x:c r="W348" s="10" t="n">
        <x:v>17</x:v>
      </x:c>
      <x:c r="X348" s="10" t="n">
        <x:f>IF(COUNT(AV348,AW348)=2,AV348+AW348,"")</x:f>
        <x:v>20</x:v>
      </x:c>
      <x:c r="Y348" s="10" t="n">
        <x:f>IF(COUNT(X348,W348)=2,X348-W348,"")</x:f>
        <x:v>3</x:v>
      </x:c>
      <x:c r="Z348" s="10" t="n">
        <x:v>1</x:v>
      </x:c>
      <x:c r="AA348" s="10" t="n">
        <x:f>IF(COUNT(AX348,AY348)=2,AX348+AY348,"")</x:f>
        <x:v>3</x:v>
      </x:c>
      <x:c r="AB348" s="10" t="n">
        <x:f>IF(COUNT(AA348,Z348)=2,AA348-Z348,"")</x:f>
        <x:v>2</x:v>
      </x:c>
      <x:c r="AC348" s="10" t="n">
        <x:v>145</x:v>
      </x:c>
      <x:c r="AD348" s="10" t="n">
        <x:v>153</x:v>
      </x:c>
      <x:c r="AE348" s="10" t="n">
        <x:f>IF(COUNT(AD348,AC348)=2,AD348-AC348,"")</x:f>
        <x:v>8</x:v>
      </x:c>
      <x:c r="AF348" s="10" t="n">
        <x:v>22</x:v>
      </x:c>
      <x:c r="AG348" s="10" t="n">
        <x:v>17</x:v>
      </x:c>
      <x:c r="AH348" s="10" t="n">
        <x:f>IF(COUNT(AG348,AF348)=2,AG348-AF348,"")</x:f>
        <x:v>-5</x:v>
      </x:c>
      <x:c r="AI348" s="10" t="n">
        <x:v>59</x:v>
      </x:c>
      <x:c r="AJ348" s="10" t="n">
        <x:v>66</x:v>
      </x:c>
      <x:c r="AK348" s="10" t="n">
        <x:f>IF(COUNT(AJ348,AI348)=2,AJ348-AI348,"")</x:f>
        <x:v>7</x:v>
      </x:c>
      <x:c r="AL348" s="10" t="n">
        <x:v>34</x:v>
      </x:c>
      <x:c r="AM348" s="10" t="n">
        <x:v>34</x:v>
      </x:c>
      <x:c r="AN348" s="4" t="str">
        <x:v>C</x:v>
      </x:c>
      <x:c r="AO348" s="4" t="str">
        <x:v>C</x:v>
      </x:c>
      <x:c r="AP348" s="4" t="str">
        <x:v>NSH</x:v>
      </x:c>
      <x:c r="AQ348" s="4" t="str">
        <x:v>NSH</x:v>
      </x:c>
      <x:c r="AR348" s="4" t="n">
        <x:v>18.700000000000003</x:v>
      </x:c>
      <x:c r="AS348" s="4" t="n">
        <x:v>20.4</x:v>
      </x:c>
      <x:c r="AT348" s="4" t="n">
        <x:v>2.74</x:v>
      </x:c>
      <x:c r="AU348" s="4" t="n">
        <x:v>16.3</x:v>
      </x:c>
      <x:c r="AV348" s="10" t="n">
        <x:v>5</x:v>
      </x:c>
      <x:c r="AW348" s="10" t="n">
        <x:v>15</x:v>
      </x:c>
      <x:c r="AX348" s="10" t="n">
        <x:v>2</x:v>
      </x:c>
      <x:c r="AY348" s="10" t="n">
        <x:v>1</x:v>
      </x:c>
      <x:c r="AZ348" s="10" t="n">
        <x:v>1295</x:v>
      </x:c>
      <x:c r="BA348" s="10" t="n">
        <x:v>1183</x:v>
      </x:c>
      <x:c r="BB348" s="4" t="n">
        <x:v>52.3</x:v>
      </x:c>
      <x:c r="BC348" s="4" t="n">
        <x:v>3.1</x:v>
      </x:c>
      <x:c r="BD348" s="10" t="n">
        <x:v>948</x:v>
      </x:c>
      <x:c r="BE348" s="10" t="n">
        <x:v>929</x:v>
      </x:c>
      <x:c r="BF348" s="4" t="n">
        <x:v>50.5</x:v>
      </x:c>
      <x:c r="BG348" s="4" t="n">
        <x:v>2.8</x:v>
      </x:c>
      <x:c r="BH348" s="4" t="n">
        <x:v>11.7</x:v>
      </x:c>
      <x:c r="BI348" s="4" t="n">
        <x:v>89.3</x:v>
      </x:c>
      <x:c r="BJ348" s="4" t="n">
        <x:v>101</x:v>
      </x:c>
      <x:c r="BK348" s="4" t="n">
        <x:v>48.2</x:v>
      </x:c>
      <x:c r="BL348" s="4" t="n">
        <x:v>51.8</x:v>
      </x:c>
      <x:c r="BM348" s="4" t="n">
        <x:v>20.4</x:v>
      </x:c>
      <x:c r="BN348" s="4" t="n">
        <x:v>15.583333333333334</x:v>
      </x:c>
      <x:c r="BO348" s="10" t="n">
        <x:v>50</x:v>
      </x:c>
      <x:c r="BP348" s="10" t="n">
        <x:v>49</x:v>
      </x:c>
      <x:c r="BQ348" s="4" t="n">
        <x:v>-0.3</x:v>
      </x:c>
      <x:c r="BR348" s="10" t="n">
        <x:v>256</x:v>
      </x:c>
      <x:c r="BS348" s="4" t="n">
        <x:v>59.8</x:v>
      </x:c>
      <x:c r="BT348" s="10" t="n">
        <x:v>81</x:v>
      </x:c>
      <x:c r="BU348" s="4" t="str">
        <x:v>NSH</x:v>
      </x:c>
      <x:c r="BV348" s="10" t="n">
        <x:v>124</x:v>
      </x:c>
      <x:c r="BW348" s="10" t="n">
        <x:v>46</x:v>
      </x:c>
      <x:c r="BX348" s="10" t="n">
        <x:v>756</x:v>
      </x:c>
      <x:c r="BY348" s="4" t="str">
        <x:v>Ryan O'Reilly</x:v>
      </x:c>
      <x:c r="BZ348" s="4" t="str">
        <x:v>Ryan O'Reilly</x:v>
      </x:c>
      <x:c r="CA348" s="4" t="str">
        <x:v>Ryan O'Reilly</x:v>
      </x:c>
      <x:c r="CB348" s="4" t="str">
        <x:v>oreilry01</x:v>
      </x:c>
    </x:row>
    <x:row r="349" ht="22" customHeight="1">
      <x:c r="A349" s="4" t="str">
        <x:v>Ryan Poehling</x:v>
      </x:c>
      <x:c r="B349" s="4" t="str">
        <x:v>ryanpoehling</x:v>
      </x:c>
      <x:c r="C349" s="10" t="n">
        <x:v>1</x:v>
      </x:c>
      <x:c r="D349" s="10" t="n">
        <x:v>1</x:v>
      </x:c>
      <x:c r="E349" s="10" t="n">
        <x:v>1</x:v>
      </x:c>
      <x:c r="F349" s="4" t="n">
        <x:f>IF(COUNT(N349,Q349,T349,W349,Z349,AC349,AF349,AI349)=8,N349*Guide!$E$5+Q349*Guide!$E$6+T349*Guide!$E$7+W349*Guide!$E$8+Z349*Guide!$E$9+AC349*Guide!$E$10+AF349*Guide!$E$11+AI349*Guide!$E$12,"")</x:f>
        <x:v>210</x:v>
      </x:c>
      <x:c r="G349" s="4" t="n">
        <x:f>IF(COUNT(O349,R349,U349,X349,AA349,AD349,AG349,AJ349)=8,O349*Guide!$E$5+R349*Guide!$E$6+U349*Guide!$E$7+X349*Guide!$E$8+AA349*Guide!$E$9+AD349*Guide!$E$10+AG349*Guide!$E$11+AJ349*Guide!$E$12,"")</x:f>
        <x:v>239</x:v>
      </x:c>
      <x:c r="H349" s="4" t="n">
        <x:f>IF(COUNT(G349,F349)=2,G349-F349,"")</x:f>
        <x:v>29</x:v>
      </x:c>
      <x:c r="I349" s="4" t="n">
        <x:f>IF(AND(ISNUMBER(F349),K349&gt;0),F349/K349,"")</x:f>
        <x:v>2.727272727272727</x:v>
      </x:c>
      <x:c r="J349" s="4" t="n">
        <x:f>IF(AND(ISNUMBER(G349),L349&gt;0),G349/L349,"")</x:f>
        <x:v>3.1866666666666665</x:v>
      </x:c>
      <x:c r="K349" s="10" t="n">
        <x:v>77</x:v>
      </x:c>
      <x:c r="L349" s="10" t="n">
        <x:v>75</x:v>
      </x:c>
      <x:c r="M349" s="10" t="n">
        <x:f>IF(COUNT(L349,K349)=2,L349-K349,"")</x:f>
        <x:v>-2</x:v>
      </x:c>
      <x:c r="N349" s="10" t="n">
        <x:v>12</x:v>
      </x:c>
      <x:c r="O349" s="10" t="n">
        <x:v>11</x:v>
      </x:c>
      <x:c r="P349" s="10" t="n">
        <x:f>IF(COUNT(O349,N349)=2,O349-N349,"")</x:f>
        <x:v>-1</x:v>
      </x:c>
      <x:c r="Q349" s="10" t="n">
        <x:v>19</x:v>
      </x:c>
      <x:c r="R349" s="10" t="n">
        <x:v>25</x:v>
      </x:c>
      <x:c r="S349" s="10" t="n">
        <x:f>IF(COUNT(R349,Q349)=2,R349-Q349,"")</x:f>
        <x:v>6</x:v>
      </x:c>
      <x:c r="T349" s="10" t="n">
        <x:v>-1</x:v>
      </x:c>
      <x:c r="U349" s="10" t="n">
        <x:v>8</x:v>
      </x:c>
      <x:c r="V349" s="10" t="n">
        <x:f>IF(COUNT(U349,T349)=2,U349-T349,"")</x:f>
        <x:v>9</x:v>
      </x:c>
      <x:c r="W349" s="10" t="n">
        <x:v>3</x:v>
      </x:c>
      <x:c r="X349" s="10" t="n">
        <x:f>IF(COUNT(AV349,AW349)=2,AV349+AW349,"")</x:f>
        <x:v>1</x:v>
      </x:c>
      <x:c r="Y349" s="10" t="n">
        <x:f>IF(COUNT(X349,W349)=2,X349-W349,"")</x:f>
        <x:v>-2</x:v>
      </x:c>
      <x:c r="Z349" s="10" t="n">
        <x:v>2</x:v>
      </x:c>
      <x:c r="AA349" s="10" t="n">
        <x:f>IF(COUNT(AX349,AY349)=2,AX349+AY349,"")</x:f>
        <x:v>4</x:v>
      </x:c>
      <x:c r="AB349" s="10" t="n">
        <x:f>IF(COUNT(AA349,Z349)=2,AA349-Z349,"")</x:f>
        <x:v>2</x:v>
      </x:c>
      <x:c r="AC349" s="10" t="n">
        <x:v>91</x:v>
      </x:c>
      <x:c r="AD349" s="10" t="n">
        <x:v>94</x:v>
      </x:c>
      <x:c r="AE349" s="10" t="n">
        <x:f>IF(COUNT(AD349,AC349)=2,AD349-AC349,"")</x:f>
        <x:v>3</x:v>
      </x:c>
      <x:c r="AF349" s="10" t="n">
        <x:v>45</x:v>
      </x:c>
      <x:c r="AG349" s="10" t="n">
        <x:v>44</x:v>
      </x:c>
      <x:c r="AH349" s="10" t="n">
        <x:f>IF(COUNT(AG349,AF349)=2,AG349-AF349,"")</x:f>
        <x:v>-1</x:v>
      </x:c>
      <x:c r="AI349" s="10" t="n">
        <x:v>84</x:v>
      </x:c>
      <x:c r="AJ349" s="10" t="n">
        <x:v>86</x:v>
      </x:c>
      <x:c r="AK349" s="10" t="n">
        <x:f>IF(COUNT(AJ349,AI349)=2,AJ349-AI349,"")</x:f>
        <x:v>2</x:v>
      </x:c>
      <x:c r="AL349" s="10" t="n">
        <x:v>27</x:v>
      </x:c>
      <x:c r="AM349" s="10" t="n">
        <x:v>27</x:v>
      </x:c>
      <x:c r="AN349" s="4" t="str">
        <x:v>C</x:v>
      </x:c>
      <x:c r="AO349" s="4" t="str">
        <x:v>C</x:v>
      </x:c>
      <x:c r="AP349" s="4" t="str">
        <x:v>ANA</x:v>
      </x:c>
      <x:c r="AQ349" s="4" t="str">
        <x:v>ANA</x:v>
      </x:c>
      <x:c r="AR349" s="4" t="n">
        <x:v>13.970000000000002</x:v>
      </x:c>
      <x:c r="AS349" s="4" t="n">
        <x:v>15.066666666666666</x:v>
      </x:c>
      <x:c r="AT349" s="4" t="n">
        <x:v>0.46</x:v>
      </x:c>
      <x:c r="AU349" s="4" t="n">
        <x:v>11.7</x:v>
      </x:c>
      <x:c r="AV349" s="10" t="n">
        <x:v>0</x:v>
      </x:c>
      <x:c r="AW349" s="10" t="n">
        <x:v>1</x:v>
      </x:c>
      <x:c r="AX349" s="10" t="n">
        <x:v>2</x:v>
      </x:c>
      <x:c r="AY349" s="10" t="n">
        <x:v>2</x:v>
      </x:c>
      <x:c r="AZ349" s="10" t="n">
        <x:v>917</x:v>
      </x:c>
      <x:c r="BA349" s="10" t="n">
        <x:v>950</x:v>
      </x:c>
      <x:c r="BB349" s="4" t="n">
        <x:v>49.1</x:v>
      </x:c>
      <x:c r="BC349" s="4" t="n">
        <x:v>-4.4</x:v>
      </x:c>
      <x:c r="BD349" s="10" t="n">
        <x:v>657</x:v>
      </x:c>
      <x:c r="BE349" s="10" t="n">
        <x:v>669</x:v>
      </x:c>
      <x:c r="BF349" s="4" t="n">
        <x:v>49.5</x:v>
      </x:c>
      <x:c r="BG349" s="4" t="n">
        <x:v>-3.8</x:v>
      </x:c>
      <x:c r="BH349" s="4" t="n">
        <x:v>12</x:v>
      </x:c>
      <x:c r="BI349" s="4" t="n">
        <x:v>89.7</x:v>
      </x:c>
      <x:c r="BJ349" s="4" t="n">
        <x:v>101.8</x:v>
      </x:c>
      <x:c r="BK349" s="4" t="n">
        <x:v>40</x:v>
      </x:c>
      <x:c r="BL349" s="4" t="n">
        <x:v>60</x:v>
      </x:c>
      <x:c r="BM349" s="4" t="n">
        <x:v>15.066666666666666</x:v>
      </x:c>
      <x:c r="BN349" s="4" t="n">
        <x:v>12.266666666666667</x:v>
      </x:c>
      <x:c r="BO349" s="10" t="n">
        <x:v>17</x:v>
      </x:c>
      <x:c r="BP349" s="10" t="n">
        <x:v>48</x:v>
      </x:c>
      <x:c r="BQ349" s="4" t="n">
        <x:v>-2.5</x:v>
      </x:c>
      <x:c r="BR349" s="10" t="n">
        <x:v>184</x:v>
      </x:c>
      <x:c r="BS349" s="4" t="n">
        <x:v>51.1</x:v>
      </x:c>
      <x:c r="BT349" s="10" t="n">
        <x:v>75</x:v>
      </x:c>
      <x:c r="BU349" s="4" t="str">
        <x:v>ANA</x:v>
      </x:c>
      <x:c r="BV349" s="10" t="n">
        <x:v>365</x:v>
      </x:c>
      <x:c r="BW349" s="10" t="n">
        <x:v>250</x:v>
      </x:c>
      <x:c r="BX349" s="10" t="n">
        <x:v>824</x:v>
      </x:c>
      <x:c r="BY349" s="4" t="str">
        <x:v>Ryan Poehling</x:v>
      </x:c>
      <x:c r="BZ349" s="4" t="str">
        <x:v>Ryan Poehling</x:v>
      </x:c>
      <x:c r="CA349" s="4" t="str">
        <x:v>Ryan Poehling</x:v>
      </x:c>
      <x:c r="CB349" s="4" t="str">
        <x:v>poehlry01</x:v>
      </x:c>
    </x:row>
    <x:row r="350" ht="22" customHeight="1">
      <x:c r="A350" s="4" t="str">
        <x:v>Ryan Pulock</x:v>
      </x:c>
      <x:c r="B350" s="4" t="str">
        <x:v>ryanpulock</x:v>
      </x:c>
      <x:c r="C350" s="10" t="n">
        <x:v>1</x:v>
      </x:c>
      <x:c r="D350" s="10" t="n">
        <x:v>1</x:v>
      </x:c>
      <x:c r="E350" s="10" t="n">
        <x:v>1</x:v>
      </x:c>
      <x:c r="F350" s="4" t="n">
        <x:f>IF(COUNT(N350,Q350,T350,W350,Z350,AC350,AF350,AI350)=8,N350*Guide!$E$5+Q350*Guide!$E$6+T350*Guide!$E$7+W350*Guide!$E$8+Z350*Guide!$E$9+AC350*Guide!$E$10+AF350*Guide!$E$11+AI350*Guide!$E$12,"")</x:f>
        <x:v>240.75</x:v>
      </x:c>
      <x:c r="G350" s="4" t="n">
        <x:f>IF(COUNT(O350,R350,U350,X350,AA350,AD350,AG350,AJ350)=8,O350*Guide!$E$5+R350*Guide!$E$6+U350*Guide!$E$7+X350*Guide!$E$8+AA350*Guide!$E$9+AD350*Guide!$E$10+AG350*Guide!$E$11+AJ350*Guide!$E$12,"")</x:f>
        <x:v>242.75</x:v>
      </x:c>
      <x:c r="H350" s="4" t="n">
        <x:f>IF(COUNT(G350,F350)=2,G350-F350,"")</x:f>
        <x:v>2</x:v>
      </x:c>
      <x:c r="I350" s="4" t="n">
        <x:f>IF(AND(ISNUMBER(F350),K350&gt;0),F350/K350,"")</x:f>
        <x:v>3.1266233766233764</x:v>
      </x:c>
      <x:c r="J350" s="4" t="n">
        <x:f>IF(AND(ISNUMBER(G350),L350&gt;0),G350/L350,"")</x:f>
        <x:v>3.1940789473684212</x:v>
      </x:c>
      <x:c r="K350" s="10" t="n">
        <x:v>77</x:v>
      </x:c>
      <x:c r="L350" s="10" t="n">
        <x:v>76</x:v>
      </x:c>
      <x:c r="M350" s="10" t="n">
        <x:f>IF(COUNT(L350,K350)=2,L350-K350,"")</x:f>
        <x:v>-1</x:v>
      </x:c>
      <x:c r="N350" s="10" t="n">
        <x:v>5</x:v>
      </x:c>
      <x:c r="O350" s="10" t="n">
        <x:v>3</x:v>
      </x:c>
      <x:c r="P350" s="10" t="n">
        <x:f>IF(COUNT(O350,N350)=2,O350-N350,"")</x:f>
        <x:v>-2</x:v>
      </x:c>
      <x:c r="Q350" s="10" t="n">
        <x:v>19</x:v>
      </x:c>
      <x:c r="R350" s="10" t="n">
        <x:v>24</x:v>
      </x:c>
      <x:c r="S350" s="10" t="n">
        <x:f>IF(COUNT(R350,Q350)=2,R350-Q350,"")</x:f>
        <x:v>5</x:v>
      </x:c>
      <x:c r="T350" s="10" t="n">
        <x:v>-7</x:v>
      </x:c>
      <x:c r="U350" s="10" t="n">
        <x:v>9</x:v>
      </x:c>
      <x:c r="V350" s="10" t="n">
        <x:f>IF(COUNT(U350,T350)=2,U350-T350,"")</x:f>
        <x:v>16</x:v>
      </x:c>
      <x:c r="W350" s="10" t="n">
        <x:v>5</x:v>
      </x:c>
      <x:c r="X350" s="10" t="n">
        <x:f>IF(COUNT(AV350,AW350)=2,AV350+AW350,"")</x:f>
        <x:v>1</x:v>
      </x:c>
      <x:c r="Y350" s="10" t="n">
        <x:f>IF(COUNT(X350,W350)=2,X350-W350,"")</x:f>
        <x:v>-4</x:v>
      </x:c>
      <x:c r="Z350" s="10" t="n">
        <x:v>1</x:v>
      </x:c>
      <x:c r="AA350" s="10" t="n">
        <x:f>IF(COUNT(AX350,AY350)=2,AX350+AY350,"")</x:f>
        <x:v>1</x:v>
      </x:c>
      <x:c r="AB350" s="10" t="n">
        <x:f>IF(COUNT(AA350,Z350)=2,AA350-Z350,"")</x:f>
        <x:v>0</x:v>
      </x:c>
      <x:c r="AC350" s="10" t="n">
        <x:v>96</x:v>
      </x:c>
      <x:c r="AD350" s="10" t="n">
        <x:v>93</x:v>
      </x:c>
      <x:c r="AE350" s="10" t="n">
        <x:f>IF(COUNT(AD350,AC350)=2,AD350-AC350,"")</x:f>
        <x:v>-3</x:v>
      </x:c>
      <x:c r="AF350" s="10" t="n">
        <x:v>102</x:v>
      </x:c>
      <x:c r="AG350" s="10" t="n">
        <x:v>49</x:v>
      </x:c>
      <x:c r="AH350" s="10" t="n">
        <x:f>IF(COUNT(AG350,AF350)=2,AG350-AF350,"")</x:f>
        <x:v>-53</x:v>
      </x:c>
      <x:c r="AI350" s="10" t="n">
        <x:v>151</x:v>
      </x:c>
      <x:c r="AJ350" s="10" t="n">
        <x:v>147</x:v>
      </x:c>
      <x:c r="AK350" s="10" t="n">
        <x:f>IF(COUNT(AJ350,AI350)=2,AJ350-AI350,"")</x:f>
        <x:v>-4</x:v>
      </x:c>
      <x:c r="AL350" s="10" t="n">
        <x:v>31</x:v>
      </x:c>
      <x:c r="AM350" s="10" t="n">
        <x:v>31</x:v>
      </x:c>
      <x:c r="AN350" s="4" t="str">
        <x:v>D</x:v>
      </x:c>
      <x:c r="AO350" s="4" t="str">
        <x:v>D</x:v>
      </x:c>
      <x:c r="AP350" s="4" t="str">
        <x:v>NYI</x:v>
      </x:c>
      <x:c r="AQ350" s="4" t="str">
        <x:v>NYI</x:v>
      </x:c>
      <x:c r="AR350" s="4" t="n">
        <x:v>21.23</x:v>
      </x:c>
      <x:c r="AS350" s="4" t="n">
        <x:v>20.816666666666666</x:v>
      </x:c>
      <x:c r="AT350" s="4" t="n">
        <x:v>1</x:v>
      </x:c>
      <x:c r="AU350" s="4" t="n">
        <x:v>3.2</x:v>
      </x:c>
      <x:c r="AV350" s="10" t="n">
        <x:v>0</x:v>
      </x:c>
      <x:c r="AW350" s="10" t="n">
        <x:v>1</x:v>
      </x:c>
      <x:c r="AX350" s="10" t="n">
        <x:v>0</x:v>
      </x:c>
      <x:c r="AY350" s="10" t="n">
        <x:v>1</x:v>
      </x:c>
      <x:c r="AZ350" s="10" t="n">
        <x:v>1222</x:v>
      </x:c>
      <x:c r="BA350" s="10" t="n">
        <x:v>1442</x:v>
      </x:c>
      <x:c r="BB350" s="4" t="n">
        <x:v>45.9</x:v>
      </x:c>
      <x:c r="BC350" s="4" t="n">
        <x:v>-5</x:v>
      </x:c>
      <x:c r="BD350" s="10" t="n">
        <x:v>895</x:v>
      </x:c>
      <x:c r="BE350" s="10" t="n">
        <x:v>1020</x:v>
      </x:c>
      <x:c r="BF350" s="4" t="n">
        <x:v>46.7</x:v>
      </x:c>
      <x:c r="BG350" s="4" t="n">
        <x:v>-4.2</x:v>
      </x:c>
      <x:c r="BH350" s="4" t="n">
        <x:v>9.8</x:v>
      </x:c>
      <x:c r="BI350" s="4" t="n">
        <x:v>91.3</x:v>
      </x:c>
      <x:c r="BJ350" s="4" t="n">
        <x:v>101.1</x:v>
      </x:c>
      <x:c r="BK350" s="4" t="n">
        <x:v>47.3</x:v>
      </x:c>
      <x:c r="BL350" s="4" t="n">
        <x:v>52.7</x:v>
      </x:c>
      <x:c r="BM350" s="4" t="n">
        <x:v>20.816666666666666</x:v>
      </x:c>
      <x:c r="BN350" s="4" t="n">
        <x:v>17.966666666666665</x:v>
      </x:c>
      <x:c r="BO350" s="10" t="n">
        <x:v>27</x:v>
      </x:c>
      <x:c r="BP350" s="10" t="n">
        <x:v>77</x:v>
      </x:c>
      <x:c r="BQ350" s="4" t="n">
        <x:v>-6</x:v>
      </x:c>
      <x:c r="BR350" s="10" t="n">
        <x:v>223</x:v>
      </x:c>
      <x:c r="BS350" s="4" t="n">
        <x:v>41.7</x:v>
      </x:c>
      <x:c r="BT350" s="10" t="n">
        <x:v>76</x:v>
      </x:c>
      <x:c r="BU350" s="4" t="str">
        <x:v>NYI</x:v>
      </x:c>
      <x:c r="BV350" s="10" t="n">
        <x:v>446</x:v>
      </x:c>
      <x:c r="BW350" s="10" t="n">
        <x:v>369</x:v>
      </x:c>
      <x:c r="BX350" s="10" t="n">
        <x:v>834</x:v>
      </x:c>
      <x:c r="BY350" s="4" t="str">
        <x:v>Ryan Pulock</x:v>
      </x:c>
      <x:c r="BZ350" s="4" t="str">
        <x:v>Ryan Pulock</x:v>
      </x:c>
      <x:c r="CA350" s="4" t="str">
        <x:v>Ryan Pulock</x:v>
      </x:c>
      <x:c r="CB350" s="4" t="str">
        <x:v>pulocry01</x:v>
      </x:c>
    </x:row>
    <x:row r="351" ht="22" customHeight="1">
      <x:c r="A351" s="4" t="str">
        <x:v>Ryan Shea</x:v>
      </x:c>
      <x:c r="B351" s="4" t="str">
        <x:v>ryanshea</x:v>
      </x:c>
      <x:c r="C351" s="10" t="n">
        <x:v>1</x:v>
      </x:c>
      <x:c r="D351" s="10" t="n">
        <x:v>1</x:v>
      </x:c>
      <x:c r="E351" s="10" t="n">
        <x:v>1</x:v>
      </x:c>
      <x:c r="F351" s="4" t="n">
        <x:f>IF(COUNT(N351,Q351,T351,W351,Z351,AC351,AF351,AI351)=8,N351*Guide!$E$5+Q351*Guide!$E$6+T351*Guide!$E$7+W351*Guide!$E$8+Z351*Guide!$E$9+AC351*Guide!$E$10+AF351*Guide!$E$11+AI351*Guide!$E$12,"")</x:f>
        <x:v>125.75</x:v>
      </x:c>
      <x:c r="G351" s="4" t="n">
        <x:f>IF(COUNT(O351,R351,U351,X351,AA351,AD351,AG351,AJ351)=8,O351*Guide!$E$5+R351*Guide!$E$6+U351*Guide!$E$7+X351*Guide!$E$8+AA351*Guide!$E$9+AD351*Guide!$E$10+AG351*Guide!$E$11+AJ351*Guide!$E$12,"")</x:f>
        <x:v>236.75</x:v>
      </x:c>
      <x:c r="H351" s="4" t="n">
        <x:f>IF(COUNT(G351,F351)=2,G351-F351,"")</x:f>
        <x:v>111</x:v>
      </x:c>
      <x:c r="I351" s="4" t="n">
        <x:f>IF(AND(ISNUMBER(F351),K351&gt;0),F351/K351,"")</x:f>
        <x:v>1.7964285714285715</x:v>
      </x:c>
      <x:c r="J351" s="4" t="n">
        <x:f>IF(AND(ISNUMBER(G351),L351&gt;0),G351/L351,"")</x:f>
        <x:v>2.959375</x:v>
      </x:c>
      <x:c r="K351" s="10" t="n">
        <x:v>70</x:v>
      </x:c>
      <x:c r="L351" s="10" t="n">
        <x:v>80</x:v>
      </x:c>
      <x:c r="M351" s="10" t="n">
        <x:f>IF(COUNT(L351,K351)=2,L351-K351,"")</x:f>
        <x:v>10</x:v>
      </x:c>
      <x:c r="N351" s="10" t="n">
        <x:v>3</x:v>
      </x:c>
      <x:c r="O351" s="10" t="n">
        <x:v>6</x:v>
      </x:c>
      <x:c r="P351" s="10" t="n">
        <x:f>IF(COUNT(O351,N351)=2,O351-N351,"")</x:f>
        <x:v>3</x:v>
      </x:c>
      <x:c r="Q351" s="10" t="n">
        <x:v>9</x:v>
      </x:c>
      <x:c r="R351" s="10" t="n">
        <x:v>29</x:v>
      </x:c>
      <x:c r="S351" s="10" t="n">
        <x:f>IF(COUNT(R351,Q351)=2,R351-Q351,"")</x:f>
        <x:v>20</x:v>
      </x:c>
      <x:c r="T351" s="10" t="n">
        <x:v>-5</x:v>
      </x:c>
      <x:c r="U351" s="10" t="n">
        <x:v>30</x:v>
      </x:c>
      <x:c r="V351" s="10" t="n">
        <x:f>IF(COUNT(U351,T351)=2,U351-T351,"")</x:f>
        <x:v>35</x:v>
      </x:c>
      <x:c r="W351" s="10" t="n">
        <x:v>0</x:v>
      </x:c>
      <x:c r="X351" s="10" t="n">
        <x:f>IF(COUNT(AV351,AW351)=2,AV351+AW351,"")</x:f>
        <x:v>0</x:v>
      </x:c>
      <x:c r="Y351" s="10" t="n">
        <x:f>IF(COUNT(X351,W351)=2,X351-W351,"")</x:f>
        <x:v>0</x:v>
      </x:c>
      <x:c r="Z351" s="10" t="n">
        <x:v>0</x:v>
      </x:c>
      <x:c r="AA351" s="10" t="n">
        <x:f>IF(COUNT(AX351,AY351)=2,AX351+AY351,"")</x:f>
        <x:v>0</x:v>
      </x:c>
      <x:c r="AB351" s="10" t="n">
        <x:f>IF(COUNT(AA351,Z351)=2,AA351-Z351,"")</x:f>
        <x:v>0</x:v>
      </x:c>
      <x:c r="AC351" s="10" t="n">
        <x:v>47</x:v>
      </x:c>
      <x:c r="AD351" s="10" t="n">
        <x:v>72</x:v>
      </x:c>
      <x:c r="AE351" s="10" t="n">
        <x:f>IF(COUNT(AD351,AC351)=2,AD351-AC351,"")</x:f>
        <x:v>25</x:v>
      </x:c>
      <x:c r="AF351" s="10" t="n">
        <x:v>44</x:v>
      </x:c>
      <x:c r="AG351" s="10" t="n">
        <x:v>38</x:v>
      </x:c>
      <x:c r="AH351" s="10" t="n">
        <x:f>IF(COUNT(AG351,AF351)=2,AG351-AF351,"")</x:f>
        <x:v>-6</x:v>
      </x:c>
      <x:c r="AI351" s="10" t="n">
        <x:v>92</x:v>
      </x:c>
      <x:c r="AJ351" s="10" t="n">
        <x:v>91</x:v>
      </x:c>
      <x:c r="AK351" s="10" t="n">
        <x:f>IF(COUNT(AJ351,AI351)=2,AJ351-AI351,"")</x:f>
        <x:v>-1</x:v>
      </x:c>
      <x:c r="AL351" s="10" t="n">
        <x:v>28</x:v>
      </x:c>
      <x:c r="AM351" s="10" t="n">
        <x:v>28</x:v>
      </x:c>
      <x:c r="AN351" s="4" t="str">
        <x:v>D</x:v>
      </x:c>
      <x:c r="AO351" s="4" t="str">
        <x:v>D</x:v>
      </x:c>
      <x:c r="AP351" s="4" t="str">
        <x:v>PIT</x:v>
      </x:c>
      <x:c r="AQ351" s="4" t="str">
        <x:v>PIT</x:v>
      </x:c>
      <x:c r="AR351" s="4" t="n">
        <x:v>17.799999999999997</x:v>
      </x:c>
      <x:c r="AS351" s="4" t="n">
        <x:v>18.883333333333333</x:v>
      </x:c>
      <x:c r="AT351" s="4" t="n">
        <x:v>0.06</x:v>
      </x:c>
      <x:c r="AU351" s="4" t="n">
        <x:v>8.3</x:v>
      </x:c>
      <x:c r="AV351" s="10" t="n">
        <x:v>0</x:v>
      </x:c>
      <x:c r="AW351" s="10" t="n">
        <x:v>0</x:v>
      </x:c>
      <x:c r="AX351" s="10" t="n">
        <x:v>0</x:v>
      </x:c>
      <x:c r="AY351" s="10" t="n">
        <x:v>0</x:v>
      </x:c>
      <x:c r="AZ351" s="10" t="n">
        <x:v>1290</x:v>
      </x:c>
      <x:c r="BA351" s="10" t="n">
        <x:v>1352</x:v>
      </x:c>
      <x:c r="BB351" s="4" t="n">
        <x:v>48.8</x:v>
      </x:c>
      <x:c r="BC351" s="4" t="n">
        <x:v>-2</x:v>
      </x:c>
      <x:c r="BD351" s="10" t="n">
        <x:v>959</x:v>
      </x:c>
      <x:c r="BE351" s="10" t="n">
        <x:v>983</x:v>
      </x:c>
      <x:c r="BF351" s="4" t="n">
        <x:v>49.4</x:v>
      </x:c>
      <x:c r="BG351" s="4" t="n">
        <x:v>-1.7</x:v>
      </x:c>
      <x:c r="BH351" s="4" t="n">
        <x:v>14.2</x:v>
      </x:c>
      <x:c r="BI351" s="4" t="n">
        <x:v>91</x:v>
      </x:c>
      <x:c r="BJ351" s="4" t="n">
        <x:v>105.2</x:v>
      </x:c>
      <x:c r="BK351" s="4" t="n">
        <x:v>47.1</x:v>
      </x:c>
      <x:c r="BL351" s="4" t="n">
        <x:v>52.9</x:v>
      </x:c>
      <x:c r="BM351" s="4" t="n">
        <x:v>18.883333333333333</x:v>
      </x:c>
      <x:c r="BN351" s="4" t="n">
        <x:v>16.45</x:v>
      </x:c>
      <x:c r="BO351" s="10" t="n">
        <x:v>24</x:v>
      </x:c>
      <x:c r="BP351" s="10" t="n">
        <x:v>57</x:v>
      </x:c>
      <x:c r="BQ351" s="4" t="n">
        <x:v>4.5</x:v>
      </x:c>
      <x:c r="BR351" s="10" t="n">
        <x:v>191</x:v>
      </x:c>
      <x:c r="BS351" s="4" t="n">
        <x:v>37.7</x:v>
      </x:c>
      <x:c r="BT351" s="10" t="n">
        <x:v>80</x:v>
      </x:c>
      <x:c r="BU351" s="4" t="str">
        <x:v>PIT</x:v>
      </x:c>
      <x:c r="BV351" s="10" t="n">
        <x:v>694</x:v>
      </x:c>
      <x:c r="BW351" s="10" t="n">
        <x:v>271</x:v>
      </x:c>
      <x:c r="BX351" s="10" t="n">
        <x:v>927</x:v>
      </x:c>
      <x:c r="BY351" s="4" t="str">
        <x:v>Ryan Shea</x:v>
      </x:c>
      <x:c r="BZ351" s="4" t="str">
        <x:v>Ryan Shea</x:v>
      </x:c>
      <x:c r="CA351" s="4" t="str">
        <x:v>Ryan Shea</x:v>
      </x:c>
      <x:c r="CB351" s="4" t="str">
        <x:v>sheary01</x:v>
      </x:c>
    </x:row>
    <x:row r="352" ht="22" customHeight="1">
      <x:c r="A352" s="4" t="str">
        <x:v>Ryan Strome</x:v>
      </x:c>
      <x:c r="B352" s="4" t="str">
        <x:v>ryanstrome</x:v>
      </x:c>
      <x:c r="C352" s="10" t="n">
        <x:v>1</x:v>
      </x:c>
      <x:c r="D352" s="10" t="n">
        <x:v>1</x:v>
      </x:c>
      <x:c r="E352" s="10" t="n">
        <x:v>1</x:v>
      </x:c>
      <x:c r="F352" s="4" t="n">
        <x:f>IF(COUNT(N352,Q352,T352,W352,Z352,AC352,AF352,AI352)=8,N352*Guide!$E$5+Q352*Guide!$E$6+T352*Guide!$E$7+W352*Guide!$E$8+Z352*Guide!$E$9+AC352*Guide!$E$10+AF352*Guide!$E$11+AI352*Guide!$E$12,"")</x:f>
        <x:v>201</x:v>
      </x:c>
      <x:c r="G352" s="4" t="n">
        <x:f>IF(COUNT(O352,R352,U352,X352,AA352,AD352,AG352,AJ352)=8,O352*Guide!$E$5+R352*Guide!$E$6+U352*Guide!$E$7+X352*Guide!$E$8+AA352*Guide!$E$9+AD352*Guide!$E$10+AG352*Guide!$E$11+AJ352*Guide!$E$12,"")</x:f>
        <x:v>96</x:v>
      </x:c>
      <x:c r="H352" s="4" t="n">
        <x:f>IF(COUNT(G352,F352)=2,G352-F352,"")</x:f>
        <x:v>-105</x:v>
      </x:c>
      <x:c r="I352" s="4" t="n">
        <x:f>IF(AND(ISNUMBER(F352),K352&gt;0),F352/K352,"")</x:f>
        <x:v>2.5125</x:v>
      </x:c>
      <x:c r="J352" s="4" t="n">
        <x:f>IF(AND(ISNUMBER(G352),L352&gt;0),G352/L352,"")</x:f>
        <x:v>1.8461538461538463</x:v>
      </x:c>
      <x:c r="K352" s="10" t="n">
        <x:v>80</x:v>
      </x:c>
      <x:c r="L352" s="10" t="n">
        <x:v>52</x:v>
      </x:c>
      <x:c r="M352" s="10" t="n">
        <x:f>IF(COUNT(L352,K352)=2,L352-K352,"")</x:f>
        <x:v>-28</x:v>
      </x:c>
      <x:c r="N352" s="10" t="n">
        <x:v>13</x:v>
      </x:c>
      <x:c r="O352" s="10" t="n">
        <x:v>8</x:v>
      </x:c>
      <x:c r="P352" s="10" t="n">
        <x:f>IF(COUNT(O352,N352)=2,O352-N352,"")</x:f>
        <x:v>-5</x:v>
      </x:c>
      <x:c r="Q352" s="10" t="n">
        <x:v>28</x:v>
      </x:c>
      <x:c r="R352" s="10" t="n">
        <x:v>13</x:v>
      </x:c>
      <x:c r="S352" s="10" t="n">
        <x:f>IF(COUNT(R352,Q352)=2,R352-Q352,"")</x:f>
        <x:v>-15</x:v>
      </x:c>
      <x:c r="T352" s="10" t="n">
        <x:v>-11</x:v>
      </x:c>
      <x:c r="U352" s="10" t="n">
        <x:v>-8</x:v>
      </x:c>
      <x:c r="V352" s="10" t="n">
        <x:f>IF(COUNT(U352,T352)=2,U352-T352,"")</x:f>
        <x:v>3</x:v>
      </x:c>
      <x:c r="W352" s="10" t="n">
        <x:v>10</x:v>
      </x:c>
      <x:c r="X352" s="10" t="n">
        <x:f>IF(COUNT(AV352,AW352)=2,AV352+AW352,"")</x:f>
        <x:v>2</x:v>
      </x:c>
      <x:c r="Y352" s="10" t="n">
        <x:f>IF(COUNT(X352,W352)=2,X352-W352,"")</x:f>
        <x:v>-8</x:v>
      </x:c>
      <x:c r="Z352" s="10" t="n">
        <x:v>0</x:v>
      </x:c>
      <x:c r="AA352" s="10" t="n">
        <x:f>IF(COUNT(AX352,AY352)=2,AX352+AY352,"")</x:f>
        <x:v>0</x:v>
      </x:c>
      <x:c r="AB352" s="10" t="n">
        <x:f>IF(COUNT(AA352,Z352)=2,AA352-Z352,"")</x:f>
        <x:v>0</x:v>
      </x:c>
      <x:c r="AC352" s="10" t="n">
        <x:v>124</x:v>
      </x:c>
      <x:c r="AD352" s="10" t="n">
        <x:v>57</x:v>
      </x:c>
      <x:c r="AE352" s="10" t="n">
        <x:f>IF(COUNT(AD352,AC352)=2,AD352-AC352,"")</x:f>
        <x:v>-67</x:v>
      </x:c>
      <x:c r="AF352" s="10" t="n">
        <x:v>50</x:v>
      </x:c>
      <x:c r="AG352" s="10" t="n">
        <x:v>22</x:v>
      </x:c>
      <x:c r="AH352" s="10" t="n">
        <x:f>IF(COUNT(AG352,AF352)=2,AG352-AF352,"")</x:f>
        <x:v>-28</x:v>
      </x:c>
      <x:c r="AI352" s="10" t="n">
        <x:v>30</x:v>
      </x:c>
      <x:c r="AJ352" s="10" t="n">
        <x:v>15</x:v>
      </x:c>
      <x:c r="AK352" s="10" t="n">
        <x:f>IF(COUNT(AJ352,AI352)=2,AJ352-AI352,"")</x:f>
        <x:v>-15</x:v>
      </x:c>
      <x:c r="AL352" s="10" t="n">
        <x:v>32</x:v>
      </x:c>
      <x:c r="AM352" s="10" t="n">
        <x:v>32</x:v>
      </x:c>
      <x:c r="AN352" s="4" t="str">
        <x:v>C</x:v>
      </x:c>
      <x:c r="AO352" s="4" t="str">
        <x:v>C</x:v>
      </x:c>
      <x:c r="AP352" s="4" t="str">
        <x:v>ANA</x:v>
      </x:c>
      <x:c r="AQ352" s="4" t="str">
        <x:v>2TM</x:v>
      </x:c>
      <x:c r="AR352" s="4" t="n">
        <x:v>16.3</x:v>
      </x:c>
      <x:c r="AS352" s="4" t="n">
        <x:v>13.3</x:v>
      </x:c>
      <x:c r="AT352" s="4" t="n">
        <x:v>2.32</x:v>
      </x:c>
      <x:c r="AU352" s="4" t="n">
        <x:v>14</x:v>
      </x:c>
      <x:c r="AV352" s="10" t="n">
        <x:v>1</x:v>
      </x:c>
      <x:c r="AW352" s="10" t="n">
        <x:v>1</x:v>
      </x:c>
      <x:c r="AX352" s="10" t="n">
        <x:v>0</x:v>
      </x:c>
      <x:c r="AY352" s="10" t="n">
        <x:v>0</x:v>
      </x:c>
      <x:c r="AZ352" s="10" t="n">
        <x:v>628</x:v>
      </x:c>
      <x:c r="BA352" s="10" t="n">
        <x:v>606</x:v>
      </x:c>
      <x:c r="BB352" s="4" t="n">
        <x:v>50.9</x:v>
      </x:c>
      <x:c r="BC352" s="4" t="n">
        <x:v>1</x:v>
      </x:c>
      <x:c r="BD352" s="10" t="n">
        <x:v>448</x:v>
      </x:c>
      <x:c r="BE352" s="10" t="n">
        <x:v>446</x:v>
      </x:c>
      <x:c r="BF352" s="4" t="n">
        <x:v>50.1</x:v>
      </x:c>
      <x:c r="BG352" s="4" t="n">
        <x:v>-0.7</x:v>
      </x:c>
      <x:c r="BH352" s="4" t="n">
        <x:v>10.4</x:v>
      </x:c>
      <x:c r="BI352" s="4" t="n">
        <x:v>87.4</x:v>
      </x:c>
      <x:c r="BJ352" s="4" t="n">
        <x:v>97.8</x:v>
      </x:c>
      <x:c r="BK352" s="4" t="n">
        <x:v>54.4</x:v>
      </x:c>
      <x:c r="BL352" s="4" t="n">
        <x:v>45.6</x:v>
      </x:c>
      <x:c r="BM352" s="4" t="n">
        <x:v>13.3</x:v>
      </x:c>
      <x:c r="BN352" s="4" t="n">
        <x:v>11.95</x:v>
      </x:c>
      <x:c r="BO352" s="10" t="n">
        <x:v>8</x:v>
      </x:c>
      <x:c r="BP352" s="10" t="n">
        <x:v>42</x:v>
      </x:c>
      <x:c r="BQ352" s="4" t="n">
        <x:v>-0.2</x:v>
      </x:c>
      <x:c r="BR352" s="10" t="n">
        <x:v>119</x:v>
      </x:c>
      <x:c r="BS352" s="4" t="n">
        <x:v>47.9</x:v>
      </x:c>
      <x:c r="BT352" s="10" t="n">
        <x:v>52</x:v>
      </x:c>
      <x:c r="BU352" s="4" t="str">
        <x:v>TOT</x:v>
      </x:c>
      <x:c r="BV352" s="10" t="n">
        <x:v>235</x:v>
      </x:c>
      <x:c r="BW352" s="10" t="n">
        <x:v>461</x:v>
      </x:c>
      <x:c r="BX352" s="10" t="n">
        <x:v>987</x:v>
      </x:c>
      <x:c r="BY352" s="4" t="str">
        <x:v>Ryan Strome</x:v>
      </x:c>
      <x:c r="BZ352" s="4" t="str">
        <x:v>Ryan Strome</x:v>
      </x:c>
      <x:c r="CA352" s="4" t="str">
        <x:v>Ryan Strome</x:v>
      </x:c>
      <x:c r="CB352" s="4" t="str">
        <x:v>stromry01</x:v>
      </x:c>
    </x:row>
    <x:row r="353" ht="22" customHeight="1">
      <x:c r="A353" s="4" t="str">
        <x:v>Sam Bennett</x:v>
      </x:c>
      <x:c r="B353" s="4" t="str">
        <x:v>sambennett</x:v>
      </x:c>
      <x:c r="C353" s="10" t="n">
        <x:v>1</x:v>
      </x:c>
      <x:c r="D353" s="10" t="n">
        <x:v>1</x:v>
      </x:c>
      <x:c r="E353" s="10" t="n">
        <x:v>1</x:v>
      </x:c>
      <x:c r="F353" s="4" t="n">
        <x:f>IF(COUNT(N353,Q353,T353,W353,Z353,AC353,AF353,AI353)=8,N353*Guide!$E$5+Q353*Guide!$E$6+T353*Guide!$E$7+W353*Guide!$E$8+Z353*Guide!$E$9+AC353*Guide!$E$10+AF353*Guide!$E$11+AI353*Guide!$E$12,"")</x:f>
        <x:v>314</x:v>
      </x:c>
      <x:c r="G353" s="4" t="n">
        <x:f>IF(COUNT(O353,R353,U353,X353,AA353,AD353,AG353,AJ353)=8,O353*Guide!$E$5+R353*Guide!$E$6+U353*Guide!$E$7+X353*Guide!$E$8+AA353*Guide!$E$9+AD353*Guide!$E$10+AG353*Guide!$E$11+AJ353*Guide!$E$12,"")</x:f>
        <x:v>307</x:v>
      </x:c>
      <x:c r="H353" s="4" t="n">
        <x:f>IF(COUNT(G353,F353)=2,G353-F353,"")</x:f>
        <x:v>-7</x:v>
      </x:c>
      <x:c r="I353" s="4" t="n">
        <x:f>IF(AND(ISNUMBER(F353),K353&gt;0),F353/K353,"")</x:f>
        <x:v>4.301369863013699</x:v>
      </x:c>
      <x:c r="J353" s="4" t="n">
        <x:f>IF(AND(ISNUMBER(G353),L353&gt;0),G353/L353,"")</x:f>
        <x:v>4.0394736842105265</x:v>
      </x:c>
      <x:c r="K353" s="10" t="n">
        <x:v>73</x:v>
      </x:c>
      <x:c r="L353" s="10" t="n">
        <x:v>76</x:v>
      </x:c>
      <x:c r="M353" s="10" t="n">
        <x:f>IF(COUNT(L353,K353)=2,L353-K353,"")</x:f>
        <x:v>3</x:v>
      </x:c>
      <x:c r="N353" s="10" t="n">
        <x:v>24</x:v>
      </x:c>
      <x:c r="O353" s="10" t="n">
        <x:v>26</x:v>
      </x:c>
      <x:c r="P353" s="10" t="n">
        <x:f>IF(COUNT(O353,N353)=2,O353-N353,"")</x:f>
        <x:v>2</x:v>
      </x:c>
      <x:c r="Q353" s="10" t="n">
        <x:v>26</x:v>
      </x:c>
      <x:c r="R353" s="10" t="n">
        <x:v>32</x:v>
      </x:c>
      <x:c r="S353" s="10" t="n">
        <x:f>IF(COUNT(R353,Q353)=2,R353-Q353,"")</x:f>
        <x:v>6</x:v>
      </x:c>
      <x:c r="T353" s="10" t="n">
        <x:v>7</x:v>
      </x:c>
      <x:c r="U353" s="10" t="n">
        <x:v>-10</x:v>
      </x:c>
      <x:c r="V353" s="10" t="n">
        <x:f>IF(COUNT(U353,T353)=2,U353-T353,"")</x:f>
        <x:v>-17</x:v>
      </x:c>
      <x:c r="W353" s="10" t="n">
        <x:v>13</x:v>
      </x:c>
      <x:c r="X353" s="10" t="n">
        <x:f>IF(COUNT(AV353,AW353)=2,AV353+AW353,"")</x:f>
        <x:v>14</x:v>
      </x:c>
      <x:c r="Y353" s="10" t="n">
        <x:f>IF(COUNT(X353,W353)=2,X353-W353,"")</x:f>
        <x:v>1</x:v>
      </x:c>
      <x:c r="Z353" s="10" t="n">
        <x:v>0</x:v>
      </x:c>
      <x:c r="AA353" s="10" t="n">
        <x:f>IF(COUNT(AX353,AY353)=2,AX353+AY353,"")</x:f>
        <x:v>0</x:v>
      </x:c>
      <x:c r="AB353" s="10" t="n">
        <x:f>IF(COUNT(AA353,Z353)=2,AA353-Z353,"")</x:f>
        <x:v>0</x:v>
      </x:c>
      <x:c r="AC353" s="10" t="n">
        <x:v>200</x:v>
      </x:c>
      <x:c r="AD353" s="10" t="n">
        <x:v>201</x:v>
      </x:c>
      <x:c r="AE353" s="10" t="n">
        <x:f>IF(COUNT(AD353,AC353)=2,AD353-AC353,"")</x:f>
        <x:v>1</x:v>
      </x:c>
      <x:c r="AF353" s="10" t="n">
        <x:v>148</x:v>
      </x:c>
      <x:c r="AG353" s="10" t="n">
        <x:v>115</x:v>
      </x:c>
      <x:c r="AH353" s="10" t="n">
        <x:f>IF(COUNT(AG353,AF353)=2,AG353-AF353,"")</x:f>
        <x:v>-33</x:v>
      </x:c>
      <x:c r="AI353" s="10" t="n">
        <x:v>44</x:v>
      </x:c>
      <x:c r="AJ353" s="10" t="n">
        <x:v>32</x:v>
      </x:c>
      <x:c r="AK353" s="10" t="n">
        <x:f>IF(COUNT(AJ353,AI353)=2,AJ353-AI353,"")</x:f>
        <x:v>-12</x:v>
      </x:c>
      <x:c r="AL353" s="10" t="n">
        <x:v>29</x:v>
      </x:c>
      <x:c r="AM353" s="10" t="n">
        <x:v>29</x:v>
      </x:c>
      <x:c r="AN353" s="4" t="str">
        <x:v>C</x:v>
      </x:c>
      <x:c r="AO353" s="4" t="str">
        <x:v>C</x:v>
      </x:c>
      <x:c r="AP353" s="4" t="str">
        <x:v>FLA</x:v>
      </x:c>
      <x:c r="AQ353" s="4" t="str">
        <x:v>FLA</x:v>
      </x:c>
      <x:c r="AR353" s="4" t="n">
        <x:v>17.249999999999996</x:v>
      </x:c>
      <x:c r="AS353" s="4" t="n">
        <x:v>18.5</x:v>
      </x:c>
      <x:c r="AT353" s="4" t="n">
        <x:v>2.23</x:v>
      </x:c>
      <x:c r="AU353" s="4" t="n">
        <x:v>12.9</x:v>
      </x:c>
      <x:c r="AV353" s="10" t="n">
        <x:v>5</x:v>
      </x:c>
      <x:c r="AW353" s="10" t="n">
        <x:v>9</x:v>
      </x:c>
      <x:c r="AX353" s="10" t="n">
        <x:v>0</x:v>
      </x:c>
      <x:c r="AY353" s="10" t="n">
        <x:v>0</x:v>
      </x:c>
      <x:c r="AZ353" s="10" t="n">
        <x:v>1203</x:v>
      </x:c>
      <x:c r="BA353" s="10" t="n">
        <x:v>1019</x:v>
      </x:c>
      <x:c r="BB353" s="4" t="n">
        <x:v>54.1</x:v>
      </x:c>
      <x:c r="BC353" s="4" t="n">
        <x:v>3.2</x:v>
      </x:c>
      <x:c r="BD353" s="10" t="n">
        <x:v>865</x:v>
      </x:c>
      <x:c r="BE353" s="10" t="n">
        <x:v>791</x:v>
      </x:c>
      <x:c r="BF353" s="4" t="n">
        <x:v>52.2</x:v>
      </x:c>
      <x:c r="BG353" s="4" t="n">
        <x:v>1.6</x:v>
      </x:c>
      <x:c r="BH353" s="4" t="n">
        <x:v>11.9</x:v>
      </x:c>
      <x:c r="BI353" s="4" t="n">
        <x:v>86.3</x:v>
      </x:c>
      <x:c r="BJ353" s="4" t="n">
        <x:v>98.2</x:v>
      </x:c>
      <x:c r="BK353" s="4" t="n">
        <x:v>58.5</x:v>
      </x:c>
      <x:c r="BL353" s="4" t="n">
        <x:v>41.5</x:v>
      </x:c>
      <x:c r="BM353" s="4" t="n">
        <x:v>18.5</x:v>
      </x:c>
      <x:c r="BN353" s="4" t="n">
        <x:v>14.383333333333333</x:v>
      </x:c>
      <x:c r="BO353" s="10" t="n">
        <x:v>25</x:v>
      </x:c>
      <x:c r="BP353" s="10" t="n">
        <x:v>73</x:v>
      </x:c>
      <x:c r="BQ353" s="4" t="n">
        <x:v>3</x:v>
      </x:c>
      <x:c r="BR353" s="10" t="n">
        <x:v>421</x:v>
      </x:c>
      <x:c r="BS353" s="4" t="n">
        <x:v>48</x:v>
      </x:c>
      <x:c r="BT353" s="10" t="n">
        <x:v>76</x:v>
      </x:c>
      <x:c r="BU353" s="4" t="str">
        <x:v>FLA</x:v>
      </x:c>
      <x:c r="BV353" s="10" t="n">
        <x:v>151</x:v>
      </x:c>
      <x:c r="BW353" s="10" t="n">
        <x:v>99</x:v>
      </x:c>
      <x:c r="BX353" s="10" t="n">
        <x:v>46</x:v>
      </x:c>
      <x:c r="BY353" s="4" t="str">
        <x:v>Sam Bennett</x:v>
      </x:c>
      <x:c r="BZ353" s="4" t="str">
        <x:v>Sam Bennett</x:v>
      </x:c>
      <x:c r="CA353" s="4" t="str">
        <x:v>Sam Bennett</x:v>
      </x:c>
      <x:c r="CB353" s="4" t="str">
        <x:v>bennesa01</x:v>
      </x:c>
    </x:row>
    <x:row r="354" ht="22" customHeight="1">
      <x:c r="A354" s="4" t="str">
        <x:v>Sam Malinski</x:v>
      </x:c>
      <x:c r="B354" s="4" t="str">
        <x:v>sammalinski</x:v>
      </x:c>
      <x:c r="C354" s="10" t="n">
        <x:v>1</x:v>
      </x:c>
      <x:c r="D354" s="10" t="n">
        <x:v>1</x:v>
      </x:c>
      <x:c r="E354" s="10" t="n">
        <x:v>1</x:v>
      </x:c>
      <x:c r="F354" s="4" t="n">
        <x:f>IF(COUNT(N354,Q354,T354,W354,Z354,AC354,AF354,AI354)=8,N354*Guide!$E$5+Q354*Guide!$E$6+T354*Guide!$E$7+W354*Guide!$E$8+Z354*Guide!$E$9+AC354*Guide!$E$10+AF354*Guide!$E$11+AI354*Guide!$E$12,"")</x:f>
        <x:v>168</x:v>
      </x:c>
      <x:c r="G354" s="4" t="n">
        <x:f>IF(COUNT(O354,R354,U354,X354,AA354,AD354,AG354,AJ354)=8,O354*Guide!$E$5+R354*Guide!$E$6+U354*Guide!$E$7+X354*Guide!$E$8+AA354*Guide!$E$9+AD354*Guide!$E$10+AG354*Guide!$E$11+AJ354*Guide!$E$12,"")</x:f>
        <x:v>295.75</x:v>
      </x:c>
      <x:c r="H354" s="4" t="n">
        <x:f>IF(COUNT(G354,F354)=2,G354-F354,"")</x:f>
        <x:v>127.75</x:v>
      </x:c>
      <x:c r="I354" s="4" t="n">
        <x:f>IF(AND(ISNUMBER(F354),K354&gt;0),F354/K354,"")</x:f>
        <x:v>2.3333333333333335</x:v>
      </x:c>
      <x:c r="J354" s="4" t="n">
        <x:f>IF(AND(ISNUMBER(G354),L354&gt;0),G354/L354,"")</x:f>
        <x:v>3.606707317073171</x:v>
      </x:c>
      <x:c r="K354" s="10" t="n">
        <x:v>72</x:v>
      </x:c>
      <x:c r="L354" s="10" t="n">
        <x:v>82</x:v>
      </x:c>
      <x:c r="M354" s="10" t="n">
        <x:f>IF(COUNT(L354,K354)=2,L354-K354,"")</x:f>
        <x:v>10</x:v>
      </x:c>
      <x:c r="N354" s="10" t="n">
        <x:v>5</x:v>
      </x:c>
      <x:c r="O354" s="10" t="n">
        <x:v>8</x:v>
      </x:c>
      <x:c r="P354" s="10" t="n">
        <x:f>IF(COUNT(O354,N354)=2,O354-N354,"")</x:f>
        <x:v>3</x:v>
      </x:c>
      <x:c r="Q354" s="10" t="n">
        <x:v>13</x:v>
      </x:c>
      <x:c r="R354" s="10" t="n">
        <x:v>32</x:v>
      </x:c>
      <x:c r="S354" s="10" t="n">
        <x:f>IF(COUNT(R354,Q354)=2,R354-Q354,"")</x:f>
        <x:v>19</x:v>
      </x:c>
      <x:c r="T354" s="10" t="n">
        <x:v>3</x:v>
      </x:c>
      <x:c r="U354" s="10" t="n">
        <x:v>43</x:v>
      </x:c>
      <x:c r="V354" s="10" t="n">
        <x:f>IF(COUNT(U354,T354)=2,U354-T354,"")</x:f>
        <x:v>40</x:v>
      </x:c>
      <x:c r="W354" s="10" t="n">
        <x:v>1</x:v>
      </x:c>
      <x:c r="X354" s="10" t="n">
        <x:f>IF(COUNT(AV354,AW354)=2,AV354+AW354,"")</x:f>
        <x:v>1</x:v>
      </x:c>
      <x:c r="Y354" s="10" t="n">
        <x:f>IF(COUNT(X354,W354)=2,X354-W354,"")</x:f>
        <x:v>0</x:v>
      </x:c>
      <x:c r="Z354" s="10" t="n">
        <x:v>0</x:v>
      </x:c>
      <x:c r="AA354" s="10" t="n">
        <x:f>IF(COUNT(AX354,AY354)=2,AX354+AY354,"")</x:f>
        <x:v>0</x:v>
      </x:c>
      <x:c r="AB354" s="10" t="n">
        <x:f>IF(COUNT(AA354,Z354)=2,AA354-Z354,"")</x:f>
        <x:v>0</x:v>
      </x:c>
      <x:c r="AC354" s="10" t="n">
        <x:v>103</x:v>
      </x:c>
      <x:c r="AD354" s="10" t="n">
        <x:v>164</x:v>
      </x:c>
      <x:c r="AE354" s="10" t="n">
        <x:f>IF(COUNT(AD354,AC354)=2,AD354-AC354,"")</x:f>
        <x:v>61</x:v>
      </x:c>
      <x:c r="AF354" s="10" t="n">
        <x:v>47</x:v>
      </x:c>
      <x:c r="AG354" s="10" t="n">
        <x:v>46</x:v>
      </x:c>
      <x:c r="AH354" s="10" t="n">
        <x:f>IF(COUNT(AG354,AF354)=2,AG354-AF354,"")</x:f>
        <x:v>-1</x:v>
      </x:c>
      <x:c r="AI354" s="10" t="n">
        <x:v>90</x:v>
      </x:c>
      <x:c r="AJ354" s="10" t="n">
        <x:v>95</x:v>
      </x:c>
      <x:c r="AK354" s="10" t="n">
        <x:f>IF(COUNT(AJ354,AI354)=2,AJ354-AI354,"")</x:f>
        <x:v>5</x:v>
      </x:c>
      <x:c r="AL354" s="10" t="n">
        <x:v>27</x:v>
      </x:c>
      <x:c r="AM354" s="10" t="n">
        <x:v>27</x:v>
      </x:c>
      <x:c r="AN354" s="4" t="str">
        <x:v>D</x:v>
      </x:c>
      <x:c r="AO354" s="4" t="str">
        <x:v>D</x:v>
      </x:c>
      <x:c r="AP354" s="4" t="str">
        <x:v>COL</x:v>
      </x:c>
      <x:c r="AQ354" s="4" t="str">
        <x:v>COL</x:v>
      </x:c>
      <x:c r="AR354" s="4" t="n">
        <x:v>15.74</x:v>
      </x:c>
      <x:c r="AS354" s="4" t="n">
        <x:v>17.616666666666667</x:v>
      </x:c>
      <x:c r="AT354" s="4" t="n">
        <x:v>0.29</x:v>
      </x:c>
      <x:c r="AU354" s="4" t="n">
        <x:v>4.9</x:v>
      </x:c>
      <x:c r="AV354" s="10" t="n">
        <x:v>0</x:v>
      </x:c>
      <x:c r="AW354" s="10" t="n">
        <x:v>1</x:v>
      </x:c>
      <x:c r="AX354" s="10" t="n">
        <x:v>0</x:v>
      </x:c>
      <x:c r="AY354" s="10" t="n">
        <x:v>0</x:v>
      </x:c>
      <x:c r="AZ354" s="10" t="n">
        <x:v>1649</x:v>
      </x:c>
      <x:c r="BA354" s="10" t="n">
        <x:v>1158</x:v>
      </x:c>
      <x:c r="BB354" s="4" t="n">
        <x:v>58.7</x:v>
      </x:c>
      <x:c r="BC354" s="4" t="n">
        <x:v>3.6</x:v>
      </x:c>
      <x:c r="BD354" s="10" t="n">
        <x:v>1174</x:v>
      </x:c>
      <x:c r="BE354" s="10" t="n">
        <x:v>828</x:v>
      </x:c>
      <x:c r="BF354" s="4" t="n">
        <x:v>58.6</x:v>
      </x:c>
      <x:c r="BG354" s="4" t="n">
        <x:v>4.4</x:v>
      </x:c>
      <x:c r="BH354" s="4" t="n">
        <x:v>9.6</x:v>
      </x:c>
      <x:c r="BI354" s="4" t="n">
        <x:v>94.1</x:v>
      </x:c>
      <x:c r="BJ354" s="4" t="n">
        <x:v>103.7</x:v>
      </x:c>
      <x:c r="BK354" s="4" t="n">
        <x:v>51.6</x:v>
      </x:c>
      <x:c r="BL354" s="4" t="n">
        <x:v>48.4</x:v>
      </x:c>
      <x:c r="BM354" s="4" t="n">
        <x:v>17.616666666666667</x:v>
      </x:c>
      <x:c r="BN354" s="4" t="n">
        <x:v>16.633333333333333</x:v>
      </x:c>
      <x:c r="BO354" s="10" t="n">
        <x:v>23</x:v>
      </x:c>
      <x:c r="BP354" s="10" t="n">
        <x:v>76</x:v>
      </x:c>
      <x:c r="BQ354" s="4" t="n">
        <x:v>32</x:v>
      </x:c>
      <x:c r="BR354" s="10" t="n">
        <x:v>414</x:v>
      </x:c>
      <x:c r="BS354" s="4" t="n">
        <x:v>39.6</x:v>
      </x:c>
      <x:c r="BT354" s="10" t="n">
        <x:v>82</x:v>
      </x:c>
      <x:c r="BU354" s="4" t="str">
        <x:v>COL</x:v>
      </x:c>
      <x:c r="BV354" s="10" t="n">
        <x:v>567</x:v>
      </x:c>
      <x:c r="BW354" s="10" t="n">
        <x:v>214</x:v>
      </x:c>
      <x:c r="BX354" s="10" t="n">
        <x:v>634</x:v>
      </x:c>
      <x:c r="BY354" s="4" t="str">
        <x:v>Sam Malinski</x:v>
      </x:c>
      <x:c r="BZ354" s="4" t="str">
        <x:v>Sam Malinski</x:v>
      </x:c>
      <x:c r="CA354" s="4" t="str">
        <x:v>Sam Malinski</x:v>
      </x:c>
      <x:c r="CB354" s="4" t="str">
        <x:v>malinsa01</x:v>
      </x:c>
    </x:row>
    <x:row r="355" ht="22" customHeight="1">
      <x:c r="A355" s="4" t="str">
        <x:v>Sam Reinhart</x:v>
      </x:c>
      <x:c r="B355" s="4" t="str">
        <x:v>samreinhart</x:v>
      </x:c>
      <x:c r="C355" s="10" t="n">
        <x:v>1</x:v>
      </x:c>
      <x:c r="D355" s="10" t="n">
        <x:v>1</x:v>
      </x:c>
      <x:c r="E355" s="10" t="n">
        <x:v>1</x:v>
      </x:c>
      <x:c r="F355" s="4" t="n">
        <x:f>IF(COUNT(N355,Q355,T355,W355,Z355,AC355,AF355,AI355)=8,N355*Guide!$E$5+Q355*Guide!$E$6+T355*Guide!$E$7+W355*Guide!$E$8+Z355*Guide!$E$9+AC355*Guide!$E$10+AF355*Guide!$E$11+AI355*Guide!$E$12,"")</x:f>
        <x:v>426</x:v>
      </x:c>
      <x:c r="G355" s="4" t="n">
        <x:f>IF(COUNT(O355,R355,U355,X355,AA355,AD355,AG355,AJ355)=8,O355*Guide!$E$5+R355*Guide!$E$6+U355*Guide!$E$7+X355*Guide!$E$8+AA355*Guide!$E$9+AD355*Guide!$E$10+AG355*Guide!$E$11+AJ355*Guide!$E$12,"")</x:f>
        <x:v>317</x:v>
      </x:c>
      <x:c r="H355" s="4" t="n">
        <x:f>IF(COUNT(G355,F355)=2,G355-F355,"")</x:f>
        <x:v>-109</x:v>
      </x:c>
      <x:c r="I355" s="4" t="n">
        <x:f>IF(AND(ISNUMBER(F355),K355&gt;0),F355/K355,"")</x:f>
        <x:v>5.325</x:v>
      </x:c>
      <x:c r="J355" s="4" t="n">
        <x:f>IF(AND(ISNUMBER(G355),L355&gt;0),G355/L355,"")</x:f>
        <x:v>4.953125</x:v>
      </x:c>
      <x:c r="K355" s="10" t="n">
        <x:v>80</x:v>
      </x:c>
      <x:c r="L355" s="10" t="n">
        <x:v>64</x:v>
      </x:c>
      <x:c r="M355" s="10" t="n">
        <x:f>IF(COUNT(L355,K355)=2,L355-K355,"")</x:f>
        <x:v>-16</x:v>
      </x:c>
      <x:c r="N355" s="10" t="n">
        <x:v>37</x:v>
      </x:c>
      <x:c r="O355" s="10" t="n">
        <x:v>29</x:v>
      </x:c>
      <x:c r="P355" s="10" t="n">
        <x:f>IF(COUNT(O355,N355)=2,O355-N355,"")</x:f>
        <x:v>-8</x:v>
      </x:c>
      <x:c r="Q355" s="10" t="n">
        <x:v>37</x:v>
      </x:c>
      <x:c r="R355" s="10" t="n">
        <x:v>32</x:v>
      </x:c>
      <x:c r="S355" s="10" t="n">
        <x:f>IF(COUNT(R355,Q355)=2,R355-Q355,"")</x:f>
        <x:v>-5</x:v>
      </x:c>
      <x:c r="T355" s="10" t="n">
        <x:v>14</x:v>
      </x:c>
      <x:c r="U355" s="10" t="n">
        <x:v>-18</x:v>
      </x:c>
      <x:c r="V355" s="10" t="n">
        <x:f>IF(COUNT(U355,T355)=2,U355-T355,"")</x:f>
        <x:v>-32</x:v>
      </x:c>
      <x:c r="W355" s="10" t="n">
        <x:v>24</x:v>
      </x:c>
      <x:c r="X355" s="10" t="n">
        <x:f>IF(COUNT(AV355,AW355)=2,AV355+AW355,"")</x:f>
        <x:v>25</x:v>
      </x:c>
      <x:c r="Y355" s="10" t="n">
        <x:f>IF(COUNT(X355,W355)=2,X355-W355,"")</x:f>
        <x:v>1</x:v>
      </x:c>
      <x:c r="Z355" s="10" t="n">
        <x:v>3</x:v>
      </x:c>
      <x:c r="AA355" s="10" t="n">
        <x:f>IF(COUNT(AX355,AY355)=2,AX355+AY355,"")</x:f>
        <x:v>4</x:v>
      </x:c>
      <x:c r="AB355" s="10" t="n">
        <x:f>IF(COUNT(AA355,Z355)=2,AA355-Z355,"")</x:f>
        <x:v>1</x:v>
      </x:c>
      <x:c r="AC355" s="10" t="n">
        <x:v>203</x:v>
      </x:c>
      <x:c r="AD355" s="10" t="n">
        <x:v>165</x:v>
      </x:c>
      <x:c r="AE355" s="10" t="n">
        <x:f>IF(COUNT(AD355,AC355)=2,AD355-AC355,"")</x:f>
        <x:v>-38</x:v>
      </x:c>
      <x:c r="AF355" s="10" t="n">
        <x:v>91</x:v>
      </x:c>
      <x:c r="AG355" s="10" t="n">
        <x:v>59</x:v>
      </x:c>
      <x:c r="AH355" s="10" t="n">
        <x:f>IF(COUNT(AG355,AF355)=2,AG355-AF355,"")</x:f>
        <x:v>-32</x:v>
      </x:c>
      <x:c r="AI355" s="10" t="n">
        <x:v>62</x:v>
      </x:c>
      <x:c r="AJ355" s="10" t="n">
        <x:v>40</x:v>
      </x:c>
      <x:c r="AK355" s="10" t="n">
        <x:f>IF(COUNT(AJ355,AI355)=2,AJ355-AI355,"")</x:f>
        <x:v>-22</x:v>
      </x:c>
      <x:c r="AL355" s="10" t="n">
        <x:v>30</x:v>
      </x:c>
      <x:c r="AM355" s="10" t="n">
        <x:v>30</x:v>
      </x:c>
      <x:c r="AN355" s="4" t="str">
        <x:v>C,RW</x:v>
      </x:c>
      <x:c r="AO355" s="4" t="str">
        <x:v>C</x:v>
      </x:c>
      <x:c r="AP355" s="4" t="str">
        <x:v>FLA</x:v>
      </x:c>
      <x:c r="AQ355" s="4" t="str">
        <x:v>FLA</x:v>
      </x:c>
      <x:c r="AR355" s="4" t="n">
        <x:v>20.080000000000002</x:v>
      </x:c>
      <x:c r="AS355" s="4" t="n">
        <x:v>21.283333333333335</x:v>
      </x:c>
      <x:c r="AT355" s="4" t="n">
        <x:v>3.13</x:v>
      </x:c>
      <x:c r="AU355" s="4" t="n">
        <x:v>17.6</x:v>
      </x:c>
      <x:c r="AV355" s="10" t="n">
        <x:v>11</x:v>
      </x:c>
      <x:c r="AW355" s="10" t="n">
        <x:v>14</x:v>
      </x:c>
      <x:c r="AX355" s="10" t="n">
        <x:v>3</x:v>
      </x:c>
      <x:c r="AY355" s="10" t="n">
        <x:v>1</x:v>
      </x:c>
      <x:c r="AZ355" s="10" t="n">
        <x:v>963</x:v>
      </x:c>
      <x:c r="BA355" s="10" t="n">
        <x:v>902</x:v>
      </x:c>
      <x:c r="BB355" s="4" t="n">
        <x:v>51.6</x:v>
      </x:c>
      <x:c r="BC355" s="4" t="n">
        <x:v>-0.9</x:v>
      </x:c>
      <x:c r="BD355" s="10" t="n">
        <x:v>696</x:v>
      </x:c>
      <x:c r="BE355" s="10" t="n">
        <x:v>670</x:v>
      </x:c>
      <x:c r="BF355" s="4" t="n">
        <x:v>51</x:v>
      </x:c>
      <x:c r="BG355" s="4" t="n">
        <x:v>-0.9</x:v>
      </x:c>
      <x:c r="BH355" s="4" t="n">
        <x:v>9.9</x:v>
      </x:c>
      <x:c r="BI355" s="4" t="n">
        <x:v>86.2</x:v>
      </x:c>
      <x:c r="BJ355" s="4" t="n">
        <x:v>96.1</x:v>
      </x:c>
      <x:c r="BK355" s="4" t="n">
        <x:v>52.8</x:v>
      </x:c>
      <x:c r="BL355" s="4" t="n">
        <x:v>47.2</x:v>
      </x:c>
      <x:c r="BM355" s="4" t="n">
        <x:v>21.283333333333335</x:v>
      </x:c>
      <x:c r="BN355" s="4" t="n">
        <x:v>15.15</x:v>
      </x:c>
      <x:c r="BO355" s="10" t="n">
        <x:v>15</x:v>
      </x:c>
      <x:c r="BP355" s="10" t="n">
        <x:v>52</x:v>
      </x:c>
      <x:c r="BQ355" s="4" t="n">
        <x:v>4.3</x:v>
      </x:c>
      <x:c r="BR355" s="10" t="n">
        <x:v>368</x:v>
      </x:c>
      <x:c r="BS355" s="4" t="n">
        <x:v>44.8</x:v>
      </x:c>
      <x:c r="BT355" s="10" t="n">
        <x:v>64</x:v>
      </x:c>
      <x:c r="BU355" s="4" t="str">
        <x:v>FLA</x:v>
      </x:c>
      <x:c r="BV355" s="10" t="n">
        <x:v>35</x:v>
      </x:c>
      <x:c r="BW355" s="10" t="n">
        <x:v>86</x:v>
      </x:c>
      <x:c r="BX355" s="10" t="n">
        <x:v>857</x:v>
      </x:c>
      <x:c r="BY355" s="4" t="str">
        <x:v>Sam Reinhart</x:v>
      </x:c>
      <x:c r="BZ355" s="4" t="str">
        <x:v>Sam Reinhart</x:v>
      </x:c>
      <x:c r="CA355" s="4" t="str">
        <x:v>Sam Reinhart</x:v>
      </x:c>
      <x:c r="CB355" s="4" t="str">
        <x:v>reinhsa01</x:v>
      </x:c>
    </x:row>
    <x:row r="356" ht="22" customHeight="1">
      <x:c r="A356" s="4" t="str">
        <x:v>Sam Steel</x:v>
      </x:c>
      <x:c r="B356" s="4" t="str">
        <x:v>samsteel</x:v>
      </x:c>
      <x:c r="C356" s="10" t="n">
        <x:v>1</x:v>
      </x:c>
      <x:c r="D356" s="10" t="n">
        <x:v>1</x:v>
      </x:c>
      <x:c r="E356" s="10" t="n">
        <x:v>1</x:v>
      </x:c>
      <x:c r="F356" s="4" t="n">
        <x:f>IF(COUNT(N356,Q356,T356,W356,Z356,AC356,AF356,AI356)=8,N356*Guide!$E$5+Q356*Guide!$E$6+T356*Guide!$E$7+W356*Guide!$E$8+Z356*Guide!$E$9+AC356*Guide!$E$10+AF356*Guide!$E$11+AI356*Guide!$E$12,"")</x:f>
        <x:v>155.75</x:v>
      </x:c>
      <x:c r="G356" s="4" t="n">
        <x:f>IF(COUNT(O356,R356,U356,X356,AA356,AD356,AG356,AJ356)=8,O356*Guide!$E$5+R356*Guide!$E$6+U356*Guide!$E$7+X356*Guide!$E$8+AA356*Guide!$E$9+AD356*Guide!$E$10+AG356*Guide!$E$11+AJ356*Guide!$E$12,"")</x:f>
        <x:v>179</x:v>
      </x:c>
      <x:c r="H356" s="4" t="n">
        <x:f>IF(COUNT(G356,F356)=2,G356-F356,"")</x:f>
        <x:v>23.25</x:v>
      </x:c>
      <x:c r="I356" s="4" t="n">
        <x:f>IF(AND(ISNUMBER(F356),K356&gt;0),F356/K356,"")</x:f>
        <x:v>2.022727272727273</x:v>
      </x:c>
      <x:c r="J356" s="4" t="n">
        <x:f>IF(AND(ISNUMBER(G356),L356&gt;0),G356/L356,"")</x:f>
        <x:v>2.452054794520548</x:v>
      </x:c>
      <x:c r="K356" s="10" t="n">
        <x:v>77</x:v>
      </x:c>
      <x:c r="L356" s="10" t="n">
        <x:v>73</x:v>
      </x:c>
      <x:c r="M356" s="10" t="n">
        <x:f>IF(COUNT(L356,K356)=2,L356-K356,"")</x:f>
        <x:v>-4</x:v>
      </x:c>
      <x:c r="N356" s="10" t="n">
        <x:v>9</x:v>
      </x:c>
      <x:c r="O356" s="10" t="n">
        <x:v>12</x:v>
      </x:c>
      <x:c r="P356" s="10" t="n">
        <x:f>IF(COUNT(O356,N356)=2,O356-N356,"")</x:f>
        <x:v>3</x:v>
      </x:c>
      <x:c r="Q356" s="10" t="n">
        <x:v>18</x:v>
      </x:c>
      <x:c r="R356" s="10" t="n">
        <x:v>21</x:v>
      </x:c>
      <x:c r="S356" s="10" t="n">
        <x:f>IF(COUNT(R356,Q356)=2,R356-Q356,"")</x:f>
        <x:v>3</x:v>
      </x:c>
      <x:c r="T356" s="10" t="n">
        <x:v>0</x:v>
      </x:c>
      <x:c r="U356" s="10" t="n">
        <x:v>3</x:v>
      </x:c>
      <x:c r="V356" s="10" t="n">
        <x:f>IF(COUNT(U356,T356)=2,U356-T356,"")</x:f>
        <x:v>3</x:v>
      </x:c>
      <x:c r="W356" s="10" t="n">
        <x:v>2</x:v>
      </x:c>
      <x:c r="X356" s="10" t="n">
        <x:f>IF(COUNT(AV356,AW356)=2,AV356+AW356,"")</x:f>
        <x:v>3</x:v>
      </x:c>
      <x:c r="Y356" s="10" t="n">
        <x:f>IF(COUNT(X356,W356)=2,X356-W356,"")</x:f>
        <x:v>1</x:v>
      </x:c>
      <x:c r="Z356" s="10" t="n">
        <x:v>2</x:v>
      </x:c>
      <x:c r="AA356" s="10" t="n">
        <x:f>IF(COUNT(AX356,AY356)=2,AX356+AY356,"")</x:f>
        <x:v>0</x:v>
      </x:c>
      <x:c r="AB356" s="10" t="n">
        <x:f>IF(COUNT(AA356,Z356)=2,AA356-Z356,"")</x:f>
        <x:v>-2</x:v>
      </x:c>
      <x:c r="AC356" s="10" t="n">
        <x:v>86</x:v>
      </x:c>
      <x:c r="AD356" s="10" t="n">
        <x:v>82</x:v>
      </x:c>
      <x:c r="AE356" s="10" t="n">
        <x:f>IF(COUNT(AD356,AC356)=2,AD356-AC356,"")</x:f>
        <x:v>-4</x:v>
      </x:c>
      <x:c r="AF356" s="10" t="n">
        <x:v>58</x:v>
      </x:c>
      <x:c r="AG356" s="10" t="n">
        <x:v>79</x:v>
      </x:c>
      <x:c r="AH356" s="10" t="n">
        <x:f>IF(COUNT(AG356,AF356)=2,AG356-AF356,"")</x:f>
        <x:v>21</x:v>
      </x:c>
      <x:c r="AI356" s="10" t="n">
        <x:v>29</x:v>
      </x:c>
      <x:c r="AJ356" s="10" t="n">
        <x:v>29</x:v>
      </x:c>
      <x:c r="AK356" s="10" t="n">
        <x:f>IF(COUNT(AJ356,AI356)=2,AJ356-AI356,"")</x:f>
        <x:v>0</x:v>
      </x:c>
      <x:c r="AL356" s="10" t="n">
        <x:v>27</x:v>
      </x:c>
      <x:c r="AM356" s="10" t="n">
        <x:v>27</x:v>
      </x:c>
      <x:c r="AN356" s="4" t="str">
        <x:v>C</x:v>
      </x:c>
      <x:c r="AO356" s="4" t="str">
        <x:v>C</x:v>
      </x:c>
      <x:c r="AP356" s="4" t="str">
        <x:v>DAL</x:v>
      </x:c>
      <x:c r="AQ356" s="4" t="str">
        <x:v>DAL</x:v>
      </x:c>
      <x:c r="AR356" s="4" t="n">
        <x:v>14.23</x:v>
      </x:c>
      <x:c r="AS356" s="4" t="n">
        <x:v>16.066666666666666</x:v>
      </x:c>
      <x:c r="AT356" s="4" t="n">
        <x:v>0.32</x:v>
      </x:c>
      <x:c r="AU356" s="4" t="n">
        <x:v>14.6</x:v>
      </x:c>
      <x:c r="AV356" s="10" t="n">
        <x:v>1</x:v>
      </x:c>
      <x:c r="AW356" s="10" t="n">
        <x:v>2</x:v>
      </x:c>
      <x:c r="AX356" s="10" t="n">
        <x:v>0</x:v>
      </x:c>
      <x:c r="AY356" s="10" t="n">
        <x:v>0</x:v>
      </x:c>
      <x:c r="AZ356" s="10" t="n">
        <x:v>806</x:v>
      </x:c>
      <x:c r="BA356" s="10" t="n">
        <x:v>927</x:v>
      </x:c>
      <x:c r="BB356" s="4" t="n">
        <x:v>46.5</x:v>
      </x:c>
      <x:c r="BC356" s="4" t="n">
        <x:v>-1.8</x:v>
      </x:c>
      <x:c r="BD356" s="10" t="n">
        <x:v>577</x:v>
      </x:c>
      <x:c r="BE356" s="10" t="n">
        <x:v>641</x:v>
      </x:c>
      <x:c r="BF356" s="4" t="n">
        <x:v>47.4</x:v>
      </x:c>
      <x:c r="BG356" s="4" t="n">
        <x:v>-1.3</x:v>
      </x:c>
      <x:c r="BH356" s="4" t="n">
        <x:v>11.1</x:v>
      </x:c>
      <x:c r="BI356" s="4" t="n">
        <x:v>90.9</x:v>
      </x:c>
      <x:c r="BJ356" s="4" t="n">
        <x:v>101.9</x:v>
      </x:c>
      <x:c r="BK356" s="4" t="n">
        <x:v>53</x:v>
      </x:c>
      <x:c r="BL356" s="4" t="n">
        <x:v>47</x:v>
      </x:c>
      <x:c r="BM356" s="4" t="n">
        <x:v>16.066666666666666</x:v>
      </x:c>
      <x:c r="BN356" s="4" t="n">
        <x:v>13.533333333333333</x:v>
      </x:c>
      <x:c r="BO356" s="10" t="n">
        <x:v>20</x:v>
      </x:c>
      <x:c r="BP356" s="10" t="n">
        <x:v>50</x:v>
      </x:c>
      <x:c r="BQ356" s="4" t="n">
        <x:v>0.3</x:v>
      </x:c>
      <x:c r="BR356" s="10" t="n">
        <x:v>149</x:v>
      </x:c>
      <x:c r="BS356" s="4" t="n">
        <x:v>55</x:v>
      </x:c>
      <x:c r="BT356" s="10" t="n">
        <x:v>73</x:v>
      </x:c>
      <x:c r="BU356" s="4" t="str">
        <x:v>DAL</x:v>
      </x:c>
      <x:c r="BV356" s="10" t="n">
        <x:v>414</x:v>
      </x:c>
      <x:c r="BW356" s="10" t="n">
        <x:v>290</x:v>
      </x:c>
      <x:c r="BX356" s="10" t="n">
        <x:v>979</x:v>
      </x:c>
      <x:c r="BY356" s="4" t="str">
        <x:v>Sam Steel</x:v>
      </x:c>
      <x:c r="BZ356" s="4" t="str">
        <x:v>Sam Steel</x:v>
      </x:c>
      <x:c r="CA356" s="4" t="str">
        <x:v>Sam Steel</x:v>
      </x:c>
      <x:c r="CB356" s="4" t="str">
        <x:v>steelsa01</x:v>
      </x:c>
    </x:row>
    <x:row r="357" ht="22" customHeight="1">
      <x:c r="A357" s="4" t="str">
        <x:v>Samuel Girard</x:v>
      </x:c>
      <x:c r="B357" s="4" t="str">
        <x:v>samuelgirard</x:v>
      </x:c>
      <x:c r="C357" s="10" t="n">
        <x:v>1</x:v>
      </x:c>
      <x:c r="D357" s="10" t="n">
        <x:v>1</x:v>
      </x:c>
      <x:c r="E357" s="10" t="n">
        <x:v>1</x:v>
      </x:c>
      <x:c r="F357" s="4" t="n">
        <x:f>IF(COUNT(N357,Q357,T357,W357,Z357,AC357,AF357,AI357)=8,N357*Guide!$E$5+Q357*Guide!$E$6+T357*Guide!$E$7+W357*Guide!$E$8+Z357*Guide!$E$9+AC357*Guide!$E$10+AF357*Guide!$E$11+AI357*Guide!$E$12,"")</x:f>
        <x:v>217.75</x:v>
      </x:c>
      <x:c r="G357" s="4" t="n">
        <x:f>IF(COUNT(O357,R357,U357,X357,AA357,AD357,AG357,AJ357)=8,O357*Guide!$E$5+R357*Guide!$E$6+U357*Guide!$E$7+X357*Guide!$E$8+AA357*Guide!$E$9+AD357*Guide!$E$10+AG357*Guide!$E$11+AJ357*Guide!$E$12,"")</x:f>
        <x:v>136</x:v>
      </x:c>
      <x:c r="H357" s="4" t="n">
        <x:f>IF(COUNT(G357,F357)=2,G357-F357,"")</x:f>
        <x:v>-81.75</x:v>
      </x:c>
      <x:c r="I357" s="4" t="n">
        <x:f>IF(AND(ISNUMBER(F357),K357&gt;0),F357/K357,"")</x:f>
        <x:v>3.1107142857142858</x:v>
      </x:c>
      <x:c r="J357" s="4" t="n">
        <x:f>IF(AND(ISNUMBER(G357),L357&gt;0),G357/L357,"")</x:f>
        <x:v>2.2666666666666666</x:v>
      </x:c>
      <x:c r="K357" s="10" t="n">
        <x:v>70</x:v>
      </x:c>
      <x:c r="L357" s="10" t="n">
        <x:v>60</x:v>
      </x:c>
      <x:c r="M357" s="10" t="n">
        <x:f>IF(COUNT(L357,K357)=2,L357-K357,"")</x:f>
        <x:v>-10</x:v>
      </x:c>
      <x:c r="N357" s="10" t="n">
        <x:v>5</x:v>
      </x:c>
      <x:c r="O357" s="10" t="n">
        <x:v>3</x:v>
      </x:c>
      <x:c r="P357" s="10" t="n">
        <x:f>IF(COUNT(O357,N357)=2,O357-N357,"")</x:f>
        <x:v>-2</x:v>
      </x:c>
      <x:c r="Q357" s="10" t="n">
        <x:v>23</x:v>
      </x:c>
      <x:c r="R357" s="10" t="n">
        <x:v>16</x:v>
      </x:c>
      <x:c r="S357" s="10" t="n">
        <x:f>IF(COUNT(R357,Q357)=2,R357-Q357,"")</x:f>
        <x:v>-7</x:v>
      </x:c>
      <x:c r="T357" s="10" t="n">
        <x:v>7</x:v>
      </x:c>
      <x:c r="U357" s="10" t="n">
        <x:v>17</x:v>
      </x:c>
      <x:c r="V357" s="10" t="n">
        <x:f>IF(COUNT(U357,T357)=2,U357-T357,"")</x:f>
        <x:v>10</x:v>
      </x:c>
      <x:c r="W357" s="10" t="n">
        <x:v>3</x:v>
      </x:c>
      <x:c r="X357" s="10" t="n">
        <x:f>IF(COUNT(AV357,AW357)=2,AV357+AW357,"")</x:f>
        <x:v>0</x:v>
      </x:c>
      <x:c r="Y357" s="10" t="n">
        <x:f>IF(COUNT(X357,W357)=2,X357-W357,"")</x:f>
        <x:v>-3</x:v>
      </x:c>
      <x:c r="Z357" s="10" t="n">
        <x:v>0</x:v>
      </x:c>
      <x:c r="AA357" s="10" t="n">
        <x:f>IF(COUNT(AX357,AY357)=2,AX357+AY357,"")</x:f>
        <x:v>0</x:v>
      </x:c>
      <x:c r="AB357" s="10" t="n">
        <x:f>IF(COUNT(AA357,Z357)=2,AA357-Z357,"")</x:f>
        <x:v>0</x:v>
      </x:c>
      <x:c r="AC357" s="10" t="n">
        <x:v>92</x:v>
      </x:c>
      <x:c r="AD357" s="10" t="n">
        <x:v>41</x:v>
      </x:c>
      <x:c r="AE357" s="10" t="n">
        <x:f>IF(COUNT(AD357,AC357)=2,AD357-AC357,"")</x:f>
        <x:v>-51</x:v>
      </x:c>
      <x:c r="AF357" s="10" t="n">
        <x:v>59</x:v>
      </x:c>
      <x:c r="AG357" s="10" t="n">
        <x:v>21</x:v>
      </x:c>
      <x:c r="AH357" s="10" t="n">
        <x:f>IF(COUNT(AG357,AF357)=2,AG357-AF357,"")</x:f>
        <x:v>-38</x:v>
      </x:c>
      <x:c r="AI357" s="10" t="n">
        <x:v>108</x:v>
      </x:c>
      <x:c r="AJ357" s="10" t="n">
        <x:v>58</x:v>
      </x:c>
      <x:c r="AK357" s="10" t="n">
        <x:f>IF(COUNT(AJ357,AI357)=2,AJ357-AI357,"")</x:f>
        <x:v>-50</x:v>
      </x:c>
      <x:c r="AL357" s="10" t="n">
        <x:v>27</x:v>
      </x:c>
      <x:c r="AM357" s="10" t="n">
        <x:v>27</x:v>
      </x:c>
      <x:c r="AN357" s="4" t="str">
        <x:v>D</x:v>
      </x:c>
      <x:c r="AO357" s="4" t="str">
        <x:v>D</x:v>
      </x:c>
      <x:c r="AP357" s="4" t="str">
        <x:v>COL</x:v>
      </x:c>
      <x:c r="AQ357" s="4" t="str">
        <x:v>2TM</x:v>
      </x:c>
      <x:c r="AR357" s="4" t="n">
        <x:v>20.689999999999998</x:v>
      </x:c>
      <x:c r="AS357" s="4" t="n">
        <x:v>18.1</x:v>
      </x:c>
      <x:c r="AT357" s="4" t="n">
        <x:v>0.73</x:v>
      </x:c>
      <x:c r="AU357" s="4" t="n">
        <x:v>7.3</x:v>
      </x:c>
      <x:c r="AV357" s="10" t="n">
        <x:v>0</x:v>
      </x:c>
      <x:c r="AW357" s="10" t="n">
        <x:v>0</x:v>
      </x:c>
      <x:c r="AX357" s="10" t="n">
        <x:v>0</x:v>
      </x:c>
      <x:c r="AY357" s="10" t="n">
        <x:v>0</x:v>
      </x:c>
      <x:c r="AZ357" s="10" t="n">
        <x:v>1074</x:v>
      </x:c>
      <x:c r="BA357" s="10" t="n">
        <x:v>911</x:v>
      </x:c>
      <x:c r="BB357" s="4" t="n">
        <x:v>54.1</x:v>
      </x:c>
      <x:c r="BC357" s="4" t="n">
        <x:v>0.2</x:v>
      </x:c>
      <x:c r="BD357" s="10" t="n">
        <x:v>755</x:v>
      </x:c>
      <x:c r="BE357" s="10" t="n">
        <x:v>651</x:v>
      </x:c>
      <x:c r="BF357" s="4" t="n">
        <x:v>53.7</x:v>
      </x:c>
      <x:c r="BG357" s="4" t="n">
        <x:v>0.3</x:v>
      </x:c>
      <x:c r="BH357" s="4" t="n">
        <x:v>11.6</x:v>
      </x:c>
      <x:c r="BI357" s="4" t="n">
        <x:v>89.8</x:v>
      </x:c>
      <x:c r="BJ357" s="4" t="n">
        <x:v>101.4</x:v>
      </x:c>
      <x:c r="BK357" s="4" t="n">
        <x:v>49.5</x:v>
      </x:c>
      <x:c r="BL357" s="4" t="n">
        <x:v>50.5</x:v>
      </x:c>
      <x:c r="BM357" s="4" t="n">
        <x:v>18.1</x:v>
      </x:c>
      <x:c r="BN357" s="4" t="n">
        <x:v>17.083333333333332</x:v>
      </x:c>
      <x:c r="BO357" s="10" t="n">
        <x:v>11</x:v>
      </x:c>
      <x:c r="BP357" s="10" t="n">
        <x:v>54</x:v>
      </x:c>
      <x:c r="BQ357" s="4" t="n">
        <x:v>12.5</x:v>
      </x:c>
      <x:c r="BR357" s="10" t="n">
        <x:v>144</x:v>
      </x:c>
      <x:c r="BS357" s="4" t="n">
        <x:v>28.5</x:v>
      </x:c>
      <x:c r="BT357" s="10" t="n">
        <x:v>60</x:v>
      </x:c>
      <x:c r="BU357" s="4" t="str">
        <x:v>TOT</x:v>
      </x:c>
      <x:c r="BV357" s="10" t="n">
        <x:v>396</x:v>
      </x:c>
      <x:c r="BW357" s="10" t="n">
        <x:v>482</x:v>
      </x:c>
      <x:c r="BX357" s="10" t="n">
        <x:v>338</x:v>
      </x:c>
      <x:c r="BY357" s="4" t="str">
        <x:v>Samuel Girard</x:v>
      </x:c>
      <x:c r="BZ357" s="4" t="str">
        <x:v>Samuel Girard</x:v>
      </x:c>
      <x:c r="CA357" s="4" t="str">
        <x:v>Samuel Girard</x:v>
      </x:c>
      <x:c r="CB357" s="4" t="str">
        <x:v>girarsa01</x:v>
      </x:c>
    </x:row>
    <x:row r="358" ht="22" customHeight="1">
      <x:c r="A358" s="4" t="str">
        <x:v>Scott Laughton</x:v>
      </x:c>
      <x:c r="B358" s="4" t="str">
        <x:v>scottlaughton</x:v>
      </x:c>
      <x:c r="C358" s="10" t="n">
        <x:v>1</x:v>
      </x:c>
      <x:c r="D358" s="10" t="n">
        <x:v>1</x:v>
      </x:c>
      <x:c r="E358" s="10" t="n">
        <x:v>1</x:v>
      </x:c>
      <x:c r="F358" s="4" t="n">
        <x:f>IF(COUNT(N358,Q358,T358,W358,Z358,AC358,AF358,AI358)=8,N358*Guide!$E$5+Q358*Guide!$E$6+T358*Guide!$E$7+W358*Guide!$E$8+Z358*Guide!$E$9+AC358*Guide!$E$10+AF358*Guide!$E$11+AI358*Guide!$E$12,"")</x:f>
        <x:v>226.25</x:v>
      </x:c>
      <x:c r="G358" s="4" t="n">
        <x:f>IF(COUNT(O358,R358,U358,X358,AA358,AD358,AG358,AJ358)=8,O358*Guide!$E$5+R358*Guide!$E$6+U358*Guide!$E$7+X358*Guide!$E$8+AA358*Guide!$E$9+AD358*Guide!$E$10+AG358*Guide!$E$11+AJ358*Guide!$E$12,"")</x:f>
        <x:v>161.5</x:v>
      </x:c>
      <x:c r="H358" s="4" t="n">
        <x:f>IF(COUNT(G358,F358)=2,G358-F358,"")</x:f>
        <x:v>-64.75</x:v>
      </x:c>
      <x:c r="I358" s="4" t="n">
        <x:f>IF(AND(ISNUMBER(F358),K358&gt;0),F358/K358,"")</x:f>
        <x:v>2.828125</x:v>
      </x:c>
      <x:c r="J358" s="4" t="n">
        <x:f>IF(AND(ISNUMBER(G358),L358&gt;0),G358/L358,"")</x:f>
        <x:v>2.5234375</x:v>
      </x:c>
      <x:c r="K358" s="10" t="n">
        <x:v>80</x:v>
      </x:c>
      <x:c r="L358" s="10" t="n">
        <x:v>64</x:v>
      </x:c>
      <x:c r="M358" s="10" t="n">
        <x:f>IF(COUNT(L358,K358)=2,L358-K358,"")</x:f>
        <x:v>-16</x:v>
      </x:c>
      <x:c r="N358" s="10" t="n">
        <x:v>13</x:v>
      </x:c>
      <x:c r="O358" s="10" t="n">
        <x:v>13</x:v>
      </x:c>
      <x:c r="P358" s="10" t="n">
        <x:f>IF(COUNT(O358,N358)=2,O358-N358,"")</x:f>
        <x:v>0</x:v>
      </x:c>
      <x:c r="Q358" s="10" t="n">
        <x:v>16</x:v>
      </x:c>
      <x:c r="R358" s="10" t="n">
        <x:v>7</x:v>
      </x:c>
      <x:c r="S358" s="10" t="n">
        <x:f>IF(COUNT(R358,Q358)=2,R358-Q358,"")</x:f>
        <x:v>-9</x:v>
      </x:c>
      <x:c r="T358" s="10" t="n">
        <x:v>2</x:v>
      </x:c>
      <x:c r="U358" s="10" t="n">
        <x:v>-5</x:v>
      </x:c>
      <x:c r="V358" s="10" t="n">
        <x:f>IF(COUNT(U358,T358)=2,U358-T358,"")</x:f>
        <x:v>-7</x:v>
      </x:c>
      <x:c r="W358" s="10" t="n">
        <x:v>2</x:v>
      </x:c>
      <x:c r="X358" s="10" t="n">
        <x:f>IF(COUNT(AV358,AW358)=2,AV358+AW358,"")</x:f>
        <x:v>2</x:v>
      </x:c>
      <x:c r="Y358" s="10" t="n">
        <x:f>IF(COUNT(X358,W358)=2,X358-W358,"")</x:f>
        <x:v>0</x:v>
      </x:c>
      <x:c r="Z358" s="10" t="n">
        <x:v>4</x:v>
      </x:c>
      <x:c r="AA358" s="10" t="n">
        <x:f>IF(COUNT(AX358,AY358)=2,AX358+AY358,"")</x:f>
        <x:v>2</x:v>
      </x:c>
      <x:c r="AB358" s="10" t="n">
        <x:f>IF(COUNT(AA358,Z358)=2,AA358-Z358,"")</x:f>
        <x:v>-2</x:v>
      </x:c>
      <x:c r="AC358" s="10" t="n">
        <x:v>122</x:v>
      </x:c>
      <x:c r="AD358" s="10" t="n">
        <x:v>95</x:v>
      </x:c>
      <x:c r="AE358" s="10" t="n">
        <x:f>IF(COUNT(AD358,AC358)=2,AD358-AC358,"")</x:f>
        <x:v>-27</x:v>
      </x:c>
      <x:c r="AF358" s="10" t="n">
        <x:v>160</x:v>
      </x:c>
      <x:c r="AG358" s="10" t="n">
        <x:v>121</x:v>
      </x:c>
      <x:c r="AH358" s="10" t="n">
        <x:f>IF(COUNT(AG358,AF358)=2,AG358-AF358,"")</x:f>
        <x:v>-39</x:v>
      </x:c>
      <x:c r="AI358" s="10" t="n">
        <x:v>53</x:v>
      </x:c>
      <x:c r="AJ358" s="10" t="n">
        <x:v>42</x:v>
      </x:c>
      <x:c r="AK358" s="10" t="n">
        <x:f>IF(COUNT(AJ358,AI358)=2,AJ358-AI358,"")</x:f>
        <x:v>-11</x:v>
      </x:c>
      <x:c r="AL358" s="10" t="n">
        <x:v>31</x:v>
      </x:c>
      <x:c r="AM358" s="10" t="n">
        <x:v>31</x:v>
      </x:c>
      <x:c r="AN358" s="4" t="str">
        <x:v>C,LW</x:v>
      </x:c>
      <x:c r="AO358" s="4" t="str">
        <x:v>C</x:v>
      </x:c>
      <x:c r="AP358" s="4" t="str">
        <x:v>TOR</x:v>
      </x:c>
      <x:c r="AQ358" s="4" t="str">
        <x:v>2TM</x:v>
      </x:c>
      <x:c r="AR358" s="4" t="n">
        <x:v>14.14</x:v>
      </x:c>
      <x:c r="AS358" s="4" t="n">
        <x:v>14.35</x:v>
      </x:c>
      <x:c r="AT358" s="4" t="n">
        <x:v>0.33</x:v>
      </x:c>
      <x:c r="AU358" s="4" t="n">
        <x:v>13.7</x:v>
      </x:c>
      <x:c r="AV358" s="10" t="n">
        <x:v>1</x:v>
      </x:c>
      <x:c r="AW358" s="10" t="n">
        <x:v>1</x:v>
      </x:c>
      <x:c r="AX358" s="10" t="n">
        <x:v>2</x:v>
      </x:c>
      <x:c r="AY358" s="10" t="n">
        <x:v>0</x:v>
      </x:c>
      <x:c r="AZ358" s="10" t="n">
        <x:v>629</x:v>
      </x:c>
      <x:c r="BA358" s="10" t="n">
        <x:v>845</x:v>
      </x:c>
      <x:c r="BB358" s="4" t="n">
        <x:v>42.7</x:v>
      </x:c>
      <x:c r="BC358" s="4" t="n">
        <x:v>-6.4</x:v>
      </x:c>
      <x:c r="BD358" s="10" t="n">
        <x:v>472</x:v>
      </x:c>
      <x:c r="BE358" s="10" t="n">
        <x:v>587</x:v>
      </x:c>
      <x:c r="BF358" s="4" t="n">
        <x:v>44.6</x:v>
      </x:c>
      <x:c r="BG358" s="4" t="n">
        <x:v>-4.8</x:v>
      </x:c>
      <x:c r="BH358" s="4" t="n">
        <x:v>8.4</x:v>
      </x:c>
      <x:c r="BI358" s="4" t="n">
        <x:v>91.6</x:v>
      </x:c>
      <x:c r="BJ358" s="4" t="n">
        <x:v>100</x:v>
      </x:c>
      <x:c r="BK358" s="4" t="n">
        <x:v>19.7</x:v>
      </x:c>
      <x:c r="BL358" s="4" t="n">
        <x:v>80.3</x:v>
      </x:c>
      <x:c r="BM358" s="4" t="n">
        <x:v>14.35</x:v>
      </x:c>
      <x:c r="BN358" s="4" t="n">
        <x:v>11.983333333333333</x:v>
      </x:c>
      <x:c r="BO358" s="10" t="n">
        <x:v>14</x:v>
      </x:c>
      <x:c r="BP358" s="10" t="n">
        <x:v>59</x:v>
      </x:c>
      <x:c r="BQ358" s="4" t="n">
        <x:v>-6.9</x:v>
      </x:c>
      <x:c r="BR358" s="10" t="n">
        <x:v>180</x:v>
      </x:c>
      <x:c r="BS358" s="4" t="n">
        <x:v>52.8</x:v>
      </x:c>
      <x:c r="BT358" s="10" t="n">
        <x:v>64</x:v>
      </x:c>
      <x:c r="BU358" s="4" t="str">
        <x:v>TOT</x:v>
      </x:c>
      <x:c r="BV358" s="10" t="n">
        <x:v>383</x:v>
      </x:c>
      <x:c r="BW358" s="10" t="n">
        <x:v>469</x:v>
      </x:c>
      <x:c r="BX358" s="10" t="n">
        <x:v>577</x:v>
      </x:c>
      <x:c r="BY358" s="4" t="str">
        <x:v>Scott Laughton</x:v>
      </x:c>
      <x:c r="BZ358" s="4" t="str">
        <x:v>Scott Laughton</x:v>
      </x:c>
      <x:c r="CA358" s="4" t="str">
        <x:v>Scott Laughton</x:v>
      </x:c>
      <x:c r="CB358" s="4" t="str">
        <x:v>laughsc01</x:v>
      </x:c>
    </x:row>
    <x:row r="359" ht="22" customHeight="1">
      <x:c r="A359" s="4" t="str">
        <x:v>Sean Couturier</x:v>
      </x:c>
      <x:c r="B359" s="4" t="str">
        <x:v>seancouturier</x:v>
      </x:c>
      <x:c r="C359" s="10" t="n">
        <x:v>1</x:v>
      </x:c>
      <x:c r="D359" s="10" t="n">
        <x:v>1</x:v>
      </x:c>
      <x:c r="E359" s="10" t="n">
        <x:v>1</x:v>
      </x:c>
      <x:c r="F359" s="4" t="n">
        <x:f>IF(COUNT(N359,Q359,T359,W359,Z359,AC359,AF359,AI359)=8,N359*Guide!$E$5+Q359*Guide!$E$6+T359*Guide!$E$7+W359*Guide!$E$8+Z359*Guide!$E$9+AC359*Guide!$E$10+AF359*Guide!$E$11+AI359*Guide!$E$12,"")</x:f>
        <x:v>223.25</x:v>
      </x:c>
      <x:c r="G359" s="4" t="n">
        <x:f>IF(COUNT(O359,R359,U359,X359,AA359,AD359,AG359,AJ359)=8,O359*Guide!$E$5+R359*Guide!$E$6+U359*Guide!$E$7+X359*Guide!$E$8+AA359*Guide!$E$9+AD359*Guide!$E$10+AG359*Guide!$E$11+AJ359*Guide!$E$12,"")</x:f>
        <x:v>202.25</x:v>
      </x:c>
      <x:c r="H359" s="4" t="n">
        <x:f>IF(COUNT(G359,F359)=2,G359-F359,"")</x:f>
        <x:v>-21</x:v>
      </x:c>
      <x:c r="I359" s="4" t="n">
        <x:f>IF(AND(ISNUMBER(F359),K359&gt;0),F359/K359,"")</x:f>
        <x:v>3.016891891891892</x:v>
      </x:c>
      <x:c r="J359" s="4" t="n">
        <x:f>IF(AND(ISNUMBER(G359),L359&gt;0),G359/L359,"")</x:f>
        <x:v>2.592948717948718</x:v>
      </x:c>
      <x:c r="K359" s="10" t="n">
        <x:v>74</x:v>
      </x:c>
      <x:c r="L359" s="10" t="n">
        <x:v>78</x:v>
      </x:c>
      <x:c r="M359" s="10" t="n">
        <x:f>IF(COUNT(L359,K359)=2,L359-K359,"")</x:f>
        <x:v>4</x:v>
      </x:c>
      <x:c r="N359" s="10" t="n">
        <x:v>14</x:v>
      </x:c>
      <x:c r="O359" s="10" t="n">
        <x:v>12</x:v>
      </x:c>
      <x:c r="P359" s="10" t="n">
        <x:f>IF(COUNT(O359,N359)=2,O359-N359,"")</x:f>
        <x:v>-2</x:v>
      </x:c>
      <x:c r="Q359" s="10" t="n">
        <x:v>25</x:v>
      </x:c>
      <x:c r="R359" s="10" t="n">
        <x:v>24</x:v>
      </x:c>
      <x:c r="S359" s="10" t="n">
        <x:f>IF(COUNT(R359,Q359)=2,R359-Q359,"")</x:f>
        <x:v>-1</x:v>
      </x:c>
      <x:c r="T359" s="10" t="n">
        <x:v>4</x:v>
      </x:c>
      <x:c r="U359" s="10" t="n">
        <x:v>-5</x:v>
      </x:c>
      <x:c r="V359" s="10" t="n">
        <x:f>IF(COUNT(U359,T359)=2,U359-T359,"")</x:f>
        <x:v>-9</x:v>
      </x:c>
      <x:c r="W359" s="10" t="n">
        <x:v>5</x:v>
      </x:c>
      <x:c r="X359" s="10" t="n">
        <x:f>IF(COUNT(AV359,AW359)=2,AV359+AW359,"")</x:f>
        <x:v>1</x:v>
      </x:c>
      <x:c r="Y359" s="10" t="n">
        <x:f>IF(COUNT(X359,W359)=2,X359-W359,"")</x:f>
        <x:v>-4</x:v>
      </x:c>
      <x:c r="Z359" s="10" t="n">
        <x:v>1</x:v>
      </x:c>
      <x:c r="AA359" s="10" t="n">
        <x:f>IF(COUNT(AX359,AY359)=2,AX359+AY359,"")</x:f>
        <x:v>0</x:v>
      </x:c>
      <x:c r="AB359" s="10" t="n">
        <x:f>IF(COUNT(AA359,Z359)=2,AA359-Z359,"")</x:f>
        <x:v>-1</x:v>
      </x:c>
      <x:c r="AC359" s="10" t="n">
        <x:v>143</x:v>
      </x:c>
      <x:c r="AD359" s="10" t="n">
        <x:v>119</x:v>
      </x:c>
      <x:c r="AE359" s="10" t="n">
        <x:f>IF(COUNT(AD359,AC359)=2,AD359-AC359,"")</x:f>
        <x:v>-24</x:v>
      </x:c>
      <x:c r="AF359" s="10" t="n">
        <x:v>52</x:v>
      </x:c>
      <x:c r="AG359" s="10" t="n">
        <x:v>100</x:v>
      </x:c>
      <x:c r="AH359" s="10" t="n">
        <x:f>IF(COUNT(AG359,AF359)=2,AG359-AF359,"")</x:f>
        <x:v>48</x:v>
      </x:c>
      <x:c r="AI359" s="10" t="n">
        <x:v>42</x:v>
      </x:c>
      <x:c r="AJ359" s="10" t="n">
        <x:v>42</x:v>
      </x:c>
      <x:c r="AK359" s="10" t="n">
        <x:f>IF(COUNT(AJ359,AI359)=2,AJ359-AI359,"")</x:f>
        <x:v>0</x:v>
      </x:c>
      <x:c r="AL359" s="10" t="n">
        <x:v>33</x:v>
      </x:c>
      <x:c r="AM359" s="10" t="n">
        <x:v>33</x:v>
      </x:c>
      <x:c r="AN359" s="4" t="str">
        <x:v>C</x:v>
      </x:c>
      <x:c r="AO359" s="4" t="str">
        <x:v>C</x:v>
      </x:c>
      <x:c r="AP359" s="4" t="str">
        <x:v>PHI</x:v>
      </x:c>
      <x:c r="AQ359" s="4" t="str">
        <x:v>PHI</x:v>
      </x:c>
      <x:c r="AR359" s="4" t="n">
        <x:v>17.07</x:v>
      </x:c>
      <x:c r="AS359" s="4" t="n">
        <x:v>16.65</x:v>
      </x:c>
      <x:c r="AT359" s="4" t="n">
        <x:v>1.55</x:v>
      </x:c>
      <x:c r="AU359" s="4" t="n">
        <x:v>10.1</x:v>
      </x:c>
      <x:c r="AV359" s="10" t="n">
        <x:v>0</x:v>
      </x:c>
      <x:c r="AW359" s="10" t="n">
        <x:v>1</x:v>
      </x:c>
      <x:c r="AX359" s="10" t="n">
        <x:v>0</x:v>
      </x:c>
      <x:c r="AY359" s="10" t="n">
        <x:v>0</x:v>
      </x:c>
      <x:c r="AZ359" s="10" t="n">
        <x:v>928</x:v>
      </x:c>
      <x:c r="BA359" s="10" t="n">
        <x:v>955</x:v>
      </x:c>
      <x:c r="BB359" s="4" t="n">
        <x:v>49.3</x:v>
      </x:c>
      <x:c r="BC359" s="4" t="n">
        <x:v>1.9</x:v>
      </x:c>
      <x:c r="BD359" s="10" t="n">
        <x:v>670</x:v>
      </x:c>
      <x:c r="BE359" s="10" t="n">
        <x:v>661</x:v>
      </x:c>
      <x:c r="BF359" s="4" t="n">
        <x:v>50.3</x:v>
      </x:c>
      <x:c r="BG359" s="4" t="n">
        <x:v>2.2</x:v>
      </x:c>
      <x:c r="BH359" s="4" t="n">
        <x:v>10.7</x:v>
      </x:c>
      <x:c r="BI359" s="4" t="n">
        <x:v>87.6</x:v>
      </x:c>
      <x:c r="BJ359" s="4" t="n">
        <x:v>98.3</x:v>
      </x:c>
      <x:c r="BK359" s="4" t="n">
        <x:v>39.4</x:v>
      </x:c>
      <x:c r="BL359" s="4" t="n">
        <x:v>60.6</x:v>
      </x:c>
      <x:c r="BM359" s="4" t="n">
        <x:v>16.65</x:v>
      </x:c>
      <x:c r="BN359" s="4" t="n">
        <x:v>13.433333333333334</x:v>
      </x:c>
      <x:c r="BO359" s="10" t="n">
        <x:v>31</x:v>
      </x:c>
      <x:c r="BP359" s="10" t="n">
        <x:v>68</x:v>
      </x:c>
      <x:c r="BQ359" s="4" t="n">
        <x:v>6.4</x:v>
      </x:c>
      <x:c r="BR359" s="10" t="n">
        <x:v>234</x:v>
      </x:c>
      <x:c r="BS359" s="4" t="n">
        <x:v>50.9</x:v>
      </x:c>
      <x:c r="BT359" s="10" t="n">
        <x:v>78</x:v>
      </x:c>
      <x:c r="BU359" s="4" t="str">
        <x:v>PHI</x:v>
      </x:c>
      <x:c r="BV359" s="10" t="n">
        <x:v>263</x:v>
      </x:c>
      <x:c r="BW359" s="10" t="n">
        <x:v>243</x:v>
      </x:c>
      <x:c r="BX359" s="10" t="n">
        <x:v>177</x:v>
      </x:c>
      <x:c r="BY359" s="4" t="str">
        <x:v>Sean Couturier</x:v>
      </x:c>
      <x:c r="BZ359" s="4" t="str">
        <x:v>Sean Couturier</x:v>
      </x:c>
      <x:c r="CA359" s="4" t="str">
        <x:v>Sean Couturier</x:v>
      </x:c>
      <x:c r="CB359" s="4" t="str">
        <x:v>coutuse01</x:v>
      </x:c>
    </x:row>
    <x:row r="360" ht="22" customHeight="1">
      <x:c r="A360" s="4" t="str">
        <x:v>Sean Durzi</x:v>
      </x:c>
      <x:c r="B360" s="4" t="str">
        <x:v>seandurzi</x:v>
      </x:c>
      <x:c r="C360" s="10" t="n">
        <x:v>1</x:v>
      </x:c>
      <x:c r="D360" s="10" t="n">
        <x:v>1</x:v>
      </x:c>
      <x:c r="E360" s="10" t="n">
        <x:v>1</x:v>
      </x:c>
      <x:c r="F360" s="4" t="n">
        <x:f>IF(COUNT(N360,Q360,T360,W360,Z360,AC360,AF360,AI360)=8,N360*Guide!$E$5+Q360*Guide!$E$6+T360*Guide!$E$7+W360*Guide!$E$8+Z360*Guide!$E$9+AC360*Guide!$E$10+AF360*Guide!$E$11+AI360*Guide!$E$12,"")</x:f>
        <x:v>289.5</x:v>
      </x:c>
      <x:c r="G360" s="4" t="n">
        <x:f>IF(COUNT(O360,R360,U360,X360,AA360,AD360,AG360,AJ360)=8,O360*Guide!$E$5+R360*Guide!$E$6+U360*Guide!$E$7+X360*Guide!$E$8+AA360*Guide!$E$9+AD360*Guide!$E$10+AG360*Guide!$E$11+AJ360*Guide!$E$12,"")</x:f>
        <x:v>175</x:v>
      </x:c>
      <x:c r="H360" s="4" t="n">
        <x:f>IF(COUNT(G360,F360)=2,G360-F360,"")</x:f>
        <x:v>-114.5</x:v>
      </x:c>
      <x:c r="I360" s="4" t="n">
        <x:f>IF(AND(ISNUMBER(F360),K360&gt;0),F360/K360,"")</x:f>
        <x:v>3.61875</x:v>
      </x:c>
      <x:c r="J360" s="4" t="n">
        <x:f>IF(AND(ISNUMBER(G360),L360&gt;0),G360/L360,"")</x:f>
        <x:v>2.9166666666666665</x:v>
      </x:c>
      <x:c r="K360" s="10" t="n">
        <x:v>80</x:v>
      </x:c>
      <x:c r="L360" s="10" t="n">
        <x:v>60</x:v>
      </x:c>
      <x:c r="M360" s="10" t="n">
        <x:f>IF(COUNT(L360,K360)=2,L360-K360,"")</x:f>
        <x:v>-20</x:v>
      </x:c>
      <x:c r="N360" s="10" t="n">
        <x:v>10</x:v>
      </x:c>
      <x:c r="O360" s="10" t="n">
        <x:v>5</x:v>
      </x:c>
      <x:c r="P360" s="10" t="n">
        <x:f>IF(COUNT(O360,N360)=2,O360-N360,"")</x:f>
        <x:v>-5</x:v>
      </x:c>
      <x:c r="Q360" s="10" t="n">
        <x:v>28</x:v>
      </x:c>
      <x:c r="R360" s="10" t="n">
        <x:v>22</x:v>
      </x:c>
      <x:c r="S360" s="10" t="n">
        <x:f>IF(COUNT(R360,Q360)=2,R360-Q360,"")</x:f>
        <x:v>-6</x:v>
      </x:c>
      <x:c r="T360" s="10" t="n">
        <x:v>8</x:v>
      </x:c>
      <x:c r="U360" s="10" t="n">
        <x:v>-12</x:v>
      </x:c>
      <x:c r="V360" s="10" t="n">
        <x:f>IF(COUNT(U360,T360)=2,U360-T360,"")</x:f>
        <x:v>-20</x:v>
      </x:c>
      <x:c r="W360" s="10" t="n">
        <x:v>11</x:v>
      </x:c>
      <x:c r="X360" s="10" t="n">
        <x:f>IF(COUNT(AV360,AW360)=2,AV360+AW360,"")</x:f>
        <x:v>4</x:v>
      </x:c>
      <x:c r="Y360" s="10" t="n">
        <x:f>IF(COUNT(X360,W360)=2,X360-W360,"")</x:f>
        <x:v>-7</x:v>
      </x:c>
      <x:c r="Z360" s="10" t="n">
        <x:v>0</x:v>
      </x:c>
      <x:c r="AA360" s="10" t="n">
        <x:f>IF(COUNT(AX360,AY360)=2,AX360+AY360,"")</x:f>
        <x:v>0</x:v>
      </x:c>
      <x:c r="AB360" s="10" t="n">
        <x:f>IF(COUNT(AA360,Z360)=2,AA360-Z360,"")</x:f>
        <x:v>0</x:v>
      </x:c>
      <x:c r="AC360" s="10" t="n">
        <x:v>119</x:v>
      </x:c>
      <x:c r="AD360" s="10" t="n">
        <x:v>84</x:v>
      </x:c>
      <x:c r="AE360" s="10" t="n">
        <x:f>IF(COUNT(AD360,AC360)=2,AD360-AC360,"")</x:f>
        <x:v>-35</x:v>
      </x:c>
      <x:c r="AF360" s="10" t="n">
        <x:v>44</x:v>
      </x:c>
      <x:c r="AG360" s="10" t="n">
        <x:v>40</x:v>
      </x:c>
      <x:c r="AH360" s="10" t="n">
        <x:f>IF(COUNT(AG360,AF360)=2,AG360-AF360,"")</x:f>
        <x:v>-4</x:v>
      </x:c>
      <x:c r="AI360" s="10" t="n">
        <x:v>141</x:v>
      </x:c>
      <x:c r="AJ360" s="10" t="n">
        <x:v>88</x:v>
      </x:c>
      <x:c r="AK360" s="10" t="n">
        <x:f>IF(COUNT(AJ360,AI360)=2,AJ360-AI360,"")</x:f>
        <x:v>-53</x:v>
      </x:c>
      <x:c r="AL360" s="10" t="n">
        <x:v>27</x:v>
      </x:c>
      <x:c r="AM360" s="10" t="n">
        <x:v>27</x:v>
      </x:c>
      <x:c r="AN360" s="4" t="str">
        <x:v>D</x:v>
      </x:c>
      <x:c r="AO360" s="4" t="str">
        <x:v>D</x:v>
      </x:c>
      <x:c r="AP360" s="4" t="str">
        <x:v>UTA</x:v>
      </x:c>
      <x:c r="AQ360" s="4" t="str">
        <x:v>UTA</x:v>
      </x:c>
      <x:c r="AR360" s="4" t="n">
        <x:v>20.990000000000002</x:v>
      </x:c>
      <x:c r="AS360" s="4" t="n">
        <x:v>19.266666666666666</x:v>
      </x:c>
      <x:c r="AT360" s="4" t="n">
        <x:v>1.59</x:v>
      </x:c>
      <x:c r="AU360" s="4" t="n">
        <x:v>6</x:v>
      </x:c>
      <x:c r="AV360" s="10" t="n">
        <x:v>0</x:v>
      </x:c>
      <x:c r="AW360" s="10" t="n">
        <x:v>4</x:v>
      </x:c>
      <x:c r="AX360" s="10" t="n">
        <x:v>0</x:v>
      </x:c>
      <x:c r="AY360" s="10" t="n">
        <x:v>0</x:v>
      </x:c>
      <x:c r="AZ360" s="10" t="n">
        <x:v>1157</x:v>
      </x:c>
      <x:c r="BA360" s="10" t="n">
        <x:v>989</x:v>
      </x:c>
      <x:c r="BB360" s="4" t="n">
        <x:v>53.9</x:v>
      </x:c>
      <x:c r="BC360" s="4" t="n">
        <x:v>1</x:v>
      </x:c>
      <x:c r="BD360" s="10" t="n">
        <x:v>812</x:v>
      </x:c>
      <x:c r="BE360" s="10" t="n">
        <x:v>727</x:v>
      </x:c>
      <x:c r="BF360" s="4" t="n">
        <x:v>52.8</x:v>
      </x:c>
      <x:c r="BG360" s="4" t="n">
        <x:v>0.1</x:v>
      </x:c>
      <x:c r="BH360" s="4" t="n">
        <x:v>8.9</x:v>
      </x:c>
      <x:c r="BI360" s="4" t="n">
        <x:v>88</x:v>
      </x:c>
      <x:c r="BJ360" s="4" t="n">
        <x:v>96.9</x:v>
      </x:c>
      <x:c r="BK360" s="4" t="n">
        <x:v>57.1</x:v>
      </x:c>
      <x:c r="BL360" s="4" t="n">
        <x:v>42.9</x:v>
      </x:c>
      <x:c r="BM360" s="4" t="n">
        <x:v>19.266666666666666</x:v>
      </x:c>
      <x:c r="BN360" s="4" t="n">
        <x:v>17.583333333333332</x:v>
      </x:c>
      <x:c r="BO360" s="10" t="n">
        <x:v>11</x:v>
      </x:c>
      <x:c r="BP360" s="10" t="n">
        <x:v>58</x:v>
      </x:c>
      <x:c r="BQ360" s="4" t="n">
        <x:v>2.9</x:v>
      </x:c>
      <x:c r="BR360" s="10" t="n">
        <x:v>239</x:v>
      </x:c>
      <x:c r="BS360" s="4" t="n">
        <x:v>35.1</x:v>
      </x:c>
      <x:c r="BT360" s="10" t="n">
        <x:v>60</x:v>
      </x:c>
      <x:c r="BU360" s="4" t="str">
        <x:v>UTA</x:v>
      </x:c>
      <x:c r="BV360" s="10" t="n">
        <x:v>270</x:v>
      </x:c>
      <x:c r="BW360" s="10" t="n">
        <x:v>364</x:v>
      </x:c>
      <x:c r="BX360" s="10" t="n">
        <x:v>252</x:v>
      </x:c>
      <x:c r="BY360" s="4" t="str">
        <x:v>Sean Durzi</x:v>
      </x:c>
      <x:c r="BZ360" s="4" t="str">
        <x:v>Sean Durzi</x:v>
      </x:c>
      <x:c r="CA360" s="4" t="str">
        <x:v>Sean Durzi</x:v>
      </x:c>
      <x:c r="CB360" s="4" t="str">
        <x:v>durzise01</x:v>
      </x:c>
    </x:row>
    <x:row r="361" ht="22" customHeight="1">
      <x:c r="A361" s="4" t="str">
        <x:v>Sean Kuraly</x:v>
      </x:c>
      <x:c r="B361" s="4" t="str">
        <x:v>seankuraly</x:v>
      </x:c>
      <x:c r="C361" s="10" t="n">
        <x:v>1</x:v>
      </x:c>
      <x:c r="D361" s="10" t="n">
        <x:v>1</x:v>
      </x:c>
      <x:c r="E361" s="10" t="n">
        <x:v>1</x:v>
      </x:c>
      <x:c r="F361" s="4" t="n">
        <x:f>IF(COUNT(N361,Q361,T361,W361,Z361,AC361,AF361,AI361)=8,N361*Guide!$E$5+Q361*Guide!$E$6+T361*Guide!$E$7+W361*Guide!$E$8+Z361*Guide!$E$9+AC361*Guide!$E$10+AF361*Guide!$E$11+AI361*Guide!$E$12,"")</x:f>
        <x:v>161</x:v>
      </x:c>
      <x:c r="G361" s="4" t="n">
        <x:f>IF(COUNT(O361,R361,U361,X361,AA361,AD361,AG361,AJ361)=8,O361*Guide!$E$5+R361*Guide!$E$6+U361*Guide!$E$7+X361*Guide!$E$8+AA361*Guide!$E$9+AD361*Guide!$E$10+AG361*Guide!$E$11+AJ361*Guide!$E$12,"")</x:f>
        <x:v>156.5</x:v>
      </x:c>
      <x:c r="H361" s="4" t="n">
        <x:f>IF(COUNT(G361,F361)=2,G361-F361,"")</x:f>
        <x:v>-4.5</x:v>
      </x:c>
      <x:c r="I361" s="4" t="n">
        <x:f>IF(AND(ISNUMBER(F361),K361&gt;0),F361/K361,"")</x:f>
        <x:v>1.9876543209876543</x:v>
      </x:c>
      <x:c r="J361" s="4" t="n">
        <x:f>IF(AND(ISNUMBER(G361),L361&gt;0),G361/L361,"")</x:f>
        <x:v>1.9085365853658536</x:v>
      </x:c>
      <x:c r="K361" s="10" t="n">
        <x:v>81</x:v>
      </x:c>
      <x:c r="L361" s="10" t="n">
        <x:v>82</x:v>
      </x:c>
      <x:c r="M361" s="10" t="n">
        <x:f>IF(COUNT(L361,K361)=2,L361-K361,"")</x:f>
        <x:v>1</x:v>
      </x:c>
      <x:c r="N361" s="10" t="n">
        <x:v>9</x:v>
      </x:c>
      <x:c r="O361" s="10" t="n">
        <x:v>6</x:v>
      </x:c>
      <x:c r="P361" s="10" t="n">
        <x:f>IF(COUNT(O361,N361)=2,O361-N361,"")</x:f>
        <x:v>-3</x:v>
      </x:c>
      <x:c r="Q361" s="10" t="n">
        <x:v>10</x:v>
      </x:c>
      <x:c r="R361" s="10" t="n">
        <x:v>16</x:v>
      </x:c>
      <x:c r="S361" s="10" t="n">
        <x:f>IF(COUNT(R361,Q361)=2,R361-Q361,"")</x:f>
        <x:v>6</x:v>
      </x:c>
      <x:c r="T361" s="10" t="n">
        <x:v>-5</x:v>
      </x:c>
      <x:c r="U361" s="10" t="n">
        <x:v>0</x:v>
      </x:c>
      <x:c r="V361" s="10" t="n">
        <x:f>IF(COUNT(U361,T361)=2,U361-T361,"")</x:f>
        <x:v>5</x:v>
      </x:c>
      <x:c r="W361" s="10" t="n">
        <x:v>0</x:v>
      </x:c>
      <x:c r="X361" s="10" t="n">
        <x:f>IF(COUNT(AV361,AW361)=2,AV361+AW361,"")</x:f>
        <x:v>0</x:v>
      </x:c>
      <x:c r="Y361" s="10" t="n">
        <x:f>IF(COUNT(X361,W361)=2,X361-W361,"")</x:f>
        <x:v>0</x:v>
      </x:c>
      <x:c r="Z361" s="10" t="n">
        <x:v>1</x:v>
      </x:c>
      <x:c r="AA361" s="10" t="n">
        <x:f>IF(COUNT(AX361,AY361)=2,AX361+AY361,"")</x:f>
        <x:v>0</x:v>
      </x:c>
      <x:c r="AB361" s="10" t="n">
        <x:f>IF(COUNT(AA361,Z361)=2,AA361-Z361,"")</x:f>
        <x:v>-1</x:v>
      </x:c>
      <x:c r="AC361" s="10" t="n">
        <x:v>91</x:v>
      </x:c>
      <x:c r="AD361" s="10" t="n">
        <x:v>110</x:v>
      </x:c>
      <x:c r="AE361" s="10" t="n">
        <x:f>IF(COUNT(AD361,AC361)=2,AD361-AC361,"")</x:f>
        <x:v>19</x:v>
      </x:c>
      <x:c r="AF361" s="10" t="n">
        <x:v>165</x:v>
      </x:c>
      <x:c r="AG361" s="10" t="n">
        <x:v>87</x:v>
      </x:c>
      <x:c r="AH361" s="10" t="n">
        <x:f>IF(COUNT(AG361,AF361)=2,AG361-AF361,"")</x:f>
        <x:v>-78</x:v>
      </x:c>
      <x:c r="AI361" s="10" t="n">
        <x:v>44</x:v>
      </x:c>
      <x:c r="AJ361" s="10" t="n">
        <x:v>47</x:v>
      </x:c>
      <x:c r="AK361" s="10" t="n">
        <x:f>IF(COUNT(AJ361,AI361)=2,AJ361-AI361,"")</x:f>
        <x:v>3</x:v>
      </x:c>
      <x:c r="AL361" s="10" t="n">
        <x:v>33</x:v>
      </x:c>
      <x:c r="AM361" s="10" t="n">
        <x:v>33</x:v>
      </x:c>
      <x:c r="AN361" s="4" t="str">
        <x:v>C</x:v>
      </x:c>
      <x:c r="AO361" s="4" t="str">
        <x:v>C</x:v>
      </x:c>
      <x:c r="AP361" s="4" t="str">
        <x:v>BOS</x:v>
      </x:c>
      <x:c r="AQ361" s="4" t="str">
        <x:v>BOS</x:v>
      </x:c>
      <x:c r="AR361" s="4" t="n">
        <x:v>12.11</x:v>
      </x:c>
      <x:c r="AS361" s="4" t="n">
        <x:v>13.333333333333334</x:v>
      </x:c>
      <x:c r="AT361" s="4" t="n">
        <x:v>0.14</x:v>
      </x:c>
      <x:c r="AU361" s="4" t="n">
        <x:v>5.5</x:v>
      </x:c>
      <x:c r="AV361" s="10" t="n">
        <x:v>0</x:v>
      </x:c>
      <x:c r="AW361" s="10" t="n">
        <x:v>0</x:v>
      </x:c>
      <x:c r="AX361" s="10" t="n">
        <x:v>0</x:v>
      </x:c>
      <x:c r="AY361" s="10" t="n">
        <x:v>0</x:v>
      </x:c>
      <x:c r="AZ361" s="10" t="n">
        <x:v>870</x:v>
      </x:c>
      <x:c r="BA361" s="10" t="n">
        <x:v>887</x:v>
      </x:c>
      <x:c r="BB361" s="4" t="n">
        <x:v>49.5</x:v>
      </x:c>
      <x:c r="BC361" s="4" t="n">
        <x:v>1.1</x:v>
      </x:c>
      <x:c r="BD361" s="10" t="n">
        <x:v>622</x:v>
      </x:c>
      <x:c r="BE361" s="10" t="n">
        <x:v>612</x:v>
      </x:c>
      <x:c r="BF361" s="4" t="n">
        <x:v>50.4</x:v>
      </x:c>
      <x:c r="BG361" s="4" t="n">
        <x:v>2</x:v>
      </x:c>
      <x:c r="BH361" s="4" t="n">
        <x:v>8.4</x:v>
      </x:c>
      <x:c r="BI361" s="4" t="n">
        <x:v>91.1</x:v>
      </x:c>
      <x:c r="BJ361" s="4" t="n">
        <x:v>99.6</x:v>
      </x:c>
      <x:c r="BK361" s="4" t="n">
        <x:v>31.6</x:v>
      </x:c>
      <x:c r="BL361" s="4" t="n">
        <x:v>68.4</x:v>
      </x:c>
      <x:c r="BM361" s="4" t="n">
        <x:v>13.333333333333334</x:v>
      </x:c>
      <x:c r="BN361" s="4" t="n">
        <x:v>10.55</x:v>
      </x:c>
      <x:c r="BO361" s="10" t="n">
        <x:v>18</x:v>
      </x:c>
      <x:c r="BP361" s="10" t="n">
        <x:v>57</x:v>
      </x:c>
      <x:c r="BQ361" s="4" t="n">
        <x:v>-3.7</x:v>
      </x:c>
      <x:c r="BR361" s="10" t="n">
        <x:v>198</x:v>
      </x:c>
      <x:c r="BS361" s="4" t="n">
        <x:v>55.6</x:v>
      </x:c>
      <x:c r="BT361" s="10" t="n">
        <x:v>82</x:v>
      </x:c>
      <x:c r="BU361" s="4" t="str">
        <x:v>BOS</x:v>
      </x:c>
      <x:c r="BV361" s="10" t="n">
        <x:v>542</x:v>
      </x:c>
      <x:c r="BW361" s="10" t="n">
        <x:v>435</x:v>
      </x:c>
      <x:c r="BX361" s="10" t="n">
        <x:v>553</x:v>
      </x:c>
      <x:c r="BY361" s="4" t="str">
        <x:v>Sean Kuraly</x:v>
      </x:c>
      <x:c r="BZ361" s="4" t="str">
        <x:v>Sean Kuraly</x:v>
      </x:c>
      <x:c r="CA361" s="4" t="str">
        <x:v>Sean Kuraly</x:v>
      </x:c>
      <x:c r="CB361" s="4" t="str">
        <x:v>kuralse01</x:v>
      </x:c>
    </x:row>
    <x:row r="362" ht="22" customHeight="1">
      <x:c r="A362" s="4" t="str">
        <x:v>Sean Monahan</x:v>
      </x:c>
      <x:c r="B362" s="4" t="str">
        <x:v>seanmonahan</x:v>
      </x:c>
      <x:c r="C362" s="10" t="n">
        <x:v>1</x:v>
      </x:c>
      <x:c r="D362" s="10" t="n">
        <x:v>1</x:v>
      </x:c>
      <x:c r="E362" s="10" t="n">
        <x:v>1</x:v>
      </x:c>
      <x:c r="F362" s="4" t="n">
        <x:f>IF(COUNT(N362,Q362,T362,W362,Z362,AC362,AF362,AI362)=8,N362*Guide!$E$5+Q362*Guide!$E$6+T362*Guide!$E$7+W362*Guide!$E$8+Z362*Guide!$E$9+AC362*Guide!$E$10+AF362*Guide!$E$11+AI362*Guide!$E$12,"")</x:f>
        <x:v>313.75</x:v>
      </x:c>
      <x:c r="G362" s="4" t="n">
        <x:f>IF(COUNT(O362,R362,U362,X362,AA362,AD362,AG362,AJ362)=8,O362*Guide!$E$5+R362*Guide!$E$6+U362*Guide!$E$7+X362*Guide!$E$8+AA362*Guide!$E$9+AD362*Guide!$E$10+AG362*Guide!$E$11+AJ362*Guide!$E$12,"")</x:f>
        <x:v>205.75</x:v>
      </x:c>
      <x:c r="H362" s="4" t="n">
        <x:f>IF(COUNT(G362,F362)=2,G362-F362,"")</x:f>
        <x:v>-108</x:v>
      </x:c>
      <x:c r="I362" s="4" t="n">
        <x:f>IF(AND(ISNUMBER(F362),K362&gt;0),F362/K362,"")</x:f>
        <x:v>3.921875</x:v>
      </x:c>
      <x:c r="J362" s="4" t="n">
        <x:f>IF(AND(ISNUMBER(G362),L362&gt;0),G362/L362,"")</x:f>
        <x:v>2.6378205128205128</x:v>
      </x:c>
      <x:c r="K362" s="10" t="n">
        <x:v>80</x:v>
      </x:c>
      <x:c r="L362" s="10" t="n">
        <x:v>78</x:v>
      </x:c>
      <x:c r="M362" s="10" t="n">
        <x:f>IF(COUNT(L362,K362)=2,L362-K362,"")</x:f>
        <x:v>-2</x:v>
      </x:c>
      <x:c r="N362" s="10" t="n">
        <x:v>24</x:v>
      </x:c>
      <x:c r="O362" s="10" t="n">
        <x:v>13</x:v>
      </x:c>
      <x:c r="P362" s="10" t="n">
        <x:f>IF(COUNT(O362,N362)=2,O362-N362,"")</x:f>
        <x:v>-11</x:v>
      </x:c>
      <x:c r="Q362" s="10" t="n">
        <x:v>35</x:v>
      </x:c>
      <x:c r="R362" s="10" t="n">
        <x:v>23</x:v>
      </x:c>
      <x:c r="S362" s="10" t="n">
        <x:f>IF(COUNT(R362,Q362)=2,R362-Q362,"")</x:f>
        <x:v>-12</x:v>
      </x:c>
      <x:c r="T362" s="10" t="n">
        <x:v>4</x:v>
      </x:c>
      <x:c r="U362" s="10" t="n">
        <x:v>-1</x:v>
      </x:c>
      <x:c r="V362" s="10" t="n">
        <x:f>IF(COUNT(U362,T362)=2,U362-T362,"")</x:f>
        <x:v>-5</x:v>
      </x:c>
      <x:c r="W362" s="10" t="n">
        <x:v>16</x:v>
      </x:c>
      <x:c r="X362" s="10" t="n">
        <x:f>IF(COUNT(AV362,AW362)=2,AV362+AW362,"")</x:f>
        <x:v>10</x:v>
      </x:c>
      <x:c r="Y362" s="10" t="n">
        <x:f>IF(COUNT(X362,W362)=2,X362-W362,"")</x:f>
        <x:v>-6</x:v>
      </x:c>
      <x:c r="Z362" s="10" t="n">
        <x:v>2</x:v>
      </x:c>
      <x:c r="AA362" s="10" t="n">
        <x:f>IF(COUNT(AX362,AY362)=2,AX362+AY362,"")</x:f>
        <x:v>2</x:v>
      </x:c>
      <x:c r="AB362" s="10" t="n">
        <x:f>IF(COUNT(AA362,Z362)=2,AA362-Z362,"")</x:f>
        <x:v>0</x:v>
      </x:c>
      <x:c r="AC362" s="10" t="n">
        <x:v>165</x:v>
      </x:c>
      <x:c r="AD362" s="10" t="n">
        <x:v>131</x:v>
      </x:c>
      <x:c r="AE362" s="10" t="n">
        <x:f>IF(COUNT(AD362,AC362)=2,AD362-AC362,"")</x:f>
        <x:v>-34</x:v>
      </x:c>
      <x:c r="AF362" s="10" t="n">
        <x:v>41</x:v>
      </x:c>
      <x:c r="AG362" s="10" t="n">
        <x:v>46</x:v>
      </x:c>
      <x:c r="AH362" s="10" t="n">
        <x:f>IF(COUNT(AG362,AF362)=2,AG362-AF362,"")</x:f>
        <x:v>5</x:v>
      </x:c>
      <x:c r="AI362" s="10" t="n">
        <x:v>47</x:v>
      </x:c>
      <x:c r="AJ362" s="10" t="n">
        <x:v>34</x:v>
      </x:c>
      <x:c r="AK362" s="10" t="n">
        <x:f>IF(COUNT(AJ362,AI362)=2,AJ362-AI362,"")</x:f>
        <x:v>-13</x:v>
      </x:c>
      <x:c r="AL362" s="10" t="n">
        <x:v>31</x:v>
      </x:c>
      <x:c r="AM362" s="10" t="n">
        <x:v>31</x:v>
      </x:c>
      <x:c r="AN362" s="4" t="str">
        <x:v>C</x:v>
      </x:c>
      <x:c r="AO362" s="4" t="str">
        <x:v>C</x:v>
      </x:c>
      <x:c r="AP362" s="4" t="str">
        <x:v>CBJ</x:v>
      </x:c>
      <x:c r="AQ362" s="4" t="str">
        <x:v>CBJ</x:v>
      </x:c>
      <x:c r="AR362" s="4" t="n">
        <x:v>18.36</x:v>
      </x:c>
      <x:c r="AS362" s="4" t="n">
        <x:v>17.116666666666667</x:v>
      </x:c>
      <x:c r="AT362" s="4" t="n">
        <x:v>2.52</x:v>
      </x:c>
      <x:c r="AU362" s="4" t="n">
        <x:v>9.9</x:v>
      </x:c>
      <x:c r="AV362" s="10" t="n">
        <x:v>1</x:v>
      </x:c>
      <x:c r="AW362" s="10" t="n">
        <x:v>9</x:v>
      </x:c>
      <x:c r="AX362" s="10" t="n">
        <x:v>2</x:v>
      </x:c>
      <x:c r="AY362" s="10" t="n">
        <x:v>0</x:v>
      </x:c>
      <x:c r="AZ362" s="10" t="n">
        <x:v>1171</x:v>
      </x:c>
      <x:c r="BA362" s="10" t="n">
        <x:v>1068</x:v>
      </x:c>
      <x:c r="BB362" s="4" t="n">
        <x:v>52.3</x:v>
      </x:c>
      <x:c r="BC362" s="4" t="n">
        <x:v>2.1</x:v>
      </x:c>
      <x:c r="BD362" s="10" t="n">
        <x:v>820</x:v>
      </x:c>
      <x:c r="BE362" s="10" t="n">
        <x:v>788</x:v>
      </x:c>
      <x:c r="BF362" s="4" t="n">
        <x:v>51</x:v>
      </x:c>
      <x:c r="BG362" s="4" t="n">
        <x:v>0.5</x:v>
      </x:c>
      <x:c r="BH362" s="4" t="n">
        <x:v>9.6</x:v>
      </x:c>
      <x:c r="BI362" s="4" t="n">
        <x:v>88.8</x:v>
      </x:c>
      <x:c r="BJ362" s="4" t="n">
        <x:v>98.5</x:v>
      </x:c>
      <x:c r="BK362" s="4" t="n">
        <x:v>48.8</x:v>
      </x:c>
      <x:c r="BL362" s="4" t="n">
        <x:v>51.2</x:v>
      </x:c>
      <x:c r="BM362" s="4" t="n">
        <x:v>17.116666666666667</x:v>
      </x:c>
      <x:c r="BN362" s="4" t="n">
        <x:v>13.5</x:v>
      </x:c>
      <x:c r="BO362" s="10" t="n">
        <x:v>26</x:v>
      </x:c>
      <x:c r="BP362" s="10" t="n">
        <x:v>57</x:v>
      </x:c>
      <x:c r="BQ362" s="4" t="n">
        <x:v>4.5</x:v>
      </x:c>
      <x:c r="BR362" s="10" t="n">
        <x:v>222</x:v>
      </x:c>
      <x:c r="BS362" s="4" t="n">
        <x:v>59</x:v>
      </x:c>
      <x:c r="BT362" s="10" t="n">
        <x:v>78</x:v>
      </x:c>
      <x:c r="BU362" s="4" t="str">
        <x:v>CBJ</x:v>
      </x:c>
      <x:c r="BV362" s="10" t="n">
        <x:v>97</x:v>
      </x:c>
      <x:c r="BW362" s="10" t="n">
        <x:v>248</x:v>
      </x:c>
      <x:c r="BX362" s="10" t="n">
        <x:v>709</x:v>
      </x:c>
      <x:c r="BY362" s="4" t="str">
        <x:v>Sean Monahan</x:v>
      </x:c>
      <x:c r="BZ362" s="4" t="str">
        <x:v>Sean Monahan</x:v>
      </x:c>
      <x:c r="CA362" s="4" t="str">
        <x:v>Sean Monahan</x:v>
      </x:c>
      <x:c r="CB362" s="4" t="str">
        <x:v>monahse01</x:v>
      </x:c>
    </x:row>
    <x:row r="363" ht="22" customHeight="1">
      <x:c r="A363" s="4" t="str">
        <x:v>Sean Walker</x:v>
      </x:c>
      <x:c r="B363" s="4" t="str">
        <x:v>seanwalker</x:v>
      </x:c>
      <x:c r="C363" s="10" t="n">
        <x:v>1</x:v>
      </x:c>
      <x:c r="D363" s="10" t="n">
        <x:v>1</x:v>
      </x:c>
      <x:c r="E363" s="10" t="n">
        <x:v>1</x:v>
      </x:c>
      <x:c r="F363" s="4" t="n">
        <x:f>IF(COUNT(N363,Q363,T363,W363,Z363,AC363,AF363,AI363)=8,N363*Guide!$E$5+Q363*Guide!$E$6+T363*Guide!$E$7+W363*Guide!$E$8+Z363*Guide!$E$9+AC363*Guide!$E$10+AF363*Guide!$E$11+AI363*Guide!$E$12,"")</x:f>
        <x:v>220.5</x:v>
      </x:c>
      <x:c r="G363" s="4" t="n">
        <x:f>IF(COUNT(O363,R363,U363,X363,AA363,AD363,AG363,AJ363)=8,O363*Guide!$E$5+R363*Guide!$E$6+U363*Guide!$E$7+X363*Guide!$E$8+AA363*Guide!$E$9+AD363*Guide!$E$10+AG363*Guide!$E$11+AJ363*Guide!$E$12,"")</x:f>
        <x:v>288.75</x:v>
      </x:c>
      <x:c r="H363" s="4" t="n">
        <x:f>IF(COUNT(G363,F363)=2,G363-F363,"")</x:f>
        <x:v>68.25</x:v>
      </x:c>
      <x:c r="I363" s="4" t="n">
        <x:f>IF(AND(ISNUMBER(F363),K363&gt;0),F363/K363,"")</x:f>
        <x:v>2.7222222222222223</x:v>
      </x:c>
      <x:c r="J363" s="4" t="n">
        <x:f>IF(AND(ISNUMBER(G363),L363&gt;0),G363/L363,"")</x:f>
        <x:v>3.564814814814815</x:v>
      </x:c>
      <x:c r="K363" s="10" t="n">
        <x:v>81</x:v>
      </x:c>
      <x:c r="L363" s="10" t="n">
        <x:v>81</x:v>
      </x:c>
      <x:c r="M363" s="10" t="n">
        <x:f>IF(COUNT(L363,K363)=2,L363-K363,"")</x:f>
        <x:v>0</x:v>
      </x:c>
      <x:c r="N363" s="10" t="n">
        <x:v>7</x:v>
      </x:c>
      <x:c r="O363" s="10" t="n">
        <x:v>9</x:v>
      </x:c>
      <x:c r="P363" s="10" t="n">
        <x:f>IF(COUNT(O363,N363)=2,O363-N363,"")</x:f>
        <x:v>2</x:v>
      </x:c>
      <x:c r="Q363" s="10" t="n">
        <x:v>16</x:v>
      </x:c>
      <x:c r="R363" s="10" t="n">
        <x:v>22</x:v>
      </x:c>
      <x:c r="S363" s="10" t="n">
        <x:f>IF(COUNT(R363,Q363)=2,R363-Q363,"")</x:f>
        <x:v>6</x:v>
      </x:c>
      <x:c r="T363" s="10" t="n">
        <x:v>6</x:v>
      </x:c>
      <x:c r="U363" s="10" t="n">
        <x:v>6</x:v>
      </x:c>
      <x:c r="V363" s="10" t="n">
        <x:f>IF(COUNT(U363,T363)=2,U363-T363,"")</x:f>
        <x:v>0</x:v>
      </x:c>
      <x:c r="W363" s="10" t="n">
        <x:v>3</x:v>
      </x:c>
      <x:c r="X363" s="10" t="n">
        <x:f>IF(COUNT(AV363,AW363)=2,AV363+AW363,"")</x:f>
        <x:v>1</x:v>
      </x:c>
      <x:c r="Y363" s="10" t="n">
        <x:f>IF(COUNT(X363,W363)=2,X363-W363,"")</x:f>
        <x:v>-2</x:v>
      </x:c>
      <x:c r="Z363" s="10" t="n">
        <x:v>1</x:v>
      </x:c>
      <x:c r="AA363" s="10" t="n">
        <x:f>IF(COUNT(AX363,AY363)=2,AX363+AY363,"")</x:f>
        <x:v>2</x:v>
      </x:c>
      <x:c r="AB363" s="10" t="n">
        <x:f>IF(COUNT(AA363,Z363)=2,AA363-Z363,"")</x:f>
        <x:v>1</x:v>
      </x:c>
      <x:c r="AC363" s="10" t="n">
        <x:v>132</x:v>
      </x:c>
      <x:c r="AD363" s="10" t="n">
        <x:v>179</x:v>
      </x:c>
      <x:c r="AE363" s="10" t="n">
        <x:f>IF(COUNT(AD363,AC363)=2,AD363-AC363,"")</x:f>
        <x:v>47</x:v>
      </x:c>
      <x:c r="AF363" s="10" t="n">
        <x:v>86</x:v>
      </x:c>
      <x:c r="AG363" s="10" t="n">
        <x:v>141</x:v>
      </x:c>
      <x:c r="AH363" s="10" t="n">
        <x:f>IF(COUNT(AG363,AF363)=2,AG363-AF363,"")</x:f>
        <x:v>55</x:v>
      </x:c>
      <x:c r="AI363" s="10" t="n">
        <x:v>104</x:v>
      </x:c>
      <x:c r="AJ363" s="10" t="n">
        <x:v>125</x:v>
      </x:c>
      <x:c r="AK363" s="10" t="n">
        <x:f>IF(COUNT(AJ363,AI363)=2,AJ363-AI363,"")</x:f>
        <x:v>21</x:v>
      </x:c>
      <x:c r="AL363" s="10" t="n">
        <x:v>31</x:v>
      </x:c>
      <x:c r="AM363" s="10" t="n">
        <x:v>31</x:v>
      </x:c>
      <x:c r="AN363" s="4" t="str">
        <x:v>D</x:v>
      </x:c>
      <x:c r="AO363" s="4" t="str">
        <x:v>D</x:v>
      </x:c>
      <x:c r="AP363" s="4" t="str">
        <x:v>CAR</x:v>
      </x:c>
      <x:c r="AQ363" s="4" t="str">
        <x:v>CAR</x:v>
      </x:c>
      <x:c r="AR363" s="4" t="n">
        <x:v>17.26</x:v>
      </x:c>
      <x:c r="AS363" s="4" t="n">
        <x:v>21.816666666666666</x:v>
      </x:c>
      <x:c r="AT363" s="4" t="n">
        <x:v>0.59</x:v>
      </x:c>
      <x:c r="AU363" s="4" t="n">
        <x:v>5</x:v>
      </x:c>
      <x:c r="AV363" s="10" t="n">
        <x:v>0</x:v>
      </x:c>
      <x:c r="AW363" s="10" t="n">
        <x:v>1</x:v>
      </x:c>
      <x:c r="AX363" s="10" t="n">
        <x:v>0</x:v>
      </x:c>
      <x:c r="AY363" s="10" t="n">
        <x:v>2</x:v>
      </x:c>
      <x:c r="AZ363" s="10" t="n">
        <x:v>1854</x:v>
      </x:c>
      <x:c r="BA363" s="10" t="n">
        <x:v>1191</x:v>
      </x:c>
      <x:c r="BB363" s="4" t="n">
        <x:v>60.9</x:v>
      </x:c>
      <x:c r="BC363" s="4" t="n">
        <x:v>1.9</x:v>
      </x:c>
      <x:c r="BD363" s="10" t="n">
        <x:v>1305</x:v>
      </x:c>
      <x:c r="BE363" s="10" t="n">
        <x:v>862</x:v>
      </x:c>
      <x:c r="BF363" s="4" t="n">
        <x:v>60.2</x:v>
      </x:c>
      <x:c r="BG363" s="4" t="n">
        <x:v>2.4</x:v>
      </x:c>
      <x:c r="BH363" s="4" t="n">
        <x:v>9.5</x:v>
      </x:c>
      <x:c r="BI363" s="4" t="n">
        <x:v>86.7</x:v>
      </x:c>
      <x:c r="BJ363" s="4" t="n">
        <x:v>96.2</x:v>
      </x:c>
      <x:c r="BK363" s="4" t="n">
        <x:v>55.5</x:v>
      </x:c>
      <x:c r="BL363" s="4" t="n">
        <x:v>44.5</x:v>
      </x:c>
      <x:c r="BM363" s="4" t="n">
        <x:v>21.816666666666666</x:v>
      </x:c>
      <x:c r="BN363" s="4" t="n">
        <x:v>19.133333333333333</x:v>
      </x:c>
      <x:c r="BO363" s="10" t="n">
        <x:v>33</x:v>
      </x:c>
      <x:c r="BP363" s="10" t="n">
        <x:v>96</x:v>
      </x:c>
      <x:c r="BQ363" s="4" t="n">
        <x:v>19.2</x:v>
      </x:c>
      <x:c r="BR363" s="10" t="n">
        <x:v>449</x:v>
      </x:c>
      <x:c r="BS363" s="4" t="n">
        <x:v>39.9</x:v>
      </x:c>
      <x:c r="BT363" s="10" t="n">
        <x:v>81</x:v>
      </x:c>
      <x:c r="BU363" s="4" t="str">
        <x:v>CAR</x:v>
      </x:c>
      <x:c r="BV363" s="10" t="n">
        <x:v>463</x:v>
      </x:c>
      <x:c r="BW363" s="10" t="n">
        <x:v>322</x:v>
      </x:c>
      <x:c r="BX363" s="10" t="n">
        <x:v>1060</x:v>
      </x:c>
      <x:c r="BY363" s="4" t="str">
        <x:v>Sean Walker</x:v>
      </x:c>
      <x:c r="BZ363" s="4" t="str">
        <x:v>Sean Walker</x:v>
      </x:c>
      <x:c r="CA363" s="4" t="str">
        <x:v>Sean Walker</x:v>
      </x:c>
      <x:c r="CB363" s="4" t="str">
        <x:v>walkese01</x:v>
      </x:c>
    </x:row>
    <x:row r="364" ht="22" customHeight="1">
      <x:c r="A364" s="4" t="str">
        <x:v>Sebastian Aho</x:v>
      </x:c>
      <x:c r="B364" s="4" t="str">
        <x:v>sebastianahof</x:v>
      </x:c>
      <x:c r="C364" s="10" t="n">
        <x:v>1</x:v>
      </x:c>
      <x:c r="D364" s="10" t="n">
        <x:v>1</x:v>
      </x:c>
      <x:c r="E364" s="10" t="n">
        <x:v>1</x:v>
      </x:c>
      <x:c r="F364" s="4" t="n">
        <x:f>IF(COUNT(N364,Q364,T364,W364,Z364,AC364,AF364,AI364)=8,N364*Guide!$E$5+Q364*Guide!$E$6+T364*Guide!$E$7+W364*Guide!$E$8+Z364*Guide!$E$9+AC364*Guide!$E$10+AF364*Guide!$E$11+AI364*Guide!$E$12,"")</x:f>
        <x:v>408.25</x:v>
      </x:c>
      <x:c r="G364" s="4" t="n">
        <x:f>IF(COUNT(O364,R364,U364,X364,AA364,AD364,AG364,AJ364)=8,O364*Guide!$E$5+R364*Guide!$E$6+U364*Guide!$E$7+X364*Guide!$E$8+AA364*Guide!$E$9+AD364*Guide!$E$10+AG364*Guide!$E$11+AJ364*Guide!$E$12,"")</x:f>
        <x:v>404.75</x:v>
      </x:c>
      <x:c r="H364" s="4" t="n">
        <x:f>IF(COUNT(G364,F364)=2,G364-F364,"")</x:f>
        <x:v>-3.5</x:v>
      </x:c>
      <x:c r="I364" s="4" t="n">
        <x:f>IF(AND(ISNUMBER(F364),K364&gt;0),F364/K364,"")</x:f>
        <x:v>5.233974358974359</x:v>
      </x:c>
      <x:c r="J364" s="4" t="n">
        <x:f>IF(AND(ISNUMBER(G364),L364&gt;0),G364/L364,"")</x:f>
        <x:v>5.1234177215189876</x:v>
      </x:c>
      <x:c r="K364" s="10" t="n">
        <x:v>78</x:v>
      </x:c>
      <x:c r="L364" s="10" t="n">
        <x:v>79</x:v>
      </x:c>
      <x:c r="M364" s="10" t="n">
        <x:f>IF(COUNT(L364,K364)=2,L364-K364,"")</x:f>
        <x:v>1</x:v>
      </x:c>
      <x:c r="N364" s="10" t="n">
        <x:v>33</x:v>
      </x:c>
      <x:c r="O364" s="10" t="n">
        <x:v>27</x:v>
      </x:c>
      <x:c r="P364" s="10" t="n">
        <x:f>IF(COUNT(O364,N364)=2,O364-N364,"")</x:f>
        <x:v>-6</x:v>
      </x:c>
      <x:c r="Q364" s="10" t="n">
        <x:v>47</x:v>
      </x:c>
      <x:c r="R364" s="10" t="n">
        <x:v>53</x:v>
      </x:c>
      <x:c r="S364" s="10" t="n">
        <x:f>IF(COUNT(R364,Q364)=2,R364-Q364,"")</x:f>
        <x:v>6</x:v>
      </x:c>
      <x:c r="T364" s="10" t="n">
        <x:v>15</x:v>
      </x:c>
      <x:c r="U364" s="10" t="n">
        <x:v>11</x:v>
      </x:c>
      <x:c r="V364" s="10" t="n">
        <x:f>IF(COUNT(U364,T364)=2,U364-T364,"")</x:f>
        <x:v>-4</x:v>
      </x:c>
      <x:c r="W364" s="10" t="n">
        <x:v>25</x:v>
      </x:c>
      <x:c r="X364" s="10" t="n">
        <x:f>IF(COUNT(AV364,AW364)=2,AV364+AW364,"")</x:f>
        <x:v>27</x:v>
      </x:c>
      <x:c r="Y364" s="10" t="n">
        <x:f>IF(COUNT(X364,W364)=2,X364-W364,"")</x:f>
        <x:v>2</x:v>
      </x:c>
      <x:c r="Z364" s="10" t="n">
        <x:v>3</x:v>
      </x:c>
      <x:c r="AA364" s="10" t="n">
        <x:f>IF(COUNT(AX364,AY364)=2,AX364+AY364,"")</x:f>
        <x:v>6</x:v>
      </x:c>
      <x:c r="AB364" s="10" t="n">
        <x:f>IF(COUNT(AA364,Z364)=2,AA364-Z364,"")</x:f>
        <x:v>3</x:v>
      </x:c>
      <x:c r="AC364" s="10" t="n">
        <x:v>204</x:v>
      </x:c>
      <x:c r="AD364" s="10" t="n">
        <x:v>195</x:v>
      </x:c>
      <x:c r="AE364" s="10" t="n">
        <x:f>IF(COUNT(AD364,AC364)=2,AD364-AC364,"")</x:f>
        <x:v>-9</x:v>
      </x:c>
      <x:c r="AF364" s="10" t="n">
        <x:v>57</x:v>
      </x:c>
      <x:c r="AG364" s="10" t="n">
        <x:v>63</x:v>
      </x:c>
      <x:c r="AH364" s="10" t="n">
        <x:f>IF(COUNT(AG364,AF364)=2,AG364-AF364,"")</x:f>
        <x:v>6</x:v>
      </x:c>
      <x:c r="AI364" s="10" t="n">
        <x:v>28</x:v>
      </x:c>
      <x:c r="AJ364" s="10" t="n">
        <x:v>23</x:v>
      </x:c>
      <x:c r="AK364" s="10" t="n">
        <x:f>IF(COUNT(AJ364,AI364)=2,AJ364-AI364,"")</x:f>
        <x:v>-5</x:v>
      </x:c>
      <x:c r="AL364" s="10" t="n">
        <x:v>28</x:v>
      </x:c>
      <x:c r="AM364" s="10" t="n">
        <x:v>28</x:v>
      </x:c>
      <x:c r="AN364" s="4" t="str">
        <x:v>C</x:v>
      </x:c>
      <x:c r="AO364" s="4" t="str">
        <x:v>F</x:v>
      </x:c>
      <x:c r="AP364" s="4" t="str">
        <x:v>CAR</x:v>
      </x:c>
      <x:c r="AQ364" s="4" t="str">
        <x:v>CAR</x:v>
      </x:c>
      <x:c r="AR364" s="4" t="n">
        <x:v>19.8</x:v>
      </x:c>
      <x:c r="AS364" s="4" t="n">
        <x:v>19.616666666666667</x:v>
      </x:c>
      <x:c r="AT364" s="4" t="n">
        <x:v>3.29</x:v>
      </x:c>
      <x:c r="AU364" s="4" t="n">
        <x:v>13.8</x:v>
      </x:c>
      <x:c r="AV364" s="10" t="n">
        <x:v>7</x:v>
      </x:c>
      <x:c r="AW364" s="10" t="n">
        <x:v>20</x:v>
      </x:c>
      <x:c r="AX364" s="10" t="n">
        <x:v>2</x:v>
      </x:c>
      <x:c r="AY364" s="10" t="n">
        <x:v>4</x:v>
      </x:c>
      <x:c r="AZ364" s="10" t="n">
        <x:v>1479</x:v>
      </x:c>
      <x:c r="BA364" s="10" t="n">
        <x:v>925</x:v>
      </x:c>
      <x:c r="BB364" s="4" t="n">
        <x:v>61.5</x:v>
      </x:c>
      <x:c r="BC364" s="4" t="n">
        <x:v>2.7</x:v>
      </x:c>
      <x:c r="BD364" s="10" t="n">
        <x:v>1090</x:v>
      </x:c>
      <x:c r="BE364" s="10" t="n">
        <x:v>718</x:v>
      </x:c>
      <x:c r="BF364" s="4" t="n">
        <x:v>60.3</x:v>
      </x:c>
      <x:c r="BG364" s="4" t="n">
        <x:v>2.3</x:v>
      </x:c>
      <x:c r="BH364" s="4" t="n">
        <x:v>10.2</x:v>
      </x:c>
      <x:c r="BI364" s="4" t="n">
        <x:v>86.3</x:v>
      </x:c>
      <x:c r="BJ364" s="4" t="n">
        <x:v>96.6</x:v>
      </x:c>
      <x:c r="BK364" s="4" t="n">
        <x:v>63.8</x:v>
      </x:c>
      <x:c r="BL364" s="4" t="n">
        <x:v>36.2</x:v>
      </x:c>
      <x:c r="BM364" s="4" t="n">
        <x:v>19.616666666666667</x:v>
      </x:c>
      <x:c r="BN364" s="4" t="n">
        <x:v>14.75</x:v>
      </x:c>
      <x:c r="BO364" s="10" t="n">
        <x:v>31</x:v>
      </x:c>
      <x:c r="BP364" s="10" t="n">
        <x:v>109</x:v>
      </x:c>
      <x:c r="BQ364" s="4" t="n">
        <x:v>12.9</x:v>
      </x:c>
      <x:c r="BR364" s="10" t="n">
        <x:v>406</x:v>
      </x:c>
      <x:c r="BS364" s="4" t="n">
        <x:v>48</x:v>
      </x:c>
      <x:c r="BT364" s="10" t="n">
        <x:v>79</x:v>
      </x:c>
      <x:c r="BU364" s="4" t="str">
        <x:v>CAR</x:v>
      </x:c>
      <x:c r="BV364" s="10" t="n">
        <x:v>20</x:v>
      </x:c>
      <x:c r="BW364" s="10" t="n">
        <x:v>29</x:v>
      </x:c>
      <x:c r="BX364" s="10" t="n">
        <x:v>7</x:v>
      </x:c>
      <x:c r="BY364" s="4" t="str">
        <x:v>Sebastian Aho (F)</x:v>
      </x:c>
      <x:c r="BZ364" s="4" t="str">
        <x:v>Sebastian Aho</x:v>
      </x:c>
      <x:c r="CA364" s="4" t="str">
        <x:v>Sebastian Aho</x:v>
      </x:c>
      <x:c r="CB364" s="4" t="str">
        <x:v>ahose01</x:v>
      </x:c>
    </x:row>
    <x:row r="365" ht="22" customHeight="1">
      <x:c r="A365" s="4" t="str">
        <x:v>Seth Jarvis</x:v>
      </x:c>
      <x:c r="B365" s="4" t="str">
        <x:v>sethjarvis</x:v>
      </x:c>
      <x:c r="C365" s="10" t="n">
        <x:v>1</x:v>
      </x:c>
      <x:c r="D365" s="10" t="n">
        <x:v>1</x:v>
      </x:c>
      <x:c r="E365" s="10" t="n">
        <x:v>1</x:v>
      </x:c>
      <x:c r="F365" s="4" t="n">
        <x:f>IF(COUNT(N365,Q365,T365,W365,Z365,AC365,AF365,AI365)=8,N365*Guide!$E$5+Q365*Guide!$E$6+T365*Guide!$E$7+W365*Guide!$E$8+Z365*Guide!$E$9+AC365*Guide!$E$10+AF365*Guide!$E$11+AI365*Guide!$E$12,"")</x:f>
        <x:v>376.75</x:v>
      </x:c>
      <x:c r="G365" s="4" t="n">
        <x:f>IF(COUNT(O365,R365,U365,X365,AA365,AD365,AG365,AJ365)=8,O365*Guide!$E$5+R365*Guide!$E$6+U365*Guide!$E$7+X365*Guide!$E$8+AA365*Guide!$E$9+AD365*Guide!$E$10+AG365*Guide!$E$11+AJ365*Guide!$E$12,"")</x:f>
        <x:v>371.5</x:v>
      </x:c>
      <x:c r="H365" s="4" t="n">
        <x:f>IF(COUNT(G365,F365)=2,G365-F365,"")</x:f>
        <x:v>-5.25</x:v>
      </x:c>
      <x:c r="I365" s="4" t="n">
        <x:f>IF(AND(ISNUMBER(F365),K365&gt;0),F365/K365,"")</x:f>
        <x:v>4.892857142857143</x:v>
      </x:c>
      <x:c r="J365" s="4" t="n">
        <x:f>IF(AND(ISNUMBER(G365),L365&gt;0),G365/L365,"")</x:f>
        <x:v>5.232394366197183</x:v>
      </x:c>
      <x:c r="K365" s="10" t="n">
        <x:v>77</x:v>
      </x:c>
      <x:c r="L365" s="10" t="n">
        <x:v>71</x:v>
      </x:c>
      <x:c r="M365" s="10" t="n">
        <x:f>IF(COUNT(L365,K365)=2,L365-K365,"")</x:f>
        <x:v>-6</x:v>
      </x:c>
      <x:c r="N365" s="10" t="n">
        <x:v>31</x:v>
      </x:c>
      <x:c r="O365" s="10" t="n">
        <x:v>32</x:v>
      </x:c>
      <x:c r="P365" s="10" t="n">
        <x:f>IF(COUNT(O365,N365)=2,O365-N365,"")</x:f>
        <x:v>1</x:v>
      </x:c>
      <x:c r="Q365" s="10" t="n">
        <x:v>33</x:v>
      </x:c>
      <x:c r="R365" s="10" t="n">
        <x:v>34</x:v>
      </x:c>
      <x:c r="S365" s="10" t="n">
        <x:f>IF(COUNT(R365,Q365)=2,R365-Q365,"")</x:f>
        <x:v>1</x:v>
      </x:c>
      <x:c r="T365" s="10" t="n">
        <x:v>13</x:v>
      </x:c>
      <x:c r="U365" s="10" t="n">
        <x:v>6</x:v>
      </x:c>
      <x:c r="V365" s="10" t="n">
        <x:f>IF(COUNT(U365,T365)=2,U365-T365,"")</x:f>
        <x:v>-7</x:v>
      </x:c>
      <x:c r="W365" s="10" t="n">
        <x:v>19</x:v>
      </x:c>
      <x:c r="X365" s="10" t="n">
        <x:f>IF(COUNT(AV365,AW365)=2,AV365+AW365,"")</x:f>
        <x:v>21</x:v>
      </x:c>
      <x:c r="Y365" s="10" t="n">
        <x:f>IF(COUNT(X365,W365)=2,X365-W365,"")</x:f>
        <x:v>2</x:v>
      </x:c>
      <x:c r="Z365" s="10" t="n">
        <x:v>3</x:v>
      </x:c>
      <x:c r="AA365" s="10" t="n">
        <x:f>IF(COUNT(AX365,AY365)=2,AX365+AY365,"")</x:f>
        <x:v>6</x:v>
      </x:c>
      <x:c r="AB365" s="10" t="n">
        <x:f>IF(COUNT(AA365,Z365)=2,AA365-Z365,"")</x:f>
        <x:v>3</x:v>
      </x:c>
      <x:c r="AC365" s="10" t="n">
        <x:v>197</x:v>
      </x:c>
      <x:c r="AD365" s="10" t="n">
        <x:v>224</x:v>
      </x:c>
      <x:c r="AE365" s="10" t="n">
        <x:f>IF(COUNT(AD365,AC365)=2,AD365-AC365,"")</x:f>
        <x:v>27</x:v>
      </x:c>
      <x:c r="AF365" s="10" t="n">
        <x:v>98</x:v>
      </x:c>
      <x:c r="AG365" s="10" t="n">
        <x:v>81</x:v>
      </x:c>
      <x:c r="AH365" s="10" t="n">
        <x:f>IF(COUNT(AG365,AF365)=2,AG365-AF365,"")</x:f>
        <x:v>-17</x:v>
      </x:c>
      <x:c r="AI365" s="10" t="n">
        <x:v>52</x:v>
      </x:c>
      <x:c r="AJ365" s="10" t="n">
        <x:v>27</x:v>
      </x:c>
      <x:c r="AK365" s="10" t="n">
        <x:f>IF(COUNT(AJ365,AI365)=2,AJ365-AI365,"")</x:f>
        <x:v>-25</x:v>
      </x:c>
      <x:c r="AL365" s="10" t="n">
        <x:v>23</x:v>
      </x:c>
      <x:c r="AM365" s="10" t="n">
        <x:v>23</x:v>
      </x:c>
      <x:c r="AN365" s="4" t="str">
        <x:v>C,LW,RW</x:v>
      </x:c>
      <x:c r="AO365" s="4" t="str">
        <x:v>C</x:v>
      </x:c>
      <x:c r="AP365" s="4" t="str">
        <x:v>CAR</x:v>
      </x:c>
      <x:c r="AQ365" s="4" t="str">
        <x:v>CAR</x:v>
      </x:c>
      <x:c r="AR365" s="4" t="n">
        <x:v>19.45</x:v>
      </x:c>
      <x:c r="AS365" s="4" t="n">
        <x:v>18.883333333333333</x:v>
      </x:c>
      <x:c r="AT365" s="4" t="n">
        <x:v>3.3</x:v>
      </x:c>
      <x:c r="AU365" s="4" t="n">
        <x:v>14.3</x:v>
      </x:c>
      <x:c r="AV365" s="10" t="n">
        <x:v>5</x:v>
      </x:c>
      <x:c r="AW365" s="10" t="n">
        <x:v>16</x:v>
      </x:c>
      <x:c r="AX365" s="10" t="n">
        <x:v>4</x:v>
      </x:c>
      <x:c r="AY365" s="10" t="n">
        <x:v>2</x:v>
      </x:c>
      <x:c r="AZ365" s="10" t="n">
        <x:v>1225</x:v>
      </x:c>
      <x:c r="BA365" s="10" t="n">
        <x:v>812</x:v>
      </x:c>
      <x:c r="BB365" s="4" t="n">
        <x:v>60.1</x:v>
      </x:c>
      <x:c r="BC365" s="4" t="n">
        <x:v>-0.1</x:v>
      </x:c>
      <x:c r="BD365" s="10" t="n">
        <x:v>918</x:v>
      </x:c>
      <x:c r="BE365" s="10" t="n">
        <x:v>620</x:v>
      </x:c>
      <x:c r="BF365" s="4" t="n">
        <x:v>59.7</x:v>
      </x:c>
      <x:c r="BG365" s="4" t="n">
        <x:v>0.7</x:v>
      </x:c>
      <x:c r="BH365" s="4" t="n">
        <x:v>9.5</x:v>
      </x:c>
      <x:c r="BI365" s="4" t="n">
        <x:v>86.3</x:v>
      </x:c>
      <x:c r="BJ365" s="4" t="n">
        <x:v>95.8</x:v>
      </x:c>
      <x:c r="BK365" s="4" t="n">
        <x:v>63.6</x:v>
      </x:c>
      <x:c r="BL365" s="4" t="n">
        <x:v>36.4</x:v>
      </x:c>
      <x:c r="BM365" s="4" t="n">
        <x:v>18.883333333333333</x:v>
      </x:c>
      <x:c r="BN365" s="4" t="n">
        <x:v>14.166666666666666</x:v>
      </x:c>
      <x:c r="BO365" s="10" t="n">
        <x:v>41</x:v>
      </x:c>
      <x:c r="BP365" s="10" t="n">
        <x:v>57</x:v>
      </x:c>
      <x:c r="BQ365" s="4" t="n">
        <x:v>10.3</x:v>
      </x:c>
      <x:c r="BR365" s="10" t="n">
        <x:v>372</x:v>
      </x:c>
      <x:c r="BS365" s="4" t="n">
        <x:v>60.2</x:v>
      </x:c>
      <x:c r="BT365" s="10" t="n">
        <x:v>71</x:v>
      </x:c>
      <x:c r="BU365" s="4" t="str">
        <x:v>CAR</x:v>
      </x:c>
      <x:c r="BV365" s="10" t="n">
        <x:v>72</x:v>
      </x:c>
      <x:c r="BW365" s="10" t="n">
        <x:v>68</x:v>
      </x:c>
      <x:c r="BX365" s="10" t="n">
        <x:v>459</x:v>
      </x:c>
      <x:c r="BY365" s="4" t="str">
        <x:v>Seth Jarvis</x:v>
      </x:c>
      <x:c r="BZ365" s="4" t="str">
        <x:v>Seth Jarvis</x:v>
      </x:c>
      <x:c r="CA365" s="4" t="str">
        <x:v>Seth Jarvis</x:v>
      </x:c>
      <x:c r="CB365" s="4" t="str">
        <x:v>jarvise01</x:v>
      </x:c>
    </x:row>
    <x:row r="366" ht="22" customHeight="1">
      <x:c r="A366" s="4" t="str">
        <x:v>Seth Jones</x:v>
      </x:c>
      <x:c r="B366" s="4" t="str">
        <x:v>sethjones</x:v>
      </x:c>
      <x:c r="C366" s="10" t="n">
        <x:v>1</x:v>
      </x:c>
      <x:c r="D366" s="10" t="n">
        <x:v>1</x:v>
      </x:c>
      <x:c r="E366" s="10" t="n">
        <x:v>1</x:v>
      </x:c>
      <x:c r="F366" s="4" t="n">
        <x:f>IF(COUNT(N366,Q366,T366,W366,Z366,AC366,AF366,AI366)=8,N366*Guide!$E$5+Q366*Guide!$E$6+T366*Guide!$E$7+W366*Guide!$E$8+Z366*Guide!$E$9+AC366*Guide!$E$10+AF366*Guide!$E$11+AI366*Guide!$E$12,"")</x:f>
        <x:v>334.25</x:v>
      </x:c>
      <x:c r="G366" s="4" t="n">
        <x:f>IF(COUNT(O366,R366,U366,X366,AA366,AD366,AG366,AJ366)=8,O366*Guide!$E$5+R366*Guide!$E$6+U366*Guide!$E$7+X366*Guide!$E$8+AA366*Guide!$E$9+AD366*Guide!$E$10+AG366*Guide!$E$11+AJ366*Guide!$E$12,"")</x:f>
        <x:v>195.5</x:v>
      </x:c>
      <x:c r="H366" s="4" t="n">
        <x:f>IF(COUNT(G366,F366)=2,G366-F366,"")</x:f>
        <x:v>-138.75</x:v>
      </x:c>
      <x:c r="I366" s="4" t="n">
        <x:f>IF(AND(ISNUMBER(F366),K366&gt;0),F366/K366,"")</x:f>
        <x:v>4.3980263157894735</x:v>
      </x:c>
      <x:c r="J366" s="4" t="n">
        <x:f>IF(AND(ISNUMBER(G366),L366&gt;0),G366/L366,"")</x:f>
        <x:v>3.7596153846153846</x:v>
      </x:c>
      <x:c r="K366" s="10" t="n">
        <x:v>76</x:v>
      </x:c>
      <x:c r="L366" s="10" t="n">
        <x:v>52</x:v>
      </x:c>
      <x:c r="M366" s="10" t="n">
        <x:f>IF(COUNT(L366,K366)=2,L366-K366,"")</x:f>
        <x:v>-24</x:v>
      </x:c>
      <x:c r="N366" s="10" t="n">
        <x:v>11</x:v>
      </x:c>
      <x:c r="O366" s="10" t="n">
        <x:v>7</x:v>
      </x:c>
      <x:c r="P366" s="10" t="n">
        <x:f>IF(COUNT(O366,N366)=2,O366-N366,"")</x:f>
        <x:v>-4</x:v>
      </x:c>
      <x:c r="Q366" s="10" t="n">
        <x:v>35</x:v>
      </x:c>
      <x:c r="R366" s="10" t="n">
        <x:v>25</x:v>
      </x:c>
      <x:c r="S366" s="10" t="n">
        <x:f>IF(COUNT(R366,Q366)=2,R366-Q366,"")</x:f>
        <x:v>-10</x:v>
      </x:c>
      <x:c r="T366" s="10" t="n">
        <x:v>-3</x:v>
      </x:c>
      <x:c r="U366" s="10" t="n">
        <x:v>-3</x:v>
      </x:c>
      <x:c r="V366" s="10" t="n">
        <x:f>IF(COUNT(U366,T366)=2,U366-T366,"")</x:f>
        <x:v>0</x:v>
      </x:c>
      <x:c r="W366" s="10" t="n">
        <x:v>20</x:v>
      </x:c>
      <x:c r="X366" s="10" t="n">
        <x:f>IF(COUNT(AV366,AW366)=2,AV366+AW366,"")</x:f>
        <x:v>16</x:v>
      </x:c>
      <x:c r="Y366" s="10" t="n">
        <x:f>IF(COUNT(X366,W366)=2,X366-W366,"")</x:f>
        <x:v>-4</x:v>
      </x:c>
      <x:c r="Z366" s="10" t="n">
        <x:v>0</x:v>
      </x:c>
      <x:c r="AA366" s="10" t="n">
        <x:f>IF(COUNT(AX366,AY366)=2,AX366+AY366,"")</x:f>
        <x:v>0</x:v>
      </x:c>
      <x:c r="AB366" s="10" t="n">
        <x:f>IF(COUNT(AA366,Z366)=2,AA366-Z366,"")</x:f>
        <x:v>0</x:v>
      </x:c>
      <x:c r="AC366" s="10" t="n">
        <x:v>163</x:v>
      </x:c>
      <x:c r="AD366" s="10" t="n">
        <x:v>88</x:v>
      </x:c>
      <x:c r="AE366" s="10" t="n">
        <x:f>IF(COUNT(AD366,AC366)=2,AD366-AC366,"")</x:f>
        <x:v>-75</x:v>
      </x:c>
      <x:c r="AF366" s="10" t="n">
        <x:v>102</x:v>
      </x:c>
      <x:c r="AG366" s="10" t="n">
        <x:v>47</x:v>
      </x:c>
      <x:c r="AH366" s="10" t="n">
        <x:f>IF(COUNT(AG366,AF366)=2,AG366-AF366,"")</x:f>
        <x:v>-55</x:v>
      </x:c>
      <x:c r="AI366" s="10" t="n">
        <x:v>136</x:v>
      </x:c>
      <x:c r="AJ366" s="10" t="n">
        <x:v>61</x:v>
      </x:c>
      <x:c r="AK366" s="10" t="n">
        <x:f>IF(COUNT(AJ366,AI366)=2,AJ366-AI366,"")</x:f>
        <x:v>-75</x:v>
      </x:c>
      <x:c r="AL366" s="10" t="n">
        <x:v>31</x:v>
      </x:c>
      <x:c r="AM366" s="10" t="n">
        <x:v>31</x:v>
      </x:c>
      <x:c r="AN366" s="4" t="str">
        <x:v>D</x:v>
      </x:c>
      <x:c r="AO366" s="4" t="str">
        <x:v>D</x:v>
      </x:c>
      <x:c r="AP366" s="4" t="str">
        <x:v>FLA</x:v>
      </x:c>
      <x:c r="AQ366" s="4" t="str">
        <x:v>FLA</x:v>
      </x:c>
      <x:c r="AR366" s="4" t="n">
        <x:v>25.009999999999998</x:v>
      </x:c>
      <x:c r="AS366" s="4" t="n">
        <x:v>23.7</x:v>
      </x:c>
      <x:c r="AT366" s="4" t="n">
        <x:v>2.95</x:v>
      </x:c>
      <x:c r="AU366" s="4" t="n">
        <x:v>8</x:v>
      </x:c>
      <x:c r="AV366" s="10" t="n">
        <x:v>5</x:v>
      </x:c>
      <x:c r="AW366" s="10" t="n">
        <x:v>11</x:v>
      </x:c>
      <x:c r="AX366" s="10" t="n">
        <x:v>0</x:v>
      </x:c>
      <x:c r="AY366" s="10" t="n">
        <x:v>0</x:v>
      </x:c>
      <x:c r="AZ366" s="10" t="n">
        <x:v>940</x:v>
      </x:c>
      <x:c r="BA366" s="10" t="n">
        <x:v>873</x:v>
      </x:c>
      <x:c r="BB366" s="4" t="n">
        <x:v>51.8</x:v>
      </x:c>
      <x:c r="BC366" s="4" t="n">
        <x:v>0.6</x:v>
      </x:c>
      <x:c r="BD366" s="10" t="n">
        <x:v>676</x:v>
      </x:c>
      <x:c r="BE366" s="10" t="n">
        <x:v>646</x:v>
      </x:c>
      <x:c r="BF366" s="4" t="n">
        <x:v>51.1</x:v>
      </x:c>
      <x:c r="BG366" s="4" t="n">
        <x:v>0.7</x:v>
      </x:c>
      <x:c r="BH366" s="4" t="n">
        <x:v>10.4</x:v>
      </x:c>
      <x:c r="BI366" s="4" t="n">
        <x:v>89</x:v>
      </x:c>
      <x:c r="BJ366" s="4" t="n">
        <x:v>99.3</x:v>
      </x:c>
      <x:c r="BK366" s="4" t="n">
        <x:v>50.9</x:v>
      </x:c>
      <x:c r="BL366" s="4" t="n">
        <x:v>49.1</x:v>
      </x:c>
      <x:c r="BM366" s="4" t="n">
        <x:v>23.7</x:v>
      </x:c>
      <x:c r="BN366" s="4" t="n">
        <x:v>17.85</x:v>
      </x:c>
      <x:c r="BO366" s="10" t="n">
        <x:v>13</x:v>
      </x:c>
      <x:c r="BP366" s="10" t="n">
        <x:v>66</x:v>
      </x:c>
      <x:c r="BQ366" s="4" t="n">
        <x:v>4.2</x:v>
      </x:c>
      <x:c r="BR366" s="10" t="n">
        <x:v>230</x:v>
      </x:c>
      <x:c r="BS366" s="4" t="n">
        <x:v>38.3</x:v>
      </x:c>
      <x:c r="BT366" s="10" t="n">
        <x:v>52</x:v>
      </x:c>
      <x:c r="BU366" s="4" t="str">
        <x:v>FLA</x:v>
      </x:c>
      <x:c r="BV366" s="10" t="n">
        <x:v>184</x:v>
      </x:c>
      <x:c r="BW366" s="10" t="n">
        <x:v>301</x:v>
      </x:c>
      <x:c r="BX366" s="10" t="n">
        <x:v>476</x:v>
      </x:c>
      <x:c r="BY366" s="4" t="str">
        <x:v>Seth Jones</x:v>
      </x:c>
      <x:c r="BZ366" s="4" t="str">
        <x:v>Seth Jones</x:v>
      </x:c>
      <x:c r="CA366" s="4" t="str">
        <x:v>Seth Jones</x:v>
      </x:c>
      <x:c r="CB366" s="4" t="str">
        <x:v>jonesse01</x:v>
      </x:c>
    </x:row>
    <x:row r="367" ht="22" customHeight="1">
      <x:c r="A367" s="4" t="str">
        <x:v>Shane Pinto</x:v>
      </x:c>
      <x:c r="B367" s="4" t="str">
        <x:v>shanepinto</x:v>
      </x:c>
      <x:c r="C367" s="10" t="n">
        <x:v>1</x:v>
      </x:c>
      <x:c r="D367" s="10" t="n">
        <x:v>1</x:v>
      </x:c>
      <x:c r="E367" s="10" t="n">
        <x:v>1</x:v>
      </x:c>
      <x:c r="F367" s="4" t="n">
        <x:f>IF(COUNT(N367,Q367,T367,W367,Z367,AC367,AF367,AI367)=8,N367*Guide!$E$5+Q367*Guide!$E$6+T367*Guide!$E$7+W367*Guide!$E$8+Z367*Guide!$E$9+AC367*Guide!$E$10+AF367*Guide!$E$11+AI367*Guide!$E$12,"")</x:f>
        <x:v>266.5</x:v>
      </x:c>
      <x:c r="G367" s="4" t="n">
        <x:f>IF(COUNT(O367,R367,U367,X367,AA367,AD367,AG367,AJ367)=8,O367*Guide!$E$5+R367*Guide!$E$6+U367*Guide!$E$7+X367*Guide!$E$8+AA367*Guide!$E$9+AD367*Guide!$E$10+AG367*Guide!$E$11+AJ367*Guide!$E$12,"")</x:f>
        <x:v>284.25</x:v>
      </x:c>
      <x:c r="H367" s="4" t="n">
        <x:f>IF(COUNT(G367,F367)=2,G367-F367,"")</x:f>
        <x:v>17.75</x:v>
      </x:c>
      <x:c r="I367" s="4" t="n">
        <x:f>IF(AND(ISNUMBER(F367),K367&gt;0),F367/K367,"")</x:f>
        <x:v>3.5533333333333332</x:v>
      </x:c>
      <x:c r="J367" s="4" t="n">
        <x:f>IF(AND(ISNUMBER(G367),L367&gt;0),G367/L367,"")</x:f>
        <x:v>3.9479166666666665</x:v>
      </x:c>
      <x:c r="K367" s="10" t="n">
        <x:v>75</x:v>
      </x:c>
      <x:c r="L367" s="10" t="n">
        <x:v>72</x:v>
      </x:c>
      <x:c r="M367" s="10" t="n">
        <x:f>IF(COUNT(L367,K367)=2,L367-K367,"")</x:f>
        <x:v>-3</x:v>
      </x:c>
      <x:c r="N367" s="10" t="n">
        <x:v>22</x:v>
      </x:c>
      <x:c r="O367" s="10" t="n">
        <x:v>23</x:v>
      </x:c>
      <x:c r="P367" s="10" t="n">
        <x:f>IF(COUNT(O367,N367)=2,O367-N367,"")</x:f>
        <x:v>1</x:v>
      </x:c>
      <x:c r="Q367" s="10" t="n">
        <x:v>20</x:v>
      </x:c>
      <x:c r="R367" s="10" t="n">
        <x:v>23</x:v>
      </x:c>
      <x:c r="S367" s="10" t="n">
        <x:f>IF(COUNT(R367,Q367)=2,R367-Q367,"")</x:f>
        <x:v>3</x:v>
      </x:c>
      <x:c r="T367" s="10" t="n">
        <x:v>7</x:v>
      </x:c>
      <x:c r="U367" s="10" t="n">
        <x:v>6</x:v>
      </x:c>
      <x:c r="V367" s="10" t="n">
        <x:f>IF(COUNT(U367,T367)=2,U367-T367,"")</x:f>
        <x:v>-1</x:v>
      </x:c>
      <x:c r="W367" s="10" t="n">
        <x:v>6</x:v>
      </x:c>
      <x:c r="X367" s="10" t="n">
        <x:f>IF(COUNT(AV367,AW367)=2,AV367+AW367,"")</x:f>
        <x:v>5</x:v>
      </x:c>
      <x:c r="Y367" s="10" t="n">
        <x:f>IF(COUNT(X367,W367)=2,X367-W367,"")</x:f>
        <x:v>-1</x:v>
      </x:c>
      <x:c r="Z367" s="10" t="n">
        <x:v>2</x:v>
      </x:c>
      <x:c r="AA367" s="10" t="n">
        <x:f>IF(COUNT(AX367,AY367)=2,AX367+AY367,"")</x:f>
        <x:v>4</x:v>
      </x:c>
      <x:c r="AB367" s="10" t="n">
        <x:f>IF(COUNT(AA367,Z367)=2,AA367-Z367,"")</x:f>
        <x:v>2</x:v>
      </x:c>
      <x:c r="AC367" s="10" t="n">
        <x:v>143</x:v>
      </x:c>
      <x:c r="AD367" s="10" t="n">
        <x:v>157</x:v>
      </x:c>
      <x:c r="AE367" s="10" t="n">
        <x:f>IF(COUNT(AD367,AC367)=2,AD367-AC367,"")</x:f>
        <x:v>14</x:v>
      </x:c>
      <x:c r="AF367" s="10" t="n">
        <x:v>75</x:v>
      </x:c>
      <x:c r="AG367" s="10" t="n">
        <x:v>94</x:v>
      </x:c>
      <x:c r="AH367" s="10" t="n">
        <x:f>IF(COUNT(AG367,AF367)=2,AG367-AF367,"")</x:f>
        <x:v>19</x:v>
      </x:c>
      <x:c r="AI367" s="10" t="n">
        <x:v>60</x:v>
      </x:c>
      <x:c r="AJ367" s="10" t="n">
        <x:v>50</x:v>
      </x:c>
      <x:c r="AK367" s="10" t="n">
        <x:f>IF(COUNT(AJ367,AI367)=2,AJ367-AI367,"")</x:f>
        <x:v>-10</x:v>
      </x:c>
      <x:c r="AL367" s="10" t="n">
        <x:v>25</x:v>
      </x:c>
      <x:c r="AM367" s="10" t="n">
        <x:v>25</x:v>
      </x:c>
      <x:c r="AN367" s="4" t="str">
        <x:v>C</x:v>
      </x:c>
      <x:c r="AO367" s="4" t="str">
        <x:v>C</x:v>
      </x:c>
      <x:c r="AP367" s="4" t="str">
        <x:v>OTT</x:v>
      </x:c>
      <x:c r="AQ367" s="4" t="str">
        <x:v>OTT</x:v>
      </x:c>
      <x:c r="AR367" s="4" t="n">
        <x:v>17.55</x:v>
      </x:c>
      <x:c r="AS367" s="4" t="n">
        <x:v>18.716666666666665</x:v>
      </x:c>
      <x:c r="AT367" s="4" t="n">
        <x:v>1.39</x:v>
      </x:c>
      <x:c r="AU367" s="4" t="n">
        <x:v>14.6</x:v>
      </x:c>
      <x:c r="AV367" s="10" t="n">
        <x:v>5</x:v>
      </x:c>
      <x:c r="AW367" s="10" t="n">
        <x:v>0</x:v>
      </x:c>
      <x:c r="AX367" s="10" t="n">
        <x:v>2</x:v>
      </x:c>
      <x:c r="AY367" s="10" t="n">
        <x:v>2</x:v>
      </x:c>
      <x:c r="AZ367" s="10" t="n">
        <x:v>940</x:v>
      </x:c>
      <x:c r="BA367" s="10" t="n">
        <x:v>983</x:v>
      </x:c>
      <x:c r="BB367" s="4" t="n">
        <x:v>48.9</x:v>
      </x:c>
      <x:c r="BC367" s="4" t="n">
        <x:v>-4.8</x:v>
      </x:c>
      <x:c r="BD367" s="10" t="n">
        <x:v>707</x:v>
      </x:c>
      <x:c r="BE367" s="10" t="n">
        <x:v>677</x:v>
      </x:c>
      <x:c r="BF367" s="4" t="n">
        <x:v>51.1</x:v>
      </x:c>
      <x:c r="BG367" s="4" t="n">
        <x:v>-2.8</x:v>
      </x:c>
      <x:c r="BH367" s="4" t="n">
        <x:v>12.1</x:v>
      </x:c>
      <x:c r="BI367" s="4" t="n">
        <x:v>87.4</x:v>
      </x:c>
      <x:c r="BJ367" s="4" t="n">
        <x:v>99.5</x:v>
      </x:c>
      <x:c r="BK367" s="4" t="n">
        <x:v>30.9</x:v>
      </x:c>
      <x:c r="BL367" s="4" t="n">
        <x:v>69.1</x:v>
      </x:c>
      <x:c r="BM367" s="4" t="n">
        <x:v>18.716666666666665</x:v>
      </x:c>
      <x:c r="BN367" s="4" t="n">
        <x:v>14.633333333333333</x:v>
      </x:c>
      <x:c r="BO367" s="10" t="n">
        <x:v>25</x:v>
      </x:c>
      <x:c r="BP367" s="10" t="n">
        <x:v>53</x:v>
      </x:c>
      <x:c r="BQ367" s="4" t="n">
        <x:v>5.8</x:v>
      </x:c>
      <x:c r="BR367" s="10" t="n">
        <x:v>311</x:v>
      </x:c>
      <x:c r="BS367" s="4" t="n">
        <x:v>50.5</x:v>
      </x:c>
      <x:c r="BT367" s="10" t="n">
        <x:v>72</x:v>
      </x:c>
      <x:c r="BU367" s="4" t="str">
        <x:v>OTT</x:v>
      </x:c>
      <x:c r="BV367" s="10" t="n">
        <x:v>226</x:v>
      </x:c>
      <x:c r="BW367" s="10" t="n">
        <x:v>170</x:v>
      </x:c>
      <x:c r="BX367" s="10" t="n">
        <x:v>820</x:v>
      </x:c>
      <x:c r="BY367" s="4" t="str">
        <x:v>Shane Pinto</x:v>
      </x:c>
      <x:c r="BZ367" s="4" t="str">
        <x:v>Shane Pinto</x:v>
      </x:c>
      <x:c r="CA367" s="4" t="str">
        <x:v>Shane Pinto</x:v>
      </x:c>
      <x:c r="CB367" s="4" t="str">
        <x:v>pintosh01</x:v>
      </x:c>
    </x:row>
    <x:row r="368" ht="22" customHeight="1">
      <x:c r="A368" s="4" t="str">
        <x:v>Shane Wright</x:v>
      </x:c>
      <x:c r="B368" s="4" t="str">
        <x:v>shanewright</x:v>
      </x:c>
      <x:c r="C368" s="10" t="n">
        <x:v>1</x:v>
      </x:c>
      <x:c r="D368" s="10" t="n">
        <x:v>1</x:v>
      </x:c>
      <x:c r="E368" s="10" t="n">
        <x:v>1</x:v>
      </x:c>
      <x:c r="F368" s="4" t="n">
        <x:f>IF(COUNT(N368,Q368,T368,W368,Z368,AC368,AF368,AI368)=8,N368*Guide!$E$5+Q368*Guide!$E$6+T368*Guide!$E$7+W368*Guide!$E$8+Z368*Guide!$E$9+AC368*Guide!$E$10+AF368*Guide!$E$11+AI368*Guide!$E$12,"")</x:f>
        <x:v>266.25</x:v>
      </x:c>
      <x:c r="G368" s="4" t="n">
        <x:f>IF(COUNT(O368,R368,U368,X368,AA368,AD368,AG368,AJ368)=8,O368*Guide!$E$5+R368*Guide!$E$6+U368*Guide!$E$7+X368*Guide!$E$8+AA368*Guide!$E$9+AD368*Guide!$E$10+AG368*Guide!$E$11+AJ368*Guide!$E$12,"")</x:f>
        <x:v>186.25</x:v>
      </x:c>
      <x:c r="H368" s="4" t="n">
        <x:f>IF(COUNT(G368,F368)=2,G368-F368,"")</x:f>
        <x:v>-80</x:v>
      </x:c>
      <x:c r="I368" s="4" t="n">
        <x:f>IF(AND(ISNUMBER(F368),K368&gt;0),F368/K368,"")</x:f>
        <x:v>3.3702531645569622</x:v>
      </x:c>
      <x:c r="J368" s="4" t="n">
        <x:f>IF(AND(ISNUMBER(G368),L368&gt;0),G368/L368,"")</x:f>
        <x:v>2.516891891891892</x:v>
      </x:c>
      <x:c r="K368" s="10" t="n">
        <x:v>79</x:v>
      </x:c>
      <x:c r="L368" s="10" t="n">
        <x:v>74</x:v>
      </x:c>
      <x:c r="M368" s="10" t="n">
        <x:f>IF(COUNT(L368,K368)=2,L368-K368,"")</x:f>
        <x:v>-5</x:v>
      </x:c>
      <x:c r="N368" s="10" t="n">
        <x:v>23</x:v>
      </x:c>
      <x:c r="O368" s="10" t="n">
        <x:v>12</x:v>
      </x:c>
      <x:c r="P368" s="10" t="n">
        <x:f>IF(COUNT(O368,N368)=2,O368-N368,"")</x:f>
        <x:v>-11</x:v>
      </x:c>
      <x:c r="Q368" s="10" t="n">
        <x:v>25</x:v>
      </x:c>
      <x:c r="R368" s="10" t="n">
        <x:v>15</x:v>
      </x:c>
      <x:c r="S368" s="10" t="n">
        <x:f>IF(COUNT(R368,Q368)=2,R368-Q368,"")</x:f>
        <x:v>-10</x:v>
      </x:c>
      <x:c r="T368" s="10" t="n">
        <x:v>-4</x:v>
      </x:c>
      <x:c r="U368" s="10" t="n">
        <x:v>6</x:v>
      </x:c>
      <x:c r="V368" s="10" t="n">
        <x:f>IF(COUNT(U368,T368)=2,U368-T368,"")</x:f>
        <x:v>10</x:v>
      </x:c>
      <x:c r="W368" s="10" t="n">
        <x:v>15</x:v>
      </x:c>
      <x:c r="X368" s="10" t="n">
        <x:f>IF(COUNT(AV368,AW368)=2,AV368+AW368,"")</x:f>
        <x:v>6</x:v>
      </x:c>
      <x:c r="Y368" s="10" t="n">
        <x:f>IF(COUNT(X368,W368)=2,X368-W368,"")</x:f>
        <x:v>-9</x:v>
      </x:c>
      <x:c r="Z368" s="10" t="n">
        <x:v>0</x:v>
      </x:c>
      <x:c r="AA368" s="10" t="n">
        <x:f>IF(COUNT(AX368,AY368)=2,AX368+AY368,"")</x:f>
        <x:v>0</x:v>
      </x:c>
      <x:c r="AB368" s="10" t="n">
        <x:f>IF(COUNT(AA368,Z368)=2,AA368-Z368,"")</x:f>
        <x:v>0</x:v>
      </x:c>
      <x:c r="AC368" s="10" t="n">
        <x:v>109</x:v>
      </x:c>
      <x:c r="AD368" s="10" t="n">
        <x:v>97</x:v>
      </x:c>
      <x:c r="AE368" s="10" t="n">
        <x:f>IF(COUNT(AD368,AC368)=2,AD368-AC368,"")</x:f>
        <x:v>-12</x:v>
      </x:c>
      <x:c r="AF368" s="10" t="n">
        <x:v>55</x:v>
      </x:c>
      <x:c r="AG368" s="10" t="n">
        <x:v>51</x:v>
      </x:c>
      <x:c r="AH368" s="10" t="n">
        <x:f>IF(COUNT(AG368,AF368)=2,AG368-AF368,"")</x:f>
        <x:v>-4</x:v>
      </x:c>
      <x:c r="AI368" s="10" t="n">
        <x:v>63</x:v>
      </x:c>
      <x:c r="AJ368" s="10" t="n">
        <x:v>59</x:v>
      </x:c>
      <x:c r="AK368" s="10" t="n">
        <x:f>IF(COUNT(AJ368,AI368)=2,AJ368-AI368,"")</x:f>
        <x:v>-4</x:v>
      </x:c>
      <x:c r="AL368" s="10" t="n">
        <x:v>22</x:v>
      </x:c>
      <x:c r="AM368" s="10" t="n">
        <x:v>22</x:v>
      </x:c>
      <x:c r="AN368" s="4" t="str">
        <x:v>C</x:v>
      </x:c>
      <x:c r="AO368" s="4" t="str">
        <x:v>C</x:v>
      </x:c>
      <x:c r="AP368" s="4" t="str">
        <x:v>SEA</x:v>
      </x:c>
      <x:c r="AQ368" s="4" t="str">
        <x:v>SEA</x:v>
      </x:c>
      <x:c r="AR368" s="4" t="n">
        <x:v>14.59</x:v>
      </x:c>
      <x:c r="AS368" s="4" t="n">
        <x:v>13.8</x:v>
      </x:c>
      <x:c r="AT368" s="4" t="n">
        <x:v>2.06</x:v>
      </x:c>
      <x:c r="AU368" s="4" t="n">
        <x:v>12.4</x:v>
      </x:c>
      <x:c r="AV368" s="10" t="n">
        <x:v>2</x:v>
      </x:c>
      <x:c r="AW368" s="10" t="n">
        <x:v>4</x:v>
      </x:c>
      <x:c r="AX368" s="10" t="n">
        <x:v>0</x:v>
      </x:c>
      <x:c r="AY368" s="10" t="n">
        <x:v>0</x:v>
      </x:c>
      <x:c r="AZ368" s="10" t="n">
        <x:v>800</x:v>
      </x:c>
      <x:c r="BA368" s="10" t="n">
        <x:v>929</x:v>
      </x:c>
      <x:c r="BB368" s="4" t="n">
        <x:v>46.3</x:v>
      </x:c>
      <x:c r="BC368" s="4" t="n">
        <x:v>2</x:v>
      </x:c>
      <x:c r="BD368" s="10" t="n">
        <x:v>595</x:v>
      </x:c>
      <x:c r="BE368" s="10" t="n">
        <x:v>649</x:v>
      </x:c>
      <x:c r="BF368" s="4" t="n">
        <x:v>47.8</x:v>
      </x:c>
      <x:c r="BG368" s="4" t="n">
        <x:v>3.3</x:v>
      </x:c>
      <x:c r="BH368" s="4" t="n">
        <x:v>8.7</x:v>
      </x:c>
      <x:c r="BI368" s="4" t="n">
        <x:v>93.5</x:v>
      </x:c>
      <x:c r="BJ368" s="4" t="n">
        <x:v>102.2</x:v>
      </x:c>
      <x:c r="BK368" s="4" t="n">
        <x:v>66.9</x:v>
      </x:c>
      <x:c r="BL368" s="4" t="n">
        <x:v>33.1</x:v>
      </x:c>
      <x:c r="BM368" s="4" t="n">
        <x:v>13.8</x:v>
      </x:c>
      <x:c r="BN368" s="4" t="n">
        <x:v>12.183333333333334</x:v>
      </x:c>
      <x:c r="BO368" s="10" t="n">
        <x:v>12</x:v>
      </x:c>
      <x:c r="BP368" s="10" t="n">
        <x:v>67</x:v>
      </x:c>
      <x:c r="BQ368" s="4" t="n">
        <x:v>3.1</x:v>
      </x:c>
      <x:c r="BR368" s="10" t="n">
        <x:v>188</x:v>
      </x:c>
      <x:c r="BS368" s="4" t="n">
        <x:v>51.6</x:v>
      </x:c>
      <x:c r="BT368" s="10" t="n">
        <x:v>74</x:v>
      </x:c>
      <x:c r="BU368" s="4" t="str">
        <x:v>SEA</x:v>
      </x:c>
      <x:c r="BV368" s="10" t="n">
        <x:v>169</x:v>
      </x:c>
      <x:c r="BW368" s="10" t="n">
        <x:v>370</x:v>
      </x:c>
      <x:c r="BX368" s="10" t="n">
        <x:v>1085</x:v>
      </x:c>
      <x:c r="BY368" s="4" t="str">
        <x:v>Shane Wright</x:v>
      </x:c>
      <x:c r="BZ368" s="4" t="str">
        <x:v>Shane Wright</x:v>
      </x:c>
      <x:c r="CA368" s="4" t="str">
        <x:v>Shane Wright</x:v>
      </x:c>
      <x:c r="CB368" s="4" t="str">
        <x:v>wrighsh01</x:v>
      </x:c>
    </x:row>
    <x:row r="369" ht="22" customHeight="1">
      <x:c r="A369" s="4" t="str">
        <x:v>Shayne Gostisbehere</x:v>
      </x:c>
      <x:c r="B369" s="4" t="str">
        <x:v>shaynegostisbehere</x:v>
      </x:c>
      <x:c r="C369" s="10" t="n">
        <x:v>1</x:v>
      </x:c>
      <x:c r="D369" s="10" t="n">
        <x:v>1</x:v>
      </x:c>
      <x:c r="E369" s="10" t="n">
        <x:v>1</x:v>
      </x:c>
      <x:c r="F369" s="4" t="n">
        <x:f>IF(COUNT(N369,Q369,T369,W369,Z369,AC369,AF369,AI369)=8,N369*Guide!$E$5+Q369*Guide!$E$6+T369*Guide!$E$7+W369*Guide!$E$8+Z369*Guide!$E$9+AC369*Guide!$E$10+AF369*Guide!$E$11+AI369*Guide!$E$12,"")</x:f>
        <x:v>300.25</x:v>
      </x:c>
      <x:c r="G369" s="4" t="n">
        <x:f>IF(COUNT(O369,R369,U369,X369,AA369,AD369,AG369,AJ369)=8,O369*Guide!$E$5+R369*Guide!$E$6+U369*Guide!$E$7+X369*Guide!$E$8+AA369*Guide!$E$9+AD369*Guide!$E$10+AG369*Guide!$E$11+AJ369*Guide!$E$12,"")</x:f>
        <x:v>275.5</x:v>
      </x:c>
      <x:c r="H369" s="4" t="n">
        <x:f>IF(COUNT(G369,F369)=2,G369-F369,"")</x:f>
        <x:v>-24.75</x:v>
      </x:c>
      <x:c r="I369" s="4" t="n">
        <x:f>IF(AND(ISNUMBER(F369),K369&gt;0),F369/K369,"")</x:f>
        <x:v>3.950657894736842</x:v>
      </x:c>
      <x:c r="J369" s="4" t="n">
        <x:f>IF(AND(ISNUMBER(G369),L369&gt;0),G369/L369,"")</x:f>
        <x:v>5.009090909090909</x:v>
      </x:c>
      <x:c r="K369" s="10" t="n">
        <x:v>76</x:v>
      </x:c>
      <x:c r="L369" s="10" t="n">
        <x:v>55</x:v>
      </x:c>
      <x:c r="M369" s="10" t="n">
        <x:f>IF(COUNT(L369,K369)=2,L369-K369,"")</x:f>
        <x:v>-21</x:v>
      </x:c>
      <x:c r="N369" s="10" t="n">
        <x:v>10</x:v>
      </x:c>
      <x:c r="O369" s="10" t="n">
        <x:v>13</x:v>
      </x:c>
      <x:c r="P369" s="10" t="n">
        <x:f>IF(COUNT(O369,N369)=2,O369-N369,"")</x:f>
        <x:v>3</x:v>
      </x:c>
      <x:c r="Q369" s="10" t="n">
        <x:v>43</x:v>
      </x:c>
      <x:c r="R369" s="10" t="n">
        <x:v>37</x:v>
      </x:c>
      <x:c r="S369" s="10" t="n">
        <x:f>IF(COUNT(R369,Q369)=2,R369-Q369,"")</x:f>
        <x:v>-6</x:v>
      </x:c>
      <x:c r="T369" s="10" t="n">
        <x:v>4</x:v>
      </x:c>
      <x:c r="U369" s="10" t="n">
        <x:v>11</x:v>
      </x:c>
      <x:c r="V369" s="10" t="n">
        <x:f>IF(COUNT(U369,T369)=2,U369-T369,"")</x:f>
        <x:v>7</x:v>
      </x:c>
      <x:c r="W369" s="10" t="n">
        <x:v>29</x:v>
      </x:c>
      <x:c r="X369" s="10" t="n">
        <x:f>IF(COUNT(AV369,AW369)=2,AV369+AW369,"")</x:f>
        <x:v>18</x:v>
      </x:c>
      <x:c r="Y369" s="10" t="n">
        <x:f>IF(COUNT(X369,W369)=2,X369-W369,"")</x:f>
        <x:v>-11</x:v>
      </x:c>
      <x:c r="Z369" s="10" t="n">
        <x:v>0</x:v>
      </x:c>
      <x:c r="AA369" s="10" t="n">
        <x:f>IF(COUNT(AX369,AY369)=2,AX369+AY369,"")</x:f>
        <x:v>0</x:v>
      </x:c>
      <x:c r="AB369" s="10" t="n">
        <x:f>IF(COUNT(AA369,Z369)=2,AA369-Z369,"")</x:f>
        <x:v>0</x:v>
      </x:c>
      <x:c r="AC369" s="10" t="n">
        <x:v>134</x:v>
      </x:c>
      <x:c r="AD369" s="10" t="n">
        <x:v>116</x:v>
      </x:c>
      <x:c r="AE369" s="10" t="n">
        <x:f>IF(COUNT(AD369,AC369)=2,AD369-AC369,"")</x:f>
        <x:v>-18</x:v>
      </x:c>
      <x:c r="AF369" s="10" t="n">
        <x:v>40</x:v>
      </x:c>
      <x:c r="AG369" s="10" t="n">
        <x:v>29</x:v>
      </x:c>
      <x:c r="AH369" s="10" t="n">
        <x:f>IF(COUNT(AG369,AF369)=2,AG369-AF369,"")</x:f>
        <x:v>-11</x:v>
      </x:c>
      <x:c r="AI369" s="10" t="n">
        <x:v>73</x:v>
      </x:c>
      <x:c r="AJ369" s="10" t="n">
        <x:v>63</x:v>
      </x:c>
      <x:c r="AK369" s="10" t="n">
        <x:f>IF(COUNT(AJ369,AI369)=2,AJ369-AI369,"")</x:f>
        <x:v>-10</x:v>
      </x:c>
      <x:c r="AL369" s="10" t="n">
        <x:v>32</x:v>
      </x:c>
      <x:c r="AM369" s="10" t="n">
        <x:v>32</x:v>
      </x:c>
      <x:c r="AN369" s="4" t="str">
        <x:v>D</x:v>
      </x:c>
      <x:c r="AO369" s="4" t="str">
        <x:v>D</x:v>
      </x:c>
      <x:c r="AP369" s="4" t="str">
        <x:v>CAR</x:v>
      </x:c>
      <x:c r="AQ369" s="4" t="str">
        <x:v>CAR</x:v>
      </x:c>
      <x:c r="AR369" s="4" t="n">
        <x:v>18.63</x:v>
      </x:c>
      <x:c r="AS369" s="4" t="n">
        <x:v>19.233333333333334</x:v>
      </x:c>
      <x:c r="AT369" s="4" t="n">
        <x:v>3.34</x:v>
      </x:c>
      <x:c r="AU369" s="4" t="n">
        <x:v>11.2</x:v>
      </x:c>
      <x:c r="AV369" s="10" t="n">
        <x:v>6</x:v>
      </x:c>
      <x:c r="AW369" s="10" t="n">
        <x:v>12</x:v>
      </x:c>
      <x:c r="AX369" s="10" t="n">
        <x:v>0</x:v>
      </x:c>
      <x:c r="AY369" s="10" t="n">
        <x:v>0</x:v>
      </x:c>
      <x:c r="AZ369" s="10" t="n">
        <x:v>1026</x:v>
      </x:c>
      <x:c r="BA369" s="10" t="n">
        <x:v>696</x:v>
      </x:c>
      <x:c r="BB369" s="4" t="n">
        <x:v>59.6</x:v>
      </x:c>
      <x:c r="BC369" s="4" t="n">
        <x:v>-0.6</x:v>
      </x:c>
      <x:c r="BD369" s="10" t="n">
        <x:v>765</x:v>
      </x:c>
      <x:c r="BE369" s="10" t="n">
        <x:v>522</x:v>
      </x:c>
      <x:c r="BF369" s="4" t="n">
        <x:v>59.4</x:v>
      </x:c>
      <x:c r="BG369" s="4" t="n">
        <x:v>0.6</x:v>
      </x:c>
      <x:c r="BH369" s="4" t="n">
        <x:v>11.1</x:v>
      </x:c>
      <x:c r="BI369" s="4" t="n">
        <x:v>86.6</x:v>
      </x:c>
      <x:c r="BJ369" s="4" t="n">
        <x:v>97.7</x:v>
      </x:c>
      <x:c r="BK369" s="4" t="n">
        <x:v>70.2</x:v>
      </x:c>
      <x:c r="BL369" s="4" t="n">
        <x:v>29.8</x:v>
      </x:c>
      <x:c r="BM369" s="4" t="n">
        <x:v>19.233333333333334</x:v>
      </x:c>
      <x:c r="BN369" s="4" t="n">
        <x:v>16.016666666666666</x:v>
      </x:c>
      <x:c r="BO369" s="10" t="n">
        <x:v>19</x:v>
      </x:c>
      <x:c r="BP369" s="10" t="n">
        <x:v>54</x:v>
      </x:c>
      <x:c r="BQ369" s="4" t="n">
        <x:v>13.5</x:v>
      </x:c>
      <x:c r="BR369" s="10" t="n">
        <x:v>282</x:v>
      </x:c>
      <x:c r="BS369" s="4" t="n">
        <x:v>41.1</x:v>
      </x:c>
      <x:c r="BT369" s="10" t="n">
        <x:v>55</x:v>
      </x:c>
      <x:c r="BU369" s="4" t="str">
        <x:v>CAR</x:v>
      </x:c>
      <x:c r="BV369" s="10" t="n">
        <x:v>133</x:v>
      </x:c>
      <x:c r="BW369" s="10" t="n">
        <x:v>141</x:v>
      </x:c>
      <x:c r="BX369" s="10" t="n">
        <x:v>349</x:v>
      </x:c>
      <x:c r="BY369" s="4" t="str">
        <x:v>Shayne Gostisbehere</x:v>
      </x:c>
      <x:c r="BZ369" s="4" t="str">
        <x:v>Shayne Gostisbehere</x:v>
      </x:c>
      <x:c r="CA369" s="4" t="str">
        <x:v>Shayne Gostisbehere</x:v>
      </x:c>
      <x:c r="CB369" s="4" t="str">
        <x:v>gostish01</x:v>
      </x:c>
    </x:row>
    <x:row r="370" ht="22" customHeight="1">
      <x:c r="A370" s="4" t="str">
        <x:v>Shea Theodore</x:v>
      </x:c>
      <x:c r="B370" s="4" t="str">
        <x:v>sheatheodore</x:v>
      </x:c>
      <x:c r="C370" s="10" t="n">
        <x:v>1</x:v>
      </x:c>
      <x:c r="D370" s="10" t="n">
        <x:v>1</x:v>
      </x:c>
      <x:c r="E370" s="10" t="n">
        <x:v>1</x:v>
      </x:c>
      <x:c r="F370" s="4" t="n">
        <x:f>IF(COUNT(N370,Q370,T370,W370,Z370,AC370,AF370,AI370)=8,N370*Guide!$E$5+Q370*Guide!$E$6+T370*Guide!$E$7+W370*Guide!$E$8+Z370*Guide!$E$9+AC370*Guide!$E$10+AF370*Guide!$E$11+AI370*Guide!$E$12,"")</x:f>
        <x:v>351.5</x:v>
      </x:c>
      <x:c r="G370" s="4" t="n">
        <x:f>IF(COUNT(O370,R370,U370,X370,AA370,AD370,AG370,AJ370)=8,O370*Guide!$E$5+R370*Guide!$E$6+U370*Guide!$E$7+X370*Guide!$E$8+AA370*Guide!$E$9+AD370*Guide!$E$10+AG370*Guide!$E$11+AJ370*Guide!$E$12,"")</x:f>
        <x:v>249.25</x:v>
      </x:c>
      <x:c r="H370" s="4" t="n">
        <x:f>IF(COUNT(G370,F370)=2,G370-F370,"")</x:f>
        <x:v>-102.25</x:v>
      </x:c>
      <x:c r="I370" s="4" t="n">
        <x:f>IF(AND(ISNUMBER(F370),K370&gt;0),F370/K370,"")</x:f>
        <x:v>4.506410256410256</x:v>
      </x:c>
      <x:c r="J370" s="4" t="n">
        <x:f>IF(AND(ISNUMBER(G370),L370&gt;0),G370/L370,"")</x:f>
        <x:v>3.5607142857142855</x:v>
      </x:c>
      <x:c r="K370" s="10" t="n">
        <x:v>78</x:v>
      </x:c>
      <x:c r="L370" s="10" t="n">
        <x:v>70</x:v>
      </x:c>
      <x:c r="M370" s="10" t="n">
        <x:f>IF(COUNT(L370,K370)=2,L370-K370,"")</x:f>
        <x:v>-8</x:v>
      </x:c>
      <x:c r="N370" s="10" t="n">
        <x:v>9</x:v>
      </x:c>
      <x:c r="O370" s="10" t="n">
        <x:v>10</x:v>
      </x:c>
      <x:c r="P370" s="10" t="n">
        <x:f>IF(COUNT(O370,N370)=2,O370-N370,"")</x:f>
        <x:v>1</x:v>
      </x:c>
      <x:c r="Q370" s="10" t="n">
        <x:v>54</x:v>
      </x:c>
      <x:c r="R370" s="10" t="n">
        <x:v>29</x:v>
      </x:c>
      <x:c r="S370" s="10" t="n">
        <x:f>IF(COUNT(R370,Q370)=2,R370-Q370,"")</x:f>
        <x:v>-25</x:v>
      </x:c>
      <x:c r="T370" s="10" t="n">
        <x:v>9</x:v>
      </x:c>
      <x:c r="U370" s="10" t="n">
        <x:v>19</x:v>
      </x:c>
      <x:c r="V370" s="10" t="n">
        <x:f>IF(COUNT(U370,T370)=2,U370-T370,"")</x:f>
        <x:v>10</x:v>
      </x:c>
      <x:c r="W370" s="10" t="n">
        <x:v>23</x:v>
      </x:c>
      <x:c r="X370" s="10" t="n">
        <x:f>IF(COUNT(AV370,AW370)=2,AV370+AW370,"")</x:f>
        <x:v>5</x:v>
      </x:c>
      <x:c r="Y370" s="10" t="n">
        <x:f>IF(COUNT(X370,W370)=2,X370-W370,"")</x:f>
        <x:v>-18</x:v>
      </x:c>
      <x:c r="Z370" s="10" t="n">
        <x:v>0</x:v>
      </x:c>
      <x:c r="AA370" s="10" t="n">
        <x:f>IF(COUNT(AX370,AY370)=2,AX370+AY370,"")</x:f>
        <x:v>0</x:v>
      </x:c>
      <x:c r="AB370" s="10" t="n">
        <x:f>IF(COUNT(AA370,Z370)=2,AA370-Z370,"")</x:f>
        <x:v>0</x:v>
      </x:c>
      <x:c r="AC370" s="10" t="n">
        <x:v>151</x:v>
      </x:c>
      <x:c r="AD370" s="10" t="n">
        <x:v>130</x:v>
      </x:c>
      <x:c r="AE370" s="10" t="n">
        <x:f>IF(COUNT(AD370,AC370)=2,AD370-AC370,"")</x:f>
        <x:v>-21</x:v>
      </x:c>
      <x:c r="AF370" s="10" t="n">
        <x:v>11</x:v>
      </x:c>
      <x:c r="AG370" s="10" t="n">
        <x:v>2</x:v>
      </x:c>
      <x:c r="AH370" s="10" t="n">
        <x:f>IF(COUNT(AG370,AF370)=2,AG370-AF370,"")</x:f>
        <x:v>-9</x:v>
      </x:c>
      <x:c r="AI370" s="10" t="n">
        <x:v>108</x:v>
      </x:c>
      <x:c r="AJ370" s="10" t="n">
        <x:v>87</x:v>
      </x:c>
      <x:c r="AK370" s="10" t="n">
        <x:f>IF(COUNT(AJ370,AI370)=2,AJ370-AI370,"")</x:f>
        <x:v>-21</x:v>
      </x:c>
      <x:c r="AL370" s="10" t="n">
        <x:v>30</x:v>
      </x:c>
      <x:c r="AM370" s="10" t="n">
        <x:v>30</x:v>
      </x:c>
      <x:c r="AN370" s="4" t="str">
        <x:v>D</x:v>
      </x:c>
      <x:c r="AO370" s="4" t="str">
        <x:v>D</x:v>
      </x:c>
      <x:c r="AP370" s="4" t="str">
        <x:v>VGK</x:v>
      </x:c>
      <x:c r="AQ370" s="4" t="str">
        <x:v>VEG</x:v>
      </x:c>
      <x:c r="AR370" s="4" t="n">
        <x:v>22</x:v>
      </x:c>
      <x:c r="AS370" s="4" t="n">
        <x:v>22.833333333333332</x:v>
      </x:c>
      <x:c r="AT370" s="4" t="n">
        <x:v>2.72</x:v>
      </x:c>
      <x:c r="AU370" s="4" t="n">
        <x:v>7.7</x:v>
      </x:c>
      <x:c r="AV370" s="10" t="n">
        <x:v>2</x:v>
      </x:c>
      <x:c r="AW370" s="10" t="n">
        <x:v>3</x:v>
      </x:c>
      <x:c r="AX370" s="10" t="n">
        <x:v>0</x:v>
      </x:c>
      <x:c r="AY370" s="10" t="n">
        <x:v>0</x:v>
      </x:c>
      <x:c r="AZ370" s="10" t="n">
        <x:v>1460</x:v>
      </x:c>
      <x:c r="BA370" s="10" t="n">
        <x:v>1255</x:v>
      </x:c>
      <x:c r="BB370" s="4" t="n">
        <x:v>53.8</x:v>
      </x:c>
      <x:c r="BC370" s="4" t="n">
        <x:v>1.5</x:v>
      </x:c>
      <x:c r="BD370" s="10" t="n">
        <x:v>1060</x:v>
      </x:c>
      <x:c r="BE370" s="10" t="n">
        <x:v>903</x:v>
      </x:c>
      <x:c r="BF370" s="4" t="n">
        <x:v>54</x:v>
      </x:c>
      <x:c r="BG370" s="4" t="n">
        <x:v>1.8</x:v>
      </x:c>
      <x:c r="BH370" s="4" t="n">
        <x:v>10.4</x:v>
      </x:c>
      <x:c r="BI370" s="4" t="n">
        <x:v>90.1</x:v>
      </x:c>
      <x:c r="BJ370" s="4" t="n">
        <x:v>100.4</x:v>
      </x:c>
      <x:c r="BK370" s="4" t="n">
        <x:v>52.1</x:v>
      </x:c>
      <x:c r="BL370" s="4" t="n">
        <x:v>47.9</x:v>
      </x:c>
      <x:c r="BM370" s="4" t="n">
        <x:v>22.833333333333332</x:v>
      </x:c>
      <x:c r="BN370" s="4" t="n">
        <x:v>19.983333333333334</x:v>
      </x:c>
      <x:c r="BO370" s="10" t="n">
        <x:v>23</x:v>
      </x:c>
      <x:c r="BP370" s="10" t="n">
        <x:v>90</x:v>
      </x:c>
      <x:c r="BQ370" s="4" t="n">
        <x:v>14.8</x:v>
      </x:c>
      <x:c r="BR370" s="10" t="n">
        <x:v>322</x:v>
      </x:c>
      <x:c r="BS370" s="4" t="n">
        <x:v>40.4</x:v>
      </x:c>
      <x:c r="BT370" s="10" t="n">
        <x:v>70</x:v>
      </x:c>
      <x:c r="BU370" s="4" t="str">
        <x:v>VEG</x:v>
      </x:c>
      <x:c r="BV370" s="10" t="n">
        <x:v>80</x:v>
      </x:c>
      <x:c r="BW370" s="10" t="n">
        <x:v>223</x:v>
      </x:c>
      <x:c r="BX370" s="10" t="n">
        <x:v>1011</x:v>
      </x:c>
      <x:c r="BY370" s="4" t="str">
        <x:v>Shea Theodore</x:v>
      </x:c>
      <x:c r="BZ370" s="4" t="str">
        <x:v>Shea Theodore</x:v>
      </x:c>
      <x:c r="CA370" s="4" t="str">
        <x:v>Shea Theodore</x:v>
      </x:c>
      <x:c r="CB370" s="4" t="str">
        <x:v>theodsh01</x:v>
      </x:c>
    </x:row>
    <x:row r="371" ht="22" customHeight="1">
      <x:c r="A371" s="4" t="str">
        <x:v>Sidney Crosby</x:v>
      </x:c>
      <x:c r="B371" s="4" t="str">
        <x:v>sidneycrosby</x:v>
      </x:c>
      <x:c r="C371" s="10" t="n">
        <x:v>1</x:v>
      </x:c>
      <x:c r="D371" s="10" t="n">
        <x:v>1</x:v>
      </x:c>
      <x:c r="E371" s="10" t="n">
        <x:v>1</x:v>
      </x:c>
      <x:c r="F371" s="4" t="n">
        <x:f>IF(COUNT(N371,Q371,T371,W371,Z371,AC371,AF371,AI371)=8,N371*Guide!$E$5+Q371*Guide!$E$6+T371*Guide!$E$7+W371*Guide!$E$8+Z371*Guide!$E$9+AC371*Guide!$E$10+AF371*Guide!$E$11+AI371*Guide!$E$12,"")</x:f>
        <x:v>409.75</x:v>
      </x:c>
      <x:c r="G371" s="4" t="n">
        <x:f>IF(COUNT(O371,R371,U371,X371,AA371,AD371,AG371,AJ371)=8,O371*Guide!$E$5+R371*Guide!$E$6+U371*Guide!$E$7+X371*Guide!$E$8+AA371*Guide!$E$9+AD371*Guide!$E$10+AG371*Guide!$E$11+AJ371*Guide!$E$12,"")</x:f>
        <x:v>351.5</x:v>
      </x:c>
      <x:c r="H371" s="4" t="n">
        <x:f>IF(COUNT(G371,F371)=2,G371-F371,"")</x:f>
        <x:v>-58.25</x:v>
      </x:c>
      <x:c r="I371" s="4" t="n">
        <x:f>IF(AND(ISNUMBER(F371),K371&gt;0),F371/K371,"")</x:f>
        <x:v>5.186708860759493</x:v>
      </x:c>
      <x:c r="J371" s="4" t="n">
        <x:f>IF(AND(ISNUMBER(G371),L371&gt;0),G371/L371,"")</x:f>
        <x:v>5.169117647058823</x:v>
      </x:c>
      <x:c r="K371" s="10" t="n">
        <x:v>79</x:v>
      </x:c>
      <x:c r="L371" s="10" t="n">
        <x:v>68</x:v>
      </x:c>
      <x:c r="M371" s="10" t="n">
        <x:f>IF(COUNT(L371,K371)=2,L371-K371,"")</x:f>
        <x:v>-11</x:v>
      </x:c>
      <x:c r="N371" s="10" t="n">
        <x:v>33</x:v>
      </x:c>
      <x:c r="O371" s="10" t="n">
        <x:v>29</x:v>
      </x:c>
      <x:c r="P371" s="10" t="n">
        <x:f>IF(COUNT(O371,N371)=2,O371-N371,"")</x:f>
        <x:v>-4</x:v>
      </x:c>
      <x:c r="Q371" s="10" t="n">
        <x:v>51</x:v>
      </x:c>
      <x:c r="R371" s="10" t="n">
        <x:v>45</x:v>
      </x:c>
      <x:c r="S371" s="10" t="n">
        <x:f>IF(COUNT(R371,Q371)=2,R371-Q371,"")</x:f>
        <x:v>-6</x:v>
      </x:c>
      <x:c r="T371" s="10" t="n">
        <x:v>0</x:v>
      </x:c>
      <x:c r="U371" s="10" t="n">
        <x:v>0</x:v>
      </x:c>
      <x:c r="V371" s="10" t="n">
        <x:f>IF(COUNT(U371,T371)=2,U371-T371,"")</x:f>
        <x:v>0</x:v>
      </x:c>
      <x:c r="W371" s="10" t="n">
        <x:v>22</x:v>
      </x:c>
      <x:c r="X371" s="10" t="n">
        <x:f>IF(COUNT(AV371,AW371)=2,AV371+AW371,"")</x:f>
        <x:v>23</x:v>
      </x:c>
      <x:c r="Y371" s="10" t="n">
        <x:f>IF(COUNT(X371,W371)=2,X371-W371,"")</x:f>
        <x:v>1</x:v>
      </x:c>
      <x:c r="Z371" s="10" t="n">
        <x:v>0</x:v>
      </x:c>
      <x:c r="AA371" s="10" t="n">
        <x:f>IF(COUNT(AX371,AY371)=2,AX371+AY371,"")</x:f>
        <x:v>0</x:v>
      </x:c>
      <x:c r="AB371" s="10" t="n">
        <x:f>IF(COUNT(AA371,Z371)=2,AA371-Z371,"")</x:f>
        <x:v>0</x:v>
      </x:c>
      <x:c r="AC371" s="10" t="n">
        <x:v>218</x:v>
      </x:c>
      <x:c r="AD371" s="10" t="n">
        <x:v>160</x:v>
      </x:c>
      <x:c r="AE371" s="10" t="n">
        <x:f>IF(COUNT(AD371,AC371)=2,AD371-AC371,"")</x:f>
        <x:v>-58</x:v>
      </x:c>
      <x:c r="AF371" s="10" t="n">
        <x:v>70</x:v>
      </x:c>
      <x:c r="AG371" s="10" t="n">
        <x:v>60</x:v>
      </x:c>
      <x:c r="AH371" s="10" t="n">
        <x:f>IF(COUNT(AG371,AF371)=2,AG371-AF371,"")</x:f>
        <x:v>-10</x:v>
      </x:c>
      <x:c r="AI371" s="10" t="n">
        <x:v>41</x:v>
      </x:c>
      <x:c r="AJ371" s="10" t="n">
        <x:v>30</x:v>
      </x:c>
      <x:c r="AK371" s="10" t="n">
        <x:f>IF(COUNT(AJ371,AI371)=2,AJ371-AI371,"")</x:f>
        <x:v>-11</x:v>
      </x:c>
      <x:c r="AL371" s="10" t="n">
        <x:v>38</x:v>
      </x:c>
      <x:c r="AM371" s="10" t="n">
        <x:v>38</x:v>
      </x:c>
      <x:c r="AN371" s="4" t="str">
        <x:v>C</x:v>
      </x:c>
      <x:c r="AO371" s="4" t="str">
        <x:v>C</x:v>
      </x:c>
      <x:c r="AP371" s="4" t="str">
        <x:v>PIT</x:v>
      </x:c>
      <x:c r="AQ371" s="4" t="str">
        <x:v>PIT</x:v>
      </x:c>
      <x:c r="AR371" s="4" t="n">
        <x:v>19.810000000000002</x:v>
      </x:c>
      <x:c r="AS371" s="4" t="n">
        <x:v>19.233333333333334</x:v>
      </x:c>
      <x:c r="AT371" s="4" t="n">
        <x:v>2.99</x:v>
      </x:c>
      <x:c r="AU371" s="4" t="n">
        <x:v>18.1</x:v>
      </x:c>
      <x:c r="AV371" s="10" t="n">
        <x:v>10</x:v>
      </x:c>
      <x:c r="AW371" s="10" t="n">
        <x:v>13</x:v>
      </x:c>
      <x:c r="AX371" s="10" t="n">
        <x:v>0</x:v>
      </x:c>
      <x:c r="AY371" s="10" t="n">
        <x:v>0</x:v>
      </x:c>
      <x:c r="AZ371" s="10" t="n">
        <x:v>1120</x:v>
      </x:c>
      <x:c r="BA371" s="10" t="n">
        <x:v>1090</x:v>
      </x:c>
      <x:c r="BB371" s="4" t="n">
        <x:v>50.7</x:v>
      </x:c>
      <x:c r="BC371" s="4" t="n">
        <x:v>-0.2</x:v>
      </x:c>
      <x:c r="BD371" s="10" t="n">
        <x:v>831</x:v>
      </x:c>
      <x:c r="BE371" s="10" t="n">
        <x:v>788</x:v>
      </x:c>
      <x:c r="BF371" s="4" t="n">
        <x:v>51.3</x:v>
      </x:c>
      <x:c r="BG371" s="4" t="n">
        <x:v>0.3</x:v>
      </x:c>
      <x:c r="BH371" s="4" t="n">
        <x:v>13.2</x:v>
      </x:c>
      <x:c r="BI371" s="4" t="n">
        <x:v>87.2</x:v>
      </x:c>
      <x:c r="BJ371" s="4" t="n">
        <x:v>100.4</x:v>
      </x:c>
      <x:c r="BK371" s="4" t="n">
        <x:v>60.1</x:v>
      </x:c>
      <x:c r="BL371" s="4" t="n">
        <x:v>39.9</x:v>
      </x:c>
      <x:c r="BM371" s="4" t="n">
        <x:v>19.233333333333334</x:v>
      </x:c>
      <x:c r="BN371" s="4" t="n">
        <x:v>16.1</x:v>
      </x:c>
      <x:c r="BO371" s="10" t="n">
        <x:v>24</x:v>
      </x:c>
      <x:c r="BP371" s="10" t="n">
        <x:v>73</x:v>
      </x:c>
      <x:c r="BQ371" s="4" t="n">
        <x:v>2.6</x:v>
      </x:c>
      <x:c r="BR371" s="10" t="n">
        <x:v>289</x:v>
      </x:c>
      <x:c r="BS371" s="4" t="n">
        <x:v>55.4</x:v>
      </x:c>
      <x:c r="BT371" s="10" t="n">
        <x:v>68</x:v>
      </x:c>
      <x:c r="BU371" s="4" t="str">
        <x:v>PIT</x:v>
      </x:c>
      <x:c r="BV371" s="10" t="n">
        <x:v>16</x:v>
      </x:c>
      <x:c r="BW371" s="10" t="n">
        <x:v>43</x:v>
      </x:c>
      <x:c r="BX371" s="10" t="n">
        <x:v>183</x:v>
      </x:c>
      <x:c r="BY371" s="4" t="str">
        <x:v>Sidney Crosby</x:v>
      </x:c>
      <x:c r="BZ371" s="4" t="str">
        <x:v>Sidney Crosby</x:v>
      </x:c>
      <x:c r="CA371" s="4" t="str">
        <x:v>Sidney Crosby</x:v>
      </x:c>
      <x:c r="CB371" s="4" t="str">
        <x:v>crosbsi01</x:v>
      </x:c>
    </x:row>
    <x:row r="372" ht="22" customHeight="1">
      <x:c r="A372" s="4" t="str">
        <x:v>Simon Edvinsson</x:v>
      </x:c>
      <x:c r="B372" s="4" t="str">
        <x:v>simonedvinsson</x:v>
      </x:c>
      <x:c r="C372" s="10" t="n">
        <x:v>1</x:v>
      </x:c>
      <x:c r="D372" s="10" t="n">
        <x:v>1</x:v>
      </x:c>
      <x:c r="E372" s="10" t="n">
        <x:v>1</x:v>
      </x:c>
      <x:c r="F372" s="4" t="n">
        <x:f>IF(COUNT(N372,Q372,T372,W372,Z372,AC372,AF372,AI372)=8,N372*Guide!$E$5+Q372*Guide!$E$6+T372*Guide!$E$7+W372*Guide!$E$8+Z372*Guide!$E$9+AC372*Guide!$E$10+AF372*Guide!$E$11+AI372*Guide!$E$12,"")</x:f>
        <x:v>242.25</x:v>
      </x:c>
      <x:c r="G372" s="4" t="n">
        <x:f>IF(COUNT(O372,R372,U372,X372,AA372,AD372,AG372,AJ372)=8,O372*Guide!$E$5+R372*Guide!$E$6+U372*Guide!$E$7+X372*Guide!$E$8+AA372*Guide!$E$9+AD372*Guide!$E$10+AG372*Guide!$E$11+AJ372*Guide!$E$12,"")</x:f>
        <x:v>256.5</x:v>
      </x:c>
      <x:c r="H372" s="4" t="n">
        <x:f>IF(COUNT(G372,F372)=2,G372-F372,"")</x:f>
        <x:v>14.25</x:v>
      </x:c>
      <x:c r="I372" s="4" t="n">
        <x:f>IF(AND(ISNUMBER(F372),K372&gt;0),F372/K372,"")</x:f>
        <x:v>3.105769230769231</x:v>
      </x:c>
      <x:c r="J372" s="4" t="n">
        <x:f>IF(AND(ISNUMBER(G372),L372&gt;0),G372/L372,"")</x:f>
        <x:v>3.5625</x:v>
      </x:c>
      <x:c r="K372" s="10" t="n">
        <x:v>78</x:v>
      </x:c>
      <x:c r="L372" s="10" t="n">
        <x:v>72</x:v>
      </x:c>
      <x:c r="M372" s="10" t="n">
        <x:f>IF(COUNT(L372,K372)=2,L372-K372,"")</x:f>
        <x:v>-6</x:v>
      </x:c>
      <x:c r="N372" s="10" t="n">
        <x:v>8</x:v>
      </x:c>
      <x:c r="O372" s="10" t="n">
        <x:v>9</x:v>
      </x:c>
      <x:c r="P372" s="10" t="n">
        <x:f>IF(COUNT(O372,N372)=2,O372-N372,"")</x:f>
        <x:v>1</x:v>
      </x:c>
      <x:c r="Q372" s="10" t="n">
        <x:v>21</x:v>
      </x:c>
      <x:c r="R372" s="10" t="n">
        <x:v>16</x:v>
      </x:c>
      <x:c r="S372" s="10" t="n">
        <x:f>IF(COUNT(R372,Q372)=2,R372-Q372,"")</x:f>
        <x:v>-5</x:v>
      </x:c>
      <x:c r="T372" s="10" t="n">
        <x:v>3</x:v>
      </x:c>
      <x:c r="U372" s="10" t="n">
        <x:v>12</x:v>
      </x:c>
      <x:c r="V372" s="10" t="n">
        <x:f>IF(COUNT(U372,T372)=2,U372-T372,"")</x:f>
        <x:v>9</x:v>
      </x:c>
      <x:c r="W372" s="10" t="n">
        <x:v>2</x:v>
      </x:c>
      <x:c r="X372" s="10" t="n">
        <x:f>IF(COUNT(AV372,AW372)=2,AV372+AW372,"")</x:f>
        <x:v>1</x:v>
      </x:c>
      <x:c r="Y372" s="10" t="n">
        <x:f>IF(COUNT(X372,W372)=2,X372-W372,"")</x:f>
        <x:v>-1</x:v>
      </x:c>
      <x:c r="Z372" s="10" t="n">
        <x:v>1</x:v>
      </x:c>
      <x:c r="AA372" s="10" t="n">
        <x:f>IF(COUNT(AX372,AY372)=2,AX372+AY372,"")</x:f>
        <x:v>1</x:v>
      </x:c>
      <x:c r="AB372" s="10" t="n">
        <x:f>IF(COUNT(AA372,Z372)=2,AA372-Z372,"")</x:f>
        <x:v>0</x:v>
      </x:c>
      <x:c r="AC372" s="10" t="n">
        <x:v>86</x:v>
      </x:c>
      <x:c r="AD372" s="10" t="n">
        <x:v>88</x:v>
      </x:c>
      <x:c r="AE372" s="10" t="n">
        <x:f>IF(COUNT(AD372,AC372)=2,AD372-AC372,"")</x:f>
        <x:v>2</x:v>
      </x:c>
      <x:c r="AF372" s="10" t="n">
        <x:v>84</x:v>
      </x:c>
      <x:c r="AG372" s="10" t="n">
        <x:v>94</x:v>
      </x:c>
      <x:c r="AH372" s="10" t="n">
        <x:f>IF(COUNT(AG372,AF372)=2,AG372-AF372,"")</x:f>
        <x:v>10</x:v>
      </x:c>
      <x:c r="AI372" s="10" t="n">
        <x:v>129</x:v>
      </x:c>
      <x:c r="AJ372" s="10" t="n">
        <x:v>148</x:v>
      </x:c>
      <x:c r="AK372" s="10" t="n">
        <x:f>IF(COUNT(AJ372,AI372)=2,AJ372-AI372,"")</x:f>
        <x:v>19</x:v>
      </x:c>
      <x:c r="AL372" s="10" t="n">
        <x:v>22</x:v>
      </x:c>
      <x:c r="AM372" s="10" t="n">
        <x:v>22</x:v>
      </x:c>
      <x:c r="AN372" s="4" t="str">
        <x:v>D</x:v>
      </x:c>
      <x:c r="AO372" s="4" t="str">
        <x:v>D</x:v>
      </x:c>
      <x:c r="AP372" s="4" t="str">
        <x:v>DET</x:v>
      </x:c>
      <x:c r="AQ372" s="4" t="str">
        <x:v>DET</x:v>
      </x:c>
      <x:c r="AR372" s="4" t="n">
        <x:v>20.76</x:v>
      </x:c>
      <x:c r="AS372" s="4" t="n">
        <x:v>22.35</x:v>
      </x:c>
      <x:c r="AT372" s="4" t="n">
        <x:v>0.35</x:v>
      </x:c>
      <x:c r="AU372" s="4" t="n">
        <x:v>10.2</x:v>
      </x:c>
      <x:c r="AV372" s="10" t="n">
        <x:v>0</x:v>
      </x:c>
      <x:c r="AW372" s="10" t="n">
        <x:v>1</x:v>
      </x:c>
      <x:c r="AX372" s="10" t="n">
        <x:v>0</x:v>
      </x:c>
      <x:c r="AY372" s="10" t="n">
        <x:v>1</x:v>
      </x:c>
      <x:c r="AZ372" s="10" t="n">
        <x:v>1418</x:v>
      </x:c>
      <x:c r="BA372" s="10" t="n">
        <x:v>1354</x:v>
      </x:c>
      <x:c r="BB372" s="4" t="n">
        <x:v>51.2</x:v>
      </x:c>
      <x:c r="BC372" s="4" t="n">
        <x:v>4.3</x:v>
      </x:c>
      <x:c r="BD372" s="10" t="n">
        <x:v>1044</x:v>
      </x:c>
      <x:c r="BE372" s="10" t="n">
        <x:v>931</x:v>
      </x:c>
      <x:c r="BF372" s="4" t="n">
        <x:v>52.9</x:v>
      </x:c>
      <x:c r="BG372" s="4" t="n">
        <x:v>5.8</x:v>
      </x:c>
      <x:c r="BH372" s="4" t="n">
        <x:v>10.8</x:v>
      </x:c>
      <x:c r="BI372" s="4" t="n">
        <x:v>89.5</x:v>
      </x:c>
      <x:c r="BJ372" s="4" t="n">
        <x:v>100.3</x:v>
      </x:c>
      <x:c r="BK372" s="4" t="n">
        <x:v>42</x:v>
      </x:c>
      <x:c r="BL372" s="4" t="n">
        <x:v>58</x:v>
      </x:c>
      <x:c r="BM372" s="4" t="n">
        <x:v>22.35</x:v>
      </x:c>
      <x:c r="BN372" s="4" t="n">
        <x:v>20.533333333333335</x:v>
      </x:c>
      <x:c r="BO372" s="10" t="n">
        <x:v>26</x:v>
      </x:c>
      <x:c r="BP372" s="10" t="n">
        <x:v>89</x:v>
      </x:c>
      <x:c r="BQ372" s="4" t="n">
        <x:v>1.9</x:v>
      </x:c>
      <x:c r="BR372" s="10" t="n">
        <x:v>208</x:v>
      </x:c>
      <x:c r="BS372" s="4" t="n">
        <x:v>42.3</x:v>
      </x:c>
      <x:c r="BT372" s="10" t="n">
        <x:v>72</x:v>
      </x:c>
      <x:c r="BU372" s="4" t="str">
        <x:v>DET</x:v>
      </x:c>
      <x:c r="BV372" s="10" t="n">
        <x:v>380</x:v>
      </x:c>
      <x:c r="BW372" s="10" t="n">
        <x:v>392</x:v>
      </x:c>
      <x:c r="BX372" s="10" t="n">
        <x:v>258</x:v>
      </x:c>
      <x:c r="BY372" s="4" t="str">
        <x:v>Simon Edvinsson</x:v>
      </x:c>
      <x:c r="BZ372" s="4" t="str">
        <x:v>Simon Edvinsson</x:v>
      </x:c>
      <x:c r="CA372" s="4" t="str">
        <x:v>Simon Edvinsson</x:v>
      </x:c>
      <x:c r="CB372" s="4" t="str">
        <x:v>edvinsi01</x:v>
      </x:c>
    </x:row>
    <x:row r="373" ht="22" customHeight="1">
      <x:c r="A373" s="4" t="str">
        <x:v>Simon Holmström</x:v>
      </x:c>
      <x:c r="B373" s="4" t="str">
        <x:v>simonholmstrom</x:v>
      </x:c>
      <x:c r="C373" s="10" t="n">
        <x:v>1</x:v>
      </x:c>
      <x:c r="D373" s="10" t="n">
        <x:v>1</x:v>
      </x:c>
      <x:c r="E373" s="10" t="n">
        <x:v>1</x:v>
      </x:c>
      <x:c r="F373" s="4" t="n">
        <x:f>IF(COUNT(N373,Q373,T373,W373,Z373,AC373,AF373,AI373)=8,N373*Guide!$E$5+Q373*Guide!$E$6+T373*Guide!$E$7+W373*Guide!$E$8+Z373*Guide!$E$9+AC373*Guide!$E$10+AF373*Guide!$E$11+AI373*Guide!$E$12,"")</x:f>
        <x:v>228.25</x:v>
      </x:c>
      <x:c r="G373" s="4" t="n">
        <x:f>IF(COUNT(O373,R373,U373,X373,AA373,AD373,AG373,AJ373)=8,O373*Guide!$E$5+R373*Guide!$E$6+U373*Guide!$E$7+X373*Guide!$E$8+AA373*Guide!$E$9+AD373*Guide!$E$10+AG373*Guide!$E$11+AJ373*Guide!$E$12,"")</x:f>
        <x:v>224.75</x:v>
      </x:c>
      <x:c r="H373" s="4" t="n">
        <x:f>IF(COUNT(G373,F373)=2,G373-F373,"")</x:f>
        <x:v>-3.5</x:v>
      </x:c>
      <x:c r="I373" s="4" t="n">
        <x:f>IF(AND(ISNUMBER(F373),K373&gt;0),F373/K373,"")</x:f>
        <x:v>2.926282051282051</x:v>
      </x:c>
      <x:c r="J373" s="4" t="n">
        <x:f>IF(AND(ISNUMBER(G373),L373&gt;0),G373/L373,"")</x:f>
        <x:v>2.8449367088607596</x:v>
      </x:c>
      <x:c r="K373" s="10" t="n">
        <x:v>78</x:v>
      </x:c>
      <x:c r="L373" s="10" t="n">
        <x:v>79</x:v>
      </x:c>
      <x:c r="M373" s="10" t="n">
        <x:f>IF(COUNT(L373,K373)=2,L373-K373,"")</x:f>
        <x:v>1</x:v>
      </x:c>
      <x:c r="N373" s="10" t="n">
        <x:v>19</x:v>
      </x:c>
      <x:c r="O373" s="10" t="n">
        <x:v>19</x:v>
      </x:c>
      <x:c r="P373" s="10" t="n">
        <x:f>IF(COUNT(O373,N373)=2,O373-N373,"")</x:f>
        <x:v>0</x:v>
      </x:c>
      <x:c r="Q373" s="10" t="n">
        <x:v>22</x:v>
      </x:c>
      <x:c r="R373" s="10" t="n">
        <x:v>22</x:v>
      </x:c>
      <x:c r="S373" s="10" t="n">
        <x:f>IF(COUNT(R373,Q373)=2,R373-Q373,"")</x:f>
        <x:v>0</x:v>
      </x:c>
      <x:c r="T373" s="10" t="n">
        <x:v>-6</x:v>
      </x:c>
      <x:c r="U373" s="10" t="n">
        <x:v>4</x:v>
      </x:c>
      <x:c r="V373" s="10" t="n">
        <x:f>IF(COUNT(U373,T373)=2,U373-T373,"")</x:f>
        <x:v>10</x:v>
      </x:c>
      <x:c r="W373" s="10" t="n">
        <x:v>9</x:v>
      </x:c>
      <x:c r="X373" s="10" t="n">
        <x:f>IF(COUNT(AV373,AW373)=2,AV373+AW373,"")</x:f>
        <x:v>4</x:v>
      </x:c>
      <x:c r="Y373" s="10" t="n">
        <x:f>IF(COUNT(X373,W373)=2,X373-W373,"")</x:f>
        <x:v>-5</x:v>
      </x:c>
      <x:c r="Z373" s="10" t="n">
        <x:v>3</x:v>
      </x:c>
      <x:c r="AA373" s="10" t="n">
        <x:f>IF(COUNT(AX373,AY373)=2,AX373+AY373,"")</x:f>
        <x:v>4</x:v>
      </x:c>
      <x:c r="AB373" s="10" t="n">
        <x:f>IF(COUNT(AA373,Z373)=2,AA373-Z373,"")</x:f>
        <x:v>1</x:v>
      </x:c>
      <x:c r="AC373" s="10" t="n">
        <x:v>102</x:v>
      </x:c>
      <x:c r="AD373" s="10" t="n">
        <x:v>100</x:v>
      </x:c>
      <x:c r="AE373" s="10" t="n">
        <x:f>IF(COUNT(AD373,AC373)=2,AD373-AC373,"")</x:f>
        <x:v>-2</x:v>
      </x:c>
      <x:c r="AF373" s="10" t="n">
        <x:v>27</x:v>
      </x:c>
      <x:c r="AG373" s="10" t="n">
        <x:v>16</x:v>
      </x:c>
      <x:c r="AH373" s="10" t="n">
        <x:f>IF(COUNT(AG373,AF373)=2,AG373-AF373,"")</x:f>
        <x:v>-11</x:v>
      </x:c>
      <x:c r="AI373" s="10" t="n">
        <x:v>56</x:v>
      </x:c>
      <x:c r="AJ373" s="10" t="n">
        <x:v>45</x:v>
      </x:c>
      <x:c r="AK373" s="10" t="n">
        <x:f>IF(COUNT(AJ373,AI373)=2,AJ373-AI373,"")</x:f>
        <x:v>-11</x:v>
      </x:c>
      <x:c r="AL373" s="10" t="n">
        <x:v>24</x:v>
      </x:c>
      <x:c r="AM373" s="10" t="n">
        <x:v>24</x:v>
      </x:c>
      <x:c r="AN373" s="4" t="str">
        <x:v>RW</x:v>
      </x:c>
      <x:c r="AO373" s="4" t="str">
        <x:v>RW</x:v>
      </x:c>
      <x:c r="AP373" s="4" t="str">
        <x:v>NYI</x:v>
      </x:c>
      <x:c r="AQ373" s="4" t="str">
        <x:v>NYI</x:v>
      </x:c>
      <x:c r="AR373" s="4" t="n">
        <x:v>16.46</x:v>
      </x:c>
      <x:c r="AS373" s="4" t="n">
        <x:v>16.733333333333334</x:v>
      </x:c>
      <x:c r="AT373" s="4" t="n">
        <x:v>1.71</x:v>
      </x:c>
      <x:c r="AU373" s="4" t="n">
        <x:v>19</x:v>
      </x:c>
      <x:c r="AV373" s="10" t="n">
        <x:v>1</x:v>
      </x:c>
      <x:c r="AW373" s="10" t="n">
        <x:v>3</x:v>
      </x:c>
      <x:c r="AX373" s="10" t="n">
        <x:v>2</x:v>
      </x:c>
      <x:c r="AY373" s="10" t="n">
        <x:v>2</x:v>
      </x:c>
      <x:c r="AZ373" s="10" t="n">
        <x:v>1012</x:v>
      </x:c>
      <x:c r="BA373" s="10" t="n">
        <x:v>1049</x:v>
      </x:c>
      <x:c r="BB373" s="4" t="n">
        <x:v>49.1</x:v>
      </x:c>
      <x:c r="BC373" s="4" t="n">
        <x:v>-0.8</x:v>
      </x:c>
      <x:c r="BD373" s="10" t="n">
        <x:v>727</x:v>
      </x:c>
      <x:c r="BE373" s="10" t="n">
        <x:v>763</x:v>
      </x:c>
      <x:c r="BF373" s="4" t="n">
        <x:v>48.8</x:v>
      </x:c>
      <x:c r="BG373" s="4" t="n">
        <x:v>-1.7</x:v>
      </x:c>
      <x:c r="BH373" s="4" t="n">
        <x:v>11.5</x:v>
      </x:c>
      <x:c r="BI373" s="4" t="n">
        <x:v>89.6</x:v>
      </x:c>
      <x:c r="BJ373" s="4" t="n">
        <x:v>101.1</x:v>
      </x:c>
      <x:c r="BK373" s="4" t="n">
        <x:v>49.8</x:v>
      </x:c>
      <x:c r="BL373" s="4" t="n">
        <x:v>50.2</x:v>
      </x:c>
      <x:c r="BM373" s="4" t="n">
        <x:v>16.733333333333334</x:v>
      </x:c>
      <x:c r="BN373" s="4" t="n">
        <x:v>13.3</x:v>
      </x:c>
      <x:c r="BO373" s="10" t="n">
        <x:v>31</x:v>
      </x:c>
      <x:c r="BP373" s="10" t="n">
        <x:v>56</x:v>
      </x:c>
      <x:c r="BQ373" s="4" t="n">
        <x:v>-5.6</x:v>
      </x:c>
      <x:c r="BR373" s="10" t="n">
        <x:v>206</x:v>
      </x:c>
      <x:c r="BS373" s="4" t="n">
        <x:v>48.5</x:v>
      </x:c>
      <x:c r="BT373" s="10" t="n">
        <x:v>79</x:v>
      </x:c>
      <x:c r="BU373" s="4" t="str">
        <x:v>NYI</x:v>
      </x:c>
      <x:c r="BV373" s="10" t="n">
        <x:v>239</x:v>
      </x:c>
      <x:c r="BW373" s="10" t="n">
        <x:v>207</x:v>
      </x:c>
      <x:c r="BX373" s="10" t="n">
        <x:v>423</x:v>
      </x:c>
      <x:c r="BY373" s="4" t="str">
        <x:v>Simon Holmstrom</x:v>
      </x:c>
      <x:c r="BZ373" s="4" t="str">
        <x:v>Simon Holmström</x:v>
      </x:c>
      <x:c r="CA373" s="4" t="str">
        <x:v>Simon Holmström</x:v>
      </x:c>
      <x:c r="CB373" s="4" t="str">
        <x:v>holmssi01</x:v>
      </x:c>
    </x:row>
    <x:row r="374" ht="22" customHeight="1">
      <x:c r="A374" s="4" t="str">
        <x:v>Simon Nemec</x:v>
      </x:c>
      <x:c r="B374" s="4" t="str">
        <x:v>simonnemec</x:v>
      </x:c>
      <x:c r="C374" s="10" t="n">
        <x:v>1</x:v>
      </x:c>
      <x:c r="D374" s="10" t="n">
        <x:v>1</x:v>
      </x:c>
      <x:c r="E374" s="10" t="n">
        <x:v>1</x:v>
      </x:c>
      <x:c r="F374" s="4" t="n">
        <x:f>IF(COUNT(N374,Q374,T374,W374,Z374,AC374,AF374,AI374)=8,N374*Guide!$E$5+Q374*Guide!$E$6+T374*Guide!$E$7+W374*Guide!$E$8+Z374*Guide!$E$9+AC374*Guide!$E$10+AF374*Guide!$E$11+AI374*Guide!$E$12,"")</x:f>
        <x:v>144.5</x:v>
      </x:c>
      <x:c r="G374" s="4" t="n">
        <x:f>IF(COUNT(O374,R374,U374,X374,AA374,AD374,AG374,AJ374)=8,O374*Guide!$E$5+R374*Guide!$E$6+U374*Guide!$E$7+X374*Guide!$E$8+AA374*Guide!$E$9+AD374*Guide!$E$10+AG374*Guide!$E$11+AJ374*Guide!$E$12,"")</x:f>
        <x:v>189</x:v>
      </x:c>
      <x:c r="H374" s="4" t="n">
        <x:f>IF(COUNT(G374,F374)=2,G374-F374,"")</x:f>
        <x:v>44.5</x:v>
      </x:c>
      <x:c r="I374" s="4" t="n">
        <x:f>IF(AND(ISNUMBER(F374),K374&gt;0),F374/K374,"")</x:f>
        <x:v>1.8766233766233766</x:v>
      </x:c>
      <x:c r="J374" s="4" t="n">
        <x:f>IF(AND(ISNUMBER(G374),L374&gt;0),G374/L374,"")</x:f>
        <x:v>2.7794117647058822</x:v>
      </x:c>
      <x:c r="K374" s="10" t="n">
        <x:v>77</x:v>
      </x:c>
      <x:c r="L374" s="10" t="n">
        <x:v>68</x:v>
      </x:c>
      <x:c r="M374" s="10" t="n">
        <x:f>IF(COUNT(L374,K374)=2,L374-K374,"")</x:f>
        <x:v>-9</x:v>
      </x:c>
      <x:c r="N374" s="10" t="n">
        <x:v>5</x:v>
      </x:c>
      <x:c r="O374" s="10" t="n">
        <x:v>11</x:v>
      </x:c>
      <x:c r="P374" s="10" t="n">
        <x:f>IF(COUNT(O374,N374)=2,O374-N374,"")</x:f>
        <x:v>6</x:v>
      </x:c>
      <x:c r="Q374" s="10" t="n">
        <x:v>14</x:v>
      </x:c>
      <x:c r="R374" s="10" t="n">
        <x:v>15</x:v>
      </x:c>
      <x:c r="S374" s="10" t="n">
        <x:f>IF(COUNT(R374,Q374)=2,R374-Q374,"")</x:f>
        <x:v>1</x:v>
      </x:c>
      <x:c r="T374" s="10" t="n">
        <x:v>-9</x:v>
      </x:c>
      <x:c r="U374" s="10" t="n">
        <x:v>-11</x:v>
      </x:c>
      <x:c r="V374" s="10" t="n">
        <x:f>IF(COUNT(U374,T374)=2,U374-T374,"")</x:f>
        <x:v>-2</x:v>
      </x:c>
      <x:c r="W374" s="10" t="n">
        <x:v>4</x:v>
      </x:c>
      <x:c r="X374" s="10" t="n">
        <x:f>IF(COUNT(AV374,AW374)=2,AV374+AW374,"")</x:f>
        <x:v>2</x:v>
      </x:c>
      <x:c r="Y374" s="10" t="n">
        <x:f>IF(COUNT(X374,W374)=2,X374-W374,"")</x:f>
        <x:v>-2</x:v>
      </x:c>
      <x:c r="Z374" s="10" t="n">
        <x:v>0</x:v>
      </x:c>
      <x:c r="AA374" s="10" t="n">
        <x:f>IF(COUNT(AX374,AY374)=2,AX374+AY374,"")</x:f>
        <x:v>0</x:v>
      </x:c>
      <x:c r="AB374" s="10" t="n">
        <x:f>IF(COUNT(AA374,Z374)=2,AA374-Z374,"")</x:f>
        <x:v>0</x:v>
      </x:c>
      <x:c r="AC374" s="10" t="n">
        <x:v>80</x:v>
      </x:c>
      <x:c r="AD374" s="10" t="n">
        <x:v>101</x:v>
      </x:c>
      <x:c r="AE374" s="10" t="n">
        <x:f>IF(COUNT(AD374,AC374)=2,AD374-AC374,"")</x:f>
        <x:v>21</x:v>
      </x:c>
      <x:c r="AF374" s="10" t="n">
        <x:v>12</x:v>
      </x:c>
      <x:c r="AG374" s="10" t="n">
        <x:v>23</x:v>
      </x:c>
      <x:c r="AH374" s="10" t="n">
        <x:f>IF(COUNT(AG374,AF374)=2,AG374-AF374,"")</x:f>
        <x:v>11</x:v>
      </x:c>
      <x:c r="AI374" s="10" t="n">
        <x:v>86</x:v>
      </x:c>
      <x:c r="AJ374" s="10" t="n">
        <x:v>104</x:v>
      </x:c>
      <x:c r="AK374" s="10" t="n">
        <x:f>IF(COUNT(AJ374,AI374)=2,AJ374-AI374,"")</x:f>
        <x:v>18</x:v>
      </x:c>
      <x:c r="AL374" s="10" t="n">
        <x:v>21</x:v>
      </x:c>
      <x:c r="AM374" s="10" t="n">
        <x:v>21</x:v>
      </x:c>
      <x:c r="AN374" s="4" t="str">
        <x:v>D</x:v>
      </x:c>
      <x:c r="AO374" s="4" t="str">
        <x:v>D</x:v>
      </x:c>
      <x:c r="AP374" s="4" t="str">
        <x:v>NJ</x:v>
      </x:c>
      <x:c r="AQ374" s="4" t="str">
        <x:v>NJD</x:v>
      </x:c>
      <x:c r="AR374" s="4" t="n">
        <x:v>15.7</x:v>
      </x:c>
      <x:c r="AS374" s="4" t="n">
        <x:v>19.666666666666668</x:v>
      </x:c>
      <x:c r="AT374" s="4" t="n">
        <x:v>0.7</x:v>
      </x:c>
      <x:c r="AU374" s="4" t="n">
        <x:v>10.9</x:v>
      </x:c>
      <x:c r="AV374" s="10" t="n">
        <x:v>1</x:v>
      </x:c>
      <x:c r="AW374" s="10" t="n">
        <x:v>1</x:v>
      </x:c>
      <x:c r="AX374" s="10" t="n">
        <x:v>0</x:v>
      </x:c>
      <x:c r="AY374" s="10" t="n">
        <x:v>0</x:v>
      </x:c>
      <x:c r="AZ374" s="10" t="n">
        <x:v>1250</x:v>
      </x:c>
      <x:c r="BA374" s="10" t="n">
        <x:v>1220</x:v>
      </x:c>
      <x:c r="BB374" s="4" t="n">
        <x:v>50.6</x:v>
      </x:c>
      <x:c r="BC374" s="4" t="n">
        <x:v>-2</x:v>
      </x:c>
      <x:c r="BD374" s="10" t="n">
        <x:v>888</x:v>
      </x:c>
      <x:c r="BE374" s="10" t="n">
        <x:v>873</x:v>
      </x:c>
      <x:c r="BF374" s="4" t="n">
        <x:v>50.4</x:v>
      </x:c>
      <x:c r="BG374" s="4" t="n">
        <x:v>-2.4</x:v>
      </x:c>
      <x:c r="BH374" s="4" t="n">
        <x:v>9.9</x:v>
      </x:c>
      <x:c r="BI374" s="4" t="n">
        <x:v>88.1</x:v>
      </x:c>
      <x:c r="BJ374" s="4" t="n">
        <x:v>98.1</x:v>
      </x:c>
      <x:c r="BK374" s="4" t="n">
        <x:v>54.1</x:v>
      </x:c>
      <x:c r="BL374" s="4" t="n">
        <x:v>45.9</x:v>
      </x:c>
      <x:c r="BM374" s="4" t="n">
        <x:v>19.666666666666668</x:v>
      </x:c>
      <x:c r="BN374" s="4" t="n">
        <x:v>18.116666666666667</x:v>
      </x:c>
      <x:c r="BO374" s="10" t="n">
        <x:v>24</x:v>
      </x:c>
      <x:c r="BP374" s="10" t="n">
        <x:v>80</x:v>
      </x:c>
      <x:c r="BQ374" s="4" t="n">
        <x:v>-3.5</x:v>
      </x:c>
      <x:c r="BR374" s="10" t="n">
        <x:v>269</x:v>
      </x:c>
      <x:c r="BS374" s="4" t="n">
        <x:v>37.5</x:v>
      </x:c>
      <x:c r="BT374" s="10" t="n">
        <x:v>68</x:v>
      </x:c>
      <x:c r="BU374" s="4" t="str">
        <x:v>NJD</x:v>
      </x:c>
      <x:c r="BV374" s="10" t="n">
        <x:v>540</x:v>
      </x:c>
      <x:c r="BW374" s="10" t="n">
        <x:v>377</x:v>
      </x:c>
      <x:c r="BX374" s="10" t="n">
        <x:v>735</x:v>
      </x:c>
      <x:c r="BY374" s="4" t="str">
        <x:v>Simon Nemec</x:v>
      </x:c>
      <x:c r="BZ374" s="4" t="str">
        <x:v>Simon Nemec</x:v>
      </x:c>
      <x:c r="CA374" s="4" t="str">
        <x:v>Simon Nemec</x:v>
      </x:c>
      <x:c r="CB374" s="4" t="str">
        <x:v>nemecsi01</x:v>
      </x:c>
    </x:row>
    <x:row r="375" ht="22" customHeight="1">
      <x:c r="A375" s="4" t="str">
        <x:v>Steven Lorentz</x:v>
      </x:c>
      <x:c r="B375" s="4" t="str">
        <x:v>stevenlorentz</x:v>
      </x:c>
      <x:c r="C375" s="10" t="n">
        <x:v>1</x:v>
      </x:c>
      <x:c r="D375" s="10" t="n">
        <x:v>1</x:v>
      </x:c>
      <x:c r="E375" s="10" t="n">
        <x:v>1</x:v>
      </x:c>
      <x:c r="F375" s="4" t="n">
        <x:f>IF(COUNT(N375,Q375,T375,W375,Z375,AC375,AF375,AI375)=8,N375*Guide!$E$5+Q375*Guide!$E$6+T375*Guide!$E$7+W375*Guide!$E$8+Z375*Guide!$E$9+AC375*Guide!$E$10+AF375*Guide!$E$11+AI375*Guide!$E$12,"")</x:f>
        <x:v>150</x:v>
      </x:c>
      <x:c r="G375" s="4" t="n">
        <x:f>IF(COUNT(O375,R375,U375,X375,AA375,AD375,AG375,AJ375)=8,O375*Guide!$E$5+R375*Guide!$E$6+U375*Guide!$E$7+X375*Guide!$E$8+AA375*Guide!$E$9+AD375*Guide!$E$10+AG375*Guide!$E$11+AJ375*Guide!$E$12,"")</x:f>
        <x:v>157</x:v>
      </x:c>
      <x:c r="H375" s="4" t="n">
        <x:f>IF(COUNT(G375,F375)=2,G375-F375,"")</x:f>
        <x:v>7</x:v>
      </x:c>
      <x:c r="I375" s="4" t="n">
        <x:f>IF(AND(ISNUMBER(F375),K375&gt;0),F375/K375,"")</x:f>
        <x:v>2</x:v>
      </x:c>
      <x:c r="J375" s="4" t="n">
        <x:f>IF(AND(ISNUMBER(G375),L375&gt;0),G375/L375,"")</x:f>
        <x:v>2.211267605633803</x:v>
      </x:c>
      <x:c r="K375" s="10" t="n">
        <x:v>75</x:v>
      </x:c>
      <x:c r="L375" s="10" t="n">
        <x:v>71</x:v>
      </x:c>
      <x:c r="M375" s="10" t="n">
        <x:f>IF(COUNT(L375,K375)=2,L375-K375,"")</x:f>
        <x:v>-4</x:v>
      </x:c>
      <x:c r="N375" s="10" t="n">
        <x:v>7</x:v>
      </x:c>
      <x:c r="O375" s="10" t="n">
        <x:v>7</x:v>
      </x:c>
      <x:c r="P375" s="10" t="n">
        <x:f>IF(COUNT(O375,N375)=2,O375-N375,"")</x:f>
        <x:v>0</x:v>
      </x:c>
      <x:c r="Q375" s="10" t="n">
        <x:v>9</x:v>
      </x:c>
      <x:c r="R375" s="10" t="n">
        <x:v>11</x:v>
      </x:c>
      <x:c r="S375" s="10" t="n">
        <x:f>IF(COUNT(R375,Q375)=2,R375-Q375,"")</x:f>
        <x:v>2</x:v>
      </x:c>
      <x:c r="T375" s="10" t="n">
        <x:v>-2</x:v>
      </x:c>
      <x:c r="U375" s="10" t="n">
        <x:v>-2</x:v>
      </x:c>
      <x:c r="V375" s="10" t="n">
        <x:f>IF(COUNT(U375,T375)=2,U375-T375,"")</x:f>
        <x:v>0</x:v>
      </x:c>
      <x:c r="W375" s="10" t="n">
        <x:v>1</x:v>
      </x:c>
      <x:c r="X375" s="10" t="n">
        <x:f>IF(COUNT(AV375,AW375)=2,AV375+AW375,"")</x:f>
        <x:v>0</x:v>
      </x:c>
      <x:c r="Y375" s="10" t="n">
        <x:f>IF(COUNT(X375,W375)=2,X375-W375,"")</x:f>
        <x:v>-1</x:v>
      </x:c>
      <x:c r="Z375" s="10" t="n">
        <x:v>1</x:v>
      </x:c>
      <x:c r="AA375" s="10" t="n">
        <x:f>IF(COUNT(AX375,AY375)=2,AX375+AY375,"")</x:f>
        <x:v>2</x:v>
      </x:c>
      <x:c r="AB375" s="10" t="n">
        <x:f>IF(COUNT(AA375,Z375)=2,AA375-Z375,"")</x:f>
        <x:v>1</x:v>
      </x:c>
      <x:c r="AC375" s="10" t="n">
        <x:v>71</x:v>
      </x:c>
      <x:c r="AD375" s="10" t="n">
        <x:v>70</x:v>
      </x:c>
      <x:c r="AE375" s="10" t="n">
        <x:f>IF(COUNT(AD375,AC375)=2,AD375-AC375,"")</x:f>
        <x:v>-1</x:v>
      </x:c>
      <x:c r="AF375" s="10" t="n">
        <x:v>166</x:v>
      </x:c>
      <x:c r="AG375" s="10" t="n">
        <x:v>154</x:v>
      </x:c>
      <x:c r="AH375" s="10" t="n">
        <x:f>IF(COUNT(AG375,AF375)=2,AG375-AF375,"")</x:f>
        <x:v>-12</x:v>
      </x:c>
      <x:c r="AI375" s="10" t="n">
        <x:v>45</x:v>
      </x:c>
      <x:c r="AJ375" s="10" t="n">
        <x:v>48</x:v>
      </x:c>
      <x:c r="AK375" s="10" t="n">
        <x:f>IF(COUNT(AJ375,AI375)=2,AJ375-AI375,"")</x:f>
        <x:v>3</x:v>
      </x:c>
      <x:c r="AL375" s="10" t="n">
        <x:v>29</x:v>
      </x:c>
      <x:c r="AM375" s="10" t="n">
        <x:v>29</x:v>
      </x:c>
      <x:c r="AN375" s="4" t="str">
        <x:v>LW,RW</x:v>
      </x:c>
      <x:c r="AO375" s="4" t="str">
        <x:v>C</x:v>
      </x:c>
      <x:c r="AP375" s="4" t="str">
        <x:v>TOR</x:v>
      </x:c>
      <x:c r="AQ375" s="4" t="str">
        <x:v>TOR</x:v>
      </x:c>
      <x:c r="AR375" s="4" t="n">
        <x:v>10.41</x:v>
      </x:c>
      <x:c r="AS375" s="4" t="n">
        <x:v>11.866666666666667</x:v>
      </x:c>
      <x:c r="AT375" s="4" t="n">
        <x:v>0.15</x:v>
      </x:c>
      <x:c r="AU375" s="4" t="n">
        <x:v>10</x:v>
      </x:c>
      <x:c r="AV375" s="10" t="n">
        <x:v>0</x:v>
      </x:c>
      <x:c r="AW375" s="10" t="n">
        <x:v>0</x:v>
      </x:c>
      <x:c r="AX375" s="10" t="n">
        <x:v>2</x:v>
      </x:c>
      <x:c r="AY375" s="10" t="n">
        <x:v>0</x:v>
      </x:c>
      <x:c r="AZ375" s="10" t="n">
        <x:v>539</x:v>
      </x:c>
      <x:c r="BA375" s="10" t="n">
        <x:v>715</x:v>
      </x:c>
      <x:c r="BB375" s="4" t="n">
        <x:v>43</x:v>
      </x:c>
      <x:c r="BC375" s="4" t="n">
        <x:v>-2.8</x:v>
      </x:c>
      <x:c r="BD375" s="10" t="n">
        <x:v>407</x:v>
      </x:c>
      <x:c r="BE375" s="10" t="n">
        <x:v>511</x:v>
      </x:c>
      <x:c r="BF375" s="4" t="n">
        <x:v>44.3</x:v>
      </x:c>
      <x:c r="BG375" s="4" t="n">
        <x:v>-1.5</x:v>
      </x:c>
      <x:c r="BH375" s="4" t="n">
        <x:v>10</x:v>
      </x:c>
      <x:c r="BI375" s="4" t="n">
        <x:v>90.6</x:v>
      </x:c>
      <x:c r="BJ375" s="4" t="n">
        <x:v>100.6</x:v>
      </x:c>
      <x:c r="BK375" s="4" t="n">
        <x:v>26.2</x:v>
      </x:c>
      <x:c r="BL375" s="4" t="n">
        <x:v>73.8</x:v>
      </x:c>
      <x:c r="BM375" s="4" t="n">
        <x:v>11.866666666666667</x:v>
      </x:c>
      <x:c r="BN375" s="4" t="n">
        <x:v>9.616666666666667</x:v>
      </x:c>
      <x:c r="BO375" s="10" t="n">
        <x:v>17</x:v>
      </x:c>
      <x:c r="BP375" s="10" t="n">
        <x:v>34</x:v>
      </x:c>
      <x:c r="BQ375" s="4" t="n">
        <x:v>-5.2</x:v>
      </x:c>
      <x:c r="BR375" s="10" t="n">
        <x:v>123</x:v>
      </x:c>
      <x:c r="BS375" s="4" t="n">
        <x:v>56.9</x:v>
      </x:c>
      <x:c r="BT375" s="10" t="n">
        <x:v>71</x:v>
      </x:c>
      <x:c r="BU375" s="4" t="str">
        <x:v>TOR</x:v>
      </x:c>
      <x:c r="BV375" s="10" t="n">
        <x:v>608</x:v>
      </x:c>
      <x:c r="BW375" s="10" t="n">
        <x:v>493</x:v>
      </x:c>
      <x:c r="BX375" s="10" t="n">
        <x:v>607</x:v>
      </x:c>
      <x:c r="BY375" s="4" t="str">
        <x:v>Steven Lorentz</x:v>
      </x:c>
      <x:c r="BZ375" s="4" t="str">
        <x:v>Steven Lorentz</x:v>
      </x:c>
      <x:c r="CA375" s="4" t="str">
        <x:v>Steven Lorentz</x:v>
      </x:c>
      <x:c r="CB375" s="4" t="str">
        <x:v>lorenst01</x:v>
      </x:c>
    </x:row>
    <x:row r="376" ht="22" customHeight="1">
      <x:c r="A376" s="4" t="str">
        <x:v>Steven Stamkos</x:v>
      </x:c>
      <x:c r="B376" s="4" t="str">
        <x:v>stevenstamkos</x:v>
      </x:c>
      <x:c r="C376" s="10" t="n">
        <x:v>1</x:v>
      </x:c>
      <x:c r="D376" s="10" t="n">
        <x:v>1</x:v>
      </x:c>
      <x:c r="E376" s="10" t="n">
        <x:v>1</x:v>
      </x:c>
      <x:c r="F376" s="4" t="n">
        <x:f>IF(COUNT(N376,Q376,T376,W376,Z376,AC376,AF376,AI376)=8,N376*Guide!$E$5+Q376*Guide!$E$6+T376*Guide!$E$7+W376*Guide!$E$8+Z376*Guide!$E$9+AC376*Guide!$E$10+AF376*Guide!$E$11+AI376*Guide!$E$12,"")</x:f>
        <x:v>331</x:v>
      </x:c>
      <x:c r="G376" s="4" t="n">
        <x:f>IF(COUNT(O376,R376,U376,X376,AA376,AD376,AG376,AJ376)=8,O376*Guide!$E$5+R376*Guide!$E$6+U376*Guide!$E$7+X376*Guide!$E$8+AA376*Guide!$E$9+AD376*Guide!$E$10+AG376*Guide!$E$11+AJ376*Guide!$E$12,"")</x:f>
        <x:v>349.75</x:v>
      </x:c>
      <x:c r="H376" s="4" t="n">
        <x:f>IF(COUNT(G376,F376)=2,G376-F376,"")</x:f>
        <x:v>18.75</x:v>
      </x:c>
      <x:c r="I376" s="4" t="n">
        <x:f>IF(AND(ISNUMBER(F376),K376&gt;0),F376/K376,"")</x:f>
        <x:v>4.08641975308642</x:v>
      </x:c>
      <x:c r="J376" s="4" t="n">
        <x:f>IF(AND(ISNUMBER(G376),L376&gt;0),G376/L376,"")</x:f>
        <x:v>4.265243902439025</x:v>
      </x:c>
      <x:c r="K376" s="10" t="n">
        <x:v>81</x:v>
      </x:c>
      <x:c r="L376" s="10" t="n">
        <x:v>82</x:v>
      </x:c>
      <x:c r="M376" s="10" t="n">
        <x:f>IF(COUNT(L376,K376)=2,L376-K376,"")</x:f>
        <x:v>1</x:v>
      </x:c>
      <x:c r="N376" s="10" t="n">
        <x:v>27</x:v>
      </x:c>
      <x:c r="O376" s="10" t="n">
        <x:v>42</x:v>
      </x:c>
      <x:c r="P376" s="10" t="n">
        <x:f>IF(COUNT(O376,N376)=2,O376-N376,"")</x:f>
        <x:v>15</x:v>
      </x:c>
      <x:c r="Q376" s="10" t="n">
        <x:v>37</x:v>
      </x:c>
      <x:c r="R376" s="10" t="n">
        <x:v>24</x:v>
      </x:c>
      <x:c r="S376" s="10" t="n">
        <x:f>IF(COUNT(R376,Q376)=2,R376-Q376,"")</x:f>
        <x:v>-13</x:v>
      </x:c>
      <x:c r="T376" s="10" t="n">
        <x:v>-11</x:v>
      </x:c>
      <x:c r="U376" s="10" t="n">
        <x:v>-17</x:v>
      </x:c>
      <x:c r="V376" s="10" t="n">
        <x:f>IF(COUNT(U376,T376)=2,U376-T376,"")</x:f>
        <x:v>-6</x:v>
      </x:c>
      <x:c r="W376" s="10" t="n">
        <x:v>26</x:v>
      </x:c>
      <x:c r="X376" s="10" t="n">
        <x:f>IF(COUNT(AV376,AW376)=2,AV376+AW376,"")</x:f>
        <x:v>26</x:v>
      </x:c>
      <x:c r="Y376" s="10" t="n">
        <x:f>IF(COUNT(X376,W376)=2,X376-W376,"")</x:f>
        <x:v>0</x:v>
      </x:c>
      <x:c r="Z376" s="10" t="n">
        <x:v>0</x:v>
      </x:c>
      <x:c r="AA376" s="10" t="n">
        <x:f>IF(COUNT(AX376,AY376)=2,AX376+AY376,"")</x:f>
        <x:v>0</x:v>
      </x:c>
      <x:c r="AB376" s="10" t="n">
        <x:f>IF(COUNT(AA376,Z376)=2,AA376-Z376,"")</x:f>
        <x:v>0</x:v>
      </x:c>
      <x:c r="AC376" s="10" t="n">
        <x:v>181</x:v>
      </x:c>
      <x:c r="AD376" s="10" t="n">
        <x:v>206</x:v>
      </x:c>
      <x:c r="AE376" s="10" t="n">
        <x:f>IF(COUNT(AD376,AC376)=2,AD376-AC376,"")</x:f>
        <x:v>25</x:v>
      </x:c>
      <x:c r="AF376" s="10" t="n">
        <x:v>69</x:v>
      </x:c>
      <x:c r="AG376" s="10" t="n">
        <x:v>89</x:v>
      </x:c>
      <x:c r="AH376" s="10" t="n">
        <x:f>IF(COUNT(AG376,AF376)=2,AG376-AF376,"")</x:f>
        <x:v>20</x:v>
      </x:c>
      <x:c r="AI376" s="10" t="n">
        <x:v>46</x:v>
      </x:c>
      <x:c r="AJ376" s="10" t="n">
        <x:v>36</x:v>
      </x:c>
      <x:c r="AK376" s="10" t="n">
        <x:f>IF(COUNT(AJ376,AI376)=2,AJ376-AI376,"")</x:f>
        <x:v>-10</x:v>
      </x:c>
      <x:c r="AL376" s="10" t="n">
        <x:v>35</x:v>
      </x:c>
      <x:c r="AM376" s="10" t="n">
        <x:v>35</x:v>
      </x:c>
      <x:c r="AN376" s="4" t="str">
        <x:v>C,LW,RW</x:v>
      </x:c>
      <x:c r="AO376" s="4" t="str">
        <x:v>C</x:v>
      </x:c>
      <x:c r="AP376" s="4" t="str">
        <x:v>NSH</x:v>
      </x:c>
      <x:c r="AQ376" s="4" t="str">
        <x:v>NSH</x:v>
      </x:c>
      <x:c r="AR376" s="4" t="n">
        <x:v>17.57</x:v>
      </x:c>
      <x:c r="AS376" s="4" t="n">
        <x:v>17.833333333333332</x:v>
      </x:c>
      <x:c r="AT376" s="4" t="n">
        <x:v>3.04</x:v>
      </x:c>
      <x:c r="AU376" s="4" t="n">
        <x:v>20.4</x:v>
      </x:c>
      <x:c r="AV376" s="10" t="n">
        <x:v>14</x:v>
      </x:c>
      <x:c r="AW376" s="10" t="n">
        <x:v>12</x:v>
      </x:c>
      <x:c r="AX376" s="10" t="n">
        <x:v>0</x:v>
      </x:c>
      <x:c r="AY376" s="10" t="n">
        <x:v>0</x:v>
      </x:c>
      <x:c r="AZ376" s="10" t="n">
        <x:v>1201</x:v>
      </x:c>
      <x:c r="BA376" s="10" t="n">
        <x:v>1163</x:v>
      </x:c>
      <x:c r="BB376" s="4" t="n">
        <x:v>50.8</x:v>
      </x:c>
      <x:c r="BC376" s="4" t="n">
        <x:v>1.1</x:v>
      </x:c>
      <x:c r="BD376" s="10" t="n">
        <x:v>872</x:v>
      </x:c>
      <x:c r="BE376" s="10" t="n">
        <x:v>898</x:v>
      </x:c>
      <x:c r="BF376" s="4" t="n">
        <x:v>49.3</x:v>
      </x:c>
      <x:c r="BG376" s="4" t="n">
        <x:v>1.1</x:v>
      </x:c>
      <x:c r="BH376" s="4" t="n">
        <x:v>11.3</x:v>
      </x:c>
      <x:c r="BI376" s="4" t="n">
        <x:v>87.5</x:v>
      </x:c>
      <x:c r="BJ376" s="4" t="n">
        <x:v>98.8</x:v>
      </x:c>
      <x:c r="BK376" s="4" t="n">
        <x:v>51.8</x:v>
      </x:c>
      <x:c r="BL376" s="4" t="n">
        <x:v>48.2</x:v>
      </x:c>
      <x:c r="BM376" s="4" t="n">
        <x:v>17.833333333333332</x:v>
      </x:c>
      <x:c r="BN376" s="4" t="n">
        <x:v>14.6</x:v>
      </x:c>
      <x:c r="BO376" s="10" t="n">
        <x:v>24</x:v>
      </x:c>
      <x:c r="BP376" s="10" t="n">
        <x:v>65</x:v>
      </x:c>
      <x:c r="BQ376" s="4" t="n">
        <x:v>-3.3</x:v>
      </x:c>
      <x:c r="BR376" s="10" t="n">
        <x:v>408</x:v>
      </x:c>
      <x:c r="BS376" s="4" t="n">
        <x:v>50.5</x:v>
      </x:c>
      <x:c r="BT376" s="10" t="n">
        <x:v>82</x:v>
      </x:c>
      <x:c r="BU376" s="4" t="str">
        <x:v>NSH</x:v>
      </x:c>
      <x:c r="BV376" s="10" t="n">
        <x:v>68</x:v>
      </x:c>
      <x:c r="BW376" s="10" t="n">
        <x:v>71</x:v>
      </x:c>
      <x:c r="BX376" s="10" t="n">
        <x:v>968</x:v>
      </x:c>
      <x:c r="BY376" s="4" t="str">
        <x:v>Steven Stamkos</x:v>
      </x:c>
      <x:c r="BZ376" s="4" t="str">
        <x:v>Steven Stamkos</x:v>
      </x:c>
      <x:c r="CA376" s="4" t="str">
        <x:v>Steven Stamkos</x:v>
      </x:c>
      <x:c r="CB376" s="4" t="str">
        <x:v>stamkst01</x:v>
      </x:c>
    </x:row>
    <x:row r="377" ht="22" customHeight="1">
      <x:c r="A377" s="4" t="str">
        <x:v>Tage Thompson</x:v>
      </x:c>
      <x:c r="B377" s="4" t="str">
        <x:v>tagethompson</x:v>
      </x:c>
      <x:c r="C377" s="10" t="n">
        <x:v>1</x:v>
      </x:c>
      <x:c r="D377" s="10" t="n">
        <x:v>1</x:v>
      </x:c>
      <x:c r="E377" s="10" t="n">
        <x:v>1</x:v>
      </x:c>
      <x:c r="F377" s="4" t="n">
        <x:f>IF(COUNT(N377,Q377,T377,W377,Z377,AC377,AF377,AI377)=8,N377*Guide!$E$5+Q377*Guide!$E$6+T377*Guide!$E$7+W377*Guide!$E$8+Z377*Guide!$E$9+AC377*Guide!$E$10+AF377*Guide!$E$11+AI377*Guide!$E$12,"")</x:f>
        <x:v>367</x:v>
      </x:c>
      <x:c r="G377" s="4" t="n">
        <x:f>IF(COUNT(O377,R377,U377,X377,AA377,AD377,AG377,AJ377)=8,O377*Guide!$E$5+R377*Guide!$E$6+U377*Guide!$E$7+X377*Guide!$E$8+AA377*Guide!$E$9+AD377*Guide!$E$10+AG377*Guide!$E$11+AJ377*Guide!$E$12,"")</x:f>
        <x:v>429.25</x:v>
      </x:c>
      <x:c r="H377" s="4" t="n">
        <x:f>IF(COUNT(G377,F377)=2,G377-F377,"")</x:f>
        <x:v>62.25</x:v>
      </x:c>
      <x:c r="I377" s="4" t="n">
        <x:f>IF(AND(ISNUMBER(F377),K377&gt;0),F377/K377,"")</x:f>
        <x:v>4.8933333333333335</x:v>
      </x:c>
      <x:c r="J377" s="4" t="n">
        <x:f>IF(AND(ISNUMBER(G377),L377&gt;0),G377/L377,"")</x:f>
        <x:v>5.299382716049383</x:v>
      </x:c>
      <x:c r="K377" s="10" t="n">
        <x:v>75</x:v>
      </x:c>
      <x:c r="L377" s="10" t="n">
        <x:v>81</x:v>
      </x:c>
      <x:c r="M377" s="10" t="n">
        <x:f>IF(COUNT(L377,K377)=2,L377-K377,"")</x:f>
        <x:v>6</x:v>
      </x:c>
      <x:c r="N377" s="10" t="n">
        <x:v>36</x:v>
      </x:c>
      <x:c r="O377" s="10" t="n">
        <x:v>40</x:v>
      </x:c>
      <x:c r="P377" s="10" t="n">
        <x:f>IF(COUNT(O377,N377)=2,O377-N377,"")</x:f>
        <x:v>4</x:v>
      </x:c>
      <x:c r="Q377" s="10" t="n">
        <x:v>34</x:v>
      </x:c>
      <x:c r="R377" s="10" t="n">
        <x:v>41</x:v>
      </x:c>
      <x:c r="S377" s="10" t="n">
        <x:f>IF(COUNT(R377,Q377)=2,R377-Q377,"")</x:f>
        <x:v>7</x:v>
      </x:c>
      <x:c r="T377" s="10" t="n">
        <x:v>2</x:v>
      </x:c>
      <x:c r="U377" s="10" t="n">
        <x:v>-6</x:v>
      </x:c>
      <x:c r="V377" s="10" t="n">
        <x:f>IF(COUNT(U377,T377)=2,U377-T377,"")</x:f>
        <x:v>-8</x:v>
      </x:c>
      <x:c r="W377" s="10" t="n">
        <x:v>19</x:v>
      </x:c>
      <x:c r="X377" s="10" t="n">
        <x:f>IF(COUNT(AV377,AW377)=2,AV377+AW377,"")</x:f>
        <x:v>24</x:v>
      </x:c>
      <x:c r="Y377" s="10" t="n">
        <x:f>IF(COUNT(X377,W377)=2,X377-W377,"")</x:f>
        <x:v>5</x:v>
      </x:c>
      <x:c r="Z377" s="10" t="n">
        <x:v>0</x:v>
      </x:c>
      <x:c r="AA377" s="10" t="n">
        <x:f>IF(COUNT(AX377,AY377)=2,AX377+AY377,"")</x:f>
        <x:v>1</x:v>
      </x:c>
      <x:c r="AB377" s="10" t="n">
        <x:f>IF(COUNT(AA377,Z377)=2,AA377-Z377,"")</x:f>
        <x:v>1</x:v>
      </x:c>
      <x:c r="AC377" s="10" t="n">
        <x:v>234</x:v>
      </x:c>
      <x:c r="AD377" s="10" t="n">
        <x:v>272</x:v>
      </x:c>
      <x:c r="AE377" s="10" t="n">
        <x:f>IF(COUNT(AD377,AC377)=2,AD377-AC377,"")</x:f>
        <x:v>38</x:v>
      </x:c>
      <x:c r="AF377" s="10" t="n">
        <x:v>70</x:v>
      </x:c>
      <x:c r="AG377" s="10" t="n">
        <x:v>85</x:v>
      </x:c>
      <x:c r="AH377" s="10" t="n">
        <x:f>IF(COUNT(AG377,AF377)=2,AG377-AF377,"")</x:f>
        <x:v>15</x:v>
      </x:c>
      <x:c r="AI377" s="10" t="n">
        <x:v>32</x:v>
      </x:c>
      <x:c r="AJ377" s="10" t="n">
        <x:v>48</x:v>
      </x:c>
      <x:c r="AK377" s="10" t="n">
        <x:f>IF(COUNT(AJ377,AI377)=2,AJ377-AI377,"")</x:f>
        <x:v>16</x:v>
      </x:c>
      <x:c r="AL377" s="10" t="n">
        <x:v>28</x:v>
      </x:c>
      <x:c r="AM377" s="10" t="n">
        <x:v>28</x:v>
      </x:c>
      <x:c r="AN377" s="4" t="str">
        <x:v>C,RW</x:v>
      </x:c>
      <x:c r="AO377" s="4" t="str">
        <x:v>C</x:v>
      </x:c>
      <x:c r="AP377" s="4" t="str">
        <x:v>BUF</x:v>
      </x:c>
      <x:c r="AQ377" s="4" t="str">
        <x:v>BUF</x:v>
      </x:c>
      <x:c r="AR377" s="4" t="n">
        <x:v>18.6</x:v>
      </x:c>
      <x:c r="AS377" s="4" t="n">
        <x:v>19.25</x:v>
      </x:c>
      <x:c r="AT377" s="4" t="n">
        <x:v>2.77</x:v>
      </x:c>
      <x:c r="AU377" s="4" t="n">
        <x:v>14.7</x:v>
      </x:c>
      <x:c r="AV377" s="10" t="n">
        <x:v>6</x:v>
      </x:c>
      <x:c r="AW377" s="10" t="n">
        <x:v>18</x:v>
      </x:c>
      <x:c r="AX377" s="10" t="n">
        <x:v>0</x:v>
      </x:c>
      <x:c r="AY377" s="10" t="n">
        <x:v>1</x:v>
      </x:c>
      <x:c r="AZ377" s="10" t="n">
        <x:v>1288</x:v>
      </x:c>
      <x:c r="BA377" s="10" t="n">
        <x:v>1268</x:v>
      </x:c>
      <x:c r="BB377" s="4" t="n">
        <x:v>50.4</x:v>
      </x:c>
      <x:c r="BC377" s="4" t="n">
        <x:v>2.1</x:v>
      </x:c>
      <x:c r="BD377" s="10" t="n">
        <x:v>952</x:v>
      </x:c>
      <x:c r="BE377" s="10" t="n">
        <x:v>938</x:v>
      </x:c>
      <x:c r="BF377" s="4" t="n">
        <x:v>50.4</x:v>
      </x:c>
      <x:c r="BG377" s="4" t="n">
        <x:v>1.4</x:v>
      </x:c>
      <x:c r="BH377" s="4" t="n">
        <x:v>12.5</x:v>
      </x:c>
      <x:c r="BI377" s="4" t="n">
        <x:v>87.8</x:v>
      </x:c>
      <x:c r="BJ377" s="4" t="n">
        <x:v>100.3</x:v>
      </x:c>
      <x:c r="BK377" s="4" t="n">
        <x:v>55.7</x:v>
      </x:c>
      <x:c r="BL377" s="4" t="n">
        <x:v>44.3</x:v>
      </x:c>
      <x:c r="BM377" s="4" t="n">
        <x:v>19.25</x:v>
      </x:c>
      <x:c r="BN377" s="4" t="n">
        <x:v>15.683333333333334</x:v>
      </x:c>
      <x:c r="BO377" s="10" t="n">
        <x:v>28</x:v>
      </x:c>
      <x:c r="BP377" s="10" t="n">
        <x:v>69</x:v>
      </x:c>
      <x:c r="BQ377" s="4" t="n">
        <x:v>-6.8</x:v>
      </x:c>
      <x:c r="BR377" s="10" t="n">
        <x:v>557</x:v>
      </x:c>
      <x:c r="BS377" s="4" t="n">
        <x:v>48.8</x:v>
      </x:c>
      <x:c r="BT377" s="10" t="n">
        <x:v>81</x:v>
      </x:c>
      <x:c r="BU377" s="4" t="str">
        <x:v>BUF</x:v>
      </x:c>
      <x:c r="BV377" s="10" t="n">
        <x:v>48</x:v>
      </x:c>
      <x:c r="BW377" s="10" t="n">
        <x:v>27</x:v>
      </x:c>
      <x:c r="BX377" s="10" t="n">
        <x:v>1013</x:v>
      </x:c>
      <x:c r="BY377" s="4" t="str">
        <x:v>Tage Thompson</x:v>
      </x:c>
      <x:c r="BZ377" s="4" t="str">
        <x:v>Tage Thompson</x:v>
      </x:c>
      <x:c r="CA377" s="4" t="str">
        <x:v>Tage Thompson</x:v>
      </x:c>
      <x:c r="CB377" s="4" t="str">
        <x:v>thompta01</x:v>
      </x:c>
    </x:row>
    <x:row r="378" ht="22" customHeight="1">
      <x:c r="A378" s="4" t="str">
        <x:v>Tanner Jeannot</x:v>
      </x:c>
      <x:c r="B378" s="4" t="str">
        <x:v>tannerjeannot</x:v>
      </x:c>
      <x:c r="C378" s="10" t="n">
        <x:v>1</x:v>
      </x:c>
      <x:c r="D378" s="10" t="n">
        <x:v>1</x:v>
      </x:c>
      <x:c r="E378" s="10" t="n">
        <x:v>1</x:v>
      </x:c>
      <x:c r="F378" s="4" t="n">
        <x:f>IF(COUNT(N378,Q378,T378,W378,Z378,AC378,AF378,AI378)=8,N378*Guide!$E$5+Q378*Guide!$E$6+T378*Guide!$E$7+W378*Guide!$E$8+Z378*Guide!$E$9+AC378*Guide!$E$10+AF378*Guide!$E$11+AI378*Guide!$E$12,"")</x:f>
        <x:v>183.25</x:v>
      </x:c>
      <x:c r="G378" s="4" t="n">
        <x:f>IF(COUNT(O378,R378,U378,X378,AA378,AD378,AG378,AJ378)=8,O378*Guide!$E$5+R378*Guide!$E$6+U378*Guide!$E$7+X378*Guide!$E$8+AA378*Guide!$E$9+AD378*Guide!$E$10+AG378*Guide!$E$11+AJ378*Guide!$E$12,"")</x:f>
        <x:v>191.75</x:v>
      </x:c>
      <x:c r="H378" s="4" t="n">
        <x:f>IF(COUNT(G378,F378)=2,G378-F378,"")</x:f>
        <x:v>8.5</x:v>
      </x:c>
      <x:c r="I378" s="4" t="n">
        <x:f>IF(AND(ISNUMBER(F378),K378&gt;0),F378/K378,"")</x:f>
        <x:v>2.3798701298701297</x:v>
      </x:c>
      <x:c r="J378" s="4" t="n">
        <x:f>IF(AND(ISNUMBER(G378),L378&gt;0),G378/L378,"")</x:f>
        <x:v>2.49025974025974</x:v>
      </x:c>
      <x:c r="K378" s="10" t="n">
        <x:v>77</x:v>
      </x:c>
      <x:c r="L378" s="10" t="n">
        <x:v>77</x:v>
      </x:c>
      <x:c r="M378" s="10" t="n">
        <x:f>IF(COUNT(L378,K378)=2,L378-K378,"")</x:f>
        <x:v>0</x:v>
      </x:c>
      <x:c r="N378" s="10" t="n">
        <x:v>9</x:v>
      </x:c>
      <x:c r="O378" s="10" t="n">
        <x:v>6</x:v>
      </x:c>
      <x:c r="P378" s="10" t="n">
        <x:f>IF(COUNT(O378,N378)=2,O378-N378,"")</x:f>
        <x:v>-3</x:v>
      </x:c>
      <x:c r="Q378" s="10" t="n">
        <x:v>11</x:v>
      </x:c>
      <x:c r="R378" s="10" t="n">
        <x:v>16</x:v>
      </x:c>
      <x:c r="S378" s="10" t="n">
        <x:f>IF(COUNT(R378,Q378)=2,R378-Q378,"")</x:f>
        <x:v>5</x:v>
      </x:c>
      <x:c r="T378" s="10" t="n">
        <x:v>-1</x:v>
      </x:c>
      <x:c r="U378" s="10" t="n">
        <x:v>-4</x:v>
      </x:c>
      <x:c r="V378" s="10" t="n">
        <x:f>IF(COUNT(U378,T378)=2,U378-T378,"")</x:f>
        <x:v>-3</x:v>
      </x:c>
      <x:c r="W378" s="10" t="n">
        <x:v>2</x:v>
      </x:c>
      <x:c r="X378" s="10" t="n">
        <x:f>IF(COUNT(AV378,AW378)=2,AV378+AW378,"")</x:f>
        <x:v>1</x:v>
      </x:c>
      <x:c r="Y378" s="10" t="n">
        <x:f>IF(COUNT(X378,W378)=2,X378-W378,"")</x:f>
        <x:v>-1</x:v>
      </x:c>
      <x:c r="Z378" s="10" t="n">
        <x:v>0</x:v>
      </x:c>
      <x:c r="AA378" s="10" t="n">
        <x:f>IF(COUNT(AX378,AY378)=2,AX378+AY378,"")</x:f>
        <x:v>0</x:v>
      </x:c>
      <x:c r="AB378" s="10" t="n">
        <x:f>IF(COUNT(AA378,Z378)=2,AA378-Z378,"")</x:f>
        <x:v>0</x:v>
      </x:c>
      <x:c r="AC378" s="10" t="n">
        <x:v>74</x:v>
      </x:c>
      <x:c r="AD378" s="10" t="n">
        <x:v>78</x:v>
      </x:c>
      <x:c r="AE378" s="10" t="n">
        <x:f>IF(COUNT(AD378,AC378)=2,AD378-AC378,"")</x:f>
        <x:v>4</x:v>
      </x:c>
      <x:c r="AF378" s="10" t="n">
        <x:v>250</x:v>
      </x:c>
      <x:c r="AG378" s="10" t="n">
        <x:v>239</x:v>
      </x:c>
      <x:c r="AH378" s="10" t="n">
        <x:f>IF(COUNT(AG378,AF378)=2,AG378-AF378,"")</x:f>
        <x:v>-11</x:v>
      </x:c>
      <x:c r="AI378" s="10" t="n">
        <x:v>43</x:v>
      </x:c>
      <x:c r="AJ378" s="10" t="n">
        <x:v>58</x:v>
      </x:c>
      <x:c r="AK378" s="10" t="n">
        <x:f>IF(COUNT(AJ378,AI378)=2,AJ378-AI378,"")</x:f>
        <x:v>15</x:v>
      </x:c>
      <x:c r="AL378" s="10" t="n">
        <x:v>28</x:v>
      </x:c>
      <x:c r="AM378" s="10" t="n">
        <x:v>28</x:v>
      </x:c>
      <x:c r="AN378" s="4" t="str">
        <x:v>LW,RW</x:v>
      </x:c>
      <x:c r="AO378" s="4" t="str">
        <x:v>F</x:v>
      </x:c>
      <x:c r="AP378" s="4" t="str">
        <x:v>BOS</x:v>
      </x:c>
      <x:c r="AQ378" s="4" t="str">
        <x:v>BOS</x:v>
      </x:c>
      <x:c r="AR378" s="4" t="n">
        <x:v>11.469999999999999</x:v>
      </x:c>
      <x:c r="AS378" s="4" t="n">
        <x:v>12.65</x:v>
      </x:c>
      <x:c r="AT378" s="4" t="n">
        <x:v>0.29</x:v>
      </x:c>
      <x:c r="AU378" s="4" t="n">
        <x:v>7.7</x:v>
      </x:c>
      <x:c r="AV378" s="10" t="n">
        <x:v>0</x:v>
      </x:c>
      <x:c r="AW378" s="10" t="n">
        <x:v>1</x:v>
      </x:c>
      <x:c r="AX378" s="10" t="n">
        <x:v>0</x:v>
      </x:c>
      <x:c r="AY378" s="10" t="n">
        <x:v>0</x:v>
      </x:c>
      <x:c r="AZ378" s="10" t="n">
        <x:v>837</x:v>
      </x:c>
      <x:c r="BA378" s="10" t="n">
        <x:v>887</x:v>
      </x:c>
      <x:c r="BB378" s="4" t="n">
        <x:v>48.5</x:v>
      </x:c>
      <x:c r="BC378" s="4" t="n">
        <x:v>-0.2</x:v>
      </x:c>
      <x:c r="BD378" s="10" t="n">
        <x:v>591</x:v>
      </x:c>
      <x:c r="BE378" s="10" t="n">
        <x:v>626</x:v>
      </x:c>
      <x:c r="BF378" s="4" t="n">
        <x:v>48.6</x:v>
      </x:c>
      <x:c r="BG378" s="4" t="n">
        <x:v>-0.4</x:v>
      </x:c>
      <x:c r="BH378" s="4" t="n">
        <x:v>8</x:v>
      </x:c>
      <x:c r="BI378" s="4" t="n">
        <x:v>91.7</x:v>
      </x:c>
      <x:c r="BJ378" s="4" t="n">
        <x:v>99.7</x:v>
      </x:c>
      <x:c r="BK378" s="4" t="n">
        <x:v>39.2</x:v>
      </x:c>
      <x:c r="BL378" s="4" t="n">
        <x:v>60.8</x:v>
      </x:c>
      <x:c r="BM378" s="4" t="n">
        <x:v>12.65</x:v>
      </x:c>
      <x:c r="BN378" s="4" t="n">
        <x:v>11.2</x:v>
      </x:c>
      <x:c r="BO378" s="10" t="n">
        <x:v>7</x:v>
      </x:c>
      <x:c r="BP378" s="10" t="n">
        <x:v>44</x:v>
      </x:c>
      <x:c r="BQ378" s="4" t="n">
        <x:v>-7.2</x:v>
      </x:c>
      <x:c r="BR378" s="10" t="n">
        <x:v>182</x:v>
      </x:c>
      <x:c r="BS378" s="4" t="n">
        <x:v>42.9</x:v>
      </x:c>
      <x:c r="BT378" s="10" t="n">
        <x:v>77</x:v>
      </x:c>
      <x:c r="BU378" s="4" t="str">
        <x:v>BOS</x:v>
      </x:c>
      <x:c r="BV378" s="10" t="n">
        <x:v>514</x:v>
      </x:c>
      <x:c r="BW378" s="10" t="n">
        <x:v>432</x:v>
      </x:c>
      <x:c r="BX378" s="10" t="n">
        <x:v>460</x:v>
      </x:c>
      <x:c r="BY378" s="4" t="str">
        <x:v>Tanner Jeannot</x:v>
      </x:c>
      <x:c r="BZ378" s="4" t="str">
        <x:v>Tanner Jeannot</x:v>
      </x:c>
      <x:c r="CA378" s="4" t="str">
        <x:v>Tanner Jeannot</x:v>
      </x:c>
      <x:c r="CB378" s="4" t="str">
        <x:v>jeannta01</x:v>
      </x:c>
    </x:row>
    <x:row r="379" ht="22" customHeight="1">
      <x:c r="A379" s="4" t="str">
        <x:v>Taylor Hall</x:v>
      </x:c>
      <x:c r="B379" s="4" t="str">
        <x:v>taylorhall</x:v>
      </x:c>
      <x:c r="C379" s="10" t="n">
        <x:v>1</x:v>
      </x:c>
      <x:c r="D379" s="10" t="n">
        <x:v>1</x:v>
      </x:c>
      <x:c r="E379" s="10" t="n">
        <x:v>1</x:v>
      </x:c>
      <x:c r="F379" s="4" t="n">
        <x:f>IF(COUNT(N379,Q379,T379,W379,Z379,AC379,AF379,AI379)=8,N379*Guide!$E$5+Q379*Guide!$E$6+T379*Guide!$E$7+W379*Guide!$E$8+Z379*Guide!$E$9+AC379*Guide!$E$10+AF379*Guide!$E$11+AI379*Guide!$E$12,"")</x:f>
        <x:v>219.25</x:v>
      </x:c>
      <x:c r="G379" s="4" t="n">
        <x:f>IF(COUNT(O379,R379,U379,X379,AA379,AD379,AG379,AJ379)=8,O379*Guide!$E$5+R379*Guide!$E$6+U379*Guide!$E$7+X379*Guide!$E$8+AA379*Guide!$E$9+AD379*Guide!$E$10+AG379*Guide!$E$11+AJ379*Guide!$E$12,"")</x:f>
        <x:v>245</x:v>
      </x:c>
      <x:c r="H379" s="4" t="n">
        <x:f>IF(COUNT(G379,F379)=2,G379-F379,"")</x:f>
        <x:v>25.75</x:v>
      </x:c>
      <x:c r="I379" s="4" t="n">
        <x:f>IF(AND(ISNUMBER(F379),K379&gt;0),F379/K379,"")</x:f>
        <x:v>2.8848684210526314</x:v>
      </x:c>
      <x:c r="J379" s="4" t="n">
        <x:f>IF(AND(ISNUMBER(G379),L379&gt;0),G379/L379,"")</x:f>
        <x:v>3.0625</x:v>
      </x:c>
      <x:c r="K379" s="10" t="n">
        <x:v>76</x:v>
      </x:c>
      <x:c r="L379" s="10" t="n">
        <x:v>80</x:v>
      </x:c>
      <x:c r="M379" s="10" t="n">
        <x:f>IF(COUNT(L379,K379)=2,L379-K379,"")</x:f>
        <x:v>4</x:v>
      </x:c>
      <x:c r="N379" s="10" t="n">
        <x:v>17</x:v>
      </x:c>
      <x:c r="O379" s="10" t="n">
        <x:v>18</x:v>
      </x:c>
      <x:c r="P379" s="10" t="n">
        <x:f>IF(COUNT(O379,N379)=2,O379-N379,"")</x:f>
        <x:v>1</x:v>
      </x:c>
      <x:c r="Q379" s="10" t="n">
        <x:v>23</x:v>
      </x:c>
      <x:c r="R379" s="10" t="n">
        <x:v>30</x:v>
      </x:c>
      <x:c r="S379" s="10" t="n">
        <x:f>IF(COUNT(R379,Q379)=2,R379-Q379,"")</x:f>
        <x:v>7</x:v>
      </x:c>
      <x:c r="T379" s="10" t="n">
        <x:v>-4</x:v>
      </x:c>
      <x:c r="U379" s="10" t="n">
        <x:v>6</x:v>
      </x:c>
      <x:c r="V379" s="10" t="n">
        <x:f>IF(COUNT(U379,T379)=2,U379-T379,"")</x:f>
        <x:v>10</x:v>
      </x:c>
      <x:c r="W379" s="10" t="n">
        <x:v>9</x:v>
      </x:c>
      <x:c r="X379" s="10" t="n">
        <x:f>IF(COUNT(AV379,AW379)=2,AV379+AW379,"")</x:f>
        <x:v>7</x:v>
      </x:c>
      <x:c r="Y379" s="10" t="n">
        <x:f>IF(COUNT(X379,W379)=2,X379-W379,"")</x:f>
        <x:v>-2</x:v>
      </x:c>
      <x:c r="Z379" s="10" t="n">
        <x:v>0</x:v>
      </x:c>
      <x:c r="AA379" s="10" t="n">
        <x:f>IF(COUNT(AX379,AY379)=2,AX379+AY379,"")</x:f>
        <x:v>0</x:v>
      </x:c>
      <x:c r="AB379" s="10" t="n">
        <x:f>IF(COUNT(AA379,Z379)=2,AA379-Z379,"")</x:f>
        <x:v>0</x:v>
      </x:c>
      <x:c r="AC379" s="10" t="n">
        <x:v>140</x:v>
      </x:c>
      <x:c r="AD379" s="10" t="n">
        <x:v>137</x:v>
      </x:c>
      <x:c r="AE379" s="10" t="n">
        <x:f>IF(COUNT(AD379,AC379)=2,AD379-AC379,"")</x:f>
        <x:v>-3</x:v>
      </x:c>
      <x:c r="AF379" s="10" t="n">
        <x:v>43</x:v>
      </x:c>
      <x:c r="AG379" s="10" t="n">
        <x:v>53</x:v>
      </x:c>
      <x:c r="AH379" s="10" t="n">
        <x:f>IF(COUNT(AG379,AF379)=2,AG379-AF379,"")</x:f>
        <x:v>10</x:v>
      </x:c>
      <x:c r="AI379" s="10" t="n">
        <x:v>42</x:v>
      </x:c>
      <x:c r="AJ379" s="10" t="n">
        <x:v>30</x:v>
      </x:c>
      <x:c r="AK379" s="10" t="n">
        <x:f>IF(COUNT(AJ379,AI379)=2,AJ379-AI379,"")</x:f>
        <x:v>-12</x:v>
      </x:c>
      <x:c r="AL379" s="10" t="n">
        <x:v>34</x:v>
      </x:c>
      <x:c r="AM379" s="10" t="n">
        <x:v>34</x:v>
      </x:c>
      <x:c r="AN379" s="4" t="str">
        <x:v>LW</x:v>
      </x:c>
      <x:c r="AO379" s="4" t="str">
        <x:v>LW</x:v>
      </x:c>
      <x:c r="AP379" s="4" t="str">
        <x:v>CAR</x:v>
      </x:c>
      <x:c r="AQ379" s="4" t="str">
        <x:v>CAR</x:v>
      </x:c>
      <x:c r="AR379" s="4" t="n">
        <x:v>15.06</x:v>
      </x:c>
      <x:c r="AS379" s="4" t="n">
        <x:v>14.533333333333333</x:v>
      </x:c>
      <x:c r="AT379" s="4" t="n">
        <x:v>1.83</x:v>
      </x:c>
      <x:c r="AU379" s="4" t="n">
        <x:v>13.1</x:v>
      </x:c>
      <x:c r="AV379" s="10" t="n">
        <x:v>3</x:v>
      </x:c>
      <x:c r="AW379" s="10" t="n">
        <x:v>4</x:v>
      </x:c>
      <x:c r="AX379" s="10" t="n">
        <x:v>0</x:v>
      </x:c>
      <x:c r="AY379" s="10" t="n">
        <x:v>0</x:v>
      </x:c>
      <x:c r="AZ379" s="10" t="n">
        <x:v>1198</x:v>
      </x:c>
      <x:c r="BA379" s="10" t="n">
        <x:v>797</x:v>
      </x:c>
      <x:c r="BB379" s="4" t="n">
        <x:v>60.1</x:v>
      </x:c>
      <x:c r="BC379" s="4" t="n">
        <x:v>0.3</x:v>
      </x:c>
      <x:c r="BD379" s="10" t="n">
        <x:v>845</x:v>
      </x:c>
      <x:c r="BE379" s="10" t="n">
        <x:v>605</x:v>
      </x:c>
      <x:c r="BF379" s="4" t="n">
        <x:v>58.3</x:v>
      </x:c>
      <x:c r="BG379" s="4" t="n">
        <x:v>-0.8</x:v>
      </x:c>
      <x:c r="BH379" s="4" t="n">
        <x:v>10.9</x:v>
      </x:c>
      <x:c r="BI379" s="4" t="n">
        <x:v>87.6</x:v>
      </x:c>
      <x:c r="BJ379" s="4" t="n">
        <x:v>98.4</x:v>
      </x:c>
      <x:c r="BK379" s="4" t="n">
        <x:v>67.5</x:v>
      </x:c>
      <x:c r="BL379" s="4" t="n">
        <x:v>32.5</x:v>
      </x:c>
      <x:c r="BM379" s="4" t="n">
        <x:v>14.533333333333333</x:v>
      </x:c>
      <x:c r="BN379" s="4" t="n">
        <x:v>12.866666666666667</x:v>
      </x:c>
      <x:c r="BO379" s="10" t="n">
        <x:v>21</x:v>
      </x:c>
      <x:c r="BP379" s="10" t="n">
        <x:v>64</x:v>
      </x:c>
      <x:c r="BQ379" s="4" t="n">
        <x:v>12.2</x:v>
      </x:c>
      <x:c r="BR379" s="10" t="n">
        <x:v>279</x:v>
      </x:c>
      <x:c r="BS379" s="4" t="n">
        <x:v>49.1</x:v>
      </x:c>
      <x:c r="BT379" s="10" t="n">
        <x:v>80</x:v>
      </x:c>
      <x:c r="BU379" s="4" t="str">
        <x:v>CAR</x:v>
      </x:c>
      <x:c r="BV379" s="10" t="n">
        <x:v>251</x:v>
      </x:c>
      <x:c r="BW379" s="10" t="n">
        <x:v>156</x:v>
      </x:c>
      <x:c r="BX379" s="10" t="n">
        <x:v>379</x:v>
      </x:c>
      <x:c r="BY379" s="4" t="str">
        <x:v>Taylor Hall</x:v>
      </x:c>
      <x:c r="BZ379" s="4" t="str">
        <x:v>Taylor Hall</x:v>
      </x:c>
      <x:c r="CA379" s="4" t="str">
        <x:v>Taylor Hall</x:v>
      </x:c>
      <x:c r="CB379" s="4" t="str">
        <x:v>hallta02</x:v>
      </x:c>
    </x:row>
    <x:row r="380" ht="22" customHeight="1">
      <x:c r="A380" s="4" t="str">
        <x:v>Taylor Raddysh</x:v>
      </x:c>
      <x:c r="B380" s="4" t="str">
        <x:v>taylorraddysh</x:v>
      </x:c>
      <x:c r="C380" s="10" t="n">
        <x:v>1</x:v>
      </x:c>
      <x:c r="D380" s="10" t="n">
        <x:v>1</x:v>
      </x:c>
      <x:c r="E380" s="10" t="n">
        <x:v>1</x:v>
      </x:c>
      <x:c r="F380" s="4" t="n">
        <x:f>IF(COUNT(N380,Q380,T380,W380,Z380,AC380,AF380,AI380)=8,N380*Guide!$E$5+Q380*Guide!$E$6+T380*Guide!$E$7+W380*Guide!$E$8+Z380*Guide!$E$9+AC380*Guide!$E$10+AF380*Guide!$E$11+AI380*Guide!$E$12,"")</x:f>
        <x:v>147.75</x:v>
      </x:c>
      <x:c r="G380" s="4" t="n">
        <x:f>IF(COUNT(O380,R380,U380,X380,AA380,AD380,AG380,AJ380)=8,O380*Guide!$E$5+R380*Guide!$E$6+U380*Guide!$E$7+X380*Guide!$E$8+AA380*Guide!$E$9+AD380*Guide!$E$10+AG380*Guide!$E$11+AJ380*Guide!$E$12,"")</x:f>
        <x:v>130.5</x:v>
      </x:c>
      <x:c r="H380" s="4" t="n">
        <x:f>IF(COUNT(G380,F380)=2,G380-F380,"")</x:f>
        <x:v>-17.25</x:v>
      </x:c>
      <x:c r="I380" s="4" t="n">
        <x:f>IF(AND(ISNUMBER(F380),K380&gt;0),F380/K380,"")</x:f>
        <x:v>1.846875</x:v>
      </x:c>
      <x:c r="J380" s="4" t="n">
        <x:f>IF(AND(ISNUMBER(G380),L380&gt;0),G380/L380,"")</x:f>
        <x:v>1.9191176470588236</x:v>
      </x:c>
      <x:c r="K380" s="10" t="n">
        <x:v>80</x:v>
      </x:c>
      <x:c r="L380" s="10" t="n">
        <x:v>68</x:v>
      </x:c>
      <x:c r="M380" s="10" t="n">
        <x:f>IF(COUNT(L380,K380)=2,L380-K380,"")</x:f>
        <x:v>-12</x:v>
      </x:c>
      <x:c r="N380" s="10" t="n">
        <x:v>10</x:v>
      </x:c>
      <x:c r="O380" s="10" t="n">
        <x:v>9</x:v>
      </x:c>
      <x:c r="P380" s="10" t="n">
        <x:f>IF(COUNT(O380,N380)=2,O380-N380,"")</x:f>
        <x:v>-1</x:v>
      </x:c>
      <x:c r="Q380" s="10" t="n">
        <x:v>15</x:v>
      </x:c>
      <x:c r="R380" s="10" t="n">
        <x:v>10</x:v>
      </x:c>
      <x:c r="S380" s="10" t="n">
        <x:f>IF(COUNT(R380,Q380)=2,R380-Q380,"")</x:f>
        <x:v>-5</x:v>
      </x:c>
      <x:c r="T380" s="10" t="n">
        <x:v>-6</x:v>
      </x:c>
      <x:c r="U380" s="10" t="n">
        <x:v>5</x:v>
      </x:c>
      <x:c r="V380" s="10" t="n">
        <x:f>IF(COUNT(U380,T380)=2,U380-T380,"")</x:f>
        <x:v>11</x:v>
      </x:c>
      <x:c r="W380" s="10" t="n">
        <x:v>4</x:v>
      </x:c>
      <x:c r="X380" s="10" t="n">
        <x:f>IF(COUNT(AV380,AW380)=2,AV380+AW380,"")</x:f>
        <x:v>1</x:v>
      </x:c>
      <x:c r="Y380" s="10" t="n">
        <x:f>IF(COUNT(X380,W380)=2,X380-W380,"")</x:f>
        <x:v>-3</x:v>
      </x:c>
      <x:c r="Z380" s="10" t="n">
        <x:v>0</x:v>
      </x:c>
      <x:c r="AA380" s="10" t="n">
        <x:f>IF(COUNT(AX380,AY380)=2,AX380+AY380,"")</x:f>
        <x:v>1</x:v>
      </x:c>
      <x:c r="AB380" s="10" t="n">
        <x:f>IF(COUNT(AA380,Z380)=2,AA380-Z380,"")</x:f>
        <x:v>1</x:v>
      </x:c>
      <x:c r="AC380" s="10" t="n">
        <x:v>99</x:v>
      </x:c>
      <x:c r="AD380" s="10" t="n">
        <x:v>53</x:v>
      </x:c>
      <x:c r="AE380" s="10" t="n">
        <x:f>IF(COUNT(AD380,AC380)=2,AD380-AC380,"")</x:f>
        <x:v>-46</x:v>
      </x:c>
      <x:c r="AF380" s="10" t="n">
        <x:v>67</x:v>
      </x:c>
      <x:c r="AG380" s="10" t="n">
        <x:v>49</x:v>
      </x:c>
      <x:c r="AH380" s="10" t="n">
        <x:f>IF(COUNT(AG380,AF380)=2,AG380-AF380,"")</x:f>
        <x:v>-18</x:v>
      </x:c>
      <x:c r="AI380" s="10" t="n">
        <x:v>31</x:v>
      </x:c>
      <x:c r="AJ380" s="10" t="n">
        <x:v>40</x:v>
      </x:c>
      <x:c r="AK380" s="10" t="n">
        <x:f>IF(COUNT(AJ380,AI380)=2,AJ380-AI380,"")</x:f>
        <x:v>9</x:v>
      </x:c>
      <x:c r="AL380" s="10" t="n">
        <x:v>27</x:v>
      </x:c>
      <x:c r="AM380" s="10" t="n">
        <x:v>27</x:v>
      </x:c>
      <x:c r="AN380" s="4" t="str">
        <x:v>RW</x:v>
      </x:c>
      <x:c r="AO380" s="4" t="str">
        <x:v>RW</x:v>
      </x:c>
      <x:c r="AP380" s="4" t="str">
        <x:v>NYR</x:v>
      </x:c>
      <x:c r="AQ380" s="4" t="str">
        <x:v>NYR</x:v>
      </x:c>
      <x:c r="AR380" s="4" t="n">
        <x:v>13.21</x:v>
      </x:c>
      <x:c r="AS380" s="4" t="n">
        <x:v>11.85</x:v>
      </x:c>
      <x:c r="AT380" s="4" t="n">
        <x:v>0.82</x:v>
      </x:c>
      <x:c r="AU380" s="4" t="n">
        <x:v>17</x:v>
      </x:c>
      <x:c r="AV380" s="10" t="n">
        <x:v>0</x:v>
      </x:c>
      <x:c r="AW380" s="10" t="n">
        <x:v>1</x:v>
      </x:c>
      <x:c r="AX380" s="10" t="n">
        <x:v>1</x:v>
      </x:c>
      <x:c r="AY380" s="10" t="n">
        <x:v>0</x:v>
      </x:c>
      <x:c r="AZ380" s="10" t="n">
        <x:v>629</x:v>
      </x:c>
      <x:c r="BA380" s="10" t="n">
        <x:v>723</x:v>
      </x:c>
      <x:c r="BB380" s="4" t="n">
        <x:v>46.5</x:v>
      </x:c>
      <x:c r="BC380" s="4" t="n">
        <x:v>-3.5</x:v>
      </x:c>
      <x:c r="BD380" s="10" t="n">
        <x:v>427</x:v>
      </x:c>
      <x:c r="BE380" s="10" t="n">
        <x:v>510</x:v>
      </x:c>
      <x:c r="BF380" s="4" t="n">
        <x:v>45.6</x:v>
      </x:c>
      <x:c r="BG380" s="4" t="n">
        <x:v>-3.4</x:v>
      </x:c>
      <x:c r="BH380" s="4" t="n">
        <x:v>9.2</x:v>
      </x:c>
      <x:c r="BI380" s="4" t="n">
        <x:v>93.2</x:v>
      </x:c>
      <x:c r="BJ380" s="4" t="n">
        <x:v>102.4</x:v>
      </x:c>
      <x:c r="BK380" s="4" t="n">
        <x:v>37.7</x:v>
      </x:c>
      <x:c r="BL380" s="4" t="n">
        <x:v>62.3</x:v>
      </x:c>
      <x:c r="BM380" s="4" t="n">
        <x:v>11.85</x:v>
      </x:c>
      <x:c r="BN380" s="4" t="n">
        <x:v>10.65</x:v>
      </x:c>
      <x:c r="BO380" s="10" t="n">
        <x:v>14</x:v>
      </x:c>
      <x:c r="BP380" s="10" t="n">
        <x:v>25</x:v>
      </x:c>
      <x:c r="BQ380" s="4" t="n">
        <x:v>-1.1</x:v>
      </x:c>
      <x:c r="BR380" s="10" t="n">
        <x:v>106</x:v>
      </x:c>
      <x:c r="BS380" s="4" t="n">
        <x:v>50</x:v>
      </x:c>
      <x:c r="BT380" s="10" t="n">
        <x:v>68</x:v>
      </x:c>
      <x:c r="BU380" s="4" t="str">
        <x:v>NYR</x:v>
      </x:c>
      <x:c r="BV380" s="10" t="n">
        <x:v>439</x:v>
      </x:c>
      <x:c r="BW380" s="10" t="n">
        <x:v>479</x:v>
      </x:c>
      <x:c r="BX380" s="10" t="n">
        <x:v>839</x:v>
      </x:c>
      <x:c r="BY380" s="4" t="str">
        <x:v>Taylor Raddysh</x:v>
      </x:c>
      <x:c r="BZ380" s="4" t="str">
        <x:v>Taylor Raddysh</x:v>
      </x:c>
      <x:c r="CA380" s="4" t="str">
        <x:v>Taylor Raddysh</x:v>
      </x:c>
      <x:c r="CB380" s="4" t="str">
        <x:v>raddyta01</x:v>
      </x:c>
    </x:row>
    <x:row r="381" ht="22" customHeight="1">
      <x:c r="A381" s="4" t="str">
        <x:v>Teuvo Teräväinen</x:v>
      </x:c>
      <x:c r="B381" s="4" t="str">
        <x:v>teuvoteravainen</x:v>
      </x:c>
      <x:c r="C381" s="10" t="n">
        <x:v>1</x:v>
      </x:c>
      <x:c r="D381" s="10" t="n">
        <x:v>1</x:v>
      </x:c>
      <x:c r="E381" s="10" t="n">
        <x:v>1</x:v>
      </x:c>
      <x:c r="F381" s="4" t="n">
        <x:f>IF(COUNT(N381,Q381,T381,W381,Z381,AC381,AF381,AI381)=8,N381*Guide!$E$5+Q381*Guide!$E$6+T381*Guide!$E$7+W381*Guide!$E$8+Z381*Guide!$E$9+AC381*Guide!$E$10+AF381*Guide!$E$11+AI381*Guide!$E$12,"")</x:f>
        <x:v>233.5</x:v>
      </x:c>
      <x:c r="G381" s="4" t="n">
        <x:f>IF(COUNT(O381,R381,U381,X381,AA381,AD381,AG381,AJ381)=8,O381*Guide!$E$5+R381*Guide!$E$6+U381*Guide!$E$7+X381*Guide!$E$8+AA381*Guide!$E$9+AD381*Guide!$E$10+AG381*Guide!$E$11+AJ381*Guide!$E$12,"")</x:f>
        <x:v>170.75</x:v>
      </x:c>
      <x:c r="H381" s="4" t="n">
        <x:f>IF(COUNT(G381,F381)=2,G381-F381,"")</x:f>
        <x:v>-62.75</x:v>
      </x:c>
      <x:c r="I381" s="4" t="n">
        <x:f>IF(AND(ISNUMBER(F381),K381&gt;0),F381/K381,"")</x:f>
        <x:v>2.882716049382716</x:v>
      </x:c>
      <x:c r="J381" s="4" t="n">
        <x:f>IF(AND(ISNUMBER(G381),L381&gt;0),G381/L381,"")</x:f>
        <x:v>2.276666666666667</x:v>
      </x:c>
      <x:c r="K381" s="10" t="n">
        <x:v>81</x:v>
      </x:c>
      <x:c r="L381" s="10" t="n">
        <x:v>75</x:v>
      </x:c>
      <x:c r="M381" s="10" t="n">
        <x:f>IF(COUNT(L381,K381)=2,L381-K381,"")</x:f>
        <x:v>-6</x:v>
      </x:c>
      <x:c r="N381" s="10" t="n">
        <x:v>15</x:v>
      </x:c>
      <x:c r="O381" s="10" t="n">
        <x:v>14</x:v>
      </x:c>
      <x:c r="P381" s="10" t="n">
        <x:f>IF(COUNT(O381,N381)=2,O381-N381,"")</x:f>
        <x:v>-1</x:v>
      </x:c>
      <x:c r="Q381" s="10" t="n">
        <x:v>33</x:v>
      </x:c>
      <x:c r="R381" s="10" t="n">
        <x:v>21</x:v>
      </x:c>
      <x:c r="S381" s="10" t="n">
        <x:f>IF(COUNT(R381,Q381)=2,R381-Q381,"")</x:f>
        <x:v>-12</x:v>
      </x:c>
      <x:c r="T381" s="10" t="n">
        <x:v>-6</x:v>
      </x:c>
      <x:c r="U381" s="10" t="n">
        <x:v>-30</x:v>
      </x:c>
      <x:c r="V381" s="10" t="n">
        <x:f>IF(COUNT(U381,T381)=2,U381-T381,"")</x:f>
        <x:v>-24</x:v>
      </x:c>
      <x:c r="W381" s="10" t="n">
        <x:v>17</x:v>
      </x:c>
      <x:c r="X381" s="10" t="n">
        <x:f>IF(COUNT(AV381,AW381)=2,AV381+AW381,"")</x:f>
        <x:v>19</x:v>
      </x:c>
      <x:c r="Y381" s="10" t="n">
        <x:f>IF(COUNT(X381,W381)=2,X381-W381,"")</x:f>
        <x:v>2</x:v>
      </x:c>
      <x:c r="Z381" s="10" t="n">
        <x:v>2</x:v>
      </x:c>
      <x:c r="AA381" s="10" t="n">
        <x:f>IF(COUNT(AX381,AY381)=2,AX381+AY381,"")</x:f>
        <x:v>1</x:v>
      </x:c>
      <x:c r="AB381" s="10" t="n">
        <x:f>IF(COUNT(AA381,Z381)=2,AA381-Z381,"")</x:f>
        <x:v>-1</x:v>
      </x:c>
      <x:c r="AC381" s="10" t="n">
        <x:v>119</x:v>
      </x:c>
      <x:c r="AD381" s="10" t="n">
        <x:v>89</x:v>
      </x:c>
      <x:c r="AE381" s="10" t="n">
        <x:f>IF(COUNT(AD381,AC381)=2,AD381-AC381,"")</x:f>
        <x:v>-30</x:v>
      </x:c>
      <x:c r="AF381" s="10" t="n">
        <x:v>24</x:v>
      </x:c>
      <x:c r="AG381" s="10" t="n">
        <x:v>21</x:v>
      </x:c>
      <x:c r="AH381" s="10" t="n">
        <x:f>IF(COUNT(AG381,AF381)=2,AG381-AF381,"")</x:f>
        <x:v>-3</x:v>
      </x:c>
      <x:c r="AI381" s="10" t="n">
        <x:v>29</x:v>
      </x:c>
      <x:c r="AJ381" s="10" t="n">
        <x:v>43</x:v>
      </x:c>
      <x:c r="AK381" s="10" t="n">
        <x:f>IF(COUNT(AJ381,AI381)=2,AJ381-AI381,"")</x:f>
        <x:v>14</x:v>
      </x:c>
      <x:c r="AL381" s="10" t="n">
        <x:v>31</x:v>
      </x:c>
      <x:c r="AM381" s="10" t="n">
        <x:v>31</x:v>
      </x:c>
      <x:c r="AN381" s="4" t="str">
        <x:v>LW,RW</x:v>
      </x:c>
      <x:c r="AO381" s="4" t="str">
        <x:v>F</x:v>
      </x:c>
      <x:c r="AP381" s="4" t="str">
        <x:v>CHI</x:v>
      </x:c>
      <x:c r="AQ381" s="4" t="str">
        <x:v>CHI</x:v>
      </x:c>
      <x:c r="AR381" s="4" t="n">
        <x:v>16.68</x:v>
      </x:c>
      <x:c r="AS381" s="4" t="n">
        <x:v>17.75</x:v>
      </x:c>
      <x:c r="AT381" s="4" t="n">
        <x:v>2.25</x:v>
      </x:c>
      <x:c r="AU381" s="4" t="n">
        <x:v>15.7</x:v>
      </x:c>
      <x:c r="AV381" s="10" t="n">
        <x:v>7</x:v>
      </x:c>
      <x:c r="AW381" s="10" t="n">
        <x:v>12</x:v>
      </x:c>
      <x:c r="AX381" s="10" t="n">
        <x:v>1</x:v>
      </x:c>
      <x:c r="AY381" s="10" t="n">
        <x:v>0</x:v>
      </x:c>
      <x:c r="AZ381" s="10" t="n">
        <x:v>818</x:v>
      </x:c>
      <x:c r="BA381" s="10" t="n">
        <x:v>926</x:v>
      </x:c>
      <x:c r="BB381" s="4" t="n">
        <x:v>46.9</x:v>
      </x:c>
      <x:c r="BC381" s="4" t="n">
        <x:v>1.3</x:v>
      </x:c>
      <x:c r="BD381" s="10" t="n">
        <x:v>602</x:v>
      </x:c>
      <x:c r="BE381" s="10" t="n">
        <x:v>701</x:v>
      </x:c>
      <x:c r="BF381" s="4" t="n">
        <x:v>46.2</x:v>
      </x:c>
      <x:c r="BG381" s="4" t="n">
        <x:v>1.2</x:v>
      </x:c>
      <x:c r="BH381" s="4" t="n">
        <x:v>7.3</x:v>
      </x:c>
      <x:c r="BI381" s="4" t="n">
        <x:v>87.4</x:v>
      </x:c>
      <x:c r="BJ381" s="4" t="n">
        <x:v>94.7</x:v>
      </x:c>
      <x:c r="BK381" s="4" t="n">
        <x:v>47.7</x:v>
      </x:c>
      <x:c r="BL381" s="4" t="n">
        <x:v>52.3</x:v>
      </x:c>
      <x:c r="BM381" s="4" t="n">
        <x:v>17.75</x:v>
      </x:c>
      <x:c r="BN381" s="4" t="n">
        <x:v>12.85</x:v>
      </x:c>
      <x:c r="BO381" s="10" t="n">
        <x:v>22</x:v>
      </x:c>
      <x:c r="BP381" s="10" t="n">
        <x:v>71</x:v>
      </x:c>
      <x:c r="BQ381" s="4" t="n">
        <x:v>-14.2</x:v>
      </x:c>
      <x:c r="BR381" s="10" t="n">
        <x:v>191</x:v>
      </x:c>
      <x:c r="BS381" s="4" t="n">
        <x:v>46.6</x:v>
      </x:c>
      <x:c r="BT381" s="10" t="n">
        <x:v>75</x:v>
      </x:c>
      <x:c r="BU381" s="4" t="str">
        <x:v>CHI</x:v>
      </x:c>
      <x:c r="BV381" s="10" t="n">
        <x:v>171</x:v>
      </x:c>
      <x:c r="BW381" s="10" t="n">
        <x:v>273</x:v>
      </x:c>
      <x:c r="BX381" s="10" t="n">
        <x:v>1006</x:v>
      </x:c>
      <x:c r="BY381" s="4" t="str">
        <x:v>Teuvo Teravainen</x:v>
      </x:c>
      <x:c r="BZ381" s="4" t="str">
        <x:v>Teuvo Teräväinen</x:v>
      </x:c>
      <x:c r="CA381" s="4" t="str">
        <x:v>Teuvo Teräväinen</x:v>
      </x:c>
      <x:c r="CB381" s="4" t="str">
        <x:v>teravte01</x:v>
      </x:c>
    </x:row>
    <x:row r="382" ht="22" customHeight="1">
      <x:c r="A382" s="4" t="str">
        <x:v>Thomas Chabot</x:v>
      </x:c>
      <x:c r="B382" s="4" t="str">
        <x:v>thomaschabot</x:v>
      </x:c>
      <x:c r="C382" s="10" t="n">
        <x:v>1</x:v>
      </x:c>
      <x:c r="D382" s="10" t="n">
        <x:v>1</x:v>
      </x:c>
      <x:c r="E382" s="10" t="n">
        <x:v>1</x:v>
      </x:c>
      <x:c r="F382" s="4" t="n">
        <x:f>IF(COUNT(N382,Q382,T382,W382,Z382,AC382,AF382,AI382)=8,N382*Guide!$E$5+Q382*Guide!$E$6+T382*Guide!$E$7+W382*Guide!$E$8+Z382*Guide!$E$9+AC382*Guide!$E$10+AF382*Guide!$E$11+AI382*Guide!$E$12,"")</x:f>
        <x:v>317.75</x:v>
      </x:c>
      <x:c r="G382" s="4" t="n">
        <x:f>IF(COUNT(O382,R382,U382,X382,AA382,AD382,AG382,AJ382)=8,O382*Guide!$E$5+R382*Guide!$E$6+U382*Guide!$E$7+X382*Guide!$E$8+AA382*Guide!$E$9+AD382*Guide!$E$10+AG382*Guide!$E$11+AJ382*Guide!$E$12,"")</x:f>
        <x:v>236</x:v>
      </x:c>
      <x:c r="H382" s="4" t="n">
        <x:f>IF(COUNT(G382,F382)=2,G382-F382,"")</x:f>
        <x:v>-81.75</x:v>
      </x:c>
      <x:c r="I382" s="4" t="n">
        <x:f>IF(AND(ISNUMBER(F382),K382&gt;0),F382/K382,"")</x:f>
        <x:v>4.073717948717949</x:v>
      </x:c>
      <x:c r="J382" s="4" t="n">
        <x:f>IF(AND(ISNUMBER(G382),L382&gt;0),G382/L382,"")</x:f>
        <x:v>4.140350877192983</x:v>
      </x:c>
      <x:c r="K382" s="10" t="n">
        <x:v>78</x:v>
      </x:c>
      <x:c r="L382" s="10" t="n">
        <x:v>57</x:v>
      </x:c>
      <x:c r="M382" s="10" t="n">
        <x:f>IF(COUNT(L382,K382)=2,L382-K382,"")</x:f>
        <x:v>-21</x:v>
      </x:c>
      <x:c r="N382" s="10" t="n">
        <x:v>11</x:v>
      </x:c>
      <x:c r="O382" s="10" t="n">
        <x:v>7</x:v>
      </x:c>
      <x:c r="P382" s="10" t="n">
        <x:f>IF(COUNT(O382,N382)=2,O382-N382,"")</x:f>
        <x:v>-4</x:v>
      </x:c>
      <x:c r="Q382" s="10" t="n">
        <x:v>32</x:v>
      </x:c>
      <x:c r="R382" s="10" t="n">
        <x:v>24</x:v>
      </x:c>
      <x:c r="S382" s="10" t="n">
        <x:f>IF(COUNT(R382,Q382)=2,R382-Q382,"")</x:f>
        <x:v>-8</x:v>
      </x:c>
      <x:c r="T382" s="10" t="n">
        <x:v>8</x:v>
      </x:c>
      <x:c r="U382" s="10" t="n">
        <x:v>6</x:v>
      </x:c>
      <x:c r="V382" s="10" t="n">
        <x:f>IF(COUNT(U382,T382)=2,U382-T382,"")</x:f>
        <x:v>-2</x:v>
      </x:c>
      <x:c r="W382" s="10" t="n">
        <x:v>12</x:v>
      </x:c>
      <x:c r="X382" s="10" t="n">
        <x:f>IF(COUNT(AV382,AW382)=2,AV382+AW382,"")</x:f>
        <x:v>7</x:v>
      </x:c>
      <x:c r="Y382" s="10" t="n">
        <x:f>IF(COUNT(X382,W382)=2,X382-W382,"")</x:f>
        <x:v>-5</x:v>
      </x:c>
      <x:c r="Z382" s="10" t="n">
        <x:v>0</x:v>
      </x:c>
      <x:c r="AA382" s="10" t="n">
        <x:f>IF(COUNT(AX382,AY382)=2,AX382+AY382,"")</x:f>
        <x:v>2</x:v>
      </x:c>
      <x:c r="AB382" s="10" t="n">
        <x:f>IF(COUNT(AA382,Z382)=2,AA382-Z382,"")</x:f>
        <x:v>2</x:v>
      </x:c>
      <x:c r="AC382" s="10" t="n">
        <x:v>166</x:v>
      </x:c>
      <x:c r="AD382" s="10" t="n">
        <x:v>99</x:v>
      </x:c>
      <x:c r="AE382" s="10" t="n">
        <x:f>IF(COUNT(AD382,AC382)=2,AD382-AC382,"")</x:f>
        <x:v>-67</x:v>
      </x:c>
      <x:c r="AF382" s="10" t="n">
        <x:v>57</x:v>
      </x:c>
      <x:c r="AG382" s="10" t="n">
        <x:v>36</x:v>
      </x:c>
      <x:c r="AH382" s="10" t="n">
        <x:f>IF(COUNT(AG382,AF382)=2,AG382-AF382,"")</x:f>
        <x:v>-21</x:v>
      </x:c>
      <x:c r="AI382" s="10" t="n">
        <x:v>136</x:v>
      </x:c>
      <x:c r="AJ382" s="10" t="n">
        <x:v>111</x:v>
      </x:c>
      <x:c r="AK382" s="10" t="n">
        <x:f>IF(COUNT(AJ382,AI382)=2,AJ382-AI382,"")</x:f>
        <x:v>-25</x:v>
      </x:c>
      <x:c r="AL382" s="10" t="n">
        <x:v>29</x:v>
      </x:c>
      <x:c r="AM382" s="10" t="n">
        <x:v>29</x:v>
      </x:c>
      <x:c r="AN382" s="4" t="str">
        <x:v>D</x:v>
      </x:c>
      <x:c r="AO382" s="4" t="str">
        <x:v>D</x:v>
      </x:c>
      <x:c r="AP382" s="4" t="str">
        <x:v>OTT</x:v>
      </x:c>
      <x:c r="AQ382" s="4" t="str">
        <x:v>OTT</x:v>
      </x:c>
      <x:c r="AR382" s="4" t="n">
        <x:v>22.799999999999997</x:v>
      </x:c>
      <x:c r="AS382" s="4" t="n">
        <x:v>22.583333333333332</x:v>
      </x:c>
      <x:c r="AT382" s="4" t="n">
        <x:v>2.05</x:v>
      </x:c>
      <x:c r="AU382" s="4" t="n">
        <x:v>7.1</x:v>
      </x:c>
      <x:c r="AV382" s="10" t="n">
        <x:v>2</x:v>
      </x:c>
      <x:c r="AW382" s="10" t="n">
        <x:v>5</x:v>
      </x:c>
      <x:c r="AX382" s="10" t="n">
        <x:v>1</x:v>
      </x:c>
      <x:c r="AY382" s="10" t="n">
        <x:v>1</x:v>
      </x:c>
      <x:c r="AZ382" s="10" t="n">
        <x:v>1058</x:v>
      </x:c>
      <x:c r="BA382" s="10" t="n">
        <x:v>961</x:v>
      </x:c>
      <x:c r="BB382" s="4" t="n">
        <x:v>52.4</x:v>
      </x:c>
      <x:c r="BC382" s="4" t="n">
        <x:v>-1.2</x:v>
      </x:c>
      <x:c r="BD382" s="10" t="n">
        <x:v>774</x:v>
      </x:c>
      <x:c r="BE382" s="10" t="n">
        <x:v>686</x:v>
      </x:c>
      <x:c r="BF382" s="4" t="n">
        <x:v>53</x:v>
      </x:c>
      <x:c r="BG382" s="4" t="n">
        <x:v>-2.1</x:v>
      </x:c>
      <x:c r="BH382" s="4" t="n">
        <x:v>13.3</x:v>
      </x:c>
      <x:c r="BI382" s="4" t="n">
        <x:v>85.9</x:v>
      </x:c>
      <x:c r="BJ382" s="4" t="n">
        <x:v>99.2</x:v>
      </x:c>
      <x:c r="BK382" s="4" t="n">
        <x:v>55</x:v>
      </x:c>
      <x:c r="BL382" s="4" t="n">
        <x:v>45</x:v>
      </x:c>
      <x:c r="BM382" s="4" t="n">
        <x:v>22.583333333333332</x:v>
      </x:c>
      <x:c r="BN382" s="4" t="n">
        <x:v>18.583333333333332</x:v>
      </x:c>
      <x:c r="BO382" s="10" t="n">
        <x:v>25</x:v>
      </x:c>
      <x:c r="BP382" s="10" t="n">
        <x:v>59</x:v>
      </x:c>
      <x:c r="BQ382" s="4" t="n">
        <x:v>12.1</x:v>
      </x:c>
      <x:c r="BR382" s="10" t="n">
        <x:v>254</x:v>
      </x:c>
      <x:c r="BS382" s="4" t="n">
        <x:v>39</x:v>
      </x:c>
      <x:c r="BT382" s="10" t="n">
        <x:v>57</x:v>
      </x:c>
      <x:c r="BU382" s="4" t="str">
        <x:v>OTT</x:v>
      </x:c>
      <x:c r="BV382" s="10" t="n">
        <x:v>212</x:v>
      </x:c>
      <x:c r="BW382" s="10" t="n">
        <x:v>311</x:v>
      </x:c>
      <x:c r="BX382" s="10" t="n">
        <x:v>143</x:v>
      </x:c>
      <x:c r="BY382" s="4" t="str">
        <x:v>Thomas Chabot</x:v>
      </x:c>
      <x:c r="BZ382" s="4" t="str">
        <x:v>Thomas Chabot</x:v>
      </x:c>
      <x:c r="CA382" s="4" t="str">
        <x:v>Thomas Chabot</x:v>
      </x:c>
      <x:c r="CB382" s="4" t="str">
        <x:v>chaboth01</x:v>
      </x:c>
    </x:row>
    <x:row r="383" ht="22" customHeight="1">
      <x:c r="A383" s="4" t="str">
        <x:v>Thomas Harley</x:v>
      </x:c>
      <x:c r="B383" s="4" t="str">
        <x:v>thomasharley</x:v>
      </x:c>
      <x:c r="C383" s="10" t="n">
        <x:v>1</x:v>
      </x:c>
      <x:c r="D383" s="10" t="n">
        <x:v>1</x:v>
      </x:c>
      <x:c r="E383" s="10" t="n">
        <x:v>1</x:v>
      </x:c>
      <x:c r="F383" s="4" t="n">
        <x:f>IF(COUNT(N383,Q383,T383,W383,Z383,AC383,AF383,AI383)=8,N383*Guide!$E$5+Q383*Guide!$E$6+T383*Guide!$E$7+W383*Guide!$E$8+Z383*Guide!$E$9+AC383*Guide!$E$10+AF383*Guide!$E$11+AI383*Guide!$E$12,"")</x:f>
        <x:v>334.5</x:v>
      </x:c>
      <x:c r="G383" s="4" t="n">
        <x:f>IF(COUNT(O383,R383,U383,X383,AA383,AD383,AG383,AJ383)=8,O383*Guide!$E$5+R383*Guide!$E$6+U383*Guide!$E$7+X383*Guide!$E$8+AA383*Guide!$E$9+AD383*Guide!$E$10+AG383*Guide!$E$11+AJ383*Guide!$E$12,"")</x:f>
        <x:v>273</x:v>
      </x:c>
      <x:c r="H383" s="4" t="n">
        <x:f>IF(COUNT(G383,F383)=2,G383-F383,"")</x:f>
        <x:v>-61.5</x:v>
      </x:c>
      <x:c r="I383" s="4" t="n">
        <x:f>IF(AND(ISNUMBER(F383),K383&gt;0),F383/K383,"")</x:f>
        <x:v>4.288461538461538</x:v>
      </x:c>
      <x:c r="J383" s="4" t="n">
        <x:f>IF(AND(ISNUMBER(G383),L383&gt;0),G383/L383,"")</x:f>
        <x:v>3.9</x:v>
      </x:c>
      <x:c r="K383" s="10" t="n">
        <x:v>78</x:v>
      </x:c>
      <x:c r="L383" s="10" t="n">
        <x:v>70</x:v>
      </x:c>
      <x:c r="M383" s="10" t="n">
        <x:f>IF(COUNT(L383,K383)=2,L383-K383,"")</x:f>
        <x:v>-8</x:v>
      </x:c>
      <x:c r="N383" s="10" t="n">
        <x:v>14</x:v>
      </x:c>
      <x:c r="O383" s="10" t="n">
        <x:v>6</x:v>
      </x:c>
      <x:c r="P383" s="10" t="n">
        <x:f>IF(COUNT(O383,N383)=2,O383-N383,"")</x:f>
        <x:v>-8</x:v>
      </x:c>
      <x:c r="Q383" s="10" t="n">
        <x:v>35</x:v>
      </x:c>
      <x:c r="R383" s="10" t="n">
        <x:v>30</x:v>
      </x:c>
      <x:c r="S383" s="10" t="n">
        <x:f>IF(COUNT(R383,Q383)=2,R383-Q383,"")</x:f>
        <x:v>-5</x:v>
      </x:c>
      <x:c r="T383" s="10" t="n">
        <x:v>14</x:v>
      </x:c>
      <x:c r="U383" s="10" t="n">
        <x:v>3</x:v>
      </x:c>
      <x:c r="V383" s="10" t="n">
        <x:f>IF(COUNT(U383,T383)=2,U383-T383,"")</x:f>
        <x:v>-11</x:v>
      </x:c>
      <x:c r="W383" s="10" t="n">
        <x:v>15</x:v>
      </x:c>
      <x:c r="X383" s="10" t="n">
        <x:f>IF(COUNT(AV383,AW383)=2,AV383+AW383,"")</x:f>
        <x:v>7</x:v>
      </x:c>
      <x:c r="Y383" s="10" t="n">
        <x:f>IF(COUNT(X383,W383)=2,X383-W383,"")</x:f>
        <x:v>-8</x:v>
      </x:c>
      <x:c r="Z383" s="10" t="n">
        <x:v>1</x:v>
      </x:c>
      <x:c r="AA383" s="10" t="n">
        <x:f>IF(COUNT(AX383,AY383)=2,AX383+AY383,"")</x:f>
        <x:v>0</x:v>
      </x:c>
      <x:c r="AB383" s="10" t="n">
        <x:f>IF(COUNT(AA383,Z383)=2,AA383-Z383,"")</x:f>
        <x:v>-1</x:v>
      </x:c>
      <x:c r="AC383" s="10" t="n">
        <x:v>165</x:v>
      </x:c>
      <x:c r="AD383" s="10" t="n">
        <x:v>113</x:v>
      </x:c>
      <x:c r="AE383" s="10" t="n">
        <x:f>IF(COUNT(AD383,AC383)=2,AD383-AC383,"")</x:f>
        <x:v>-52</x:v>
      </x:c>
      <x:c r="AF383" s="10" t="n">
        <x:v>41</x:v>
      </x:c>
      <x:c r="AG383" s="10" t="n">
        <x:v>39</x:v>
      </x:c>
      <x:c r="AH383" s="10" t="n">
        <x:f>IF(COUNT(AG383,AF383)=2,AG383-AF383,"")</x:f>
        <x:v>-2</x:v>
      </x:c>
      <x:c r="AI383" s="10" t="n">
        <x:v>120</x:v>
      </x:c>
      <x:c r="AJ383" s="10" t="n">
        <x:v>148</x:v>
      </x:c>
      <x:c r="AK383" s="10" t="n">
        <x:f>IF(COUNT(AJ383,AI383)=2,AJ383-AI383,"")</x:f>
        <x:v>28</x:v>
      </x:c>
      <x:c r="AL383" s="10" t="n">
        <x:v>24</x:v>
      </x:c>
      <x:c r="AM383" s="10" t="n">
        <x:v>24</x:v>
      </x:c>
      <x:c r="AN383" s="4" t="str">
        <x:v>D</x:v>
      </x:c>
      <x:c r="AO383" s="4" t="str">
        <x:v>D</x:v>
      </x:c>
      <x:c r="AP383" s="4" t="str">
        <x:v>DAL</x:v>
      </x:c>
      <x:c r="AQ383" s="4" t="str">
        <x:v>DAL</x:v>
      </x:c>
      <x:c r="AR383" s="4" t="n">
        <x:v>22.98</x:v>
      </x:c>
      <x:c r="AS383" s="4" t="n">
        <x:v>23.05</x:v>
      </x:c>
      <x:c r="AT383" s="4" t="n">
        <x:v>2.2</x:v>
      </x:c>
      <x:c r="AU383" s="4" t="n">
        <x:v>5.3</x:v>
      </x:c>
      <x:c r="AV383" s="10" t="n">
        <x:v>1</x:v>
      </x:c>
      <x:c r="AW383" s="10" t="n">
        <x:v>6</x:v>
      </x:c>
      <x:c r="AX383" s="10" t="n">
        <x:v>0</x:v>
      </x:c>
      <x:c r="AY383" s="10" t="n">
        <x:v>0</x:v>
      </x:c>
      <x:c r="AZ383" s="10" t="n">
        <x:v>1233</x:v>
      </x:c>
      <x:c r="BA383" s="10" t="n">
        <x:v>1369</x:v>
      </x:c>
      <x:c r="BB383" s="4" t="n">
        <x:v>47.4</x:v>
      </x:c>
      <x:c r="BC383" s="4" t="n">
        <x:v>-0.6</x:v>
      </x:c>
      <x:c r="BD383" s="10" t="n">
        <x:v>882</x:v>
      </x:c>
      <x:c r="BE383" s="10" t="n">
        <x:v>979</x:v>
      </x:c>
      <x:c r="BF383" s="4" t="n">
        <x:v>47.4</x:v>
      </x:c>
      <x:c r="BG383" s="4" t="n">
        <x:v>-1.6</x:v>
      </x:c>
      <x:c r="BH383" s="4" t="n">
        <x:v>11.2</x:v>
      </x:c>
      <x:c r="BI383" s="4" t="n">
        <x:v>89.7</x:v>
      </x:c>
      <x:c r="BJ383" s="4" t="n">
        <x:v>101</x:v>
      </x:c>
      <x:c r="BK383" s="4" t="n">
        <x:v>50.6</x:v>
      </x:c>
      <x:c r="BL383" s="4" t="n">
        <x:v>49.4</x:v>
      </x:c>
      <x:c r="BM383" s="4" t="n">
        <x:v>23.05</x:v>
      </x:c>
      <x:c r="BN383" s="4" t="n">
        <x:v>20.05</x:v>
      </x:c>
      <x:c r="BO383" s="10" t="n">
        <x:v>36</x:v>
      </x:c>
      <x:c r="BP383" s="10" t="n">
        <x:v>84</x:v>
      </x:c>
      <x:c r="BQ383" s="4" t="n">
        <x:v>5.5</x:v>
      </x:c>
      <x:c r="BR383" s="10" t="n">
        <x:v>289</x:v>
      </x:c>
      <x:c r="BS383" s="4" t="n">
        <x:v>39.1</x:v>
      </x:c>
      <x:c r="BT383" s="10" t="n">
        <x:v>70</x:v>
      </x:c>
      <x:c r="BU383" s="4" t="str">
        <x:v>DAL</x:v>
      </x:c>
      <x:c r="BV383" s="10" t="n">
        <x:v>159</x:v>
      </x:c>
      <x:c r="BW383" s="10" t="n">
        <x:v>245</x:v>
      </x:c>
      <x:c r="BX383" s="10" t="n">
        <x:v>389</x:v>
      </x:c>
      <x:c r="BY383" s="4" t="str">
        <x:v>Thomas Harley</x:v>
      </x:c>
      <x:c r="BZ383" s="4" t="str">
        <x:v>Thomas Harley</x:v>
      </x:c>
      <x:c r="CA383" s="4" t="str">
        <x:v>Thomas Harley</x:v>
      </x:c>
      <x:c r="CB383" s="4" t="str">
        <x:v>harleth01</x:v>
      </x:c>
    </x:row>
    <x:row r="384" ht="22" customHeight="1">
      <x:c r="A384" s="4" t="str">
        <x:v>Thomas Novak</x:v>
      </x:c>
      <x:c r="B384" s="4" t="str">
        <x:v>tommynovak</x:v>
      </x:c>
      <x:c r="C384" s="10" t="n">
        <x:v>1</x:v>
      </x:c>
      <x:c r="D384" s="10" t="n">
        <x:v>1</x:v>
      </x:c>
      <x:c r="E384" s="10" t="n">
        <x:v>1</x:v>
      </x:c>
      <x:c r="F384" s="4" t="n">
        <x:f>IF(COUNT(N384,Q384,T384,W384,Z384,AC384,AF384,AI384)=8,N384*Guide!$E$5+Q384*Guide!$E$6+T384*Guide!$E$7+W384*Guide!$E$8+Z384*Guide!$E$9+AC384*Guide!$E$10+AF384*Guide!$E$11+AI384*Guide!$E$12,"")</x:f>
        <x:v>200.75</x:v>
      </x:c>
      <x:c r="G384" s="4" t="n">
        <x:f>IF(COUNT(O384,R384,U384,X384,AA384,AD384,AG384,AJ384)=8,O384*Guide!$E$5+R384*Guide!$E$6+U384*Guide!$E$7+X384*Guide!$E$8+AA384*Guide!$E$9+AD384*Guide!$E$10+AG384*Guide!$E$11+AJ384*Guide!$E$12,"")</x:f>
        <x:v>211</x:v>
      </x:c>
      <x:c r="H384" s="4" t="n">
        <x:f>IF(COUNT(G384,F384)=2,G384-F384,"")</x:f>
        <x:v>10.25</x:v>
      </x:c>
      <x:c r="I384" s="4" t="n">
        <x:f>IF(AND(ISNUMBER(F384),K384&gt;0),F384/K384,"")</x:f>
        <x:v>2.7881944444444446</x:v>
      </x:c>
      <x:c r="J384" s="4" t="n">
        <x:f>IF(AND(ISNUMBER(G384),L384&gt;0),G384/L384,"")</x:f>
        <x:v>2.573170731707317</x:v>
      </x:c>
      <x:c r="K384" s="10" t="n">
        <x:v>72</x:v>
      </x:c>
      <x:c r="L384" s="10" t="n">
        <x:v>82</x:v>
      </x:c>
      <x:c r="M384" s="10" t="n">
        <x:f>IF(COUNT(L384,K384)=2,L384-K384,"")</x:f>
        <x:v>10</x:v>
      </x:c>
      <x:c r="N384" s="10" t="n">
        <x:v>17</x:v>
      </x:c>
      <x:c r="O384" s="10" t="n">
        <x:v>16</x:v>
      </x:c>
      <x:c r="P384" s="10" t="n">
        <x:f>IF(COUNT(O384,N384)=2,O384-N384,"")</x:f>
        <x:v>-1</x:v>
      </x:c>
      <x:c r="Q384" s="10" t="n">
        <x:v>23</x:v>
      </x:c>
      <x:c r="R384" s="10" t="n">
        <x:v>26</x:v>
      </x:c>
      <x:c r="S384" s="10" t="n">
        <x:f>IF(COUNT(R384,Q384)=2,R384-Q384,"")</x:f>
        <x:v>3</x:v>
      </x:c>
      <x:c r="T384" s="10" t="n">
        <x:v>1</x:v>
      </x:c>
      <x:c r="U384" s="10" t="n">
        <x:v>1</x:v>
      </x:c>
      <x:c r="V384" s="10" t="n">
        <x:f>IF(COUNT(U384,T384)=2,U384-T384,"")</x:f>
        <x:v>0</x:v>
      </x:c>
      <x:c r="W384" s="10" t="n">
        <x:v>8</x:v>
      </x:c>
      <x:c r="X384" s="10" t="n">
        <x:f>IF(COUNT(AV384,AW384)=2,AV384+AW384,"")</x:f>
        <x:v>7</x:v>
      </x:c>
      <x:c r="Y384" s="10" t="n">
        <x:f>IF(COUNT(X384,W384)=2,X384-W384,"")</x:f>
        <x:v>-1</x:v>
      </x:c>
      <x:c r="Z384" s="10" t="n">
        <x:v>0</x:v>
      </x:c>
      <x:c r="AA384" s="10" t="n">
        <x:f>IF(COUNT(AX384,AY384)=2,AX384+AY384,"")</x:f>
        <x:v>0</x:v>
      </x:c>
      <x:c r="AB384" s="10" t="n">
        <x:f>IF(COUNT(AA384,Z384)=2,AA384-Z384,"")</x:f>
        <x:v>0</x:v>
      </x:c>
      <x:c r="AC384" s="10" t="n">
        <x:v>108</x:v>
      </x:c>
      <x:c r="AD384" s="10" t="n">
        <x:v>130</x:v>
      </x:c>
      <x:c r="AE384" s="10" t="n">
        <x:f>IF(COUNT(AD384,AC384)=2,AD384-AC384,"")</x:f>
        <x:v>22</x:v>
      </x:c>
      <x:c r="AF384" s="10" t="n">
        <x:v>9</x:v>
      </x:c>
      <x:c r="AG384" s="10" t="n">
        <x:v>12</x:v>
      </x:c>
      <x:c r="AH384" s="10" t="n">
        <x:f>IF(COUNT(AG384,AF384)=2,AG384-AF384,"")</x:f>
        <x:v>3</x:v>
      </x:c>
      <x:c r="AI384" s="10" t="n">
        <x:v>34</x:v>
      </x:c>
      <x:c r="AJ384" s="10" t="n">
        <x:v>34</x:v>
      </x:c>
      <x:c r="AK384" s="10" t="n">
        <x:f>IF(COUNT(AJ384,AI384)=2,AJ384-AI384,"")</x:f>
        <x:v>0</x:v>
      </x:c>
      <x:c r="AL384" s="10" t="n">
        <x:v>28</x:v>
      </x:c>
      <x:c r="AM384" s="10" t="n">
        <x:v>28</x:v>
      </x:c>
      <x:c r="AN384" s="4" t="str">
        <x:v>C</x:v>
      </x:c>
      <x:c r="AO384" s="4" t="str">
        <x:v>C</x:v>
      </x:c>
      <x:c r="AP384" s="4" t="str">
        <x:v>PIT</x:v>
      </x:c>
      <x:c r="AQ384" s="4" t="str">
        <x:v>PIT</x:v>
      </x:c>
      <x:c r="AR384" s="4" t="n">
        <x:v>13.37</x:v>
      </x:c>
      <x:c r="AS384" s="4" t="n">
        <x:v>14.283333333333333</x:v>
      </x:c>
      <x:c r="AT384" s="4" t="n">
        <x:v>1.44</x:v>
      </x:c>
      <x:c r="AU384" s="4" t="n">
        <x:v>12.3</x:v>
      </x:c>
      <x:c r="AV384" s="10" t="n">
        <x:v>5</x:v>
      </x:c>
      <x:c r="AW384" s="10" t="n">
        <x:v>2</x:v>
      </x:c>
      <x:c r="AX384" s="10" t="n">
        <x:v>0</x:v>
      </x:c>
      <x:c r="AY384" s="10" t="n">
        <x:v>0</x:v>
      </x:c>
      <x:c r="AZ384" s="10" t="n">
        <x:v>1100</x:v>
      </x:c>
      <x:c r="BA384" s="10" t="n">
        <x:v>1028</x:v>
      </x:c>
      <x:c r="BB384" s="4" t="n">
        <x:v>51.7</x:v>
      </x:c>
      <x:c r="BC384" s="4" t="n">
        <x:v>2</x:v>
      </x:c>
      <x:c r="BD384" s="10" t="n">
        <x:v>816</x:v>
      </x:c>
      <x:c r="BE384" s="10" t="n">
        <x:v>734</x:v>
      </x:c>
      <x:c r="BF384" s="4" t="n">
        <x:v>52.6</x:v>
      </x:c>
      <x:c r="BG384" s="4" t="n">
        <x:v>2.9</x:v>
      </x:c>
      <x:c r="BH384" s="4" t="n">
        <x:v>11</x:v>
      </x:c>
      <x:c r="BI384" s="4" t="n">
        <x:v>88.6</x:v>
      </x:c>
      <x:c r="BJ384" s="4" t="n">
        <x:v>99.6</x:v>
      </x:c>
      <x:c r="BK384" s="4" t="n">
        <x:v>64.9</x:v>
      </x:c>
      <x:c r="BL384" s="4" t="n">
        <x:v>35.1</x:v>
      </x:c>
      <x:c r="BM384" s="4" t="n">
        <x:v>14.283333333333333</x:v>
      </x:c>
      <x:c r="BN384" s="4" t="n">
        <x:v>13.1</x:v>
      </x:c>
      <x:c r="BO384" s="10" t="n">
        <x:v>28</x:v>
      </x:c>
      <x:c r="BP384" s="10" t="n">
        <x:v>54</x:v>
      </x:c>
      <x:c r="BQ384" s="4" t="n">
        <x:v>12.2</x:v>
      </x:c>
      <x:c r="BR384" s="10" t="n">
        <x:v>245</x:v>
      </x:c>
      <x:c r="BS384" s="4" t="n">
        <x:v>53.1</x:v>
      </x:c>
      <x:c r="BT384" s="10" t="n">
        <x:v>82</x:v>
      </x:c>
      <x:c r="BU384" s="4" t="str">
        <x:v>PIT</x:v>
      </x:c>
      <x:c r="BV384" s="10" t="n">
        <x:v>256</x:v>
      </x:c>
      <x:c r="BW384" s="10" t="n">
        <x:v>200</x:v>
      </x:c>
      <x:c r="BX384" s="10" t="n">
        <x:v>745</x:v>
      </x:c>
      <x:c r="BY384" s="4" t="str">
        <x:v>Tommy Novak</x:v>
      </x:c>
      <x:c r="BZ384" s="4" t="str">
        <x:v>Thomas Novak</x:v>
      </x:c>
      <x:c r="CA384" s="4" t="str">
        <x:v>Thomas Novak</x:v>
      </x:c>
      <x:c r="CB384" s="4" t="str">
        <x:v>novakth01</x:v>
      </x:c>
    </x:row>
    <x:row r="385" ht="22" customHeight="1">
      <x:c r="A385" s="4" t="str">
        <x:v>Tim Stützle</x:v>
      </x:c>
      <x:c r="B385" s="4" t="str">
        <x:v>timstutzle</x:v>
      </x:c>
      <x:c r="C385" s="10" t="n">
        <x:v>1</x:v>
      </x:c>
      <x:c r="D385" s="10" t="n">
        <x:v>1</x:v>
      </x:c>
      <x:c r="E385" s="10" t="n">
        <x:v>1</x:v>
      </x:c>
      <x:c r="F385" s="4" t="n">
        <x:f>IF(COUNT(N385,Q385,T385,W385,Z385,AC385,AF385,AI385)=8,N385*Guide!$E$5+Q385*Guide!$E$6+T385*Guide!$E$7+W385*Guide!$E$8+Z385*Guide!$E$9+AC385*Guide!$E$10+AF385*Guide!$E$11+AI385*Guide!$E$12,"")</x:f>
        <x:v>412</x:v>
      </x:c>
      <x:c r="G385" s="4" t="n">
        <x:f>IF(COUNT(O385,R385,U385,X385,AA385,AD385,AG385,AJ385)=8,O385*Guide!$E$5+R385*Guide!$E$6+U385*Guide!$E$7+X385*Guide!$E$8+AA385*Guide!$E$9+AD385*Guide!$E$10+AG385*Guide!$E$11+AJ385*Guide!$E$12,"")</x:f>
        <x:v>438</x:v>
      </x:c>
      <x:c r="H385" s="4" t="n">
        <x:f>IF(COUNT(G385,F385)=2,G385-F385,"")</x:f>
        <x:v>26</x:v>
      </x:c>
      <x:c r="I385" s="4" t="n">
        <x:f>IF(AND(ISNUMBER(F385),K385&gt;0),F385/K385,"")</x:f>
        <x:v>5.024390243902439</x:v>
      </x:c>
      <x:c r="J385" s="4" t="n">
        <x:f>IF(AND(ISNUMBER(G385),L385&gt;0),G385/L385,"")</x:f>
        <x:v>5.475</x:v>
      </x:c>
      <x:c r="K385" s="10" t="n">
        <x:v>82</x:v>
      </x:c>
      <x:c r="L385" s="10" t="n">
        <x:v>80</x:v>
      </x:c>
      <x:c r="M385" s="10" t="n">
        <x:f>IF(COUNT(L385,K385)=2,L385-K385,"")</x:f>
        <x:v>-2</x:v>
      </x:c>
      <x:c r="N385" s="10" t="n">
        <x:v>27</x:v>
      </x:c>
      <x:c r="O385" s="10" t="n">
        <x:v>34</x:v>
      </x:c>
      <x:c r="P385" s="10" t="n">
        <x:f>IF(COUNT(O385,N385)=2,O385-N385,"")</x:f>
        <x:v>7</x:v>
      </x:c>
      <x:c r="Q385" s="10" t="n">
        <x:v>54</x:v>
      </x:c>
      <x:c r="R385" s="10" t="n">
        <x:v>49</x:v>
      </x:c>
      <x:c r="S385" s="10" t="n">
        <x:f>IF(COUNT(R385,Q385)=2,R385-Q385,"")</x:f>
        <x:v>-5</x:v>
      </x:c>
      <x:c r="T385" s="10" t="n">
        <x:v>1</x:v>
      </x:c>
      <x:c r="U385" s="10" t="n">
        <x:v>7</x:v>
      </x:c>
      <x:c r="V385" s="10" t="n">
        <x:f>IF(COUNT(U385,T385)=2,U385-T385,"")</x:f>
        <x:v>6</x:v>
      </x:c>
      <x:c r="W385" s="10" t="n">
        <x:v>29</x:v>
      </x:c>
      <x:c r="X385" s="10" t="n">
        <x:f>IF(COUNT(AV385,AW385)=2,AV385+AW385,"")</x:f>
        <x:v>29</x:v>
      </x:c>
      <x:c r="Y385" s="10" t="n">
        <x:f>IF(COUNT(X385,W385)=2,X385-W385,"")</x:f>
        <x:v>0</x:v>
      </x:c>
      <x:c r="Z385" s="10" t="n">
        <x:v>0</x:v>
      </x:c>
      <x:c r="AA385" s="10" t="n">
        <x:f>IF(COUNT(AX385,AY385)=2,AX385+AY385,"")</x:f>
        <x:v>2</x:v>
      </x:c>
      <x:c r="AB385" s="10" t="n">
        <x:f>IF(COUNT(AA385,Z385)=2,AA385-Z385,"")</x:f>
        <x:v>2</x:v>
      </x:c>
      <x:c r="AC385" s="10" t="n">
        <x:v>177</x:v>
      </x:c>
      <x:c r="AD385" s="10" t="n">
        <x:v>194</x:v>
      </x:c>
      <x:c r="AE385" s="10" t="n">
        <x:f>IF(COUNT(AD385,AC385)=2,AD385-AC385,"")</x:f>
        <x:v>17</x:v>
      </x:c>
      <x:c r="AF385" s="10" t="n">
        <x:v>127</x:v>
      </x:c>
      <x:c r="AG385" s="10" t="n">
        <x:v>126</x:v>
      </x:c>
      <x:c r="AH385" s="10" t="n">
        <x:f>IF(COUNT(AG385,AF385)=2,AG385-AF385,"")</x:f>
        <x:v>-1</x:v>
      </x:c>
      <x:c r="AI385" s="10" t="n">
        <x:v>48</x:v>
      </x:c>
      <x:c r="AJ385" s="10" t="n">
        <x:v>44</x:v>
      </x:c>
      <x:c r="AK385" s="10" t="n">
        <x:f>IF(COUNT(AJ385,AI385)=2,AJ385-AI385,"")</x:f>
        <x:v>-4</x:v>
      </x:c>
      <x:c r="AL385" s="10" t="n">
        <x:v>24</x:v>
      </x:c>
      <x:c r="AM385" s="10" t="n">
        <x:v>24</x:v>
      </x:c>
      <x:c r="AN385" s="4" t="str">
        <x:v>C,LW</x:v>
      </x:c>
      <x:c r="AO385" s="4" t="str">
        <x:v>LW</x:v>
      </x:c>
      <x:c r="AP385" s="4" t="str">
        <x:v>OTT</x:v>
      </x:c>
      <x:c r="AQ385" s="4" t="str">
        <x:v>OTT</x:v>
      </x:c>
      <x:c r="AR385" s="4" t="n">
        <x:v>20.31</x:v>
      </x:c>
      <x:c r="AS385" s="4" t="n">
        <x:v>20.266666666666666</x:v>
      </x:c>
      <x:c r="AT385" s="4" t="n">
        <x:v>3.43</x:v>
      </x:c>
      <x:c r="AU385" s="4" t="n">
        <x:v>17.5</x:v>
      </x:c>
      <x:c r="AV385" s="10" t="n">
        <x:v>9</x:v>
      </x:c>
      <x:c r="AW385" s="10" t="n">
        <x:v>20</x:v>
      </x:c>
      <x:c r="AX385" s="10" t="n">
        <x:v>2</x:v>
      </x:c>
      <x:c r="AY385" s="10" t="n">
        <x:v>0</x:v>
      </x:c>
      <x:c r="AZ385" s="10" t="n">
        <x:v>1273</x:v>
      </x:c>
      <x:c r="BA385" s="10" t="n">
        <x:v>1057</x:v>
      </x:c>
      <x:c r="BB385" s="4" t="n">
        <x:v>54.6</x:v>
      </x:c>
      <x:c r="BC385" s="4" t="n">
        <x:v>2.8</x:v>
      </x:c>
      <x:c r="BD385" s="10" t="n">
        <x:v>921</x:v>
      </x:c>
      <x:c r="BE385" s="10" t="n">
        <x:v>779</x:v>
      </x:c>
      <x:c r="BF385" s="4" t="n">
        <x:v>54.2</x:v>
      </x:c>
      <x:c r="BG385" s="4" t="n">
        <x:v>1.1</x:v>
      </x:c>
      <x:c r="BH385" s="4" t="n">
        <x:v>12.4</x:v>
      </x:c>
      <x:c r="BI385" s="4" t="n">
        <x:v>86.9</x:v>
      </x:c>
      <x:c r="BJ385" s="4" t="n">
        <x:v>99.3</x:v>
      </x:c>
      <x:c r="BK385" s="4" t="n">
        <x:v>71.5</x:v>
      </x:c>
      <x:c r="BL385" s="4" t="n">
        <x:v>28.5</x:v>
      </x:c>
      <x:c r="BM385" s="4" t="n">
        <x:v>20.266666666666666</x:v>
      </x:c>
      <x:c r="BN385" s="4" t="n">
        <x:v>14.95</x:v>
      </x:c>
      <x:c r="BO385" s="10" t="n">
        <x:v>34</x:v>
      </x:c>
      <x:c r="BP385" s="10" t="n">
        <x:v>92</x:v>
      </x:c>
      <x:c r="BQ385" s="4" t="n">
        <x:v>11.1</x:v>
      </x:c>
      <x:c r="BR385" s="10" t="n">
        <x:v>364</x:v>
      </x:c>
      <x:c r="BS385" s="4" t="n">
        <x:v>53.3</x:v>
      </x:c>
      <x:c r="BT385" s="10" t="n">
        <x:v>80</x:v>
      </x:c>
      <x:c r="BU385" s="4" t="str">
        <x:v>OTT</x:v>
      </x:c>
      <x:c r="BV385" s="10" t="n">
        <x:v>19</x:v>
      </x:c>
      <x:c r="BW385" s="10" t="n">
        <x:v>26</x:v>
      </x:c>
      <x:c r="BX385" s="10" t="n">
        <x:v>994</x:v>
      </x:c>
      <x:c r="BY385" s="4" t="str">
        <x:v>Tim Stutzle</x:v>
      </x:c>
      <x:c r="BZ385" s="4" t="str">
        <x:v>Tim Stützle</x:v>
      </x:c>
      <x:c r="CA385" s="4" t="str">
        <x:v>Tim Stützle</x:v>
      </x:c>
      <x:c r="CB385" s="4" t="str">
        <x:v>stuetti02</x:v>
      </x:c>
    </x:row>
    <x:row r="386" ht="22" customHeight="1">
      <x:c r="A386" s="4" t="str">
        <x:v>Timo Meier</x:v>
      </x:c>
      <x:c r="B386" s="4" t="str">
        <x:v>timomeier</x:v>
      </x:c>
      <x:c r="C386" s="10" t="n">
        <x:v>1</x:v>
      </x:c>
      <x:c r="D386" s="10" t="n">
        <x:v>1</x:v>
      </x:c>
      <x:c r="E386" s="10" t="n">
        <x:v>1</x:v>
      </x:c>
      <x:c r="F386" s="4" t="n">
        <x:f>IF(COUNT(N386,Q386,T386,W386,Z386,AC386,AF386,AI386)=8,N386*Guide!$E$5+Q386*Guide!$E$6+T386*Guide!$E$7+W386*Guide!$E$8+Z386*Guide!$E$9+AC386*Guide!$E$10+AF386*Guide!$E$11+AI386*Guide!$E$12,"")</x:f>
        <x:v>354.75</x:v>
      </x:c>
      <x:c r="G386" s="4" t="n">
        <x:f>IF(COUNT(O386,R386,U386,X386,AA386,AD386,AG386,AJ386)=8,O386*Guide!$E$5+R386*Guide!$E$6+U386*Guide!$E$7+X386*Guide!$E$8+AA386*Guide!$E$9+AD386*Guide!$E$10+AG386*Guide!$E$11+AJ386*Guide!$E$12,"")</x:f>
        <x:v>289.75</x:v>
      </x:c>
      <x:c r="H386" s="4" t="n">
        <x:f>IF(COUNT(G386,F386)=2,G386-F386,"")</x:f>
        <x:v>-65</x:v>
      </x:c>
      <x:c r="I386" s="4" t="n">
        <x:f>IF(AND(ISNUMBER(F386),K386&gt;0),F386/K386,"")</x:f>
        <x:v>4.4905063291139244</x:v>
      </x:c>
      <x:c r="J386" s="4" t="n">
        <x:f>IF(AND(ISNUMBER(G386),L386&gt;0),G386/L386,"")</x:f>
        <x:v>3.762987012987013</x:v>
      </x:c>
      <x:c r="K386" s="10" t="n">
        <x:v>79</x:v>
      </x:c>
      <x:c r="L386" s="10" t="n">
        <x:v>77</x:v>
      </x:c>
      <x:c r="M386" s="10" t="n">
        <x:f>IF(COUNT(L386,K386)=2,L386-K386,"")</x:f>
        <x:v>-2</x:v>
      </x:c>
      <x:c r="N386" s="10" t="n">
        <x:v>30</x:v>
      </x:c>
      <x:c r="O386" s="10" t="n">
        <x:v>24</x:v>
      </x:c>
      <x:c r="P386" s="10" t="n">
        <x:f>IF(COUNT(O386,N386)=2,O386-N386,"")</x:f>
        <x:v>-6</x:v>
      </x:c>
      <x:c r="Q386" s="10" t="n">
        <x:v>28</x:v>
      </x:c>
      <x:c r="R386" s="10" t="n">
        <x:v>20</x:v>
      </x:c>
      <x:c r="S386" s="10" t="n">
        <x:f>IF(COUNT(R386,Q386)=2,R386-Q386,"")</x:f>
        <x:v>-8</x:v>
      </x:c>
      <x:c r="T386" s="10" t="n">
        <x:v>-1</x:v>
      </x:c>
      <x:c r="U386" s="10" t="n">
        <x:v>-16</x:v>
      </x:c>
      <x:c r="V386" s="10" t="n">
        <x:f>IF(COUNT(U386,T386)=2,U386-T386,"")</x:f>
        <x:v>-15</x:v>
      </x:c>
      <x:c r="W386" s="10" t="n">
        <x:v>16</x:v>
      </x:c>
      <x:c r="X386" s="10" t="n">
        <x:f>IF(COUNT(AV386,AW386)=2,AV386+AW386,"")</x:f>
        <x:v>10</x:v>
      </x:c>
      <x:c r="Y386" s="10" t="n">
        <x:f>IF(COUNT(X386,W386)=2,X386-W386,"")</x:f>
        <x:v>-6</x:v>
      </x:c>
      <x:c r="Z386" s="10" t="n">
        <x:v>0</x:v>
      </x:c>
      <x:c r="AA386" s="10" t="n">
        <x:f>IF(COUNT(AX386,AY386)=2,AX386+AY386,"")</x:f>
        <x:v>0</x:v>
      </x:c>
      <x:c r="AB386" s="10" t="n">
        <x:f>IF(COUNT(AA386,Z386)=2,AA386-Z386,"")</x:f>
        <x:v>0</x:v>
      </x:c>
      <x:c r="AC386" s="10" t="n">
        <x:v>238</x:v>
      </x:c>
      <x:c r="AD386" s="10" t="n">
        <x:v>269</x:v>
      </x:c>
      <x:c r="AE386" s="10" t="n">
        <x:f>IF(COUNT(AD386,AC386)=2,AD386-AC386,"")</x:f>
        <x:v>31</x:v>
      </x:c>
      <x:c r="AF386" s="10" t="n">
        <x:v>137</x:v>
      </x:c>
      <x:c r="AG386" s="10" t="n">
        <x:v>131</x:v>
      </x:c>
      <x:c r="AH386" s="10" t="n">
        <x:f>IF(COUNT(AG386,AF386)=2,AG386-AF386,"")</x:f>
        <x:v>-6</x:v>
      </x:c>
      <x:c r="AI386" s="10" t="n">
        <x:v>56</x:v>
      </x:c>
      <x:c r="AJ386" s="10" t="n">
        <x:v>53</x:v>
      </x:c>
      <x:c r="AK386" s="10" t="n">
        <x:f>IF(COUNT(AJ386,AI386)=2,AJ386-AI386,"")</x:f>
        <x:v>-3</x:v>
      </x:c>
      <x:c r="AL386" s="10" t="n">
        <x:v>29</x:v>
      </x:c>
      <x:c r="AM386" s="10" t="n">
        <x:v>29</x:v>
      </x:c>
      <x:c r="AN386" s="4" t="str">
        <x:v>LW,RW</x:v>
      </x:c>
      <x:c r="AO386" s="4" t="str">
        <x:v>RW</x:v>
      </x:c>
      <x:c r="AP386" s="4" t="str">
        <x:v>NJ</x:v>
      </x:c>
      <x:c r="AQ386" s="4" t="str">
        <x:v>NJD</x:v>
      </x:c>
      <x:c r="AR386" s="4" t="n">
        <x:v>17.79</x:v>
      </x:c>
      <x:c r="AS386" s="4" t="n">
        <x:v>18.516666666666666</x:v>
      </x:c>
      <x:c r="AT386" s="4" t="n">
        <x:v>1.89</x:v>
      </x:c>
      <x:c r="AU386" s="4" t="n">
        <x:v>8.9</x:v>
      </x:c>
      <x:c r="AV386" s="10" t="n">
        <x:v>6</x:v>
      </x:c>
      <x:c r="AW386" s="10" t="n">
        <x:v>4</x:v>
      </x:c>
      <x:c r="AX386" s="10" t="n">
        <x:v>0</x:v>
      </x:c>
      <x:c r="AY386" s="10" t="n">
        <x:v>0</x:v>
      </x:c>
      <x:c r="AZ386" s="10" t="n">
        <x:v>1448</x:v>
      </x:c>
      <x:c r="BA386" s="10" t="n">
        <x:v>1198</x:v>
      </x:c>
      <x:c r="BB386" s="4" t="n">
        <x:v>54.7</x:v>
      </x:c>
      <x:c r="BC386" s="4" t="n">
        <x:v>4.4</x:v>
      </x:c>
      <x:c r="BD386" s="10" t="n">
        <x:v>1043</x:v>
      </x:c>
      <x:c r="BE386" s="10" t="n">
        <x:v>865</x:v>
      </x:c>
      <x:c r="BF386" s="4" t="n">
        <x:v>54.7</x:v>
      </x:c>
      <x:c r="BG386" s="4" t="n">
        <x:v>4.4</x:v>
      </x:c>
      <x:c r="BH386" s="4" t="n">
        <x:v>8.3</x:v>
      </x:c>
      <x:c r="BI386" s="4" t="n">
        <x:v>87.9</x:v>
      </x:c>
      <x:c r="BJ386" s="4" t="n">
        <x:v>96.2</x:v>
      </x:c>
      <x:c r="BK386" s="4" t="n">
        <x:v>46.4</x:v>
      </x:c>
      <x:c r="BL386" s="4" t="n">
        <x:v>53.6</x:v>
      </x:c>
      <x:c r="BM386" s="4" t="n">
        <x:v>18.516666666666666</x:v>
      </x:c>
      <x:c r="BN386" s="4" t="n">
        <x:v>16.366666666666667</x:v>
      </x:c>
      <x:c r="BO386" s="10" t="n">
        <x:v>27</x:v>
      </x:c>
      <x:c r="BP386" s="10" t="n">
        <x:v>81</x:v>
      </x:c>
      <x:c r="BQ386" s="4" t="n">
        <x:v>5.6</x:v>
      </x:c>
      <x:c r="BR386" s="10" t="n">
        <x:v>546</x:v>
      </x:c>
      <x:c r="BS386" s="4" t="n">
        <x:v>49.3</x:v>
      </x:c>
      <x:c r="BT386" s="10" t="n">
        <x:v>77</x:v>
      </x:c>
      <x:c r="BU386" s="4" t="str">
        <x:v>NJD</x:v>
      </x:c>
      <x:c r="BV386" s="10" t="n">
        <x:v>101</x:v>
      </x:c>
      <x:c r="BW386" s="10" t="n">
        <x:v>186</x:v>
      </x:c>
      <x:c r="BX386" s="10" t="n">
        <x:v>685</x:v>
      </x:c>
      <x:c r="BY386" s="4" t="str">
        <x:v>Timo Meier</x:v>
      </x:c>
      <x:c r="BZ386" s="4" t="str">
        <x:v>Timo Meier</x:v>
      </x:c>
      <x:c r="CA386" s="4" t="str">
        <x:v>Timo Meier</x:v>
      </x:c>
      <x:c r="CB386" s="4" t="str">
        <x:v>meierti01</x:v>
      </x:c>
    </x:row>
    <x:row r="387" ht="22" customHeight="1">
      <x:c r="A387" s="4" t="str">
        <x:v>Tom Wilson</x:v>
      </x:c>
      <x:c r="B387" s="4" t="str">
        <x:v>tomwilson</x:v>
      </x:c>
      <x:c r="C387" s="10" t="n">
        <x:v>1</x:v>
      </x:c>
      <x:c r="D387" s="10" t="n">
        <x:v>1</x:v>
      </x:c>
      <x:c r="E387" s="10" t="n">
        <x:v>1</x:v>
      </x:c>
      <x:c r="F387" s="4" t="n">
        <x:f>IF(COUNT(N387,Q387,T387,W387,Z387,AC387,AF387,AI387)=8,N387*Guide!$E$5+Q387*Guide!$E$6+T387*Guide!$E$7+W387*Guide!$E$8+Z387*Guide!$E$9+AC387*Guide!$E$10+AF387*Guide!$E$11+AI387*Guide!$E$12,"")</x:f>
        <x:v>354</x:v>
      </x:c>
      <x:c r="G387" s="4" t="n">
        <x:f>IF(COUNT(O387,R387,U387,X387,AA387,AD387,AG387,AJ387)=8,O387*Guide!$E$5+R387*Guide!$E$6+U387*Guide!$E$7+X387*Guide!$E$8+AA387*Guide!$E$9+AD387*Guide!$E$10+AG387*Guide!$E$11+AJ387*Guide!$E$12,"")</x:f>
        <x:v>368.75</x:v>
      </x:c>
      <x:c r="H387" s="4" t="n">
        <x:f>IF(COUNT(G387,F387)=2,G387-F387,"")</x:f>
        <x:v>14.75</x:v>
      </x:c>
      <x:c r="I387" s="4" t="n">
        <x:f>IF(AND(ISNUMBER(F387),K387&gt;0),F387/K387,"")</x:f>
        <x:v>4.538461538461538</x:v>
      </x:c>
      <x:c r="J387" s="4" t="n">
        <x:f>IF(AND(ISNUMBER(G387),L387&gt;0),G387/L387,"")</x:f>
        <x:v>5.121527777777778</x:v>
      </x:c>
      <x:c r="K387" s="10" t="n">
        <x:v>78</x:v>
      </x:c>
      <x:c r="L387" s="10" t="n">
        <x:v>72</x:v>
      </x:c>
      <x:c r="M387" s="10" t="n">
        <x:f>IF(COUNT(L387,K387)=2,L387-K387,"")</x:f>
        <x:v>-6</x:v>
      </x:c>
      <x:c r="N387" s="10" t="n">
        <x:v>26</x:v>
      </x:c>
      <x:c r="O387" s="10" t="n">
        <x:v>30</x:v>
      </x:c>
      <x:c r="P387" s="10" t="n">
        <x:f>IF(COUNT(O387,N387)=2,O387-N387,"")</x:f>
        <x:v>4</x:v>
      </x:c>
      <x:c r="Q387" s="10" t="n">
        <x:v>26</x:v>
      </x:c>
      <x:c r="R387" s="10" t="n">
        <x:v>32</x:v>
      </x:c>
      <x:c r="S387" s="10" t="n">
        <x:f>IF(COUNT(R387,Q387)=2,R387-Q387,"")</x:f>
        <x:v>6</x:v>
      </x:c>
      <x:c r="T387" s="10" t="n">
        <x:v>3</x:v>
      </x:c>
      <x:c r="U387" s="10" t="n">
        <x:v>15</x:v>
      </x:c>
      <x:c r="V387" s="10" t="n">
        <x:f>IF(COUNT(U387,T387)=2,U387-T387,"")</x:f>
        <x:v>12</x:v>
      </x:c>
      <x:c r="W387" s="10" t="n">
        <x:v>15</x:v>
      </x:c>
      <x:c r="X387" s="10" t="n">
        <x:f>IF(COUNT(AV387,AW387)=2,AV387+AW387,"")</x:f>
        <x:v>12</x:v>
      </x:c>
      <x:c r="Y387" s="10" t="n">
        <x:f>IF(COUNT(X387,W387)=2,X387-W387,"")</x:f>
        <x:v>-3</x:v>
      </x:c>
      <x:c r="Z387" s="10" t="n">
        <x:v>2</x:v>
      </x:c>
      <x:c r="AA387" s="10" t="n">
        <x:f>IF(COUNT(AX387,AY387)=2,AX387+AY387,"")</x:f>
        <x:v>1</x:v>
      </x:c>
      <x:c r="AB387" s="10" t="n">
        <x:f>IF(COUNT(AA387,Z387)=2,AA387-Z387,"")</x:f>
        <x:v>-1</x:v>
      </x:c>
      <x:c r="AC387" s="10" t="n">
        <x:v>163</x:v>
      </x:c>
      <x:c r="AD387" s="10" t="n">
        <x:v>153</x:v>
      </x:c>
      <x:c r="AE387" s="10" t="n">
        <x:f>IF(COUNT(AD387,AC387)=2,AD387-AC387,"")</x:f>
        <x:v>-10</x:v>
      </x:c>
      <x:c r="AF387" s="10" t="n">
        <x:v>219</x:v>
      </x:c>
      <x:c r="AG387" s="10" t="n">
        <x:v>179</x:v>
      </x:c>
      <x:c r="AH387" s="10" t="n">
        <x:f>IF(COUNT(AG387,AF387)=2,AG387-AF387,"")</x:f>
        <x:v>-40</x:v>
      </x:c>
      <x:c r="AI387" s="10" t="n">
        <x:v>70</x:v>
      </x:c>
      <x:c r="AJ387" s="10" t="n">
        <x:v>53</x:v>
      </x:c>
      <x:c r="AK387" s="10" t="n">
        <x:f>IF(COUNT(AJ387,AI387)=2,AJ387-AI387,"")</x:f>
        <x:v>-17</x:v>
      </x:c>
      <x:c r="AL387" s="10" t="n">
        <x:v>31</x:v>
      </x:c>
      <x:c r="AM387" s="10" t="n">
        <x:v>31</x:v>
      </x:c>
      <x:c r="AN387" s="4" t="str">
        <x:v>RW</x:v>
      </x:c>
      <x:c r="AO387" s="4" t="str">
        <x:v>RW</x:v>
      </x:c>
      <x:c r="AP387" s="4" t="str">
        <x:v>WSH</x:v>
      </x:c>
      <x:c r="AQ387" s="4" t="str">
        <x:v>WSH</x:v>
      </x:c>
      <x:c r="AR387" s="4" t="n">
        <x:v>18.28</x:v>
      </x:c>
      <x:c r="AS387" s="4" t="n">
        <x:v>19.466666666666665</x:v>
      </x:c>
      <x:c r="AT387" s="4" t="n">
        <x:v>2.57</x:v>
      </x:c>
      <x:c r="AU387" s="4" t="n">
        <x:v>19.6</x:v>
      </x:c>
      <x:c r="AV387" s="10" t="n">
        <x:v>7</x:v>
      </x:c>
      <x:c r="AW387" s="10" t="n">
        <x:v>5</x:v>
      </x:c>
      <x:c r="AX387" s="10" t="n">
        <x:v>1</x:v>
      </x:c>
      <x:c r="AY387" s="10" t="n">
        <x:v>0</x:v>
      </x:c>
      <x:c r="AZ387" s="10" t="n">
        <x:v>1096</x:v>
      </x:c>
      <x:c r="BA387" s="10" t="n">
        <x:v>948</x:v>
      </x:c>
      <x:c r="BB387" s="4" t="n">
        <x:v>53.6</x:v>
      </x:c>
      <x:c r="BC387" s="4" t="n">
        <x:v>5.7</x:v>
      </x:c>
      <x:c r="BD387" s="10" t="n">
        <x:v>810</x:v>
      </x:c>
      <x:c r="BE387" s="10" t="n">
        <x:v>651</x:v>
      </x:c>
      <x:c r="BF387" s="4" t="n">
        <x:v>55.4</x:v>
      </x:c>
      <x:c r="BG387" s="4" t="n">
        <x:v>7.1</x:v>
      </x:c>
      <x:c r="BH387" s="4" t="n">
        <x:v>13.3</x:v>
      </x:c>
      <x:c r="BI387" s="4" t="n">
        <x:v>88.1</x:v>
      </x:c>
      <x:c r="BJ387" s="4" t="n">
        <x:v>101.4</x:v>
      </x:c>
      <x:c r="BK387" s="4" t="n">
        <x:v>44.6</x:v>
      </x:c>
      <x:c r="BL387" s="4" t="n">
        <x:v>55.4</x:v>
      </x:c>
      <x:c r="BM387" s="4" t="n">
        <x:v>19.466666666666665</x:v>
      </x:c>
      <x:c r="BN387" s="4" t="n">
        <x:v>14.5</x:v>
      </x:c>
      <x:c r="BO387" s="10" t="n">
        <x:v>18</x:v>
      </x:c>
      <x:c r="BP387" s="10" t="n">
        <x:v>84</x:v>
      </x:c>
      <x:c r="BQ387" s="4" t="n">
        <x:v>7.1</x:v>
      </x:c>
      <x:c r="BR387" s="10" t="n">
        <x:v>302</x:v>
      </x:c>
      <x:c r="BS387" s="4" t="n">
        <x:v>50.7</x:v>
      </x:c>
      <x:c r="BT387" s="10" t="n">
        <x:v>72</x:v>
      </x:c>
      <x:c r="BU387" s="4" t="str">
        <x:v>WSH</x:v>
      </x:c>
      <x:c r="BV387" s="10" t="n">
        <x:v>138</x:v>
      </x:c>
      <x:c r="BW387" s="10" t="n">
        <x:v>82</x:v>
      </x:c>
      <x:c r="BX387" s="10" t="n">
        <x:v>1079</x:v>
      </x:c>
      <x:c r="BY387" s="4" t="str">
        <x:v>Tom Wilson</x:v>
      </x:c>
      <x:c r="BZ387" s="4" t="str">
        <x:v>Tom Wilson</x:v>
      </x:c>
      <x:c r="CA387" s="4" t="str">
        <x:v>Tom Wilson</x:v>
      </x:c>
      <x:c r="CB387" s="4" t="str">
        <x:v>wilsoto01</x:v>
      </x:c>
    </x:row>
    <x:row r="388" ht="22" customHeight="1">
      <x:c r="A388" s="4" t="str">
        <x:v>Tomáš Hertl</x:v>
      </x:c>
      <x:c r="B388" s="4" t="str">
        <x:v>tomashertl</x:v>
      </x:c>
      <x:c r="C388" s="10" t="n">
        <x:v>1</x:v>
      </x:c>
      <x:c r="D388" s="10" t="n">
        <x:v>1</x:v>
      </x:c>
      <x:c r="E388" s="10" t="n">
        <x:v>1</x:v>
      </x:c>
      <x:c r="F388" s="4" t="n">
        <x:f>IF(COUNT(N388,Q388,T388,W388,Z388,AC388,AF388,AI388)=8,N388*Guide!$E$5+Q388*Guide!$E$6+T388*Guide!$E$7+W388*Guide!$E$8+Z388*Guide!$E$9+AC388*Guide!$E$10+AF388*Guide!$E$11+AI388*Guide!$E$12,"")</x:f>
        <x:v>317</x:v>
      </x:c>
      <x:c r="G388" s="4" t="n">
        <x:f>IF(COUNT(O388,R388,U388,X388,AA388,AD388,AG388,AJ388)=8,O388*Guide!$E$5+R388*Guide!$E$6+U388*Guide!$E$7+X388*Guide!$E$8+AA388*Guide!$E$9+AD388*Guide!$E$10+AG388*Guide!$E$11+AJ388*Guide!$E$12,"")</x:f>
        <x:v>318.75</x:v>
      </x:c>
      <x:c r="H388" s="4" t="n">
        <x:f>IF(COUNT(G388,F388)=2,G388-F388,"")</x:f>
        <x:v>1.75</x:v>
      </x:c>
      <x:c r="I388" s="4" t="n">
        <x:f>IF(AND(ISNUMBER(F388),K388&gt;0),F388/K388,"")</x:f>
        <x:v>4.171052631578948</x:v>
      </x:c>
      <x:c r="J388" s="4" t="n">
        <x:f>IF(AND(ISNUMBER(G388),L388&gt;0),G388/L388,"")</x:f>
        <x:v>3.8871951219512195</x:v>
      </x:c>
      <x:c r="K388" s="10" t="n">
        <x:v>76</x:v>
      </x:c>
      <x:c r="L388" s="10" t="n">
        <x:v>82</x:v>
      </x:c>
      <x:c r="M388" s="10" t="n">
        <x:f>IF(COUNT(L388,K388)=2,L388-K388,"")</x:f>
        <x:v>6</x:v>
      </x:c>
      <x:c r="N388" s="10" t="n">
        <x:v>26</x:v>
      </x:c>
      <x:c r="O388" s="10" t="n">
        <x:v>24</x:v>
      </x:c>
      <x:c r="P388" s="10" t="n">
        <x:f>IF(COUNT(O388,N388)=2,O388-N388,"")</x:f>
        <x:v>-2</x:v>
      </x:c>
      <x:c r="Q388" s="10" t="n">
        <x:v>29</x:v>
      </x:c>
      <x:c r="R388" s="10" t="n">
        <x:v>34</x:v>
      </x:c>
      <x:c r="S388" s="10" t="n">
        <x:f>IF(COUNT(R388,Q388)=2,R388-Q388,"")</x:f>
        <x:v>5</x:v>
      </x:c>
      <x:c r="T388" s="10" t="n">
        <x:v>-2</x:v>
      </x:c>
      <x:c r="U388" s="10" t="n">
        <x:v>-17</x:v>
      </x:c>
      <x:c r="V388" s="10" t="n">
        <x:f>IF(COUNT(U388,T388)=2,U388-T388,"")</x:f>
        <x:v>-15</x:v>
      </x:c>
      <x:c r="W388" s="10" t="n">
        <x:v>20</x:v>
      </x:c>
      <x:c r="X388" s="10" t="n">
        <x:f>IF(COUNT(AV388,AW388)=2,AV388+AW388,"")</x:f>
        <x:v>25</x:v>
      </x:c>
      <x:c r="Y388" s="10" t="n">
        <x:f>IF(COUNT(X388,W388)=2,X388-W388,"")</x:f>
        <x:v>5</x:v>
      </x:c>
      <x:c r="Z388" s="10" t="n">
        <x:v>0</x:v>
      </x:c>
      <x:c r="AA388" s="10" t="n">
        <x:f>IF(COUNT(AX388,AY388)=2,AX388+AY388,"")</x:f>
        <x:v>0</x:v>
      </x:c>
      <x:c r="AB388" s="10" t="n">
        <x:f>IF(COUNT(AA388,Z388)=2,AA388-Z388,"")</x:f>
        <x:v>0</x:v>
      </x:c>
      <x:c r="AC388" s="10" t="n">
        <x:v>163</x:v>
      </x:c>
      <x:c r="AD388" s="10" t="n">
        <x:v>202</x:v>
      </x:c>
      <x:c r="AE388" s="10" t="n">
        <x:f>IF(COUNT(AD388,AC388)=2,AD388-AC388,"")</x:f>
        <x:v>39</x:v>
      </x:c>
      <x:c r="AF388" s="10" t="n">
        <x:v>95</x:v>
      </x:c>
      <x:c r="AG388" s="10" t="n">
        <x:v>114</x:v>
      </x:c>
      <x:c r="AH388" s="10" t="n">
        <x:f>IF(COUNT(AG388,AF388)=2,AG388-AF388,"")</x:f>
        <x:v>19</x:v>
      </x:c>
      <x:c r="AI388" s="10" t="n">
        <x:v>58</x:v>
      </x:c>
      <x:c r="AJ388" s="10" t="n">
        <x:v>45</x:v>
      </x:c>
      <x:c r="AK388" s="10" t="n">
        <x:f>IF(COUNT(AJ388,AI388)=2,AJ388-AI388,"")</x:f>
        <x:v>-13</x:v>
      </x:c>
      <x:c r="AL388" s="10" t="n">
        <x:v>32</x:v>
      </x:c>
      <x:c r="AM388" s="10" t="n">
        <x:v>32</x:v>
      </x:c>
      <x:c r="AN388" s="4" t="str">
        <x:v>C,LW</x:v>
      </x:c>
      <x:c r="AO388" s="4" t="str">
        <x:v>C</x:v>
      </x:c>
      <x:c r="AP388" s="4" t="str">
        <x:v>VGK</x:v>
      </x:c>
      <x:c r="AQ388" s="4" t="str">
        <x:v>VEG</x:v>
      </x:c>
      <x:c r="AR388" s="4" t="n">
        <x:v>17.38</x:v>
      </x:c>
      <x:c r="AS388" s="4" t="n">
        <x:v>17.033333333333335</x:v>
      </x:c>
      <x:c r="AT388" s="4" t="n">
        <x:v>2.56</x:v>
      </x:c>
      <x:c r="AU388" s="4" t="n">
        <x:v>11.9</x:v>
      </x:c>
      <x:c r="AV388" s="10" t="n">
        <x:v>13</x:v>
      </x:c>
      <x:c r="AW388" s="10" t="n">
        <x:v>12</x:v>
      </x:c>
      <x:c r="AX388" s="10" t="n">
        <x:v>0</x:v>
      </x:c>
      <x:c r="AY388" s="10" t="n">
        <x:v>0</x:v>
      </x:c>
      <x:c r="AZ388" s="10" t="n">
        <x:v>1211</x:v>
      </x:c>
      <x:c r="BA388" s="10" t="n">
        <x:v>938</x:v>
      </x:c>
      <x:c r="BB388" s="4" t="n">
        <x:v>56.4</x:v>
      </x:c>
      <x:c r="BC388" s="4" t="n">
        <x:v>5.7</x:v>
      </x:c>
      <x:c r="BD388" s="10" t="n">
        <x:v>827</x:v>
      </x:c>
      <x:c r="BE388" s="10" t="n">
        <x:v>661</x:v>
      </x:c>
      <x:c r="BF388" s="4" t="n">
        <x:v>55.6</x:v>
      </x:c>
      <x:c r="BG388" s="4" t="n">
        <x:v>4.2</x:v>
      </x:c>
      <x:c r="BH388" s="4" t="n">
        <x:v>10.2</x:v>
      </x:c>
      <x:c r="BI388" s="4" t="n">
        <x:v>84.3</x:v>
      </x:c>
      <x:c r="BJ388" s="4" t="n">
        <x:v>94.6</x:v>
      </x:c>
      <x:c r="BK388" s="4" t="n">
        <x:v>61.5</x:v>
      </x:c>
      <x:c r="BL388" s="4" t="n">
        <x:v>38.5</x:v>
      </x:c>
      <x:c r="BM388" s="4" t="n">
        <x:v>17.033333333333335</x:v>
      </x:c>
      <x:c r="BN388" s="4" t="n">
        <x:v>13.433333333333334</x:v>
      </x:c>
      <x:c r="BO388" s="10" t="n">
        <x:v>17</x:v>
      </x:c>
      <x:c r="BP388" s="10" t="n">
        <x:v>52</x:v>
      </x:c>
      <x:c r="BQ388" s="4" t="n">
        <x:v>10.1</x:v>
      </x:c>
      <x:c r="BR388" s="10" t="n">
        <x:v>405</x:v>
      </x:c>
      <x:c r="BS388" s="4" t="n">
        <x:v>49.9</x:v>
      </x:c>
      <x:c r="BT388" s="10" t="n">
        <x:v>82</x:v>
      </x:c>
      <x:c r="BU388" s="4" t="str">
        <x:v>VEG</x:v>
      </x:c>
      <x:c r="BV388" s="10" t="n">
        <x:v>119</x:v>
      </x:c>
      <x:c r="BW388" s="10" t="n">
        <x:v>102</x:v>
      </x:c>
      <x:c r="BX388" s="10" t="n">
        <x:v>411</x:v>
      </x:c>
      <x:c r="BY388" s="4" t="str">
        <x:v>Tomas Hertl</x:v>
      </x:c>
      <x:c r="BZ388" s="4" t="str">
        <x:v>Tomáš Hertl</x:v>
      </x:c>
      <x:c r="CA388" s="4" t="str">
        <x:v>Tomáš Hertl</x:v>
      </x:c>
      <x:c r="CB388" s="4" t="str">
        <x:v>hertlto01</x:v>
      </x:c>
    </x:row>
    <x:row r="389" ht="22" customHeight="1">
      <x:c r="A389" s="4" t="str">
        <x:v>Tony DeAngelo</x:v>
      </x:c>
      <x:c r="B389" s="4" t="str">
        <x:v>anthonydeangelo</x:v>
      </x:c>
      <x:c r="C389" s="10" t="n">
        <x:v>1</x:v>
      </x:c>
      <x:c r="D389" s="10" t="n">
        <x:v>1</x:v>
      </x:c>
      <x:c r="E389" s="10" t="n">
        <x:v>1</x:v>
      </x:c>
      <x:c r="F389" s="4" t="n">
        <x:f>IF(COUNT(N389,Q389,T389,W389,Z389,AC389,AF389,AI389)=8,N389*Guide!$E$5+Q389*Guide!$E$6+T389*Guide!$E$7+W389*Guide!$E$8+Z389*Guide!$E$9+AC389*Guide!$E$10+AF389*Guide!$E$11+AI389*Guide!$E$12,"")</x:f>
        <x:v>233.75</x:v>
      </x:c>
      <x:c r="G389" s="4" t="n">
        <x:f>IF(COUNT(O389,R389,U389,X389,AA389,AD389,AG389,AJ389)=8,O389*Guide!$E$5+R389*Guide!$E$6+U389*Guide!$E$7+X389*Guide!$E$8+AA389*Guide!$E$9+AD389*Guide!$E$10+AG389*Guide!$E$11+AJ389*Guide!$E$12,"")</x:f>
        <x:v>209.75</x:v>
      </x:c>
      <x:c r="H389" s="4" t="n">
        <x:f>IF(COUNT(G389,F389)=2,G389-F389,"")</x:f>
        <x:v>-24</x:v>
      </x:c>
      <x:c r="I389" s="4" t="n">
        <x:f>IF(AND(ISNUMBER(F389),K389&gt;0),F389/K389,"")</x:f>
        <x:v>3.3392857142857144</x:v>
      </x:c>
      <x:c r="J389" s="4" t="n">
        <x:f>IF(AND(ISNUMBER(G389),L389&gt;0),G389/L389,"")</x:f>
        <x:v>2.7598684210526314</x:v>
      </x:c>
      <x:c r="K389" s="10" t="n">
        <x:v>70</x:v>
      </x:c>
      <x:c r="L389" s="10" t="n">
        <x:v>76</x:v>
      </x:c>
      <x:c r="M389" s="10" t="n">
        <x:f>IF(COUNT(L389,K389)=2,L389-K389,"")</x:f>
        <x:v>6</x:v>
      </x:c>
      <x:c r="N389" s="10" t="n">
        <x:v>8</x:v>
      </x:c>
      <x:c r="O389" s="10" t="n">
        <x:v>5</x:v>
      </x:c>
      <x:c r="P389" s="10" t="n">
        <x:f>IF(COUNT(O389,N389)=2,O389-N389,"")</x:f>
        <x:v>-3</x:v>
      </x:c>
      <x:c r="Q389" s="10" t="n">
        <x:v>32</x:v>
      </x:c>
      <x:c r="R389" s="10" t="n">
        <x:v>30</x:v>
      </x:c>
      <x:c r="S389" s="10" t="n">
        <x:f>IF(COUNT(R389,Q389)=2,R389-Q389,"")</x:f>
        <x:v>-2</x:v>
      </x:c>
      <x:c r="T389" s="10" t="n">
        <x:v>-14</x:v>
      </x:c>
      <x:c r="U389" s="10" t="n">
        <x:v>-5</x:v>
      </x:c>
      <x:c r="V389" s="10" t="n">
        <x:f>IF(COUNT(U389,T389)=2,U389-T389,"")</x:f>
        <x:v>9</x:v>
      </x:c>
      <x:c r="W389" s="10" t="n">
        <x:v>16</x:v>
      </x:c>
      <x:c r="X389" s="10" t="n">
        <x:f>IF(COUNT(AV389,AW389)=2,AV389+AW389,"")</x:f>
        <x:v>7</x:v>
      </x:c>
      <x:c r="Y389" s="10" t="n">
        <x:f>IF(COUNT(X389,W389)=2,X389-W389,"")</x:f>
        <x:v>-9</x:v>
      </x:c>
      <x:c r="Z389" s="10" t="n">
        <x:v>0</x:v>
      </x:c>
      <x:c r="AA389" s="10" t="n">
        <x:f>IF(COUNT(AX389,AY389)=2,AX389+AY389,"")</x:f>
        <x:v>0</x:v>
      </x:c>
      <x:c r="AB389" s="10" t="n">
        <x:f>IF(COUNT(AA389,Z389)=2,AA389-Z389,"")</x:f>
        <x:v>0</x:v>
      </x:c>
      <x:c r="AC389" s="10" t="n">
        <x:v>137</x:v>
      </x:c>
      <x:c r="AD389" s="10" t="n">
        <x:v>148</x:v>
      </x:c>
      <x:c r="AE389" s="10" t="n">
        <x:f>IF(COUNT(AD389,AC389)=2,AD389-AC389,"")</x:f>
        <x:v>11</x:v>
      </x:c>
      <x:c r="AF389" s="10" t="n">
        <x:v>32</x:v>
      </x:c>
      <x:c r="AG389" s="10" t="n">
        <x:v>33</x:v>
      </x:c>
      <x:c r="AH389" s="10" t="n">
        <x:f>IF(COUNT(AG389,AF389)=2,AG389-AF389,"")</x:f>
        <x:v>1</x:v>
      </x:c>
      <x:c r="AI389" s="10" t="n">
        <x:v>82</x:v>
      </x:c>
      <x:c r="AJ389" s="10" t="n">
        <x:v>70</x:v>
      </x:c>
      <x:c r="AK389" s="10" t="n">
        <x:f>IF(COUNT(AJ389,AI389)=2,AJ389-AI389,"")</x:f>
        <x:v>-12</x:v>
      </x:c>
      <x:c r="AL389" s="10" t="n">
        <x:v>30</x:v>
      </x:c>
      <x:c r="AM389" s="10" t="n">
        <x:v>30</x:v>
      </x:c>
      <x:c r="AN389" s="4" t="str">
        <x:v>D</x:v>
      </x:c>
      <x:c r="AO389" s="4" t="str">
        <x:v>D</x:v>
      </x:c>
      <x:c r="AP389" s="4" t="str">
        <x:v>NYI</x:v>
      </x:c>
      <x:c r="AQ389" s="4" t="str">
        <x:v>NYI</x:v>
      </x:c>
      <x:c r="AR389" s="4" t="n">
        <x:v>22.169999999999998</x:v>
      </x:c>
      <x:c r="AS389" s="4" t="n">
        <x:v>19.133333333333333</x:v>
      </x:c>
      <x:c r="AT389" s="4" t="n">
        <x:v>2.88</x:v>
      </x:c>
      <x:c r="AU389" s="4" t="n">
        <x:v>3.4</x:v>
      </x:c>
      <x:c r="AV389" s="10" t="n">
        <x:v>1</x:v>
      </x:c>
      <x:c r="AW389" s="10" t="n">
        <x:v>6</x:v>
      </x:c>
      <x:c r="AX389" s="10" t="n">
        <x:v>0</x:v>
      </x:c>
      <x:c r="AY389" s="10" t="n">
        <x:v>0</x:v>
      </x:c>
      <x:c r="AZ389" s="10" t="n">
        <x:v>1376</x:v>
      </x:c>
      <x:c r="BA389" s="10" t="n">
        <x:v>1219</x:v>
      </x:c>
      <x:c r="BB389" s="4" t="n">
        <x:v>53</x:v>
      </x:c>
      <x:c r="BC389" s="4" t="n">
        <x:v>4.9</x:v>
      </x:c>
      <x:c r="BD389" s="10" t="n">
        <x:v>1004</x:v>
      </x:c>
      <x:c r="BE389" s="10" t="n">
        <x:v>911</x:v>
      </x:c>
      <x:c r="BF389" s="4" t="n">
        <x:v>52.4</x:v>
      </x:c>
      <x:c r="BG389" s="4" t="n">
        <x:v>3.2</x:v>
      </x:c>
      <x:c r="BH389" s="4" t="n">
        <x:v>9</x:v>
      </x:c>
      <x:c r="BI389" s="4" t="n">
        <x:v>89.7</x:v>
      </x:c>
      <x:c r="BJ389" s="4" t="n">
        <x:v>98.7</x:v>
      </x:c>
      <x:c r="BK389" s="4" t="n">
        <x:v>56.9</x:v>
      </x:c>
      <x:c r="BL389" s="4" t="n">
        <x:v>43.1</x:v>
      </x:c>
      <x:c r="BM389" s="4" t="n">
        <x:v>19.133333333333333</x:v>
      </x:c>
      <x:c r="BN389" s="4" t="n">
        <x:v>17.483333333333334</x:v>
      </x:c>
      <x:c r="BO389" s="10" t="n">
        <x:v>20</x:v>
      </x:c>
      <x:c r="BP389" s="10" t="n">
        <x:v>96</x:v>
      </x:c>
      <x:c r="BQ389" s="4" t="n">
        <x:v>-6</x:v>
      </x:c>
      <x:c r="BR389" s="10" t="n">
        <x:v>313</x:v>
      </x:c>
      <x:c r="BS389" s="4" t="n">
        <x:v>47.3</x:v>
      </x:c>
      <x:c r="BT389" s="10" t="n">
        <x:v>76</x:v>
      </x:c>
      <x:c r="BU389" s="4" t="str">
        <x:v>NYI</x:v>
      </x:c>
      <x:c r="BV389" s="10" t="n">
        <x:v>246</x:v>
      </x:c>
      <x:c r="BW389" s="10" t="n">
        <x:v>261</x:v>
      </x:c>
      <x:c r="BX389" s="10" t="n">
        <x:v>201</x:v>
      </x:c>
      <x:c r="BY389" s="4" t="str">
        <x:v>Anthony DeAngelo</x:v>
      </x:c>
      <x:c r="BZ389" s="4" t="str">
        <x:v>Tony DeAngelo</x:v>
      </x:c>
      <x:c r="CA389" s="4" t="str">
        <x:v>Tony DeAngelo</x:v>
      </x:c>
      <x:c r="CB389" s="4" t="str">
        <x:v>deangan01</x:v>
      </x:c>
    </x:row>
    <x:row r="390" ht="22" customHeight="1">
      <x:c r="A390" s="4" t="str">
        <x:v>Travis Konecny</x:v>
      </x:c>
      <x:c r="B390" s="4" t="str">
        <x:v>traviskonecny</x:v>
      </x:c>
      <x:c r="C390" s="10" t="n">
        <x:v>1</x:v>
      </x:c>
      <x:c r="D390" s="10" t="n">
        <x:v>1</x:v>
      </x:c>
      <x:c r="E390" s="10" t="n">
        <x:v>1</x:v>
      </x:c>
      <x:c r="F390" s="4" t="n">
        <x:f>IF(COUNT(N390,Q390,T390,W390,Z390,AC390,AF390,AI390)=8,N390*Guide!$E$5+Q390*Guide!$E$6+T390*Guide!$E$7+W390*Guide!$E$8+Z390*Guide!$E$9+AC390*Guide!$E$10+AF390*Guide!$E$11+AI390*Guide!$E$12,"")</x:f>
        <x:v>382.75</x:v>
      </x:c>
      <x:c r="G390" s="4" t="n">
        <x:f>IF(COUNT(O390,R390,U390,X390,AA390,AD390,AG390,AJ390)=8,O390*Guide!$E$5+R390*Guide!$E$6+U390*Guide!$E$7+X390*Guide!$E$8+AA390*Guide!$E$9+AD390*Guide!$E$10+AG390*Guide!$E$11+AJ390*Guide!$E$12,"")</x:f>
        <x:v>362.5</x:v>
      </x:c>
      <x:c r="H390" s="4" t="n">
        <x:f>IF(COUNT(G390,F390)=2,G390-F390,"")</x:f>
        <x:v>-20.25</x:v>
      </x:c>
      <x:c r="I390" s="4" t="n">
        <x:f>IF(AND(ISNUMBER(F390),K390&gt;0),F390/K390,"")</x:f>
        <x:v>4.6676829268292686</x:v>
      </x:c>
      <x:c r="J390" s="4" t="n">
        <x:f>IF(AND(ISNUMBER(G390),L390&gt;0),G390/L390,"")</x:f>
        <x:v>4.707792207792208</x:v>
      </x:c>
      <x:c r="K390" s="10" t="n">
        <x:v>82</x:v>
      </x:c>
      <x:c r="L390" s="10" t="n">
        <x:v>77</x:v>
      </x:c>
      <x:c r="M390" s="10" t="n">
        <x:f>IF(COUNT(L390,K390)=2,L390-K390,"")</x:f>
        <x:v>-5</x:v>
      </x:c>
      <x:c r="N390" s="10" t="n">
        <x:v>30</x:v>
      </x:c>
      <x:c r="O390" s="10" t="n">
        <x:v>27</x:v>
      </x:c>
      <x:c r="P390" s="10" t="n">
        <x:f>IF(COUNT(O390,N390)=2,O390-N390,"")</x:f>
        <x:v>-3</x:v>
      </x:c>
      <x:c r="Q390" s="10" t="n">
        <x:v>44</x:v>
      </x:c>
      <x:c r="R390" s="10" t="n">
        <x:v>41</x:v>
      </x:c>
      <x:c r="S390" s="10" t="n">
        <x:f>IF(COUNT(R390,Q390)=2,R390-Q390,"")</x:f>
        <x:v>-3</x:v>
      </x:c>
      <x:c r="T390" s="10" t="n">
        <x:v>-2</x:v>
      </x:c>
      <x:c r="U390" s="10" t="n">
        <x:v>14</x:v>
      </x:c>
      <x:c r="V390" s="10" t="n">
        <x:f>IF(COUNT(U390,T390)=2,U390-T390,"")</x:f>
        <x:v>16</x:v>
      </x:c>
      <x:c r="W390" s="10" t="n">
        <x:v>16</x:v>
      </x:c>
      <x:c r="X390" s="10" t="n">
        <x:f>IF(COUNT(AV390,AW390)=2,AV390+AW390,"")</x:f>
        <x:v>14</x:v>
      </x:c>
      <x:c r="Y390" s="10" t="n">
        <x:f>IF(COUNT(X390,W390)=2,X390-W390,"")</x:f>
        <x:v>-2</x:v>
      </x:c>
      <x:c r="Z390" s="10" t="n">
        <x:v>3</x:v>
      </x:c>
      <x:c r="AA390" s="10" t="n">
        <x:f>IF(COUNT(AX390,AY390)=2,AX390+AY390,"")</x:f>
        <x:v>2</x:v>
      </x:c>
      <x:c r="AB390" s="10" t="n">
        <x:f>IF(COUNT(AA390,Z390)=2,AA390-Z390,"")</x:f>
        <x:v>-1</x:v>
      </x:c>
      <x:c r="AC390" s="10" t="n">
        <x:v>212</x:v>
      </x:c>
      <x:c r="AD390" s="10" t="n">
        <x:v>168</x:v>
      </x:c>
      <x:c r="AE390" s="10" t="n">
        <x:f>IF(COUNT(AD390,AC390)=2,AD390-AC390,"")</x:f>
        <x:v>-44</x:v>
      </x:c>
      <x:c r="AF390" s="10" t="n">
        <x:v>90</x:v>
      </x:c>
      <x:c r="AG390" s="10" t="n">
        <x:v>108</x:v>
      </x:c>
      <x:c r="AH390" s="10" t="n">
        <x:f>IF(COUNT(AG390,AF390)=2,AG390-AF390,"")</x:f>
        <x:v>18</x:v>
      </x:c>
      <x:c r="AI390" s="10" t="n">
        <x:v>43</x:v>
      </x:c>
      <x:c r="AJ390" s="10" t="n">
        <x:v>38</x:v>
      </x:c>
      <x:c r="AK390" s="10" t="n">
        <x:f>IF(COUNT(AJ390,AI390)=2,AJ390-AI390,"")</x:f>
        <x:v>-5</x:v>
      </x:c>
      <x:c r="AL390" s="10" t="n">
        <x:v>28</x:v>
      </x:c>
      <x:c r="AM390" s="10" t="n">
        <x:v>28</x:v>
      </x:c>
      <x:c r="AN390" s="4" t="str">
        <x:v>LW,RW</x:v>
      </x:c>
      <x:c r="AO390" s="4" t="str">
        <x:v>RW</x:v>
      </x:c>
      <x:c r="AP390" s="4" t="str">
        <x:v>PHI</x:v>
      </x:c>
      <x:c r="AQ390" s="4" t="str">
        <x:v>PHI</x:v>
      </x:c>
      <x:c r="AR390" s="4" t="n">
        <x:v>20.38</x:v>
      </x:c>
      <x:c r="AS390" s="4" t="n">
        <x:v>19.083333333333332</x:v>
      </x:c>
      <x:c r="AT390" s="4" t="n">
        <x:v>2.72</x:v>
      </x:c>
      <x:c r="AU390" s="4" t="n">
        <x:v>16.1</x:v>
      </x:c>
      <x:c r="AV390" s="10" t="n">
        <x:v>2</x:v>
      </x:c>
      <x:c r="AW390" s="10" t="n">
        <x:v>12</x:v>
      </x:c>
      <x:c r="AX390" s="10" t="n">
        <x:v>1</x:v>
      </x:c>
      <x:c r="AY390" s="10" t="n">
        <x:v>1</x:v>
      </x:c>
      <x:c r="AZ390" s="10" t="n">
        <x:v>1088</x:v>
      </x:c>
      <x:c r="BA390" s="10" t="n">
        <x:v>1201</x:v>
      </x:c>
      <x:c r="BB390" s="4" t="n">
        <x:v>47.5</x:v>
      </x:c>
      <x:c r="BC390" s="4" t="n">
        <x:v>-0.9</x:v>
      </x:c>
      <x:c r="BD390" s="10" t="n">
        <x:v>790</x:v>
      </x:c>
      <x:c r="BE390" s="10" t="n">
        <x:v>869</x:v>
      </x:c>
      <x:c r="BF390" s="4" t="n">
        <x:v>47.6</x:v>
      </x:c>
      <x:c r="BG390" s="4" t="n">
        <x:v>-2.1</x:v>
      </x:c>
      <x:c r="BH390" s="4" t="n">
        <x:v>13.4</x:v>
      </x:c>
      <x:c r="BI390" s="4" t="n">
        <x:v>90.3</x:v>
      </x:c>
      <x:c r="BJ390" s="4" t="n">
        <x:v>103.7</x:v>
      </x:c>
      <x:c r="BK390" s="4" t="n">
        <x:v>51.3</x:v>
      </x:c>
      <x:c r="BL390" s="4" t="n">
        <x:v>48.7</x:v>
      </x:c>
      <x:c r="BM390" s="4" t="n">
        <x:v>19.083333333333332</x:v>
      </x:c>
      <x:c r="BN390" s="4" t="n">
        <x:v>15.4</x:v>
      </x:c>
      <x:c r="BO390" s="10" t="n">
        <x:v>17</x:v>
      </x:c>
      <x:c r="BP390" s="10" t="n">
        <x:v>101</x:v>
      </x:c>
      <x:c r="BQ390" s="4" t="n">
        <x:v>1.4</x:v>
      </x:c>
      <x:c r="BR390" s="10" t="n">
        <x:v>327</x:v>
      </x:c>
      <x:c r="BS390" s="4" t="n">
        <x:v>51.7</x:v>
      </x:c>
      <x:c r="BT390" s="10" t="n">
        <x:v>77</x:v>
      </x:c>
      <x:c r="BU390" s="4" t="str">
        <x:v>PHI</x:v>
      </x:c>
      <x:c r="BV390" s="10" t="n">
        <x:v>34</x:v>
      </x:c>
      <x:c r="BW390" s="10" t="n">
        <x:v>62</x:v>
      </x:c>
      <x:c r="BX390" s="10" t="n">
        <x:v>533</x:v>
      </x:c>
      <x:c r="BY390" s="4" t="str">
        <x:v>Travis Konecny</x:v>
      </x:c>
      <x:c r="BZ390" s="4" t="str">
        <x:v>Travis Konecny</x:v>
      </x:c>
      <x:c r="CA390" s="4" t="str">
        <x:v>Travis Konecny</x:v>
      </x:c>
      <x:c r="CB390" s="4" t="str">
        <x:v>konectr01</x:v>
      </x:c>
    </x:row>
    <x:row r="391" ht="22" customHeight="1">
      <x:c r="A391" s="4" t="str">
        <x:v>Travis Sanheim</x:v>
      </x:c>
      <x:c r="B391" s="4" t="str">
        <x:v>travissanheim</x:v>
      </x:c>
      <x:c r="C391" s="10" t="n">
        <x:v>1</x:v>
      </x:c>
      <x:c r="D391" s="10" t="n">
        <x:v>1</x:v>
      </x:c>
      <x:c r="E391" s="10" t="n">
        <x:v>1</x:v>
      </x:c>
      <x:c r="F391" s="4" t="n">
        <x:f>IF(COUNT(N391,Q391,T391,W391,Z391,AC391,AF391,AI391)=8,N391*Guide!$E$5+Q391*Guide!$E$6+T391*Guide!$E$7+W391*Guide!$E$8+Z391*Guide!$E$9+AC391*Guide!$E$10+AF391*Guide!$E$11+AI391*Guide!$E$12,"")</x:f>
        <x:v>311</x:v>
      </x:c>
      <x:c r="G391" s="4" t="n">
        <x:f>IF(COUNT(O391,R391,U391,X391,AA391,AD391,AG391,AJ391)=8,O391*Guide!$E$5+R391*Guide!$E$6+U391*Guide!$E$7+X391*Guide!$E$8+AA391*Guide!$E$9+AD391*Guide!$E$10+AG391*Guide!$E$11+AJ391*Guide!$E$12,"")</x:f>
        <x:v>295.25</x:v>
      </x:c>
      <x:c r="H391" s="4" t="n">
        <x:f>IF(COUNT(G391,F391)=2,G391-F391,"")</x:f>
        <x:v>-15.75</x:v>
      </x:c>
      <x:c r="I391" s="4" t="n">
        <x:f>IF(AND(ISNUMBER(F391),K391&gt;0),F391/K391,"")</x:f>
        <x:v>3.792682926829268</x:v>
      </x:c>
      <x:c r="J391" s="4" t="n">
        <x:f>IF(AND(ISNUMBER(G391),L391&gt;0),G391/L391,"")</x:f>
        <x:v>3.6450617283950617</x:v>
      </x:c>
      <x:c r="K391" s="10" t="n">
        <x:v>82</x:v>
      </x:c>
      <x:c r="L391" s="10" t="n">
        <x:v>81</x:v>
      </x:c>
      <x:c r="M391" s="10" t="n">
        <x:f>IF(COUNT(L391,K391)=2,L391-K391,"")</x:f>
        <x:v>-1</x:v>
      </x:c>
      <x:c r="N391" s="10" t="n">
        <x:v>10</x:v>
      </x:c>
      <x:c r="O391" s="10" t="n">
        <x:v>11</x:v>
      </x:c>
      <x:c r="P391" s="10" t="n">
        <x:f>IF(COUNT(O391,N391)=2,O391-N391,"")</x:f>
        <x:v>1</x:v>
      </x:c>
      <x:c r="Q391" s="10" t="n">
        <x:v>27</x:v>
      </x:c>
      <x:c r="R391" s="10" t="n">
        <x:v>26</x:v>
      </x:c>
      <x:c r="S391" s="10" t="n">
        <x:f>IF(COUNT(R391,Q391)=2,R391-Q391,"")</x:f>
        <x:v>-1</x:v>
      </x:c>
      <x:c r="T391" s="10" t="n">
        <x:v>5</x:v>
      </x:c>
      <x:c r="U391" s="10" t="n">
        <x:v>12</x:v>
      </x:c>
      <x:c r="V391" s="10" t="n">
        <x:f>IF(COUNT(U391,T391)=2,U391-T391,"")</x:f>
        <x:v>7</x:v>
      </x:c>
      <x:c r="W391" s="10" t="n">
        <x:v>4</x:v>
      </x:c>
      <x:c r="X391" s="10" t="n">
        <x:f>IF(COUNT(AV391,AW391)=2,AV391+AW391,"")</x:f>
        <x:v>3</x:v>
      </x:c>
      <x:c r="Y391" s="10" t="n">
        <x:f>IF(COUNT(X391,W391)=2,X391-W391,"")</x:f>
        <x:v>-1</x:v>
      </x:c>
      <x:c r="Z391" s="10" t="n">
        <x:v>2</x:v>
      </x:c>
      <x:c r="AA391" s="10" t="n">
        <x:f>IF(COUNT(AX391,AY391)=2,AX391+AY391,"")</x:f>
        <x:v>3</x:v>
      </x:c>
      <x:c r="AB391" s="10" t="n">
        <x:f>IF(COUNT(AA391,Z391)=2,AA391-Z391,"")</x:f>
        <x:v>1</x:v>
      </x:c>
      <x:c r="AC391" s="10" t="n">
        <x:v>138</x:v>
      </x:c>
      <x:c r="AD391" s="10" t="n">
        <x:v>95</x:v>
      </x:c>
      <x:c r="AE391" s="10" t="n">
        <x:f>IF(COUNT(AD391,AC391)=2,AD391-AC391,"")</x:f>
        <x:v>-43</x:v>
      </x:c>
      <x:c r="AF391" s="10" t="n">
        <x:v>79</x:v>
      </x:c>
      <x:c r="AG391" s="10" t="n">
        <x:v>46</x:v>
      </x:c>
      <x:c r="AH391" s="10" t="n">
        <x:f>IF(COUNT(AG391,AF391)=2,AG391-AF391,"")</x:f>
        <x:v>-33</x:v>
      </x:c>
      <x:c r="AI391" s="10" t="n">
        <x:v>161</x:v>
      </x:c>
      <x:c r="AJ391" s="10" t="n">
        <x:v>152</x:v>
      </x:c>
      <x:c r="AK391" s="10" t="n">
        <x:f>IF(COUNT(AJ391,AI391)=2,AJ391-AI391,"")</x:f>
        <x:v>-9</x:v>
      </x:c>
      <x:c r="AL391" s="10" t="n">
        <x:v>29</x:v>
      </x:c>
      <x:c r="AM391" s="10" t="n">
        <x:v>29</x:v>
      </x:c>
      <x:c r="AN391" s="4" t="str">
        <x:v>D</x:v>
      </x:c>
      <x:c r="AO391" s="4" t="str">
        <x:v>D</x:v>
      </x:c>
      <x:c r="AP391" s="4" t="str">
        <x:v>PHI</x:v>
      </x:c>
      <x:c r="AQ391" s="4" t="str">
        <x:v>PHI</x:v>
      </x:c>
      <x:c r="AR391" s="4" t="n">
        <x:v>24.39</x:v>
      </x:c>
      <x:c r="AS391" s="4" t="n">
        <x:v>24.216666666666665</x:v>
      </x:c>
      <x:c r="AT391" s="4" t="n">
        <x:v>0.79</x:v>
      </x:c>
      <x:c r="AU391" s="4" t="n">
        <x:v>11.6</x:v>
      </x:c>
      <x:c r="AV391" s="10" t="n">
        <x:v>1</x:v>
      </x:c>
      <x:c r="AW391" s="10" t="n">
        <x:v>2</x:v>
      </x:c>
      <x:c r="AX391" s="10" t="n">
        <x:v>1</x:v>
      </x:c>
      <x:c r="AY391" s="10" t="n">
        <x:v>2</x:v>
      </x:c>
      <x:c r="AZ391" s="10" t="n">
        <x:v>1363</x:v>
      </x:c>
      <x:c r="BA391" s="10" t="n">
        <x:v>1478</x:v>
      </x:c>
      <x:c r="BB391" s="4" t="n">
        <x:v>48</x:v>
      </x:c>
      <x:c r="BC391" s="4" t="n">
        <x:v>0.2</x:v>
      </x:c>
      <x:c r="BD391" s="10" t="n">
        <x:v>1007</x:v>
      </x:c>
      <x:c r="BE391" s="10" t="n">
        <x:v>1018</x:v>
      </x:c>
      <x:c r="BF391" s="4" t="n">
        <x:v>49.7</x:v>
      </x:c>
      <x:c r="BG391" s="4" t="n">
        <x:v>1.7</x:v>
      </x:c>
      <x:c r="BH391" s="4" t="n">
        <x:v>12.7</x:v>
      </x:c>
      <x:c r="BI391" s="4" t="n">
        <x:v>88.5</x:v>
      </x:c>
      <x:c r="BJ391" s="4" t="n">
        <x:v>101.2</x:v>
      </x:c>
      <x:c r="BK391" s="4" t="n">
        <x:v>41.5</x:v>
      </x:c>
      <x:c r="BL391" s="4" t="n">
        <x:v>58.5</x:v>
      </x:c>
      <x:c r="BM391" s="4" t="n">
        <x:v>24.216666666666665</x:v>
      </x:c>
      <x:c r="BN391" s="4" t="n">
        <x:v>19.966666666666665</x:v>
      </x:c>
      <x:c r="BO391" s="10" t="n">
        <x:v>26</x:v>
      </x:c>
      <x:c r="BP391" s="10" t="n">
        <x:v>105</x:v>
      </x:c>
      <x:c r="BQ391" s="4" t="n">
        <x:v>7.1</x:v>
      </x:c>
      <x:c r="BR391" s="10" t="n">
        <x:v>245</x:v>
      </x:c>
      <x:c r="BS391" s="4" t="n">
        <x:v>38.8</x:v>
      </x:c>
      <x:c r="BT391" s="10" t="n">
        <x:v>81</x:v>
      </x:c>
      <x:c r="BU391" s="4" t="str">
        <x:v>PHI</x:v>
      </x:c>
      <x:c r="BV391" s="10" t="n">
        <x:v>279</x:v>
      </x:c>
      <x:c r="BW391" s="10" t="n">
        <x:v>237</x:v>
      </x:c>
      <x:c r="BX391" s="10" t="n">
        <x:v>897</x:v>
      </x:c>
      <x:c r="BY391" s="4" t="str">
        <x:v>Travis Sanheim</x:v>
      </x:c>
      <x:c r="BZ391" s="4" t="str">
        <x:v>Travis Sanheim</x:v>
      </x:c>
      <x:c r="CA391" s="4" t="str">
        <x:v>Travis Sanheim</x:v>
      </x:c>
      <x:c r="CB391" s="4" t="str">
        <x:v>sanhetr01</x:v>
      </x:c>
    </x:row>
    <x:row r="392" ht="22" customHeight="1">
      <x:c r="A392" s="4" t="str">
        <x:v>Trevor Moore</x:v>
      </x:c>
      <x:c r="B392" s="4" t="str">
        <x:v>trevormoore</x:v>
      </x:c>
      <x:c r="C392" s="10" t="n">
        <x:v>1</x:v>
      </x:c>
      <x:c r="D392" s="10" t="n">
        <x:v>1</x:v>
      </x:c>
      <x:c r="E392" s="10" t="n">
        <x:v>1</x:v>
      </x:c>
      <x:c r="F392" s="4" t="n">
        <x:f>IF(COUNT(N392,Q392,T392,W392,Z392,AC392,AF392,AI392)=8,N392*Guide!$E$5+Q392*Guide!$E$6+T392*Guide!$E$7+W392*Guide!$E$8+Z392*Guide!$E$9+AC392*Guide!$E$10+AF392*Guide!$E$11+AI392*Guide!$E$12,"")</x:f>
        <x:v>268.25</x:v>
      </x:c>
      <x:c r="G392" s="4" t="n">
        <x:f>IF(COUNT(O392,R392,U392,X392,AA392,AD392,AG392,AJ392)=8,O392*Guide!$E$5+R392*Guide!$E$6+U392*Guide!$E$7+X392*Guide!$E$8+AA392*Guide!$E$9+AD392*Guide!$E$10+AG392*Guide!$E$11+AJ392*Guide!$E$12,"")</x:f>
        <x:v>197</x:v>
      </x:c>
      <x:c r="H392" s="4" t="n">
        <x:f>IF(COUNT(G392,F392)=2,G392-F392,"")</x:f>
        <x:v>-71.25</x:v>
      </x:c>
      <x:c r="I392" s="4" t="n">
        <x:f>IF(AND(ISNUMBER(F392),K392&gt;0),F392/K392,"")</x:f>
        <x:v>3.5766666666666667</x:v>
      </x:c>
      <x:c r="J392" s="4" t="n">
        <x:f>IF(AND(ISNUMBER(G392),L392&gt;0),G392/L392,"")</x:f>
        <x:v>2.8550724637681157</x:v>
      </x:c>
      <x:c r="K392" s="10" t="n">
        <x:v>75</x:v>
      </x:c>
      <x:c r="L392" s="10" t="n">
        <x:v>69</x:v>
      </x:c>
      <x:c r="M392" s="10" t="n">
        <x:f>IF(COUNT(L392,K392)=2,L392-K392,"")</x:f>
        <x:v>-6</x:v>
      </x:c>
      <x:c r="N392" s="10" t="n">
        <x:v>22</x:v>
      </x:c>
      <x:c r="O392" s="10" t="n">
        <x:v>13</x:v>
      </x:c>
      <x:c r="P392" s="10" t="n">
        <x:f>IF(COUNT(O392,N392)=2,O392-N392,"")</x:f>
        <x:v>-9</x:v>
      </x:c>
      <x:c r="Q392" s="10" t="n">
        <x:v>23</x:v>
      </x:c>
      <x:c r="R392" s="10" t="n">
        <x:v>19</x:v>
      </x:c>
      <x:c r="S392" s="10" t="n">
        <x:f>IF(COUNT(R392,Q392)=2,R392-Q392,"")</x:f>
        <x:v>-4</x:v>
      </x:c>
      <x:c r="T392" s="10" t="n">
        <x:v>8</x:v>
      </x:c>
      <x:c r="U392" s="10" t="n">
        <x:v>0</x:v>
      </x:c>
      <x:c r="V392" s="10" t="n">
        <x:f>IF(COUNT(U392,T392)=2,U392-T392,"")</x:f>
        <x:v>-8</x:v>
      </x:c>
      <x:c r="W392" s="10" t="n">
        <x:v>6</x:v>
      </x:c>
      <x:c r="X392" s="10" t="n">
        <x:f>IF(COUNT(AV392,AW392)=2,AV392+AW392,"")</x:f>
        <x:v>1</x:v>
      </x:c>
      <x:c r="Y392" s="10" t="n">
        <x:f>IF(COUNT(X392,W392)=2,X392-W392,"")</x:f>
        <x:v>-5</x:v>
      </x:c>
      <x:c r="Z392" s="10" t="n">
        <x:v>2</x:v>
      </x:c>
      <x:c r="AA392" s="10" t="n">
        <x:f>IF(COUNT(AX392,AY392)=2,AX392+AY392,"")</x:f>
        <x:v>2</x:v>
      </x:c>
      <x:c r="AB392" s="10" t="n">
        <x:f>IF(COUNT(AA392,Z392)=2,AA392-Z392,"")</x:f>
        <x:v>0</x:v>
      </x:c>
      <x:c r="AC392" s="10" t="n">
        <x:v>173</x:v>
      </x:c>
      <x:c r="AD392" s="10" t="n">
        <x:v>159</x:v>
      </x:c>
      <x:c r="AE392" s="10" t="n">
        <x:f>IF(COUNT(AD392,AC392)=2,AD392-AC392,"")</x:f>
        <x:v>-14</x:v>
      </x:c>
      <x:c r="AF392" s="10" t="n">
        <x:v>75</x:v>
      </x:c>
      <x:c r="AG392" s="10" t="n">
        <x:v>57</x:v>
      </x:c>
      <x:c r="AH392" s="10" t="n">
        <x:f>IF(COUNT(AG392,AF392)=2,AG392-AF392,"")</x:f>
        <x:v>-18</x:v>
      </x:c>
      <x:c r="AI392" s="10" t="n">
        <x:v>39</x:v>
      </x:c>
      <x:c r="AJ392" s="10" t="n">
        <x:v>36</x:v>
      </x:c>
      <x:c r="AK392" s="10" t="n">
        <x:f>IF(COUNT(AJ392,AI392)=2,AJ392-AI392,"")</x:f>
        <x:v>-3</x:v>
      </x:c>
      <x:c r="AL392" s="10" t="n">
        <x:v>30</x:v>
      </x:c>
      <x:c r="AM392" s="10" t="n">
        <x:v>30</x:v>
      </x:c>
      <x:c r="AN392" s="4" t="str">
        <x:v>LW,RW</x:v>
      </x:c>
      <x:c r="AO392" s="4" t="str">
        <x:v>LW</x:v>
      </x:c>
      <x:c r="AP392" s="4" t="str">
        <x:v>LA</x:v>
      </x:c>
      <x:c r="AQ392" s="4" t="str">
        <x:v>LAK</x:v>
      </x:c>
      <x:c r="AR392" s="4" t="n">
        <x:v>16.75</x:v>
      </x:c>
      <x:c r="AS392" s="4" t="n">
        <x:v>16.733333333333334</x:v>
      </x:c>
      <x:c r="AT392" s="4" t="n">
        <x:v>1.33</x:v>
      </x:c>
      <x:c r="AU392" s="4" t="n">
        <x:v>8.2</x:v>
      </x:c>
      <x:c r="AV392" s="10" t="n">
        <x:v>0</x:v>
      </x:c>
      <x:c r="AW392" s="10" t="n">
        <x:v>1</x:v>
      </x:c>
      <x:c r="AX392" s="10" t="n">
        <x:v>1</x:v>
      </x:c>
      <x:c r="AY392" s="10" t="n">
        <x:v>1</x:v>
      </x:c>
      <x:c r="AZ392" s="10" t="n">
        <x:v>1051</x:v>
      </x:c>
      <x:c r="BA392" s="10" t="n">
        <x:v>896</x:v>
      </x:c>
      <x:c r="BB392" s="4" t="n">
        <x:v>54</x:v>
      </x:c>
      <x:c r="BC392" s="4" t="n">
        <x:v>3.2</x:v>
      </x:c>
      <x:c r="BD392" s="10" t="n">
        <x:v>728</x:v>
      </x:c>
      <x:c r="BE392" s="10" t="n">
        <x:v>649</x:v>
      </x:c>
      <x:c r="BF392" s="4" t="n">
        <x:v>52.9</x:v>
      </x:c>
      <x:c r="BG392" s="4" t="n">
        <x:v>1.8</x:v>
      </x:c>
      <x:c r="BH392" s="4" t="n">
        <x:v>9</x:v>
      </x:c>
      <x:c r="BI392" s="4" t="n">
        <x:v>89.7</x:v>
      </x:c>
      <x:c r="BJ392" s="4" t="n">
        <x:v>98.7</x:v>
      </x:c>
      <x:c r="BK392" s="4" t="n">
        <x:v>43.9</x:v>
      </x:c>
      <x:c r="BL392" s="4" t="n">
        <x:v>56.1</x:v>
      </x:c>
      <x:c r="BM392" s="4" t="n">
        <x:v>16.733333333333334</x:v>
      </x:c>
      <x:c r="BN392" s="4" t="n">
        <x:v>14.3</x:v>
      </x:c>
      <x:c r="BO392" s="10" t="n">
        <x:v>25</x:v>
      </x:c>
      <x:c r="BP392" s="10" t="n">
        <x:v>52</x:v>
      </x:c>
      <x:c r="BQ392" s="4" t="n">
        <x:v>6.3</x:v>
      </x:c>
      <x:c r="BR392" s="10" t="n">
        <x:v>295</x:v>
      </x:c>
      <x:c r="BS392" s="4" t="n">
        <x:v>53.9</x:v>
      </x:c>
      <x:c r="BT392" s="10" t="n">
        <x:v>69</x:v>
      </x:c>
      <x:c r="BU392" s="4" t="str">
        <x:v>LAK</x:v>
      </x:c>
      <x:c r="BV392" s="10" t="n">
        <x:v>202</x:v>
      </x:c>
      <x:c r="BW392" s="10" t="n">
        <x:v>304</x:v>
      </x:c>
      <x:c r="BX392" s="10" t="n">
        <x:v>713</x:v>
      </x:c>
      <x:c r="BY392" s="4" t="str">
        <x:v>Trevor Moore</x:v>
      </x:c>
      <x:c r="BZ392" s="4" t="str">
        <x:v>Trevor Moore</x:v>
      </x:c>
      <x:c r="CA392" s="4" t="str">
        <x:v>Trevor Moore</x:v>
      </x:c>
      <x:c r="CB392" s="4" t="str">
        <x:v>mooretr01</x:v>
      </x:c>
    </x:row>
    <x:row r="393" ht="22" customHeight="1">
      <x:c r="A393" s="4" t="str">
        <x:v>Trevor Zegras</x:v>
      </x:c>
      <x:c r="B393" s="4" t="str">
        <x:v>trevorzegras</x:v>
      </x:c>
      <x:c r="C393" s="10" t="n">
        <x:v>1</x:v>
      </x:c>
      <x:c r="D393" s="10" t="n">
        <x:v>1</x:v>
      </x:c>
      <x:c r="E393" s="10" t="n">
        <x:v>1</x:v>
      </x:c>
      <x:c r="F393" s="4" t="n">
        <x:f>IF(COUNT(N393,Q393,T393,W393,Z393,AC393,AF393,AI393)=8,N393*Guide!$E$5+Q393*Guide!$E$6+T393*Guide!$E$7+W393*Guide!$E$8+Z393*Guide!$E$9+AC393*Guide!$E$10+AF393*Guide!$E$11+AI393*Guide!$E$12,"")</x:f>
        <x:v>257.25</x:v>
      </x:c>
      <x:c r="G393" s="4" t="n">
        <x:f>IF(COUNT(O393,R393,U393,X393,AA393,AD393,AG393,AJ393)=8,O393*Guide!$E$5+R393*Guide!$E$6+U393*Guide!$E$7+X393*Guide!$E$8+AA393*Guide!$E$9+AD393*Guide!$E$10+AG393*Guide!$E$11+AJ393*Guide!$E$12,"")</x:f>
        <x:v>324.25</x:v>
      </x:c>
      <x:c r="H393" s="4" t="n">
        <x:f>IF(COUNT(G393,F393)=2,G393-F393,"")</x:f>
        <x:v>67</x:v>
      </x:c>
      <x:c r="I393" s="4" t="n">
        <x:f>IF(AND(ISNUMBER(F393),K393&gt;0),F393/K393,"")</x:f>
        <x:v>3.3848684210526314</x:v>
      </x:c>
      <x:c r="J393" s="4" t="n">
        <x:f>IF(AND(ISNUMBER(G393),L393&gt;0),G393/L393,"")</x:f>
        <x:v>4.003086419753086</x:v>
      </x:c>
      <x:c r="K393" s="10" t="n">
        <x:v>76</x:v>
      </x:c>
      <x:c r="L393" s="10" t="n">
        <x:v>81</x:v>
      </x:c>
      <x:c r="M393" s="10" t="n">
        <x:f>IF(COUNT(L393,K393)=2,L393-K393,"")</x:f>
        <x:v>5</x:v>
      </x:c>
      <x:c r="N393" s="10" t="n">
        <x:v>19</x:v>
      </x:c>
      <x:c r="O393" s="10" t="n">
        <x:v>26</x:v>
      </x:c>
      <x:c r="P393" s="10" t="n">
        <x:f>IF(COUNT(O393,N393)=2,O393-N393,"")</x:f>
        <x:v>7</x:v>
      </x:c>
      <x:c r="Q393" s="10" t="n">
        <x:v>33</x:v>
      </x:c>
      <x:c r="R393" s="10" t="n">
        <x:v>41</x:v>
      </x:c>
      <x:c r="S393" s="10" t="n">
        <x:f>IF(COUNT(R393,Q393)=2,R393-Q393,"")</x:f>
        <x:v>8</x:v>
      </x:c>
      <x:c r="T393" s="10" t="n">
        <x:v>-10</x:v>
      </x:c>
      <x:c r="U393" s="10" t="n">
        <x:v>0</x:v>
      </x:c>
      <x:c r="V393" s="10" t="n">
        <x:f>IF(COUNT(U393,T393)=2,U393-T393,"")</x:f>
        <x:v>10</x:v>
      </x:c>
      <x:c r="W393" s="10" t="n">
        <x:v>12</x:v>
      </x:c>
      <x:c r="X393" s="10" t="n">
        <x:f>IF(COUNT(AV393,AW393)=2,AV393+AW393,"")</x:f>
        <x:v>23</x:v>
      </x:c>
      <x:c r="Y393" s="10" t="n">
        <x:f>IF(COUNT(X393,W393)=2,X393-W393,"")</x:f>
        <x:v>11</x:v>
      </x:c>
      <x:c r="Z393" s="10" t="n">
        <x:v>0</x:v>
      </x:c>
      <x:c r="AA393" s="10" t="n">
        <x:f>IF(COUNT(AX393,AY393)=2,AX393+AY393,"")</x:f>
        <x:v>0</x:v>
      </x:c>
      <x:c r="AB393" s="10" t="n">
        <x:f>IF(COUNT(AA393,Z393)=2,AA393-Z393,"")</x:f>
        <x:v>0</x:v>
      </x:c>
      <x:c r="AC393" s="10" t="n">
        <x:v>146</x:v>
      </x:c>
      <x:c r="AD393" s="10" t="n">
        <x:v>167</x:v>
      </x:c>
      <x:c r="AE393" s="10" t="n">
        <x:f>IF(COUNT(AD393,AC393)=2,AD393-AC393,"")</x:f>
        <x:v>21</x:v>
      </x:c>
      <x:c r="AF393" s="10" t="n">
        <x:v>61</x:v>
      </x:c>
      <x:c r="AG393" s="10" t="n">
        <x:v>46</x:v>
      </x:c>
      <x:c r="AH393" s="10" t="n">
        <x:f>IF(COUNT(AG393,AF393)=2,AG393-AF393,"")</x:f>
        <x:v>-15</x:v>
      </x:c>
      <x:c r="AI393" s="10" t="n">
        <x:v>38</x:v>
      </x:c>
      <x:c r="AJ393" s="10" t="n">
        <x:v>28</x:v>
      </x:c>
      <x:c r="AK393" s="10" t="n">
        <x:f>IF(COUNT(AJ393,AI393)=2,AJ393-AI393,"")</x:f>
        <x:v>-10</x:v>
      </x:c>
      <x:c r="AL393" s="10" t="n">
        <x:v>24</x:v>
      </x:c>
      <x:c r="AM393" s="10" t="n">
        <x:v>24</x:v>
      </x:c>
      <x:c r="AN393" s="4" t="str">
        <x:v>C</x:v>
      </x:c>
      <x:c r="AO393" s="4" t="str">
        <x:v>C</x:v>
      </x:c>
      <x:c r="AP393" s="4" t="str">
        <x:v>PHI</x:v>
      </x:c>
      <x:c r="AQ393" s="4" t="str">
        <x:v>PHI</x:v>
      </x:c>
      <x:c r="AR393" s="4" t="n">
        <x:v>17.560000000000002</x:v>
      </x:c>
      <x:c r="AS393" s="4" t="n">
        <x:v>18.716666666666665</x:v>
      </x:c>
      <x:c r="AT393" s="4" t="n">
        <x:v>2.52</x:v>
      </x:c>
      <x:c r="AU393" s="4" t="n">
        <x:v>15.6</x:v>
      </x:c>
      <x:c r="AV393" s="10" t="n">
        <x:v>10</x:v>
      </x:c>
      <x:c r="AW393" s="10" t="n">
        <x:v>13</x:v>
      </x:c>
      <x:c r="AX393" s="10" t="n">
        <x:v>0</x:v>
      </x:c>
      <x:c r="AY393" s="10" t="n">
        <x:v>0</x:v>
      </x:c>
      <x:c r="AZ393" s="10" t="n">
        <x:v>1178</x:v>
      </x:c>
      <x:c r="BA393" s="10" t="n">
        <x:v>1194</x:v>
      </x:c>
      <x:c r="BB393" s="4" t="n">
        <x:v>49.7</x:v>
      </x:c>
      <x:c r="BC393" s="4" t="n">
        <x:v>2.7</x:v>
      </x:c>
      <x:c r="BD393" s="10" t="n">
        <x:v>871</x:v>
      </x:c>
      <x:c r="BE393" s="10" t="n">
        <x:v>873</x:v>
      </x:c>
      <x:c r="BF393" s="4" t="n">
        <x:v>49.9</x:v>
      </x:c>
      <x:c r="BG393" s="4" t="n">
        <x:v>1.9</x:v>
      </x:c>
      <x:c r="BH393" s="4" t="n">
        <x:v>12.3</x:v>
      </x:c>
      <x:c r="BI393" s="4" t="n">
        <x:v>88.5</x:v>
      </x:c>
      <x:c r="BJ393" s="4" t="n">
        <x:v>100.8</x:v>
      </x:c>
      <x:c r="BK393" s="4" t="n">
        <x:v>59.2</x:v>
      </x:c>
      <x:c r="BL393" s="4" t="n">
        <x:v>40.8</x:v>
      </x:c>
      <x:c r="BM393" s="4" t="n">
        <x:v>18.716666666666665</x:v>
      </x:c>
      <x:c r="BN393" s="4" t="n">
        <x:v>15.7</x:v>
      </x:c>
      <x:c r="BO393" s="10" t="n">
        <x:v>25</x:v>
      </x:c>
      <x:c r="BP393" s="10" t="n">
        <x:v>80</x:v>
      </x:c>
      <x:c r="BQ393" s="4" t="n">
        <x:v>6</x:v>
      </x:c>
      <x:c r="BR393" s="10" t="n">
        <x:v>350</x:v>
      </x:c>
      <x:c r="BS393" s="4" t="n">
        <x:v>47.7</x:v>
      </x:c>
      <x:c r="BT393" s="10" t="n">
        <x:v>81</x:v>
      </x:c>
      <x:c r="BU393" s="4" t="str">
        <x:v>PHI</x:v>
      </x:c>
      <x:c r="BV393" s="10" t="n">
        <x:v>142</x:v>
      </x:c>
      <x:c r="BW393" s="10" t="n">
        <x:v>66</x:v>
      </x:c>
      <x:c r="BX393" s="10" t="n">
        <x:v>1099</x:v>
      </x:c>
      <x:c r="BY393" s="4" t="str">
        <x:v>Trevor Zegras</x:v>
      </x:c>
      <x:c r="BZ393" s="4" t="str">
        <x:v>Trevor Zegras</x:v>
      </x:c>
      <x:c r="CA393" s="4" t="str">
        <x:v>Trevor Zegras</x:v>
      </x:c>
      <x:c r="CB393" s="4" t="str">
        <x:v>zegratr01</x:v>
      </x:c>
    </x:row>
    <x:row r="394" ht="22" customHeight="1">
      <x:c r="A394" s="4" t="str">
        <x:v>Troy Terry</x:v>
      </x:c>
      <x:c r="B394" s="4" t="str">
        <x:v>troyterry</x:v>
      </x:c>
      <x:c r="C394" s="10" t="n">
        <x:v>1</x:v>
      </x:c>
      <x:c r="D394" s="10" t="n">
        <x:v>1</x:v>
      </x:c>
      <x:c r="E394" s="10" t="n">
        <x:v>1</x:v>
      </x:c>
      <x:c r="F394" s="4" t="n">
        <x:f>IF(COUNT(N394,Q394,T394,W394,Z394,AC394,AF394,AI394)=8,N394*Guide!$E$5+Q394*Guide!$E$6+T394*Guide!$E$7+W394*Guide!$E$8+Z394*Guide!$E$9+AC394*Guide!$E$10+AF394*Guide!$E$11+AI394*Guide!$E$12,"")</x:f>
        <x:v>279.25</x:v>
      </x:c>
      <x:c r="G394" s="4" t="n">
        <x:f>IF(COUNT(O394,R394,U394,X394,AA394,AD394,AG394,AJ394)=8,O394*Guide!$E$5+R394*Guide!$E$6+U394*Guide!$E$7+X394*Guide!$E$8+AA394*Guide!$E$9+AD394*Guide!$E$10+AG394*Guide!$E$11+AJ394*Guide!$E$12,"")</x:f>
        <x:v>277.75</x:v>
      </x:c>
      <x:c r="H394" s="4" t="n">
        <x:f>IF(COUNT(G394,F394)=2,G394-F394,"")</x:f>
        <x:v>-1.5</x:v>
      </x:c>
      <x:c r="I394" s="4" t="n">
        <x:f>IF(AND(ISNUMBER(F394),K394&gt;0),F394/K394,"")</x:f>
        <x:v>3.723333333333333</x:v>
      </x:c>
      <x:c r="J394" s="4" t="n">
        <x:f>IF(AND(ISNUMBER(G394),L394&gt;0),G394/L394,"")</x:f>
        <x:v>4.55327868852459</x:v>
      </x:c>
      <x:c r="K394" s="10" t="n">
        <x:v>75</x:v>
      </x:c>
      <x:c r="L394" s="10" t="n">
        <x:v>61</x:v>
      </x:c>
      <x:c r="M394" s="10" t="n">
        <x:f>IF(COUNT(L394,K394)=2,L394-K394,"")</x:f>
        <x:v>-14</x:v>
      </x:c>
      <x:c r="N394" s="10" t="n">
        <x:v>23</x:v>
      </x:c>
      <x:c r="O394" s="10" t="n">
        <x:v>19</x:v>
      </x:c>
      <x:c r="P394" s="10" t="n">
        <x:f>IF(COUNT(O394,N394)=2,O394-N394,"")</x:f>
        <x:v>-4</x:v>
      </x:c>
      <x:c r="Q394" s="10" t="n">
        <x:v>37</x:v>
      </x:c>
      <x:c r="R394" s="10" t="n">
        <x:v>38</x:v>
      </x:c>
      <x:c r="S394" s="10" t="n">
        <x:f>IF(COUNT(R394,Q394)=2,R394-Q394,"")</x:f>
        <x:v>1</x:v>
      </x:c>
      <x:c r="T394" s="10" t="n">
        <x:v>-7</x:v>
      </x:c>
      <x:c r="U394" s="10" t="n">
        <x:v>11</x:v>
      </x:c>
      <x:c r="V394" s="10" t="n">
        <x:f>IF(COUNT(U394,T394)=2,U394-T394,"")</x:f>
        <x:v>18</x:v>
      </x:c>
      <x:c r="W394" s="10" t="n">
        <x:v>15</x:v>
      </x:c>
      <x:c r="X394" s="10" t="n">
        <x:f>IF(COUNT(AV394,AW394)=2,AV394+AW394,"")</x:f>
        <x:v>12</x:v>
      </x:c>
      <x:c r="Y394" s="10" t="n">
        <x:f>IF(COUNT(X394,W394)=2,X394-W394,"")</x:f>
        <x:v>-3</x:v>
      </x:c>
      <x:c r="Z394" s="10" t="n">
        <x:v>0</x:v>
      </x:c>
      <x:c r="AA394" s="10" t="n">
        <x:f>IF(COUNT(AX394,AY394)=2,AX394+AY394,"")</x:f>
        <x:v>4</x:v>
      </x:c>
      <x:c r="AB394" s="10" t="n">
        <x:f>IF(COUNT(AA394,Z394)=2,AA394-Z394,"")</x:f>
        <x:v>4</x:v>
      </x:c>
      <x:c r="AC394" s="10" t="n">
        <x:v>173</x:v>
      </x:c>
      <x:c r="AD394" s="10" t="n">
        <x:v>161</x:v>
      </x:c>
      <x:c r="AE394" s="10" t="n">
        <x:f>IF(COUNT(AD394,AC394)=2,AD394-AC394,"")</x:f>
        <x:v>-12</x:v>
      </x:c>
      <x:c r="AF394" s="10" t="n">
        <x:v>10</x:v>
      </x:c>
      <x:c r="AG394" s="10" t="n">
        <x:v>2</x:v>
      </x:c>
      <x:c r="AH394" s="10" t="n">
        <x:f>IF(COUNT(AG394,AF394)=2,AG394-AF394,"")</x:f>
        <x:v>-8</x:v>
      </x:c>
      <x:c r="AI394" s="10" t="n">
        <x:v>30</x:v>
      </x:c>
      <x:c r="AJ394" s="10" t="n">
        <x:v>16</x:v>
      </x:c>
      <x:c r="AK394" s="10" t="n">
        <x:f>IF(COUNT(AJ394,AI394)=2,AJ394-AI394,"")</x:f>
        <x:v>-14</x:v>
      </x:c>
      <x:c r="AL394" s="10" t="n">
        <x:v>28</x:v>
      </x:c>
      <x:c r="AM394" s="10" t="n">
        <x:v>28</x:v>
      </x:c>
      <x:c r="AN394" s="4" t="str">
        <x:v>RW</x:v>
      </x:c>
      <x:c r="AO394" s="4" t="str">
        <x:v>C</x:v>
      </x:c>
      <x:c r="AP394" s="4" t="str">
        <x:v>ANA</x:v>
      </x:c>
      <x:c r="AQ394" s="4" t="str">
        <x:v>ANA</x:v>
      </x:c>
      <x:c r="AR394" s="4" t="n">
        <x:v>18.720000000000002</x:v>
      </x:c>
      <x:c r="AS394" s="4" t="n">
        <x:v>18.35</x:v>
      </x:c>
      <x:c r="AT394" s="4" t="n">
        <x:v>2.72</x:v>
      </x:c>
      <x:c r="AU394" s="4" t="n">
        <x:v>11.8</x:v>
      </x:c>
      <x:c r="AV394" s="10" t="n">
        <x:v>1</x:v>
      </x:c>
      <x:c r="AW394" s="10" t="n">
        <x:v>11</x:v>
      </x:c>
      <x:c r="AX394" s="10" t="n">
        <x:v>2</x:v>
      </x:c>
      <x:c r="AY394" s="10" t="n">
        <x:v>2</x:v>
      </x:c>
      <x:c r="AZ394" s="10" t="n">
        <x:v>1014</x:v>
      </x:c>
      <x:c r="BA394" s="10" t="n">
        <x:v>809</x:v>
      </x:c>
      <x:c r="BB394" s="4" t="n">
        <x:v>55.6</x:v>
      </x:c>
      <x:c r="BC394" s="4" t="n">
        <x:v>3.8</x:v>
      </x:c>
      <x:c r="BD394" s="10" t="n">
        <x:v>758</x:v>
      </x:c>
      <x:c r="BE394" s="10" t="n">
        <x:v>599</x:v>
      </x:c>
      <x:c r="BF394" s="4" t="n">
        <x:v>55.9</x:v>
      </x:c>
      <x:c r="BG394" s="4" t="n">
        <x:v>4.1</x:v>
      </x:c>
      <x:c r="BH394" s="4" t="n">
        <x:v>12.2</x:v>
      </x:c>
      <x:c r="BI394" s="4" t="n">
        <x:v>86.2</x:v>
      </x:c>
      <x:c r="BJ394" s="4" t="n">
        <x:v>98.5</x:v>
      </x:c>
      <x:c r="BK394" s="4" t="n">
        <x:v>58.1</x:v>
      </x:c>
      <x:c r="BL394" s="4" t="n">
        <x:v>41.9</x:v>
      </x:c>
      <x:c r="BM394" s="4" t="n">
        <x:v>18.35</x:v>
      </x:c>
      <x:c r="BN394" s="4" t="n">
        <x:v>14.233333333333333</x:v>
      </x:c>
      <x:c r="BO394" s="10" t="n">
        <x:v>25</x:v>
      </x:c>
      <x:c r="BP394" s="10" t="n">
        <x:v>49</x:v>
      </x:c>
      <x:c r="BQ394" s="4" t="n">
        <x:v>9.7</x:v>
      </x:c>
      <x:c r="BR394" s="10" t="n">
        <x:v>314</x:v>
      </x:c>
      <x:c r="BS394" s="4" t="n">
        <x:v>51.3</x:v>
      </x:c>
      <x:c r="BT394" s="10" t="n">
        <x:v>61</x:v>
      </x:c>
      <x:c r="BU394" s="4" t="str">
        <x:v>ANA</x:v>
      </x:c>
      <x:c r="BV394" s="10" t="n">
        <x:v>95</x:v>
      </x:c>
      <x:c r="BW394" s="10" t="n">
        <x:v>108</x:v>
      </x:c>
      <x:c r="BX394" s="10" t="n">
        <x:v>1007</x:v>
      </x:c>
      <x:c r="BY394" s="4" t="str">
        <x:v>Troy Terry</x:v>
      </x:c>
      <x:c r="BZ394" s="4" t="str">
        <x:v>Troy Terry</x:v>
      </x:c>
      <x:c r="CA394" s="4" t="str">
        <x:v>Troy Terry</x:v>
      </x:c>
      <x:c r="CB394" s="4" t="str">
        <x:v>terrytr01</x:v>
      </x:c>
    </x:row>
    <x:row r="395" ht="22" customHeight="1">
      <x:c r="A395" s="4" t="str">
        <x:v>Tye Kartye</x:v>
      </x:c>
      <x:c r="B395" s="4" t="str">
        <x:v>tyekartye</x:v>
      </x:c>
      <x:c r="C395" s="10" t="n">
        <x:v>1</x:v>
      </x:c>
      <x:c r="D395" s="10" t="n">
        <x:v>1</x:v>
      </x:c>
      <x:c r="E395" s="10" t="n">
        <x:v>1</x:v>
      </x:c>
      <x:c r="F395" s="4" t="n">
        <x:f>IF(COUNT(N395,Q395,T395,W395,Z395,AC395,AF395,AI395)=8,N395*Guide!$E$5+Q395*Guide!$E$6+T395*Guide!$E$7+W395*Guide!$E$8+Z395*Guide!$E$9+AC395*Guide!$E$10+AF395*Guide!$E$11+AI395*Guide!$E$12,"")</x:f>
        <x:v>146.25</x:v>
      </x:c>
      <x:c r="G395" s="4" t="n">
        <x:f>IF(COUNT(O395,R395,U395,X395,AA395,AD395,AG395,AJ395)=8,O395*Guide!$E$5+R395*Guide!$E$6+U395*Guide!$E$7+X395*Guide!$E$8+AA395*Guide!$E$9+AD395*Guide!$E$10+AG395*Guide!$E$11+AJ395*Guide!$E$12,"")</x:f>
        <x:v>156</x:v>
      </x:c>
      <x:c r="H395" s="4" t="n">
        <x:f>IF(COUNT(G395,F395)=2,G395-F395,"")</x:f>
        <x:v>9.75</x:v>
      </x:c>
      <x:c r="I395" s="4" t="n">
        <x:f>IF(AND(ISNUMBER(F395),K395&gt;0),F395/K395,"")</x:f>
        <x:v>2.119565217391304</x:v>
      </x:c>
      <x:c r="J395" s="4" t="n">
        <x:f>IF(AND(ISNUMBER(G395),L395&gt;0),G395/L395,"")</x:f>
        <x:v>2.4375</x:v>
      </x:c>
      <x:c r="K395" s="10" t="n">
        <x:v>69</x:v>
      </x:c>
      <x:c r="L395" s="10" t="n">
        <x:v>64</x:v>
      </x:c>
      <x:c r="M395" s="10" t="n">
        <x:f>IF(COUNT(L395,K395)=2,L395-K395,"")</x:f>
        <x:v>-5</x:v>
      </x:c>
      <x:c r="N395" s="10" t="n">
        <x:v>8</x:v>
      </x:c>
      <x:c r="O395" s="10" t="n">
        <x:v>8</x:v>
      </x:c>
      <x:c r="P395" s="10" t="n">
        <x:f>IF(COUNT(O395,N395)=2,O395-N395,"")</x:f>
        <x:v>0</x:v>
      </x:c>
      <x:c r="Q395" s="10" t="n">
        <x:v>10</x:v>
      </x:c>
      <x:c r="R395" s="10" t="n">
        <x:v>14</x:v>
      </x:c>
      <x:c r="S395" s="10" t="n">
        <x:f>IF(COUNT(R395,Q395)=2,R395-Q395,"")</x:f>
        <x:v>4</x:v>
      </x:c>
      <x:c r="T395" s="10" t="n">
        <x:v>-2</x:v>
      </x:c>
      <x:c r="U395" s="10" t="n">
        <x:v>-6</x:v>
      </x:c>
      <x:c r="V395" s="10" t="n">
        <x:f>IF(COUNT(U395,T395)=2,U395-T395,"")</x:f>
        <x:v>-4</x:v>
      </x:c>
      <x:c r="W395" s="10" t="n">
        <x:v>0</x:v>
      </x:c>
      <x:c r="X395" s="10" t="n">
        <x:f>IF(COUNT(AV395,AW395)=2,AV395+AW395,"")</x:f>
        <x:v>0</x:v>
      </x:c>
      <x:c r="Y395" s="10" t="n">
        <x:f>IF(COUNT(X395,W395)=2,X395-W395,"")</x:f>
        <x:v>0</x:v>
      </x:c>
      <x:c r="Z395" s="10" t="n">
        <x:v>0</x:v>
      </x:c>
      <x:c r="AA395" s="10" t="n">
        <x:f>IF(COUNT(AX395,AY395)=2,AX395+AY395,"")</x:f>
        <x:v>0</x:v>
      </x:c>
      <x:c r="AB395" s="10" t="n">
        <x:f>IF(COUNT(AA395,Z395)=2,AA395-Z395,"")</x:f>
        <x:v>0</x:v>
      </x:c>
      <x:c r="AC395" s="10" t="n">
        <x:v>71</x:v>
      </x:c>
      <x:c r="AD395" s="10" t="n">
        <x:v>56</x:v>
      </x:c>
      <x:c r="AE395" s="10" t="n">
        <x:f>IF(COUNT(AD395,AC395)=2,AD395-AC395,"")</x:f>
        <x:v>-15</x:v>
      </x:c>
      <x:c r="AF395" s="10" t="n">
        <x:v>193</x:v>
      </x:c>
      <x:c r="AG395" s="10" t="n">
        <x:v>173</x:v>
      </x:c>
      <x:c r="AH395" s="10" t="n">
        <x:f>IF(COUNT(AG395,AF395)=2,AG395-AF395,"")</x:f>
        <x:v>-20</x:v>
      </x:c>
      <x:c r="AI395" s="10" t="n">
        <x:v>27</x:v>
      </x:c>
      <x:c r="AJ395" s="10" t="n">
        <x:v>41</x:v>
      </x:c>
      <x:c r="AK395" s="10" t="n">
        <x:f>IF(COUNT(AJ395,AI395)=2,AJ395-AI395,"")</x:f>
        <x:v>14</x:v>
      </x:c>
      <x:c r="AL395" s="10" t="n">
        <x:v>24</x:v>
      </x:c>
      <x:c r="AM395" s="10" t="n">
        <x:v>24</x:v>
      </x:c>
      <x:c r="AN395" s="4" t="str">
        <x:v>LW</x:v>
      </x:c>
      <x:c r="AO395" s="4" t="str">
        <x:v>F</x:v>
      </x:c>
      <x:c r="AP395" s="4" t="str">
        <x:v>SEA</x:v>
      </x:c>
      <x:c r="AQ395" s="4" t="str">
        <x:v>2TM</x:v>
      </x:c>
      <x:c r="AR395" s="4" t="n">
        <x:v>10.37</x:v>
      </x:c>
      <x:c r="AS395" s="4" t="n">
        <x:v>11.966666666666667</x:v>
      </x:c>
      <x:c r="AT395" s="4" t="n">
        <x:v>0.13</x:v>
      </x:c>
      <x:c r="AU395" s="4" t="n">
        <x:v>14.3</x:v>
      </x:c>
      <x:c r="AV395" s="10" t="n">
        <x:v>0</x:v>
      </x:c>
      <x:c r="AW395" s="10" t="n">
        <x:v>0</x:v>
      </x:c>
      <x:c r="AX395" s="10" t="n">
        <x:v>0</x:v>
      </x:c>
      <x:c r="AY395" s="10" t="n">
        <x:v>0</x:v>
      </x:c>
      <x:c r="AZ395" s="10" t="n">
        <x:v>587</x:v>
      </x:c>
      <x:c r="BA395" s="10" t="n">
        <x:v>637</x:v>
      </x:c>
      <x:c r="BB395" s="4" t="n">
        <x:v>48</x:v>
      </x:c>
      <x:c r="BC395" s="4" t="n">
        <x:v>1.2</x:v>
      </x:c>
      <x:c r="BD395" s="10" t="n">
        <x:v>396</x:v>
      </x:c>
      <x:c r="BE395" s="10" t="n">
        <x:v>450</x:v>
      </x:c>
      <x:c r="BF395" s="4" t="n">
        <x:v>46.8</x:v>
      </x:c>
      <x:c r="BG395" s="4" t="n">
        <x:v>0.4</x:v>
      </x:c>
      <x:c r="BH395" s="4" t="n">
        <x:v>12</x:v>
      </x:c>
      <x:c r="BI395" s="4" t="n">
        <x:v>88.4</x:v>
      </x:c>
      <x:c r="BJ395" s="4" t="n">
        <x:v>100.4</x:v>
      </x:c>
      <x:c r="BK395" s="4" t="n">
        <x:v>33.9</x:v>
      </x:c>
      <x:c r="BL395" s="4" t="n">
        <x:v>66.1</x:v>
      </x:c>
      <x:c r="BM395" s="4" t="n">
        <x:v>11.966666666666667</x:v>
      </x:c>
      <x:c r="BN395" s="4" t="n">
        <x:v>10.616666666666667</x:v>
      </x:c>
      <x:c r="BO395" s="10" t="n">
        <x:v>17</x:v>
      </x:c>
      <x:c r="BP395" s="10" t="n">
        <x:v>30</x:v>
      </x:c>
      <x:c r="BQ395" s="4" t="n">
        <x:v>-7.4</x:v>
      </x:c>
      <x:c r="BR395" s="10" t="n">
        <x:v>136</x:v>
      </x:c>
      <x:c r="BS395" s="4" t="n">
        <x:v>41.2</x:v>
      </x:c>
      <x:c r="BT395" s="10" t="n">
        <x:v>64</x:v>
      </x:c>
      <x:c r="BU395" s="4" t="str">
        <x:v>TOT</x:v>
      </x:c>
      <x:c r="BV395" s="10" t="n">
        <x:v>569</x:v>
      </x:c>
      <x:c r="BW395" s="10" t="n">
        <x:v>444</x:v>
      </x:c>
      <x:c r="BX395" s="10" t="n">
        <x:v>502</x:v>
      </x:c>
      <x:c r="BY395" s="4" t="str">
        <x:v>Tye Kartye</x:v>
      </x:c>
      <x:c r="BZ395" s="4" t="str">
        <x:v>Tye Kartye</x:v>
      </x:c>
      <x:c r="CA395" s="4" t="str">
        <x:v>Tye Kartye</x:v>
      </x:c>
      <x:c r="CB395" s="4" t="str">
        <x:v>kartyty01</x:v>
      </x:c>
    </x:row>
    <x:row r="396" ht="22" customHeight="1">
      <x:c r="A396" s="4" t="str">
        <x:v>Tyler Bertuzzi</x:v>
      </x:c>
      <x:c r="B396" s="4" t="str">
        <x:v>tylerbertuzzi</x:v>
      </x:c>
      <x:c r="C396" s="10" t="n">
        <x:v>1</x:v>
      </x:c>
      <x:c r="D396" s="10" t="n">
        <x:v>1</x:v>
      </x:c>
      <x:c r="E396" s="10" t="n">
        <x:v>1</x:v>
      </x:c>
      <x:c r="F396" s="4" t="n">
        <x:f>IF(COUNT(N396,Q396,T396,W396,Z396,AC396,AF396,AI396)=8,N396*Guide!$E$5+Q396*Guide!$E$6+T396*Guide!$E$7+W396*Guide!$E$8+Z396*Guide!$E$9+AC396*Guide!$E$10+AF396*Guide!$E$11+AI396*Guide!$E$12,"")</x:f>
        <x:v>225.75</x:v>
      </x:c>
      <x:c r="G396" s="4" t="n">
        <x:f>IF(COUNT(O396,R396,U396,X396,AA396,AD396,AG396,AJ396)=8,O396*Guide!$E$5+R396*Guide!$E$6+U396*Guide!$E$7+X396*Guide!$E$8+AA396*Guide!$E$9+AD396*Guide!$E$10+AG396*Guide!$E$11+AJ396*Guide!$E$12,"")</x:f>
        <x:v>283.75</x:v>
      </x:c>
      <x:c r="H396" s="4" t="n">
        <x:f>IF(COUNT(G396,F396)=2,G396-F396,"")</x:f>
        <x:v>58</x:v>
      </x:c>
      <x:c r="I396" s="4" t="n">
        <x:f>IF(AND(ISNUMBER(F396),K396&gt;0),F396/K396,"")</x:f>
        <x:v>2.821875</x:v>
      </x:c>
      <x:c r="J396" s="4" t="n">
        <x:f>IF(AND(ISNUMBER(G396),L396&gt;0),G396/L396,"")</x:f>
        <x:v>3.5917721518987342</x:v>
      </x:c>
      <x:c r="K396" s="10" t="n">
        <x:v>80</x:v>
      </x:c>
      <x:c r="L396" s="10" t="n">
        <x:v>79</x:v>
      </x:c>
      <x:c r="M396" s="10" t="n">
        <x:f>IF(COUNT(L396,K396)=2,L396-K396,"")</x:f>
        <x:v>-1</x:v>
      </x:c>
      <x:c r="N396" s="10" t="n">
        <x:v>21</x:v>
      </x:c>
      <x:c r="O396" s="10" t="n">
        <x:v>32</x:v>
      </x:c>
      <x:c r="P396" s="10" t="n">
        <x:f>IF(COUNT(O396,N396)=2,O396-N396,"")</x:f>
        <x:v>11</x:v>
      </x:c>
      <x:c r="Q396" s="10" t="n">
        <x:v>22</x:v>
      </x:c>
      <x:c r="R396" s="10" t="n">
        <x:v>26</x:v>
      </x:c>
      <x:c r="S396" s="10" t="n">
        <x:f>IF(COUNT(R396,Q396)=2,R396-Q396,"")</x:f>
        <x:v>4</x:v>
      </x:c>
      <x:c r="T396" s="10" t="n">
        <x:v>-15</x:v>
      </x:c>
      <x:c r="U396" s="10" t="n">
        <x:v>-16</x:v>
      </x:c>
      <x:c r="V396" s="10" t="n">
        <x:f>IF(COUNT(U396,T396)=2,U396-T396,"")</x:f>
        <x:v>-1</x:v>
      </x:c>
      <x:c r="W396" s="10" t="n">
        <x:v>14</x:v>
      </x:c>
      <x:c r="X396" s="10" t="n">
        <x:f>IF(COUNT(AV396,AW396)=2,AV396+AW396,"")</x:f>
        <x:v>21</x:v>
      </x:c>
      <x:c r="Y396" s="10" t="n">
        <x:f>IF(COUNT(X396,W396)=2,X396-W396,"")</x:f>
        <x:v>7</x:v>
      </x:c>
      <x:c r="Z396" s="10" t="n">
        <x:v>0</x:v>
      </x:c>
      <x:c r="AA396" s="10" t="n">
        <x:f>IF(COUNT(AX396,AY396)=2,AX396+AY396,"")</x:f>
        <x:v>0</x:v>
      </x:c>
      <x:c r="AB396" s="10" t="n">
        <x:f>IF(COUNT(AA396,Z396)=2,AA396-Z396,"")</x:f>
        <x:v>0</x:v>
      </x:c>
      <x:c r="AC396" s="10" t="n">
        <x:v>137</x:v>
      </x:c>
      <x:c r="AD396" s="10" t="n">
        <x:v>164</x:v>
      </x:c>
      <x:c r="AE396" s="10" t="n">
        <x:f>IF(COUNT(AD396,AC396)=2,AD396-AC396,"")</x:f>
        <x:v>27</x:v>
      </x:c>
      <x:c r="AF396" s="10" t="n">
        <x:v>68</x:v>
      </x:c>
      <x:c r="AG396" s="10" t="n">
        <x:v>55</x:v>
      </x:c>
      <x:c r="AH396" s="10" t="n">
        <x:f>IF(COUNT(AG396,AF396)=2,AG396-AF396,"")</x:f>
        <x:v>-13</x:v>
      </x:c>
      <x:c r="AI396" s="10" t="n">
        <x:v>34</x:v>
      </x:c>
      <x:c r="AJ396" s="10" t="n">
        <x:v>24</x:v>
      </x:c>
      <x:c r="AK396" s="10" t="n">
        <x:f>IF(COUNT(AJ396,AI396)=2,AJ396-AI396,"")</x:f>
        <x:v>-10</x:v>
      </x:c>
      <x:c r="AL396" s="10" t="n">
        <x:v>30</x:v>
      </x:c>
      <x:c r="AM396" s="10" t="n">
        <x:v>30</x:v>
      </x:c>
      <x:c r="AN396" s="4" t="str">
        <x:v>LW,RW</x:v>
      </x:c>
      <x:c r="AO396" s="4" t="str">
        <x:v>LW</x:v>
      </x:c>
      <x:c r="AP396" s="4" t="str">
        <x:v>CHI</x:v>
      </x:c>
      <x:c r="AQ396" s="4" t="str">
        <x:v>CHI</x:v>
      </x:c>
      <x:c r="AR396" s="4" t="n">
        <x:v>15.74</x:v>
      </x:c>
      <x:c r="AS396" s="4" t="n">
        <x:v>18.45</x:v>
      </x:c>
      <x:c r="AT396" s="4" t="n">
        <x:v>2.28</x:v>
      </x:c>
      <x:c r="AU396" s="4" t="n">
        <x:v>19.5</x:v>
      </x:c>
      <x:c r="AV396" s="10" t="n">
        <x:v>11</x:v>
      </x:c>
      <x:c r="AW396" s="10" t="n">
        <x:v>10</x:v>
      </x:c>
      <x:c r="AX396" s="10" t="n">
        <x:v>0</x:v>
      </x:c>
      <x:c r="AY396" s="10" t="n">
        <x:v>0</x:v>
      </x:c>
      <x:c r="AZ396" s="10" t="n">
        <x:v>1131</x:v>
      </x:c>
      <x:c r="BA396" s="10" t="n">
        <x:v>1232</x:v>
      </x:c>
      <x:c r="BB396" s="4" t="n">
        <x:v>47.9</x:v>
      </x:c>
      <x:c r="BC396" s="4" t="n">
        <x:v>3</x:v>
      </x:c>
      <x:c r="BD396" s="10" t="n">
        <x:v>839</x:v>
      </x:c>
      <x:c r="BE396" s="10" t="n">
        <x:v>922</x:v>
      </x:c>
      <x:c r="BF396" s="4" t="n">
        <x:v>47.6</x:v>
      </x:c>
      <x:c r="BG396" s="4" t="n">
        <x:v>3.5</x:v>
      </x:c>
      <x:c r="BH396" s="4" t="n">
        <x:v>11.6</x:v>
      </x:c>
      <x:c r="BI396" s="4" t="n">
        <x:v>87.6</x:v>
      </x:c>
      <x:c r="BJ396" s="4" t="n">
        <x:v>99.2</x:v>
      </x:c>
      <x:c r="BK396" s="4" t="n">
        <x:v>48.7</x:v>
      </x:c>
      <x:c r="BL396" s="4" t="n">
        <x:v>51.3</x:v>
      </x:c>
      <x:c r="BM396" s="4" t="n">
        <x:v>18.45</x:v>
      </x:c>
      <x:c r="BN396" s="4" t="n">
        <x:v>15.216666666666667</x:v>
      </x:c>
      <x:c r="BO396" s="10" t="n">
        <x:v>21</x:v>
      </x:c>
      <x:c r="BP396" s="10" t="n">
        <x:v>76</x:v>
      </x:c>
      <x:c r="BQ396" s="4" t="n">
        <x:v>-13.8</x:v>
      </x:c>
      <x:c r="BR396" s="10" t="n">
        <x:v>296</x:v>
      </x:c>
      <x:c r="BS396" s="4" t="n">
        <x:v>55.4</x:v>
      </x:c>
      <x:c r="BT396" s="10" t="n">
        <x:v>79</x:v>
      </x:c>
      <x:c r="BU396" s="4" t="str">
        <x:v>CHI</x:v>
      </x:c>
      <x:c r="BV396" s="10" t="n">
        <x:v>214</x:v>
      </x:c>
      <x:c r="BW396" s="10" t="n">
        <x:v>100</x:v>
      </x:c>
      <x:c r="BX396" s="10" t="n">
        <x:v>56</x:v>
      </x:c>
      <x:c r="BY396" s="4" t="str">
        <x:v>Tyler Bertuzzi</x:v>
      </x:c>
      <x:c r="BZ396" s="4" t="str">
        <x:v>Tyler Bertuzzi</x:v>
      </x:c>
      <x:c r="CA396" s="4" t="str">
        <x:v>Tyler Bertuzzi</x:v>
      </x:c>
      <x:c r="CB396" s="4" t="str">
        <x:v>bertuty01</x:v>
      </x:c>
    </x:row>
    <x:row r="397" ht="22" customHeight="1">
      <x:c r="A397" s="4" t="str">
        <x:v>Tyler Kleven</x:v>
      </x:c>
      <x:c r="B397" s="4" t="str">
        <x:v>tylerkleven</x:v>
      </x:c>
      <x:c r="C397" s="10" t="n">
        <x:v>1</x:v>
      </x:c>
      <x:c r="D397" s="10" t="n">
        <x:v>1</x:v>
      </x:c>
      <x:c r="E397" s="10" t="n">
        <x:v>1</x:v>
      </x:c>
      <x:c r="F397" s="4" t="n">
        <x:f>IF(COUNT(N397,Q397,T397,W397,Z397,AC397,AF397,AI397)=8,N397*Guide!$E$5+Q397*Guide!$E$6+T397*Guide!$E$7+W397*Guide!$E$8+Z397*Guide!$E$9+AC397*Guide!$E$10+AF397*Guide!$E$11+AI397*Guide!$E$12,"")</x:f>
        <x:v>140.25</x:v>
      </x:c>
      <x:c r="G397" s="4" t="n">
        <x:f>IF(COUNT(O397,R397,U397,X397,AA397,AD397,AG397,AJ397)=8,O397*Guide!$E$5+R397*Guide!$E$6+U397*Guide!$E$7+X397*Guide!$E$8+AA397*Guide!$E$9+AD397*Guide!$E$10+AG397*Guide!$E$11+AJ397*Guide!$E$12,"")</x:f>
        <x:v>190.25</x:v>
      </x:c>
      <x:c r="H397" s="4" t="n">
        <x:f>IF(COUNT(G397,F397)=2,G397-F397,"")</x:f>
        <x:v>50</x:v>
      </x:c>
      <x:c r="I397" s="4" t="n">
        <x:f>IF(AND(ISNUMBER(F397),K397&gt;0),F397/K397,"")</x:f>
        <x:v>2.0035714285714286</x:v>
      </x:c>
      <x:c r="J397" s="4" t="n">
        <x:f>IF(AND(ISNUMBER(G397),L397&gt;0),G397/L397,"")</x:f>
        <x:v>2.717857142857143</x:v>
      </x:c>
      <x:c r="K397" s="10" t="n">
        <x:v>70</x:v>
      </x:c>
      <x:c r="L397" s="10" t="n">
        <x:v>70</x:v>
      </x:c>
      <x:c r="M397" s="10" t="n">
        <x:f>IF(COUNT(L397,K397)=2,L397-K397,"")</x:f>
        <x:v>0</x:v>
      </x:c>
      <x:c r="N397" s="10" t="n">
        <x:v>4</x:v>
      </x:c>
      <x:c r="O397" s="10" t="n">
        <x:v>3</x:v>
      </x:c>
      <x:c r="P397" s="10" t="n">
        <x:f>IF(COUNT(O397,N397)=2,O397-N397,"")</x:f>
        <x:v>-1</x:v>
      </x:c>
      <x:c r="Q397" s="10" t="n">
        <x:v>8</x:v>
      </x:c>
      <x:c r="R397" s="10" t="n">
        <x:v>15</x:v>
      </x:c>
      <x:c r="S397" s="10" t="n">
        <x:f>IF(COUNT(R397,Q397)=2,R397-Q397,"")</x:f>
        <x:v>7</x:v>
      </x:c>
      <x:c r="T397" s="10" t="n">
        <x:v>-3</x:v>
      </x:c>
      <x:c r="U397" s="10" t="n">
        <x:v>2</x:v>
      </x:c>
      <x:c r="V397" s="10" t="n">
        <x:f>IF(COUNT(U397,T397)=2,U397-T397,"")</x:f>
        <x:v>5</x:v>
      </x:c>
      <x:c r="W397" s="10" t="n">
        <x:v>1</x:v>
      </x:c>
      <x:c r="X397" s="10" t="n">
        <x:f>IF(COUNT(AV397,AW397)=2,AV397+AW397,"")</x:f>
        <x:v>0</x:v>
      </x:c>
      <x:c r="Y397" s="10" t="n">
        <x:f>IF(COUNT(X397,W397)=2,X397-W397,"")</x:f>
        <x:v>-1</x:v>
      </x:c>
      <x:c r="Z397" s="10" t="n">
        <x:v>0</x:v>
      </x:c>
      <x:c r="AA397" s="10" t="n">
        <x:f>IF(COUNT(AX397,AY397)=2,AX397+AY397,"")</x:f>
        <x:v>2</x:v>
      </x:c>
      <x:c r="AB397" s="10" t="n">
        <x:f>IF(COUNT(AA397,Z397)=2,AA397-Z397,"")</x:f>
        <x:v>2</x:v>
      </x:c>
      <x:c r="AC397" s="10" t="n">
        <x:v>66</x:v>
      </x:c>
      <x:c r="AD397" s="10" t="n">
        <x:v>90</x:v>
      </x:c>
      <x:c r="AE397" s="10" t="n">
        <x:f>IF(COUNT(AD397,AC397)=2,AD397-AC397,"")</x:f>
        <x:v>24</x:v>
      </x:c>
      <x:c r="AF397" s="10" t="n">
        <x:v>91</x:v>
      </x:c>
      <x:c r="AG397" s="10" t="n">
        <x:v>126</x:v>
      </x:c>
      <x:c r="AH397" s="10" t="n">
        <x:f>IF(COUNT(AG397,AF397)=2,AG397-AF397,"")</x:f>
        <x:v>35</x:v>
      </x:c>
      <x:c r="AI397" s="10" t="n">
        <x:v>84</x:v>
      </x:c>
      <x:c r="AJ397" s="10" t="n">
        <x:v>95</x:v>
      </x:c>
      <x:c r="AK397" s="10" t="n">
        <x:f>IF(COUNT(AJ397,AI397)=2,AJ397-AI397,"")</x:f>
        <x:v>11</x:v>
      </x:c>
      <x:c r="AL397" s="10" t="n">
        <x:v>24</x:v>
      </x:c>
      <x:c r="AM397" s="10" t="n">
        <x:v>24</x:v>
      </x:c>
      <x:c r="AN397" s="4" t="str">
        <x:v>D</x:v>
      </x:c>
      <x:c r="AO397" s="4" t="str">
        <x:v>D</x:v>
      </x:c>
      <x:c r="AP397" s="4" t="str">
        <x:v>OTT</x:v>
      </x:c>
      <x:c r="AQ397" s="4" t="str">
        <x:v>OTT</x:v>
      </x:c>
      <x:c r="AR397" s="4" t="n">
        <x:v>14.45</x:v>
      </x:c>
      <x:c r="AS397" s="4" t="n">
        <x:v>17.35</x:v>
      </x:c>
      <x:c r="AT397" s="4" t="n">
        <x:v>0.12</x:v>
      </x:c>
      <x:c r="AU397" s="4" t="n">
        <x:v>3.3</x:v>
      </x:c>
      <x:c r="AV397" s="10" t="n">
        <x:v>0</x:v>
      </x:c>
      <x:c r="AW397" s="10" t="n">
        <x:v>0</x:v>
      </x:c>
      <x:c r="AX397" s="10" t="n">
        <x:v>0</x:v>
      </x:c>
      <x:c r="AY397" s="10" t="n">
        <x:v>2</x:v>
      </x:c>
      <x:c r="AZ397" s="10" t="n">
        <x:v>1038</x:v>
      </x:c>
      <x:c r="BA397" s="10" t="n">
        <x:v>932</x:v>
      </x:c>
      <x:c r="BB397" s="4" t="n">
        <x:v>52.7</x:v>
      </x:c>
      <x:c r="BC397" s="4" t="n">
        <x:v>-0.1</x:v>
      </x:c>
      <x:c r="BD397" s="10" t="n">
        <x:v>768</x:v>
      </x:c>
      <x:c r="BE397" s="10" t="n">
        <x:v>655</x:v>
      </x:c>
      <x:c r="BF397" s="4" t="n">
        <x:v>54</x:v>
      </x:c>
      <x:c r="BG397" s="4" t="n">
        <x:v>0.7</x:v>
      </x:c>
      <x:c r="BH397" s="4" t="n">
        <x:v>8.6</x:v>
      </x:c>
      <x:c r="BI397" s="4" t="n">
        <x:v>89.8</x:v>
      </x:c>
      <x:c r="BJ397" s="4" t="n">
        <x:v>98.4</x:v>
      </x:c>
      <x:c r="BK397" s="4" t="n">
        <x:v>52.1</x:v>
      </x:c>
      <x:c r="BL397" s="4" t="n">
        <x:v>47.9</x:v>
      </x:c>
      <x:c r="BM397" s="4" t="n">
        <x:v>17.35</x:v>
      </x:c>
      <x:c r="BN397" s="4" t="n">
        <x:v>15.683333333333334</x:v>
      </x:c>
      <x:c r="BO397" s="10" t="n">
        <x:v>30</x:v>
      </x:c>
      <x:c r="BP397" s="10" t="n">
        <x:v>82</x:v>
      </x:c>
      <x:c r="BQ397" s="4" t="n">
        <x:v>7.7</x:v>
      </x:c>
      <x:c r="BR397" s="10" t="n">
        <x:v>194</x:v>
      </x:c>
      <x:c r="BS397" s="4" t="n">
        <x:v>46.4</x:v>
      </x:c>
      <x:c r="BT397" s="10" t="n">
        <x:v>70</x:v>
      </x:c>
      <x:c r="BU397" s="4" t="str">
        <x:v>OTT</x:v>
      </x:c>
      <x:c r="BV397" s="10" t="n">
        <x:v>685</x:v>
      </x:c>
      <x:c r="BW397" s="10" t="n">
        <x:v>492</x:v>
      </x:c>
      <x:c r="BX397" s="10" t="n">
        <x:v>524</x:v>
      </x:c>
      <x:c r="BY397" s="4" t="str">
        <x:v>Tyler Kleven</x:v>
      </x:c>
      <x:c r="BZ397" s="4" t="str">
        <x:v>Tyler Kleven</x:v>
      </x:c>
      <x:c r="CA397" s="4" t="str">
        <x:v>Tyler Kleven</x:v>
      </x:c>
      <x:c r="CB397" s="4" t="str">
        <x:v>klevety01</x:v>
      </x:c>
    </x:row>
    <x:row r="398" ht="22" customHeight="1">
      <x:c r="A398" s="4" t="str">
        <x:v>Tyler Toffoli</x:v>
      </x:c>
      <x:c r="B398" s="4" t="str">
        <x:v>tylertoffoli</x:v>
      </x:c>
      <x:c r="C398" s="10" t="n">
        <x:v>1</x:v>
      </x:c>
      <x:c r="D398" s="10" t="n">
        <x:v>1</x:v>
      </x:c>
      <x:c r="E398" s="10" t="n">
        <x:v>1</x:v>
      </x:c>
      <x:c r="F398" s="4" t="n">
        <x:f>IF(COUNT(N398,Q398,T398,W398,Z398,AC398,AF398,AI398)=8,N398*Guide!$E$5+Q398*Guide!$E$6+T398*Guide!$E$7+W398*Guide!$E$8+Z398*Guide!$E$9+AC398*Guide!$E$10+AF398*Guide!$E$11+AI398*Guide!$E$12,"")</x:f>
        <x:v>286.75</x:v>
      </x:c>
      <x:c r="G398" s="4" t="n">
        <x:f>IF(COUNT(O398,R398,U398,X398,AA398,AD398,AG398,AJ398)=8,O398*Guide!$E$5+R398*Guide!$E$6+U398*Guide!$E$7+X398*Guide!$E$8+AA398*Guide!$E$9+AD398*Guide!$E$10+AG398*Guide!$E$11+AJ398*Guide!$E$12,"")</x:f>
        <x:v>247.25</x:v>
      </x:c>
      <x:c r="H398" s="4" t="n">
        <x:f>IF(COUNT(G398,F398)=2,G398-F398,"")</x:f>
        <x:v>-39.5</x:v>
      </x:c>
      <x:c r="I398" s="4" t="n">
        <x:f>IF(AND(ISNUMBER(F398),K398&gt;0),F398/K398,"")</x:f>
        <x:v>3.8233333333333333</x:v>
      </x:c>
      <x:c r="J398" s="4" t="n">
        <x:f>IF(AND(ISNUMBER(G398),L398&gt;0),G398/L398,"")</x:f>
        <x:v>3.1297468354430378</x:v>
      </x:c>
      <x:c r="K398" s="10" t="n">
        <x:v>75</x:v>
      </x:c>
      <x:c r="L398" s="10" t="n">
        <x:v>79</x:v>
      </x:c>
      <x:c r="M398" s="10" t="n">
        <x:f>IF(COUNT(L398,K398)=2,L398-K398,"")</x:f>
        <x:v>4</x:v>
      </x:c>
      <x:c r="N398" s="10" t="n">
        <x:v>29</x:v>
      </x:c>
      <x:c r="O398" s="10" t="n">
        <x:v>19</x:v>
      </x:c>
      <x:c r="P398" s="10" t="n">
        <x:f>IF(COUNT(O398,N398)=2,O398-N398,"")</x:f>
        <x:v>-10</x:v>
      </x:c>
      <x:c r="Q398" s="10" t="n">
        <x:v>27</x:v>
      </x:c>
      <x:c r="R398" s="10" t="n">
        <x:v>30</x:v>
      </x:c>
      <x:c r="S398" s="10" t="n">
        <x:f>IF(COUNT(R398,Q398)=2,R398-Q398,"")</x:f>
        <x:v>3</x:v>
      </x:c>
      <x:c r="T398" s="10" t="n">
        <x:v>-8</x:v>
      </x:c>
      <x:c r="U398" s="10" t="n">
        <x:v>-12</x:v>
      </x:c>
      <x:c r="V398" s="10" t="n">
        <x:f>IF(COUNT(U398,T398)=2,U398-T398,"")</x:f>
        <x:v>-4</x:v>
      </x:c>
      <x:c r="W398" s="10" t="n">
        <x:v>17</x:v>
      </x:c>
      <x:c r="X398" s="10" t="n">
        <x:f>IF(COUNT(AV398,AW398)=2,AV398+AW398,"")</x:f>
        <x:v>15</x:v>
      </x:c>
      <x:c r="Y398" s="10" t="n">
        <x:f>IF(COUNT(X398,W398)=2,X398-W398,"")</x:f>
        <x:v>-2</x:v>
      </x:c>
      <x:c r="Z398" s="10" t="n">
        <x:v>0</x:v>
      </x:c>
      <x:c r="AA398" s="10" t="n">
        <x:f>IF(COUNT(AX398,AY398)=2,AX398+AY398,"")</x:f>
        <x:v>0</x:v>
      </x:c>
      <x:c r="AB398" s="10" t="n">
        <x:f>IF(COUNT(AA398,Z398)=2,AA398-Z398,"")</x:f>
        <x:v>0</x:v>
      </x:c>
      <x:c r="AC398" s="10" t="n">
        <x:v>200</x:v>
      </x:c>
      <x:c r="AD398" s="10" t="n">
        <x:v>172</x:v>
      </x:c>
      <x:c r="AE398" s="10" t="n">
        <x:f>IF(COUNT(AD398,AC398)=2,AD398-AC398,"")</x:f>
        <x:v>-28</x:v>
      </x:c>
      <x:c r="AF398" s="10" t="n">
        <x:v>54</x:v>
      </x:c>
      <x:c r="AG398" s="10" t="n">
        <x:v>48</x:v>
      </x:c>
      <x:c r="AH398" s="10" t="n">
        <x:f>IF(COUNT(AG398,AF398)=2,AG398-AF398,"")</x:f>
        <x:v>-6</x:v>
      </x:c>
      <x:c r="AI398" s="10" t="n">
        <x:v>23</x:v>
      </x:c>
      <x:c r="AJ398" s="10" t="n">
        <x:v>31</x:v>
      </x:c>
      <x:c r="AK398" s="10" t="n">
        <x:f>IF(COUNT(AJ398,AI398)=2,AJ398-AI398,"")</x:f>
        <x:v>8</x:v>
      </x:c>
      <x:c r="AL398" s="10" t="n">
        <x:v>33</x:v>
      </x:c>
      <x:c r="AM398" s="10" t="n">
        <x:v>33</x:v>
      </x:c>
      <x:c r="AN398" s="4" t="str">
        <x:v>LW,RW</x:v>
      </x:c>
      <x:c r="AO398" s="4" t="str">
        <x:v>C</x:v>
      </x:c>
      <x:c r="AP398" s="4" t="str">
        <x:v>SJ</x:v>
      </x:c>
      <x:c r="AQ398" s="4" t="str">
        <x:v>SJS</x:v>
      </x:c>
      <x:c r="AR398" s="4" t="n">
        <x:v>16.45</x:v>
      </x:c>
      <x:c r="AS398" s="4" t="n">
        <x:v>14.983333333333333</x:v>
      </x:c>
      <x:c r="AT398" s="4" t="n">
        <x:v>2.9</x:v>
      </x:c>
      <x:c r="AU398" s="4" t="n">
        <x:v>11</x:v>
      </x:c>
      <x:c r="AV398" s="10" t="n">
        <x:v>6</x:v>
      </x:c>
      <x:c r="AW398" s="10" t="n">
        <x:v>9</x:v>
      </x:c>
      <x:c r="AX398" s="10" t="n">
        <x:v>0</x:v>
      </x:c>
      <x:c r="AY398" s="10" t="n">
        <x:v>0</x:v>
      </x:c>
      <x:c r="AZ398" s="10" t="n">
        <x:v>900</x:v>
      </x:c>
      <x:c r="BA398" s="10" t="n">
        <x:v>963</x:v>
      </x:c>
      <x:c r="BB398" s="4" t="n">
        <x:v>48.3</x:v>
      </x:c>
      <x:c r="BC398" s="4" t="n">
        <x:v>2.4</x:v>
      </x:c>
      <x:c r="BD398" s="10" t="n">
        <x:v>638</x:v>
      </x:c>
      <x:c r="BE398" s="10" t="n">
        <x:v>690</x:v>
      </x:c>
      <x:c r="BF398" s="4" t="n">
        <x:v>48</x:v>
      </x:c>
      <x:c r="BG398" s="4" t="n">
        <x:v>2.8</x:v>
      </x:c>
      <x:c r="BH398" s="4" t="n">
        <x:v>11.2</x:v>
      </x:c>
      <x:c r="BI398" s="4" t="n">
        <x:v>87</x:v>
      </x:c>
      <x:c r="BJ398" s="4" t="n">
        <x:v>98.2</x:v>
      </x:c>
      <x:c r="BK398" s="4" t="n">
        <x:v>51.5</x:v>
      </x:c>
      <x:c r="BL398" s="4" t="n">
        <x:v>48.5</x:v>
      </x:c>
      <x:c r="BM398" s="4" t="n">
        <x:v>14.983333333333333</x:v>
      </x:c>
      <x:c r="BN398" s="4" t="n">
        <x:v>12.016666666666667</x:v>
      </x:c>
      <x:c r="BO398" s="10" t="n">
        <x:v>18</x:v>
      </x:c>
      <x:c r="BP398" s="10" t="n">
        <x:v>58</x:v>
      </x:c>
      <x:c r="BQ398" s="4" t="n">
        <x:v>3.5</x:v>
      </x:c>
      <x:c r="BR398" s="10" t="n">
        <x:v>350</x:v>
      </x:c>
      <x:c r="BS398" s="4" t="n">
        <x:v>49.1</x:v>
      </x:c>
      <x:c r="BT398" s="10" t="n">
        <x:v>79</x:v>
      </x:c>
      <x:c r="BU398" s="4" t="str">
        <x:v>SJS</x:v>
      </x:c>
      <x:c r="BV398" s="10" t="n">
        <x:v>112</x:v>
      </x:c>
      <x:c r="BW398" s="10" t="n">
        <x:v>153</x:v>
      </x:c>
      <x:c r="BX398" s="10" t="n">
        <x:v>1022</x:v>
      </x:c>
      <x:c r="BY398" s="4" t="str">
        <x:v>Tyler Toffoli</x:v>
      </x:c>
      <x:c r="BZ398" s="4" t="str">
        <x:v>Tyler Toffoli</x:v>
      </x:c>
      <x:c r="CA398" s="4" t="str">
        <x:v>Tyler Toffoli</x:v>
      </x:c>
      <x:c r="CB398" s="4" t="str">
        <x:v>toffoty01</x:v>
      </x:c>
    </x:row>
    <x:row r="399" ht="22" customHeight="1">
      <x:c r="A399" s="4" t="str">
        <x:v>Valeri Nichushkin</x:v>
      </x:c>
      <x:c r="B399" s="4" t="str">
        <x:v>valerinichushkin</x:v>
      </x:c>
      <x:c r="C399" s="10" t="n">
        <x:v>1</x:v>
      </x:c>
      <x:c r="D399" s="10" t="n">
        <x:v>1</x:v>
      </x:c>
      <x:c r="E399" s="10" t="n">
        <x:v>1</x:v>
      </x:c>
      <x:c r="F399" s="4" t="n">
        <x:f>IF(COUNT(N399,Q399,T399,W399,Z399,AC399,AF399,AI399)=8,N399*Guide!$E$5+Q399*Guide!$E$6+T399*Guide!$E$7+W399*Guide!$E$8+Z399*Guide!$E$9+AC399*Guide!$E$10+AF399*Guide!$E$11+AI399*Guide!$E$12,"")</x:f>
        <x:v>301.5</x:v>
      </x:c>
      <x:c r="G399" s="4" t="n">
        <x:f>IF(COUNT(O399,R399,U399,X399,AA399,AD399,AG399,AJ399)=8,O399*Guide!$E$5+R399*Guide!$E$6+U399*Guide!$E$7+X399*Guide!$E$8+AA399*Guide!$E$9+AD399*Guide!$E$10+AG399*Guide!$E$11+AJ399*Guide!$E$12,"")</x:f>
        <x:v>254</x:v>
      </x:c>
      <x:c r="H399" s="4" t="n">
        <x:f>IF(COUNT(G399,F399)=2,G399-F399,"")</x:f>
        <x:v>-47.5</x:v>
      </x:c>
      <x:c r="I399" s="4" t="n">
        <x:f>IF(AND(ISNUMBER(F399),K399&gt;0),F399/K399,"")</x:f>
        <x:v>4.4338235294117645</x:v>
      </x:c>
      <x:c r="J399" s="4" t="n">
        <x:f>IF(AND(ISNUMBER(G399),L399&gt;0),G399/L399,"")</x:f>
        <x:v>3.5277777777777777</x:v>
      </x:c>
      <x:c r="K399" s="10" t="n">
        <x:v>68</x:v>
      </x:c>
      <x:c r="L399" s="10" t="n">
        <x:v>72</x:v>
      </x:c>
      <x:c r="M399" s="10" t="n">
        <x:f>IF(COUNT(L399,K399)=2,L399-K399,"")</x:f>
        <x:v>4</x:v>
      </x:c>
      <x:c r="N399" s="10" t="n">
        <x:v>28</x:v>
      </x:c>
      <x:c r="O399" s="10" t="n">
        <x:v>17</x:v>
      </x:c>
      <x:c r="P399" s="10" t="n">
        <x:f>IF(COUNT(O399,N399)=2,O399-N399,"")</x:f>
        <x:v>-11</x:v>
      </x:c>
      <x:c r="Q399" s="10" t="n">
        <x:v>25</x:v>
      </x:c>
      <x:c r="R399" s="10" t="n">
        <x:v>32</x:v>
      </x:c>
      <x:c r="S399" s="10" t="n">
        <x:f>IF(COUNT(R399,Q399)=2,R399-Q399,"")</x:f>
        <x:v>7</x:v>
      </x:c>
      <x:c r="T399" s="10" t="n">
        <x:v>4</x:v>
      </x:c>
      <x:c r="U399" s="10" t="n">
        <x:v>9</x:v>
      </x:c>
      <x:c r="V399" s="10" t="n">
        <x:f>IF(COUNT(U399,T399)=2,U399-T399,"")</x:f>
        <x:v>5</x:v>
      </x:c>
      <x:c r="W399" s="10" t="n">
        <x:v>16</x:v>
      </x:c>
      <x:c r="X399" s="10" t="n">
        <x:f>IF(COUNT(AV399,AW399)=2,AV399+AW399,"")</x:f>
        <x:v>4</x:v>
      </x:c>
      <x:c r="Y399" s="10" t="n">
        <x:f>IF(COUNT(X399,W399)=2,X399-W399,"")</x:f>
        <x:v>-12</x:v>
      </x:c>
      <x:c r="Z399" s="10" t="n">
        <x:v>1</x:v>
      </x:c>
      <x:c r="AA399" s="10" t="n">
        <x:f>IF(COUNT(AX399,AY399)=2,AX399+AY399,"")</x:f>
        <x:v>1</x:v>
      </x:c>
      <x:c r="AB399" s="10" t="n">
        <x:f>IF(COUNT(AA399,Z399)=2,AA399-Z399,"")</x:f>
        <x:v>0</x:v>
      </x:c>
      <x:c r="AC399" s="10" t="n">
        <x:v>173</x:v>
      </x:c>
      <x:c r="AD399" s="10" t="n">
        <x:v>160</x:v>
      </x:c>
      <x:c r="AE399" s="10" t="n">
        <x:f>IF(COUNT(AD399,AC399)=2,AD399-AC399,"")</x:f>
        <x:v>-13</x:v>
      </x:c>
      <x:c r="AF399" s="10" t="n">
        <x:v>85</x:v>
      </x:c>
      <x:c r="AG399" s="10" t="n">
        <x:v>55</x:v>
      </x:c>
      <x:c r="AH399" s="10" t="n">
        <x:f>IF(COUNT(AG399,AF399)=2,AG399-AF399,"")</x:f>
        <x:v>-30</x:v>
      </x:c>
      <x:c r="AI399" s="10" t="n">
        <x:v>36</x:v>
      </x:c>
      <x:c r="AJ399" s="10" t="n">
        <x:v>27</x:v>
      </x:c>
      <x:c r="AK399" s="10" t="n">
        <x:f>IF(COUNT(AJ399,AI399)=2,AJ399-AI399,"")</x:f>
        <x:v>-9</x:v>
      </x:c>
      <x:c r="AL399" s="10" t="n">
        <x:v>30</x:v>
      </x:c>
      <x:c r="AM399" s="10" t="n">
        <x:v>30</x:v>
      </x:c>
      <x:c r="AN399" s="4" t="str">
        <x:v>LW,RW</x:v>
      </x:c>
      <x:c r="AO399" s="4" t="str">
        <x:v>RW</x:v>
      </x:c>
      <x:c r="AP399" s="4" t="str">
        <x:v>COL</x:v>
      </x:c>
      <x:c r="AQ399" s="4" t="str">
        <x:v>COL</x:v>
      </x:c>
      <x:c r="AR399" s="4" t="n">
        <x:v>19.64</x:v>
      </x:c>
      <x:c r="AS399" s="4" t="n">
        <x:v>17.733333333333334</x:v>
      </x:c>
      <x:c r="AT399" s="4" t="n">
        <x:v>2.99</x:v>
      </x:c>
      <x:c r="AU399" s="4" t="n">
        <x:v>10.6</x:v>
      </x:c>
      <x:c r="AV399" s="10" t="n">
        <x:v>1</x:v>
      </x:c>
      <x:c r="AW399" s="10" t="n">
        <x:v>3</x:v>
      </x:c>
      <x:c r="AX399" s="10" t="n">
        <x:v>1</x:v>
      </x:c>
      <x:c r="AY399" s="10" t="n">
        <x:v>0</x:v>
      </x:c>
      <x:c r="AZ399" s="10" t="n">
        <x:v>1240</x:v>
      </x:c>
      <x:c r="BA399" s="10" t="n">
        <x:v>926</x:v>
      </x:c>
      <x:c r="BB399" s="4" t="n">
        <x:v>57.2</x:v>
      </x:c>
      <x:c r="BC399" s="4" t="n">
        <x:v>1.2</x:v>
      </x:c>
      <x:c r="BD399" s="10" t="n">
        <x:v>893</x:v>
      </x:c>
      <x:c r="BE399" s="10" t="n">
        <x:v>692</x:v>
      </x:c>
      <x:c r="BF399" s="4" t="n">
        <x:v>56.3</x:v>
      </x:c>
      <x:c r="BG399" s="4" t="n">
        <x:v>1</x:v>
      </x:c>
      <x:c r="BH399" s="4" t="n">
        <x:v>10.7</x:v>
      </x:c>
      <x:c r="BI399" s="4" t="n">
        <x:v>89.1</x:v>
      </x:c>
      <x:c r="BJ399" s="4" t="n">
        <x:v>99.8</x:v>
      </x:c>
      <x:c r="BK399" s="4" t="n">
        <x:v>49.8</x:v>
      </x:c>
      <x:c r="BL399" s="4" t="n">
        <x:v>50.2</x:v>
      </x:c>
      <x:c r="BM399" s="4" t="n">
        <x:v>17.733333333333334</x:v>
      </x:c>
      <x:c r="BN399" s="4" t="n">
        <x:v>14.116666666666667</x:v>
      </x:c>
      <x:c r="BO399" s="10" t="n">
        <x:v>23</x:v>
      </x:c>
      <x:c r="BP399" s="10" t="n">
        <x:v>59</x:v>
      </x:c>
      <x:c r="BQ399" s="4" t="n">
        <x:v>15.4</x:v>
      </x:c>
      <x:c r="BR399" s="10" t="n">
        <x:v>321</x:v>
      </x:c>
      <x:c r="BS399" s="4" t="n">
        <x:v>49.8</x:v>
      </x:c>
      <x:c r="BT399" s="10" t="n">
        <x:v>72</x:v>
      </x:c>
      <x:c r="BU399" s="4" t="str">
        <x:v>COL</x:v>
      </x:c>
      <x:c r="BV399" s="10" t="n">
        <x:v>135</x:v>
      </x:c>
      <x:c r="BW399" s="10" t="n">
        <x:v>151</x:v>
      </x:c>
      <x:c r="BX399" s="10" t="n">
        <x:v>738</x:v>
      </x:c>
      <x:c r="BY399" s="4" t="str">
        <x:v>Valeri Nichushkin</x:v>
      </x:c>
      <x:c r="BZ399" s="4" t="str">
        <x:v>Valeri Nichushkin</x:v>
      </x:c>
      <x:c r="CA399" s="4" t="str">
        <x:v>Valeri Nichushkin</x:v>
      </x:c>
      <x:c r="CB399" s="4" t="str">
        <x:v>nichuva01</x:v>
      </x:c>
    </x:row>
    <x:row r="400" ht="22" customHeight="1">
      <x:c r="A400" s="4" t="str">
        <x:v>Vasily Podkolzin</x:v>
      </x:c>
      <x:c r="B400" s="4" t="str">
        <x:v>vasilypodkolzin</x:v>
      </x:c>
      <x:c r="C400" s="10" t="n">
        <x:v>1</x:v>
      </x:c>
      <x:c r="D400" s="10" t="n">
        <x:v>1</x:v>
      </x:c>
      <x:c r="E400" s="10" t="n">
        <x:v>1</x:v>
      </x:c>
      <x:c r="F400" s="4" t="n">
        <x:f>IF(COUNT(N400,Q400,T400,W400,Z400,AC400,AF400,AI400)=8,N400*Guide!$E$5+Q400*Guide!$E$6+T400*Guide!$E$7+W400*Guide!$E$8+Z400*Guide!$E$9+AC400*Guide!$E$10+AF400*Guide!$E$11+AI400*Guide!$E$12,"")</x:f>
        <x:v>191.75</x:v>
      </x:c>
      <x:c r="G400" s="4" t="n">
        <x:f>IF(COUNT(O400,R400,U400,X400,AA400,AD400,AG400,AJ400)=8,O400*Guide!$E$5+R400*Guide!$E$6+U400*Guide!$E$7+X400*Guide!$E$8+AA400*Guide!$E$9+AD400*Guide!$E$10+AG400*Guide!$E$11+AJ400*Guide!$E$12,"")</x:f>
        <x:v>283.25</x:v>
      </x:c>
      <x:c r="H400" s="4" t="n">
        <x:f>IF(COUNT(G400,F400)=2,G400-F400,"")</x:f>
        <x:v>91.5</x:v>
      </x:c>
      <x:c r="I400" s="4" t="n">
        <x:f>IF(AND(ISNUMBER(F400),K400&gt;0),F400/K400,"")</x:f>
        <x:v>2.5912162162162162</x:v>
      </x:c>
      <x:c r="J400" s="4" t="n">
        <x:f>IF(AND(ISNUMBER(G400),L400&gt;0),G400/L400,"")</x:f>
        <x:v>3.4542682926829267</x:v>
      </x:c>
      <x:c r="K400" s="10" t="n">
        <x:v>74</x:v>
      </x:c>
      <x:c r="L400" s="10" t="n">
        <x:v>82</x:v>
      </x:c>
      <x:c r="M400" s="10" t="n">
        <x:f>IF(COUNT(L400,K400)=2,L400-K400,"")</x:f>
        <x:v>8</x:v>
      </x:c>
      <x:c r="N400" s="10" t="n">
        <x:v>10</x:v>
      </x:c>
      <x:c r="O400" s="10" t="n">
        <x:v>19</x:v>
      </x:c>
      <x:c r="P400" s="10" t="n">
        <x:f>IF(COUNT(O400,N400)=2,O400-N400,"")</x:f>
        <x:v>9</x:v>
      </x:c>
      <x:c r="Q400" s="10" t="n">
        <x:v>15</x:v>
      </x:c>
      <x:c r="R400" s="10" t="n">
        <x:v>18</x:v>
      </x:c>
      <x:c r="S400" s="10" t="n">
        <x:f>IF(COUNT(R400,Q400)=2,R400-Q400,"")</x:f>
        <x:v>3</x:v>
      </x:c>
      <x:c r="T400" s="10" t="n">
        <x:v>3</x:v>
      </x:c>
      <x:c r="U400" s="10" t="n">
        <x:v>16</x:v>
      </x:c>
      <x:c r="V400" s="10" t="n">
        <x:f>IF(COUNT(U400,T400)=2,U400-T400,"")</x:f>
        <x:v>13</x:v>
      </x:c>
      <x:c r="W400" s="10" t="n">
        <x:v>2</x:v>
      </x:c>
      <x:c r="X400" s="10" t="n">
        <x:f>IF(COUNT(AV400,AW400)=2,AV400+AW400,"")</x:f>
        <x:v>3</x:v>
      </x:c>
      <x:c r="Y400" s="10" t="n">
        <x:f>IF(COUNT(X400,W400)=2,X400-W400,"")</x:f>
        <x:v>1</x:v>
      </x:c>
      <x:c r="Z400" s="10" t="n">
        <x:v>0</x:v>
      </x:c>
      <x:c r="AA400" s="10" t="n">
        <x:f>IF(COUNT(AX400,AY400)=2,AX400+AY400,"")</x:f>
        <x:v>0</x:v>
      </x:c>
      <x:c r="AB400" s="10" t="n">
        <x:f>IF(COUNT(AA400,Z400)=2,AA400-Z400,"")</x:f>
        <x:v>0</x:v>
      </x:c>
      <x:c r="AC400" s="10" t="n">
        <x:v>99</x:v>
      </x:c>
      <x:c r="AD400" s="10" t="n">
        <x:v>139</x:v>
      </x:c>
      <x:c r="AE400" s="10" t="n">
        <x:f>IF(COUNT(AD400,AC400)=2,AD400-AC400,"")</x:f>
        <x:v>40</x:v>
      </x:c>
      <x:c r="AF400" s="10" t="n">
        <x:v>191</x:v>
      </x:c>
      <x:c r="AG400" s="10" t="n">
        <x:v>242</x:v>
      </x:c>
      <x:c r="AH400" s="10" t="n">
        <x:f>IF(COUNT(AG400,AF400)=2,AG400-AF400,"")</x:f>
        <x:v>51</x:v>
      </x:c>
      <x:c r="AI400" s="10" t="n">
        <x:v>39</x:v>
      </x:c>
      <x:c r="AJ400" s="10" t="n">
        <x:v>52</x:v>
      </x:c>
      <x:c r="AK400" s="10" t="n">
        <x:f>IF(COUNT(AJ400,AI400)=2,AJ400-AI400,"")</x:f>
        <x:v>13</x:v>
      </x:c>
      <x:c r="AL400" s="10" t="n">
        <x:v>24</x:v>
      </x:c>
      <x:c r="AM400" s="10" t="n">
        <x:v>24</x:v>
      </x:c>
      <x:c r="AN400" s="4" t="str">
        <x:v>LW,RW</x:v>
      </x:c>
      <x:c r="AO400" s="4" t="str">
        <x:v>RW</x:v>
      </x:c>
      <x:c r="AP400" s="4" t="str">
        <x:v>EDM</x:v>
      </x:c>
      <x:c r="AQ400" s="4" t="str">
        <x:v>EDM</x:v>
      </x:c>
      <x:c r="AR400" s="4" t="n">
        <x:v>13.370000000000001</x:v>
      </x:c>
      <x:c r="AS400" s="4" t="n">
        <x:v>15.383333333333333</x:v>
      </x:c>
      <x:c r="AT400" s="4" t="n">
        <x:v>0.31</x:v>
      </x:c>
      <x:c r="AU400" s="4" t="n">
        <x:v>13.7</x:v>
      </x:c>
      <x:c r="AV400" s="10" t="n">
        <x:v>1</x:v>
      </x:c>
      <x:c r="AW400" s="10" t="n">
        <x:v>2</x:v>
      </x:c>
      <x:c r="AX400" s="10" t="n">
        <x:v>0</x:v>
      </x:c>
      <x:c r="AY400" s="10" t="n">
        <x:v>0</x:v>
      </x:c>
      <x:c r="AZ400" s="10" t="n">
        <x:v>1147</x:v>
      </x:c>
      <x:c r="BA400" s="10" t="n">
        <x:v>1000</x:v>
      </x:c>
      <x:c r="BB400" s="4" t="n">
        <x:v>53.4</x:v>
      </x:c>
      <x:c r="BC400" s="4" t="n">
        <x:v>4.2</x:v>
      </x:c>
      <x:c r="BD400" s="10" t="n">
        <x:v>849</x:v>
      </x:c>
      <x:c r="BE400" s="10" t="n">
        <x:v>727</x:v>
      </x:c>
      <x:c r="BF400" s="4" t="n">
        <x:v>53.9</x:v>
      </x:c>
      <x:c r="BG400" s="4" t="n">
        <x:v>3.8</x:v>
      </x:c>
      <x:c r="BH400" s="4" t="n">
        <x:v>10.6</x:v>
      </x:c>
      <x:c r="BI400" s="4" t="n">
        <x:v>89.9</x:v>
      </x:c>
      <x:c r="BJ400" s="4" t="n">
        <x:v>100.4</x:v>
      </x:c>
      <x:c r="BK400" s="4" t="n">
        <x:v>59.8</x:v>
      </x:c>
      <x:c r="BL400" s="4" t="n">
        <x:v>40.2</x:v>
      </x:c>
      <x:c r="BM400" s="4" t="n">
        <x:v>15.383333333333333</x:v>
      </x:c>
      <x:c r="BN400" s="4" t="n">
        <x:v>14.283333333333333</x:v>
      </x:c>
      <x:c r="BO400" s="10" t="n">
        <x:v>18</x:v>
      </x:c>
      <x:c r="BP400" s="10" t="n">
        <x:v>52</x:v>
      </x:c>
      <x:c r="BQ400" s="4" t="n">
        <x:v>12</x:v>
      </x:c>
      <x:c r="BR400" s="10" t="n">
        <x:v>224</x:v>
      </x:c>
      <x:c r="BS400" s="4" t="n">
        <x:v>62.1</x:v>
      </x:c>
      <x:c r="BT400" s="10" t="n">
        <x:v>82</x:v>
      </x:c>
      <x:c r="BU400" s="4" t="str">
        <x:v>EDM</x:v>
      </x:c>
      <x:c r="BV400" s="10" t="n">
        <x:v>436</x:v>
      </x:c>
      <x:c r="BW400" s="10" t="n">
        <x:v>236</x:v>
      </x:c>
      <x:c r="BX400" s="10" t="n">
        <x:v>823</x:v>
      </x:c>
      <x:c r="BY400" s="4" t="str">
        <x:v>Vasily Podkolzin</x:v>
      </x:c>
      <x:c r="BZ400" s="4" t="str">
        <x:v>Vasily Podkolzin</x:v>
      </x:c>
      <x:c r="CA400" s="4" t="str">
        <x:v>Vasily Podkolzin</x:v>
      </x:c>
      <x:c r="CB400" s="4" t="str">
        <x:v>podkova01</x:v>
      </x:c>
    </x:row>
    <x:row r="401" ht="22" customHeight="1">
      <x:c r="A401" s="4" t="str">
        <x:v>Victor Olofsson</x:v>
      </x:c>
      <x:c r="B401" s="4" t="str">
        <x:v>victorolofsson</x:v>
      </x:c>
      <x:c r="C401" s="10" t="n">
        <x:v>1</x:v>
      </x:c>
      <x:c r="D401" s="10" t="n">
        <x:v>1</x:v>
      </x:c>
      <x:c r="E401" s="10" t="n">
        <x:v>1</x:v>
      </x:c>
      <x:c r="F401" s="4" t="n">
        <x:f>IF(COUNT(N401,Q401,T401,W401,Z401,AC401,AF401,AI401)=8,N401*Guide!$E$5+Q401*Guide!$E$6+T401*Guide!$E$7+W401*Guide!$E$8+Z401*Guide!$E$9+AC401*Guide!$E$10+AF401*Guide!$E$11+AI401*Guide!$E$12,"")</x:f>
        <x:v>182.5</x:v>
      </x:c>
      <x:c r="G401" s="4" t="n">
        <x:f>IF(COUNT(O401,R401,U401,X401,AA401,AD401,AG401,AJ401)=8,O401*Guide!$E$5+R401*Guide!$E$6+U401*Guide!$E$7+X401*Guide!$E$8+AA401*Guide!$E$9+AD401*Guide!$E$10+AG401*Guide!$E$11+AJ401*Guide!$E$12,"")</x:f>
        <x:v>174.25</x:v>
      </x:c>
      <x:c r="H401" s="4" t="n">
        <x:f>IF(COUNT(G401,F401)=2,G401-F401,"")</x:f>
        <x:v>-8.25</x:v>
      </x:c>
      <x:c r="I401" s="4" t="n">
        <x:f>IF(AND(ISNUMBER(F401),K401&gt;0),F401/K401,"")</x:f>
        <x:v>2.607142857142857</x:v>
      </x:c>
      <x:c r="J401" s="4" t="n">
        <x:f>IF(AND(ISNUMBER(G401),L401&gt;0),G401/L401,"")</x:f>
        <x:v>2.233974358974359</x:v>
      </x:c>
      <x:c r="K401" s="10" t="n">
        <x:v>70</x:v>
      </x:c>
      <x:c r="L401" s="10" t="n">
        <x:v>78</x:v>
      </x:c>
      <x:c r="M401" s="10" t="n">
        <x:f>IF(COUNT(L401,K401)=2,L401-K401,"")</x:f>
        <x:v>8</x:v>
      </x:c>
      <x:c r="N401" s="10" t="n">
        <x:v>16</x:v>
      </x:c>
      <x:c r="O401" s="10" t="n">
        <x:v>13</x:v>
      </x:c>
      <x:c r="P401" s="10" t="n">
        <x:f>IF(COUNT(O401,N401)=2,O401-N401,"")</x:f>
        <x:v>-3</x:v>
      </x:c>
      <x:c r="Q401" s="10" t="n">
        <x:v>17</x:v>
      </x:c>
      <x:c r="R401" s="10" t="n">
        <x:v>18</x:v>
      </x:c>
      <x:c r="S401" s="10" t="n">
        <x:f>IF(COUNT(R401,Q401)=2,R401-Q401,"")</x:f>
        <x:v>1</x:v>
      </x:c>
      <x:c r="T401" s="10" t="n">
        <x:v>6</x:v>
      </x:c>
      <x:c r="U401" s="10" t="n">
        <x:v>5</x:v>
      </x:c>
      <x:c r="V401" s="10" t="n">
        <x:f>IF(COUNT(U401,T401)=2,U401-T401,"")</x:f>
        <x:v>-1</x:v>
      </x:c>
      <x:c r="W401" s="10" t="n">
        <x:v>8</x:v>
      </x:c>
      <x:c r="X401" s="10" t="n">
        <x:f>IF(COUNT(AV401,AW401)=2,AV401+AW401,"")</x:f>
        <x:v>7</x:v>
      </x:c>
      <x:c r="Y401" s="10" t="n">
        <x:f>IF(COUNT(X401,W401)=2,X401-W401,"")</x:f>
        <x:v>-1</x:v>
      </x:c>
      <x:c r="Z401" s="10" t="n">
        <x:v>0</x:v>
      </x:c>
      <x:c r="AA401" s="10" t="n">
        <x:f>IF(COUNT(AX401,AY401)=2,AX401+AY401,"")</x:f>
        <x:v>0</x:v>
      </x:c>
      <x:c r="AB401" s="10" t="n">
        <x:f>IF(COUNT(AA401,Z401)=2,AA401-Z401,"")</x:f>
        <x:v>0</x:v>
      </x:c>
      <x:c r="AC401" s="10" t="n">
        <x:v>120</x:v>
      </x:c>
      <x:c r="AD401" s="10" t="n">
        <x:v>147</x:v>
      </x:c>
      <x:c r="AE401" s="10" t="n">
        <x:f>IF(COUNT(AD401,AC401)=2,AD401-AC401,"")</x:f>
        <x:v>27</x:v>
      </x:c>
      <x:c r="AF401" s="10" t="n">
        <x:v>31</x:v>
      </x:c>
      <x:c r="AG401" s="10" t="n">
        <x:v>18</x:v>
      </x:c>
      <x:c r="AH401" s="10" t="n">
        <x:f>IF(COUNT(AG401,AF401)=2,AG401-AF401,"")</x:f>
        <x:v>-13</x:v>
      </x:c>
      <x:c r="AI401" s="10" t="n">
        <x:v>21</x:v>
      </x:c>
      <x:c r="AJ401" s="10" t="n">
        <x:v>20</x:v>
      </x:c>
      <x:c r="AK401" s="10" t="n">
        <x:f>IF(COUNT(AJ401,AI401)=2,AJ401-AI401,"")</x:f>
        <x:v>-1</x:v>
      </x:c>
      <x:c r="AL401" s="10" t="n">
        <x:v>30</x:v>
      </x:c>
      <x:c r="AM401" s="10" t="n">
        <x:v>30</x:v>
      </x:c>
      <x:c r="AN401" s="4" t="str">
        <x:v>LW,RW</x:v>
      </x:c>
      <x:c r="AO401" s="4" t="str">
        <x:v>RW</x:v>
      </x:c>
      <x:c r="AP401" s="4" t="str">
        <x:v>COL</x:v>
      </x:c>
      <x:c r="AQ401" s="4" t="str">
        <x:v>2TM</x:v>
      </x:c>
      <x:c r="AR401" s="4" t="n">
        <x:v>13.96</x:v>
      </x:c>
      <x:c r="AS401" s="4" t="n">
        <x:v>13.566666666666666</x:v>
      </x:c>
      <x:c r="AT401" s="4" t="n">
        <x:v>1.38</x:v>
      </x:c>
      <x:c r="AU401" s="4" t="n">
        <x:v>8.8</x:v>
      </x:c>
      <x:c r="AV401" s="10" t="n">
        <x:v>2</x:v>
      </x:c>
      <x:c r="AW401" s="10" t="n">
        <x:v>5</x:v>
      </x:c>
      <x:c r="AX401" s="10" t="n">
        <x:v>0</x:v>
      </x:c>
      <x:c r="AY401" s="10" t="n">
        <x:v>0</x:v>
      </x:c>
      <x:c r="AZ401" s="10" t="n">
        <x:v>984</x:v>
      </x:c>
      <x:c r="BA401" s="10" t="n">
        <x:v>806</x:v>
      </x:c>
      <x:c r="BB401" s="4" t="n">
        <x:v>55</x:v>
      </x:c>
      <x:c r="BC401" s="4" t="n">
        <x:v>2.1</x:v>
      </x:c>
      <x:c r="BD401" s="10" t="n">
        <x:v>711</x:v>
      </x:c>
      <x:c r="BE401" s="10" t="n">
        <x:v>587</x:v>
      </x:c>
      <x:c r="BF401" s="4" t="n">
        <x:v>54.8</x:v>
      </x:c>
      <x:c r="BG401" s="4" t="n">
        <x:v>2.4</x:v>
      </x:c>
      <x:c r="BH401" s="4" t="n">
        <x:v>8.2</x:v>
      </x:c>
      <x:c r="BI401" s="4" t="n">
        <x:v>91.6</x:v>
      </x:c>
      <x:c r="BJ401" s="4" t="n">
        <x:v>99.8</x:v>
      </x:c>
      <x:c r="BK401" s="4" t="n">
        <x:v>53.5</x:v>
      </x:c>
      <x:c r="BL401" s="4" t="n">
        <x:v>46.5</x:v>
      </x:c>
      <x:c r="BM401" s="4" t="n">
        <x:v>13.566666666666666</x:v>
      </x:c>
      <x:c r="BN401" s="4" t="n">
        <x:v>11.466666666666667</x:v>
      </x:c>
      <x:c r="BO401" s="10" t="n">
        <x:v>17</x:v>
      </x:c>
      <x:c r="BP401" s="10" t="n">
        <x:v>60</x:v>
      </x:c>
      <x:c r="BQ401" s="4" t="n">
        <x:v>6.3</x:v>
      </x:c>
      <x:c r="BR401" s="10" t="n">
        <x:v>264</x:v>
      </x:c>
      <x:c r="BS401" s="4" t="n">
        <x:v>55.7</x:v>
      </x:c>
      <x:c r="BT401" s="10" t="n">
        <x:v>78</x:v>
      </x:c>
      <x:c r="BU401" s="4" t="str">
        <x:v>TOT</x:v>
      </x:c>
      <x:c r="BV401" s="10" t="n">
        <x:v>334</x:v>
      </x:c>
      <x:c r="BW401" s="10" t="n">
        <x:v>323</x:v>
      </x:c>
      <x:c r="BX401" s="10" t="n">
        <x:v>763</x:v>
      </x:c>
      <x:c r="BY401" s="4" t="str">
        <x:v>Victor Olofsson</x:v>
      </x:c>
      <x:c r="BZ401" s="4" t="str">
        <x:v>Victor Olofsson</x:v>
      </x:c>
      <x:c r="CA401" s="4" t="str">
        <x:v>Victor Olofsson</x:v>
      </x:c>
      <x:c r="CB401" s="4" t="str">
        <x:v>olofsvi01</x:v>
      </x:c>
    </x:row>
    <x:row r="402" ht="22" customHeight="1">
      <x:c r="A402" s="4" t="str">
        <x:v>Viktor Arvidsson</x:v>
      </x:c>
      <x:c r="B402" s="4" t="str">
        <x:v>viktorarvidsson</x:v>
      </x:c>
      <x:c r="C402" s="10" t="n">
        <x:v>1</x:v>
      </x:c>
      <x:c r="D402" s="10" t="n">
        <x:v>1</x:v>
      </x:c>
      <x:c r="E402" s="10" t="n">
        <x:v>1</x:v>
      </x:c>
      <x:c r="F402" s="4" t="n">
        <x:f>IF(COUNT(N402,Q402,T402,W402,Z402,AC402,AF402,AI402)=8,N402*Guide!$E$5+Q402*Guide!$E$6+T402*Guide!$E$7+W402*Guide!$E$8+Z402*Guide!$E$9+AC402*Guide!$E$10+AF402*Guide!$E$11+AI402*Guide!$E$12,"")</x:f>
        <x:v>243.25</x:v>
      </x:c>
      <x:c r="G402" s="4" t="n">
        <x:f>IF(COUNT(O402,R402,U402,X402,AA402,AD402,AG402,AJ402)=8,O402*Guide!$E$5+R402*Guide!$E$6+U402*Guide!$E$7+X402*Guide!$E$8+AA402*Guide!$E$9+AD402*Guide!$E$10+AG402*Guide!$E$11+AJ402*Guide!$E$12,"")</x:f>
        <x:v>292.5</x:v>
      </x:c>
      <x:c r="H402" s="4" t="n">
        <x:f>IF(COUNT(G402,F402)=2,G402-F402,"")</x:f>
        <x:v>49.25</x:v>
      </x:c>
      <x:c r="I402" s="4" t="n">
        <x:f>IF(AND(ISNUMBER(F402),K402&gt;0),F402/K402,"")</x:f>
        <x:v>3.1185897435897436</x:v>
      </x:c>
      <x:c r="J402" s="4" t="n">
        <x:f>IF(AND(ISNUMBER(G402),L402&gt;0),G402/L402,"")</x:f>
        <x:v>4.239130434782608</x:v>
      </x:c>
      <x:c r="K402" s="10" t="n">
        <x:v>78</x:v>
      </x:c>
      <x:c r="L402" s="10" t="n">
        <x:v>69</x:v>
      </x:c>
      <x:c r="M402" s="10" t="n">
        <x:f>IF(COUNT(L402,K402)=2,L402-K402,"")</x:f>
        <x:v>-9</x:v>
      </x:c>
      <x:c r="N402" s="10" t="n">
        <x:v>19</x:v>
      </x:c>
      <x:c r="O402" s="10" t="n">
        <x:v>25</x:v>
      </x:c>
      <x:c r="P402" s="10" t="n">
        <x:f>IF(COUNT(O402,N402)=2,O402-N402,"")</x:f>
        <x:v>6</x:v>
      </x:c>
      <x:c r="Q402" s="10" t="n">
        <x:v>23</x:v>
      </x:c>
      <x:c r="R402" s="10" t="n">
        <x:v>29</x:v>
      </x:c>
      <x:c r="S402" s="10" t="n">
        <x:f>IF(COUNT(R402,Q402)=2,R402-Q402,"")</x:f>
        <x:v>6</x:v>
      </x:c>
      <x:c r="T402" s="10" t="n">
        <x:v>4</x:v>
      </x:c>
      <x:c r="U402" s="10" t="n">
        <x:v>20</x:v>
      </x:c>
      <x:c r="V402" s="10" t="n">
        <x:f>IF(COUNT(U402,T402)=2,U402-T402,"")</x:f>
        <x:v>16</x:v>
      </x:c>
      <x:c r="W402" s="10" t="n">
        <x:v>9</x:v>
      </x:c>
      <x:c r="X402" s="10" t="n">
        <x:f>IF(COUNT(AV402,AW402)=2,AV402+AW402,"")</x:f>
        <x:v>9</x:v>
      </x:c>
      <x:c r="Y402" s="10" t="n">
        <x:f>IF(COUNT(X402,W402)=2,X402-W402,"")</x:f>
        <x:v>0</x:v>
      </x:c>
      <x:c r="Z402" s="10" t="n">
        <x:v>0</x:v>
      </x:c>
      <x:c r="AA402" s="10" t="n">
        <x:f>IF(COUNT(AX402,AY402)=2,AX402+AY402,"")</x:f>
        <x:v>0</x:v>
      </x:c>
      <x:c r="AB402" s="10" t="n">
        <x:f>IF(COUNT(AA402,Z402)=2,AA402-Z402,"")</x:f>
        <x:v>0</x:v>
      </x:c>
      <x:c r="AC402" s="10" t="n">
        <x:v>179</x:v>
      </x:c>
      <x:c r="AD402" s="10" t="n">
        <x:v>174</x:v>
      </x:c>
      <x:c r="AE402" s="10" t="n">
        <x:f>IF(COUNT(AD402,AC402)=2,AD402-AC402,"")</x:f>
        <x:v>-5</x:v>
      </x:c>
      <x:c r="AF402" s="10" t="n">
        <x:v>36</x:v>
      </x:c>
      <x:c r="AG402" s="10" t="n">
        <x:v>24</x:v>
      </x:c>
      <x:c r="AH402" s="10" t="n">
        <x:f>IF(COUNT(AG402,AF402)=2,AG402-AF402,"")</x:f>
        <x:v>-12</x:v>
      </x:c>
      <x:c r="AI402" s="10" t="n">
        <x:v>42</x:v>
      </x:c>
      <x:c r="AJ402" s="10" t="n">
        <x:v>36</x:v>
      </x:c>
      <x:c r="AK402" s="10" t="n">
        <x:f>IF(COUNT(AJ402,AI402)=2,AJ402-AI402,"")</x:f>
        <x:v>-6</x:v>
      </x:c>
      <x:c r="AL402" s="10" t="n">
        <x:v>32</x:v>
      </x:c>
      <x:c r="AM402" s="10" t="n">
        <x:v>32</x:v>
      </x:c>
      <x:c r="AN402" s="4" t="str">
        <x:v>LW,RW</x:v>
      </x:c>
      <x:c r="AO402" s="4" t="str">
        <x:v>LW</x:v>
      </x:c>
      <x:c r="AP402" s="4" t="str">
        <x:v>BOS</x:v>
      </x:c>
      <x:c r="AQ402" s="4" t="str">
        <x:v>BOS</x:v>
      </x:c>
      <x:c r="AR402" s="4" t="n">
        <x:v>15.049999999999999</x:v>
      </x:c>
      <x:c r="AS402" s="4" t="n">
        <x:v>14.6</x:v>
      </x:c>
      <x:c r="AT402" s="4" t="n">
        <x:v>1.35</x:v>
      </x:c>
      <x:c r="AU402" s="4" t="n">
        <x:v>14.4</x:v>
      </x:c>
      <x:c r="AV402" s="10" t="n">
        <x:v>4</x:v>
      </x:c>
      <x:c r="AW402" s="10" t="n">
        <x:v>5</x:v>
      </x:c>
      <x:c r="AX402" s="10" t="n">
        <x:v>0</x:v>
      </x:c>
      <x:c r="AY402" s="10" t="n">
        <x:v>0</x:v>
      </x:c>
      <x:c r="AZ402" s="10" t="n">
        <x:v>846</x:v>
      </x:c>
      <x:c r="BA402" s="10" t="n">
        <x:v>881</x:v>
      </x:c>
      <x:c r="BB402" s="4" t="n">
        <x:v>49</x:v>
      </x:c>
      <x:c r="BC402" s="4" t="n">
        <x:v>0.6</x:v>
      </x:c>
      <x:c r="BD402" s="10" t="n">
        <x:v>627</x:v>
      </x:c>
      <x:c r="BE402" s="10" t="n">
        <x:v>626</x:v>
      </x:c>
      <x:c r="BF402" s="4" t="n">
        <x:v>50</x:v>
      </x:c>
      <x:c r="BG402" s="4" t="n">
        <x:v>1.7</x:v>
      </x:c>
      <x:c r="BH402" s="4" t="n">
        <x:v>14.7</x:v>
      </x:c>
      <x:c r="BI402" s="4" t="n">
        <x:v>91.7</x:v>
      </x:c>
      <x:c r="BJ402" s="4" t="n">
        <x:v>106.4</x:v>
      </x:c>
      <x:c r="BK402" s="4" t="n">
        <x:v>43.9</x:v>
      </x:c>
      <x:c r="BL402" s="4" t="n">
        <x:v>56.1</x:v>
      </x:c>
      <x:c r="BM402" s="4" t="n">
        <x:v>14.6</x:v>
      </x:c>
      <x:c r="BN402" s="4" t="n">
        <x:v>12.616666666666667</x:v>
      </x:c>
      <x:c r="BO402" s="10" t="n">
        <x:v>15</x:v>
      </x:c>
      <x:c r="BP402" s="10" t="n">
        <x:v>58</x:v>
      </x:c>
      <x:c r="BQ402" s="4" t="n">
        <x:v>-4.4</x:v>
      </x:c>
      <x:c r="BR402" s="10" t="n">
        <x:v>358</x:v>
      </x:c>
      <x:c r="BS402" s="4" t="n">
        <x:v>48.6</x:v>
      </x:c>
      <x:c r="BT402" s="10" t="n">
        <x:v>69</x:v>
      </x:c>
      <x:c r="BU402" s="4" t="str">
        <x:v>BOS</x:v>
      </x:c>
      <x:c r="BV402" s="10" t="n">
        <x:v>224</x:v>
      </x:c>
      <x:c r="BW402" s="10" t="n">
        <x:v>116</x:v>
      </x:c>
      <x:c r="BX402" s="10" t="n">
        <x:v>19</x:v>
      </x:c>
      <x:c r="BY402" s="4" t="str">
        <x:v>Viktor Arvidsson</x:v>
      </x:c>
      <x:c r="BZ402" s="4" t="str">
        <x:v>Viktor Arvidsson</x:v>
      </x:c>
      <x:c r="CA402" s="4" t="str">
        <x:v>Viktor Arvidsson</x:v>
      </x:c>
      <x:c r="CB402" s="4" t="str">
        <x:v>arvidvi01</x:v>
      </x:c>
    </x:row>
    <x:row r="403" ht="22" customHeight="1">
      <x:c r="A403" s="4" t="str">
        <x:v>Vince Dunn</x:v>
      </x:c>
      <x:c r="B403" s="4" t="str">
        <x:v>vincedunn</x:v>
      </x:c>
      <x:c r="C403" s="10" t="n">
        <x:v>1</x:v>
      </x:c>
      <x:c r="D403" s="10" t="n">
        <x:v>1</x:v>
      </x:c>
      <x:c r="E403" s="10" t="n">
        <x:v>1</x:v>
      </x:c>
      <x:c r="F403" s="4" t="n">
        <x:f>IF(COUNT(N403,Q403,T403,W403,Z403,AC403,AF403,AI403)=8,N403*Guide!$E$5+Q403*Guide!$E$6+T403*Guide!$E$7+W403*Guide!$E$8+Z403*Guide!$E$9+AC403*Guide!$E$10+AF403*Guide!$E$11+AI403*Guide!$E$12,"")</x:f>
        <x:v>296.5</x:v>
      </x:c>
      <x:c r="G403" s="4" t="n">
        <x:f>IF(COUNT(O403,R403,U403,X403,AA403,AD403,AG403,AJ403)=8,O403*Guide!$E$5+R403*Guide!$E$6+U403*Guide!$E$7+X403*Guide!$E$8+AA403*Guide!$E$9+AD403*Guide!$E$10+AG403*Guide!$E$11+AJ403*Guide!$E$12,"")</x:f>
        <x:v>256</x:v>
      </x:c>
      <x:c r="H403" s="4" t="n">
        <x:f>IF(COUNT(G403,F403)=2,G403-F403,"")</x:f>
        <x:v>-40.5</x:v>
      </x:c>
      <x:c r="I403" s="4" t="n">
        <x:f>IF(AND(ISNUMBER(F403),K403&gt;0),F403/K403,"")</x:f>
        <x:v>3.801282051282051</x:v>
      </x:c>
      <x:c r="J403" s="4" t="n">
        <x:f>IF(AND(ISNUMBER(G403),L403&gt;0),G403/L403,"")</x:f>
        <x:v>3.1604938271604937</x:v>
      </x:c>
      <x:c r="K403" s="10" t="n">
        <x:v>78</x:v>
      </x:c>
      <x:c r="L403" s="10" t="n">
        <x:v>81</x:v>
      </x:c>
      <x:c r="M403" s="10" t="n">
        <x:f>IF(COUNT(L403,K403)=2,L403-K403,"")</x:f>
        <x:v>3</x:v>
      </x:c>
      <x:c r="N403" s="10" t="n">
        <x:v>12</x:v>
      </x:c>
      <x:c r="O403" s="10" t="n">
        <x:v>11</x:v>
      </x:c>
      <x:c r="P403" s="10" t="n">
        <x:f>IF(COUNT(O403,N403)=2,O403-N403,"")</x:f>
        <x:v>-1</x:v>
      </x:c>
      <x:c r="Q403" s="10" t="n">
        <x:v>41</x:v>
      </x:c>
      <x:c r="R403" s="10" t="n">
        <x:v>33</x:v>
      </x:c>
      <x:c r="S403" s="10" t="n">
        <x:f>IF(COUNT(R403,Q403)=2,R403-Q403,"")</x:f>
        <x:v>-8</x:v>
      </x:c>
      <x:c r="T403" s="10" t="n">
        <x:v>-8</x:v>
      </x:c>
      <x:c r="U403" s="10" t="n">
        <x:v>-24</x:v>
      </x:c>
      <x:c r="V403" s="10" t="n">
        <x:f>IF(COUNT(U403,T403)=2,U403-T403,"")</x:f>
        <x:v>-16</x:v>
      </x:c>
      <x:c r="W403" s="10" t="n">
        <x:v>18</x:v>
      </x:c>
      <x:c r="X403" s="10" t="n">
        <x:f>IF(COUNT(AV403,AW403)=2,AV403+AW403,"")</x:f>
        <x:v>21</x:v>
      </x:c>
      <x:c r="Y403" s="10" t="n">
        <x:f>IF(COUNT(X403,W403)=2,X403-W403,"")</x:f>
        <x:v>3</x:v>
      </x:c>
      <x:c r="Z403" s="10" t="n">
        <x:v>0</x:v>
      </x:c>
      <x:c r="AA403" s="10" t="n">
        <x:f>IF(COUNT(AX403,AY403)=2,AX403+AY403,"")</x:f>
        <x:v>0</x:v>
      </x:c>
      <x:c r="AB403" s="10" t="n">
        <x:f>IF(COUNT(AA403,Z403)=2,AA403-Z403,"")</x:f>
        <x:v>0</x:v>
      </x:c>
      <x:c r="AC403" s="10" t="n">
        <x:v>150</x:v>
      </x:c>
      <x:c r="AD403" s="10" t="n">
        <x:v>179</x:v>
      </x:c>
      <x:c r="AE403" s="10" t="n">
        <x:f>IF(COUNT(AD403,AC403)=2,AD403-AC403,"")</x:f>
        <x:v>29</x:v>
      </x:c>
      <x:c r="AF403" s="10" t="n">
        <x:v>42</x:v>
      </x:c>
      <x:c r="AG403" s="10" t="n">
        <x:v>27</x:v>
      </x:c>
      <x:c r="AH403" s="10" t="n">
        <x:f>IF(COUNT(AG403,AF403)=2,AG403-AF403,"")</x:f>
        <x:v>-15</x:v>
      </x:c>
      <x:c r="AI403" s="10" t="n">
        <x:v>90</x:v>
      </x:c>
      <x:c r="AJ403" s="10" t="n">
        <x:v>86</x:v>
      </x:c>
      <x:c r="AK403" s="10" t="n">
        <x:f>IF(COUNT(AJ403,AI403)=2,AJ403-AI403,"")</x:f>
        <x:v>-4</x:v>
      </x:c>
      <x:c r="AL403" s="10" t="n">
        <x:v>29</x:v>
      </x:c>
      <x:c r="AM403" s="10" t="n">
        <x:v>29</x:v>
      </x:c>
      <x:c r="AN403" s="4" t="str">
        <x:v>D</x:v>
      </x:c>
      <x:c r="AO403" s="4" t="str">
        <x:v>D</x:v>
      </x:c>
      <x:c r="AP403" s="4" t="str">
        <x:v>SEA</x:v>
      </x:c>
      <x:c r="AQ403" s="4" t="str">
        <x:v>SEA</x:v>
      </x:c>
      <x:c r="AR403" s="4" t="n">
        <x:v>22.27</x:v>
      </x:c>
      <x:c r="AS403" s="4" t="n">
        <x:v>21.666666666666668</x:v>
      </x:c>
      <x:c r="AT403" s="4" t="n">
        <x:v>2.51</x:v>
      </x:c>
      <x:c r="AU403" s="4" t="n">
        <x:v>6.1</x:v>
      </x:c>
      <x:c r="AV403" s="10" t="n">
        <x:v>2</x:v>
      </x:c>
      <x:c r="AW403" s="10" t="n">
        <x:v>19</x:v>
      </x:c>
      <x:c r="AX403" s="10" t="n">
        <x:v>0</x:v>
      </x:c>
      <x:c r="AY403" s="10" t="n">
        <x:v>0</x:v>
      </x:c>
      <x:c r="AZ403" s="10" t="n">
        <x:v>1410</x:v>
      </x:c>
      <x:c r="BA403" s="10" t="n">
        <x:v>1635</x:v>
      </x:c>
      <x:c r="BB403" s="4" t="n">
        <x:v>46.3</x:v>
      </x:c>
      <x:c r="BC403" s="4" t="n">
        <x:v>1.1</x:v>
      </x:c>
      <x:c r="BD403" s="10" t="n">
        <x:v>1019</x:v>
      </x:c>
      <x:c r="BE403" s="10" t="n">
        <x:v>1184</x:v>
      </x:c>
      <x:c r="BF403" s="4" t="n">
        <x:v>46.3</x:v>
      </x:c>
      <x:c r="BG403" s="4" t="n">
        <x:v>0.6</x:v>
      </x:c>
      <x:c r="BH403" s="4" t="n">
        <x:v>9.5</x:v>
      </x:c>
      <x:c r="BI403" s="4" t="n">
        <x:v>88.8</x:v>
      </x:c>
      <x:c r="BJ403" s="4" t="n">
        <x:v>98.3</x:v>
      </x:c>
      <x:c r="BK403" s="4" t="n">
        <x:v>50.1</x:v>
      </x:c>
      <x:c r="BL403" s="4" t="n">
        <x:v>49.9</x:v>
      </x:c>
      <x:c r="BM403" s="4" t="n">
        <x:v>21.666666666666668</x:v>
      </x:c>
      <x:c r="BN403" s="4" t="n">
        <x:v>18.833333333333332</x:v>
      </x:c>
      <x:c r="BO403" s="10" t="n">
        <x:v>29</x:v>
      </x:c>
      <x:c r="BP403" s="10" t="n">
        <x:v>88</x:v>
      </x:c>
      <x:c r="BQ403" s="4" t="n">
        <x:v>-7.5</x:v>
      </x:c>
      <x:c r="BR403" s="10" t="n">
        <x:v>380</x:v>
      </x:c>
      <x:c r="BS403" s="4" t="n">
        <x:v>47.1</x:v>
      </x:c>
      <x:c r="BT403" s="10" t="n">
        <x:v>81</x:v>
      </x:c>
      <x:c r="BU403" s="4" t="str">
        <x:v>SEA</x:v>
      </x:c>
      <x:c r="BV403" s="10" t="n">
        <x:v>131</x:v>
      </x:c>
      <x:c r="BW403" s="10" t="n">
        <x:v>182</x:v>
      </x:c>
      <x:c r="BX403" s="10" t="n">
        <x:v>250</x:v>
      </x:c>
      <x:c r="BY403" s="4" t="str">
        <x:v>Vince Dunn</x:v>
      </x:c>
      <x:c r="BZ403" s="4" t="str">
        <x:v>Vince Dunn</x:v>
      </x:c>
      <x:c r="CA403" s="4" t="str">
        <x:v>Vince Dunn</x:v>
      </x:c>
      <x:c r="CB403" s="4" t="str">
        <x:v>dunnvi02</x:v>
      </x:c>
    </x:row>
    <x:row r="404" ht="22" customHeight="1">
      <x:c r="A404" s="4" t="str">
        <x:v>Vincent Trocheck</x:v>
      </x:c>
      <x:c r="B404" s="4" t="str">
        <x:v>vincenttrocheck</x:v>
      </x:c>
      <x:c r="C404" s="10" t="n">
        <x:v>1</x:v>
      </x:c>
      <x:c r="D404" s="10" t="n">
        <x:v>1</x:v>
      </x:c>
      <x:c r="E404" s="10" t="n">
        <x:v>1</x:v>
      </x:c>
      <x:c r="F404" s="4" t="n">
        <x:f>IF(COUNT(N404,Q404,T404,W404,Z404,AC404,AF404,AI404)=8,N404*Guide!$E$5+Q404*Guide!$E$6+T404*Guide!$E$7+W404*Guide!$E$8+Z404*Guide!$E$9+AC404*Guide!$E$10+AF404*Guide!$E$11+AI404*Guide!$E$12,"")</x:f>
        <x:v>387.5</x:v>
      </x:c>
      <x:c r="G404" s="4" t="n">
        <x:f>IF(COUNT(O404,R404,U404,X404,AA404,AD404,AG404,AJ404)=8,O404*Guide!$E$5+R404*Guide!$E$6+U404*Guide!$E$7+X404*Guide!$E$8+AA404*Guide!$E$9+AD404*Guide!$E$10+AG404*Guide!$E$11+AJ404*Guide!$E$12,"")</x:f>
        <x:v>294.5</x:v>
      </x:c>
      <x:c r="H404" s="4" t="n">
        <x:f>IF(COUNT(G404,F404)=2,G404-F404,"")</x:f>
        <x:v>-93</x:v>
      </x:c>
      <x:c r="I404" s="4" t="n">
        <x:f>IF(AND(ISNUMBER(F404),K404&gt;0),F404/K404,"")</x:f>
        <x:v>4.725609756097561</x:v>
      </x:c>
      <x:c r="J404" s="4" t="n">
        <x:f>IF(AND(ISNUMBER(G404),L404&gt;0),G404/L404,"")</x:f>
        <x:v>4.395522388059701</x:v>
      </x:c>
      <x:c r="K404" s="10" t="n">
        <x:v>82</x:v>
      </x:c>
      <x:c r="L404" s="10" t="n">
        <x:v>67</x:v>
      </x:c>
      <x:c r="M404" s="10" t="n">
        <x:f>IF(COUNT(L404,K404)=2,L404-K404,"")</x:f>
        <x:v>-15</x:v>
      </x:c>
      <x:c r="N404" s="10" t="n">
        <x:v>24</x:v>
      </x:c>
      <x:c r="O404" s="10" t="n">
        <x:v>16</x:v>
      </x:c>
      <x:c r="P404" s="10" t="n">
        <x:f>IF(COUNT(O404,N404)=2,O404-N404,"")</x:f>
        <x:v>-8</x:v>
      </x:c>
      <x:c r="Q404" s="10" t="n">
        <x:v>39</x:v>
      </x:c>
      <x:c r="R404" s="10" t="n">
        <x:v>37</x:v>
      </x:c>
      <x:c r="S404" s="10" t="n">
        <x:f>IF(COUNT(R404,Q404)=2,R404-Q404,"")</x:f>
        <x:v>-2</x:v>
      </x:c>
      <x:c r="T404" s="10" t="n">
        <x:v>-4</x:v>
      </x:c>
      <x:c r="U404" s="10" t="n">
        <x:v>-16</x:v>
      </x:c>
      <x:c r="V404" s="10" t="n">
        <x:f>IF(COUNT(U404,T404)=2,U404-T404,"")</x:f>
        <x:v>-12</x:v>
      </x:c>
      <x:c r="W404" s="10" t="n">
        <x:v>16</x:v>
      </x:c>
      <x:c r="X404" s="10" t="n">
        <x:f>IF(COUNT(AV404,AW404)=2,AV404+AW404,"")</x:f>
        <x:v>16</x:v>
      </x:c>
      <x:c r="Y404" s="10" t="n">
        <x:f>IF(COUNT(X404,W404)=2,X404-W404,"")</x:f>
        <x:v>0</x:v>
      </x:c>
      <x:c r="Z404" s="10" t="n">
        <x:v>3</x:v>
      </x:c>
      <x:c r="AA404" s="10" t="n">
        <x:f>IF(COUNT(AX404,AY404)=2,AX404+AY404,"")</x:f>
        <x:v>2</x:v>
      </x:c>
      <x:c r="AB404" s="10" t="n">
        <x:f>IF(COUNT(AA404,Z404)=2,AA404-Z404,"")</x:f>
        <x:v>-1</x:v>
      </x:c>
      <x:c r="AC404" s="10" t="n">
        <x:v>190</x:v>
      </x:c>
      <x:c r="AD404" s="10" t="n">
        <x:v>114</x:v>
      </x:c>
      <x:c r="AE404" s="10" t="n">
        <x:f>IF(COUNT(AD404,AC404)=2,AD404-AC404,"")</x:f>
        <x:v>-76</x:v>
      </x:c>
      <x:c r="AF404" s="10" t="n">
        <x:v>196</x:v>
      </x:c>
      <x:c r="AG404" s="10" t="n">
        <x:v>193</x:v>
      </x:c>
      <x:c r="AH404" s="10" t="n">
        <x:f>IF(COUNT(AG404,AF404)=2,AG404-AF404,"")</x:f>
        <x:v>-3</x:v>
      </x:c>
      <x:c r="AI404" s="10" t="n">
        <x:v>76</x:v>
      </x:c>
      <x:c r="AJ404" s="10" t="n">
        <x:v>49</x:v>
      </x:c>
      <x:c r="AK404" s="10" t="n">
        <x:f>IF(COUNT(AJ404,AI404)=2,AJ404-AI404,"")</x:f>
        <x:v>-27</x:v>
      </x:c>
      <x:c r="AL404" s="10" t="n">
        <x:v>32</x:v>
      </x:c>
      <x:c r="AM404" s="10" t="n">
        <x:v>32</x:v>
      </x:c>
      <x:c r="AN404" s="4" t="str">
        <x:v>C</x:v>
      </x:c>
      <x:c r="AO404" s="4" t="str">
        <x:v>C</x:v>
      </x:c>
      <x:c r="AP404" s="4" t="str">
        <x:v>NYR</x:v>
      </x:c>
      <x:c r="AQ404" s="4" t="str">
        <x:v>NYR</x:v>
      </x:c>
      <x:c r="AR404" s="4" t="n">
        <x:v>20.49</x:v>
      </x:c>
      <x:c r="AS404" s="4" t="n">
        <x:v>20.55</x:v>
      </x:c>
      <x:c r="AT404" s="4" t="n">
        <x:v>2.7</x:v>
      </x:c>
      <x:c r="AU404" s="4" t="n">
        <x:v>14</x:v>
      </x:c>
      <x:c r="AV404" s="10" t="n">
        <x:v>2</x:v>
      </x:c>
      <x:c r="AW404" s="10" t="n">
        <x:v>14</x:v>
      </x:c>
      <x:c r="AX404" s="10" t="n">
        <x:v>2</x:v>
      </x:c>
      <x:c r="AY404" s="10" t="n">
        <x:v>0</x:v>
      </x:c>
      <x:c r="AZ404" s="10" t="n">
        <x:v>1019</x:v>
      </x:c>
      <x:c r="BA404" s="10" t="n">
        <x:v>995</x:v>
      </x:c>
      <x:c r="BB404" s="4" t="n">
        <x:v>50.6</x:v>
      </x:c>
      <x:c r="BC404" s="4" t="n">
        <x:v>3.4</x:v>
      </x:c>
      <x:c r="BD404" s="10" t="n">
        <x:v>692</x:v>
      </x:c>
      <x:c r="BE404" s="10" t="n">
        <x:v>747</x:v>
      </x:c>
      <x:c r="BF404" s="4" t="n">
        <x:v>48.1</x:v>
      </x:c>
      <x:c r="BG404" s="4" t="n">
        <x:v>1.1</x:v>
      </x:c>
      <x:c r="BH404" s="4" t="n">
        <x:v>13</x:v>
      </x:c>
      <x:c r="BI404" s="4" t="n">
        <x:v>86.4</x:v>
      </x:c>
      <x:c r="BJ404" s="4" t="n">
        <x:v>99.5</x:v>
      </x:c>
      <x:c r="BK404" s="4" t="n">
        <x:v>52</x:v>
      </x:c>
      <x:c r="BL404" s="4" t="n">
        <x:v>48</x:v>
      </x:c>
      <x:c r="BM404" s="4" t="n">
        <x:v>20.55</x:v>
      </x:c>
      <x:c r="BN404" s="4" t="n">
        <x:v>15.483333333333333</x:v>
      </x:c>
      <x:c r="BO404" s="10" t="n">
        <x:v>27</x:v>
      </x:c>
      <x:c r="BP404" s="10" t="n">
        <x:v>80</x:v>
      </x:c>
      <x:c r="BQ404" s="4" t="n">
        <x:v>-7.4</x:v>
      </x:c>
      <x:c r="BR404" s="10" t="n">
        <x:v>256</x:v>
      </x:c>
      <x:c r="BS404" s="4" t="n">
        <x:v>44.5</x:v>
      </x:c>
      <x:c r="BT404" s="10" t="n">
        <x:v>67</x:v>
      </x:c>
      <x:c r="BU404" s="4" t="str">
        <x:v>NYR</x:v>
      </x:c>
      <x:c r="BV404" s="10" t="n">
        <x:v>78</x:v>
      </x:c>
      <x:c r="BW404" s="10" t="n">
        <x:v>126</x:v>
      </x:c>
      <x:c r="BX404" s="10" t="n">
        <x:v>1030</x:v>
      </x:c>
      <x:c r="BY404" s="4" t="str">
        <x:v>Vincent Trocheck</x:v>
      </x:c>
      <x:c r="BZ404" s="4" t="str">
        <x:v>Vincent Trocheck</x:v>
      </x:c>
      <x:c r="CA404" s="4" t="str">
        <x:v>Vincent Trocheck</x:v>
      </x:c>
      <x:c r="CB404" s="4" t="str">
        <x:v>trochvi01</x:v>
      </x:c>
    </x:row>
    <x:row r="405" ht="22" customHeight="1">
      <x:c r="A405" s="4" t="str">
        <x:v>Vladimir Tarasenko</x:v>
      </x:c>
      <x:c r="B405" s="4" t="str">
        <x:v>vladimirtarasenko</x:v>
      </x:c>
      <x:c r="C405" s="10" t="n">
        <x:v>1</x:v>
      </x:c>
      <x:c r="D405" s="10" t="n">
        <x:v>1</x:v>
      </x:c>
      <x:c r="E405" s="10" t="n">
        <x:v>1</x:v>
      </x:c>
      <x:c r="F405" s="4" t="n">
        <x:f>IF(COUNT(N405,Q405,T405,W405,Z405,AC405,AF405,AI405)=8,N405*Guide!$E$5+Q405*Guide!$E$6+T405*Guide!$E$7+W405*Guide!$E$8+Z405*Guide!$E$9+AC405*Guide!$E$10+AF405*Guide!$E$11+AI405*Guide!$E$12,"")</x:f>
        <x:v>227</x:v>
      </x:c>
      <x:c r="G405" s="4" t="n">
        <x:f>IF(COUNT(O405,R405,U405,X405,AA405,AD405,AG405,AJ405)=8,O405*Guide!$E$5+R405*Guide!$E$6+U405*Guide!$E$7+X405*Guide!$E$8+AA405*Guide!$E$9+AD405*Guide!$E$10+AG405*Guide!$E$11+AJ405*Guide!$E$12,"")</x:f>
        <x:v>242.75</x:v>
      </x:c>
      <x:c r="H405" s="4" t="n">
        <x:f>IF(COUNT(G405,F405)=2,G405-F405,"")</x:f>
        <x:v>15.75</x:v>
      </x:c>
      <x:c r="I405" s="4" t="n">
        <x:f>IF(AND(ISNUMBER(F405),K405&gt;0),F405/K405,"")</x:f>
        <x:v>2.8375</x:v>
      </x:c>
      <x:c r="J405" s="4" t="n">
        <x:f>IF(AND(ISNUMBER(G405),L405&gt;0),G405/L405,"")</x:f>
        <x:v>3.236666666666667</x:v>
      </x:c>
      <x:c r="K405" s="10" t="n">
        <x:v>80</x:v>
      </x:c>
      <x:c r="L405" s="10" t="n">
        <x:v>75</x:v>
      </x:c>
      <x:c r="M405" s="10" t="n">
        <x:f>IF(COUNT(L405,K405)=2,L405-K405,"")</x:f>
        <x:v>-5</x:v>
      </x:c>
      <x:c r="N405" s="10" t="n">
        <x:v>16</x:v>
      </x:c>
      <x:c r="O405" s="10" t="n">
        <x:v>23</x:v>
      </x:c>
      <x:c r="P405" s="10" t="n">
        <x:f>IF(COUNT(O405,N405)=2,O405-N405,"")</x:f>
        <x:v>7</x:v>
      </x:c>
      <x:c r="Q405" s="10" t="n">
        <x:v>27</x:v>
      </x:c>
      <x:c r="R405" s="10" t="n">
        <x:v>24</x:v>
      </x:c>
      <x:c r="S405" s="10" t="n">
        <x:f>IF(COUNT(R405,Q405)=2,R405-Q405,"")</x:f>
        <x:v>-3</x:v>
      </x:c>
      <x:c r="T405" s="10" t="n">
        <x:v>-5</x:v>
      </x:c>
      <x:c r="U405" s="10" t="n">
        <x:v>-11</x:v>
      </x:c>
      <x:c r="V405" s="10" t="n">
        <x:f>IF(COUNT(U405,T405)=2,U405-T405,"")</x:f>
        <x:v>-6</x:v>
      </x:c>
      <x:c r="W405" s="10" t="n">
        <x:v>9</x:v>
      </x:c>
      <x:c r="X405" s="10" t="n">
        <x:f>IF(COUNT(AV405,AW405)=2,AV405+AW405,"")</x:f>
        <x:v>13</x:v>
      </x:c>
      <x:c r="Y405" s="10" t="n">
        <x:f>IF(COUNT(X405,W405)=2,X405-W405,"")</x:f>
        <x:v>4</x:v>
      </x:c>
      <x:c r="Z405" s="10" t="n">
        <x:v>0</x:v>
      </x:c>
      <x:c r="AA405" s="10" t="n">
        <x:f>IF(COUNT(AX405,AY405)=2,AX405+AY405,"")</x:f>
        <x:v>0</x:v>
      </x:c>
      <x:c r="AB405" s="10" t="n">
        <x:f>IF(COUNT(AA405,Z405)=2,AA405-Z405,"")</x:f>
        <x:v>0</x:v>
      </x:c>
      <x:c r="AC405" s="10" t="n">
        <x:v>130</x:v>
      </x:c>
      <x:c r="AD405" s="10" t="n">
        <x:v>148</x:v>
      </x:c>
      <x:c r="AE405" s="10" t="n">
        <x:f>IF(COUNT(AD405,AC405)=2,AD405-AC405,"")</x:f>
        <x:v>18</x:v>
      </x:c>
      <x:c r="AF405" s="10" t="n">
        <x:v>68</x:v>
      </x:c>
      <x:c r="AG405" s="10" t="n">
        <x:v>60</x:v>
      </x:c>
      <x:c r="AH405" s="10" t="n">
        <x:f>IF(COUNT(AG405,AF405)=2,AG405-AF405,"")</x:f>
        <x:v>-8</x:v>
      </x:c>
      <x:c r="AI405" s="10" t="n">
        <x:v>38</x:v>
      </x:c>
      <x:c r="AJ405" s="10" t="n">
        <x:v>33</x:v>
      </x:c>
      <x:c r="AK405" s="10" t="n">
        <x:f>IF(COUNT(AJ405,AI405)=2,AJ405-AI405,"")</x:f>
        <x:v>-5</x:v>
      </x:c>
      <x:c r="AL405" s="10" t="n">
        <x:v>34</x:v>
      </x:c>
      <x:c r="AM405" s="10" t="n">
        <x:v>34</x:v>
      </x:c>
      <x:c r="AN405" s="4" t="str">
        <x:v>LW,RW</x:v>
      </x:c>
      <x:c r="AO405" s="4" t="str">
        <x:v>RW</x:v>
      </x:c>
      <x:c r="AP405" s="4" t="str">
        <x:v>MIN</x:v>
      </x:c>
      <x:c r="AQ405" s="4" t="str">
        <x:v>MIN</x:v>
      </x:c>
      <x:c r="AR405" s="4" t="n">
        <x:v>14.67</x:v>
      </x:c>
      <x:c r="AS405" s="4" t="n">
        <x:v>14.933333333333334</x:v>
      </x:c>
      <x:c r="AT405" s="4" t="n">
        <x:v>1.54</x:v>
      </x:c>
      <x:c r="AU405" s="4" t="n">
        <x:v>15.5</x:v>
      </x:c>
      <x:c r="AV405" s="10" t="n">
        <x:v>5</x:v>
      </x:c>
      <x:c r="AW405" s="10" t="n">
        <x:v>8</x:v>
      </x:c>
      <x:c r="AX405" s="10" t="n">
        <x:v>0</x:v>
      </x:c>
      <x:c r="AY405" s="10" t="n">
        <x:v>0</x:v>
      </x:c>
      <x:c r="AZ405" s="10" t="n">
        <x:v>872</x:v>
      </x:c>
      <x:c r="BA405" s="10" t="n">
        <x:v>1055</x:v>
      </x:c>
      <x:c r="BB405" s="4" t="n">
        <x:v>45.3</x:v>
      </x:c>
      <x:c r="BC405" s="4" t="n">
        <x:v>-4.8</x:v>
      </x:c>
      <x:c r="BD405" s="10" t="n">
        <x:v>633</x:v>
      </x:c>
      <x:c r="BE405" s="10" t="n">
        <x:v>726</x:v>
      </x:c>
      <x:c r="BF405" s="4" t="n">
        <x:v>46.6</x:v>
      </x:c>
      <x:c r="BG405" s="4" t="n">
        <x:v>-4.2</x:v>
      </x:c>
      <x:c r="BH405" s="4" t="n">
        <x:v>9.7</x:v>
      </x:c>
      <x:c r="BI405" s="4" t="n">
        <x:v>90.1</x:v>
      </x:c>
      <x:c r="BJ405" s="4" t="n">
        <x:v>99.7</x:v>
      </x:c>
      <x:c r="BK405" s="4" t="n">
        <x:v>47.5</x:v>
      </x:c>
      <x:c r="BL405" s="4" t="n">
        <x:v>52.5</x:v>
      </x:c>
      <x:c r="BM405" s="4" t="n">
        <x:v>14.933333333333334</x:v>
      </x:c>
      <x:c r="BN405" s="4" t="n">
        <x:v>12.65</x:v>
      </x:c>
      <x:c r="BO405" s="10" t="n">
        <x:v>12</x:v>
      </x:c>
      <x:c r="BP405" s="10" t="n">
        <x:v>65</x:v>
      </x:c>
      <x:c r="BQ405" s="4" t="n">
        <x:v>-3.4</x:v>
      </x:c>
      <x:c r="BR405" s="10" t="n">
        <x:v>278</x:v>
      </x:c>
      <x:c r="BS405" s="4" t="n">
        <x:v>53.2</x:v>
      </x:c>
      <x:c r="BT405" s="10" t="n">
        <x:v>75</x:v>
      </x:c>
      <x:c r="BU405" s="4" t="str">
        <x:v>MIN</x:v>
      </x:c>
      <x:c r="BV405" s="10" t="n">
        <x:v>218</x:v>
      </x:c>
      <x:c r="BW405" s="10" t="n">
        <x:v>163</x:v>
      </x:c>
      <x:c r="BX405" s="10" t="n">
        <x:v>1004</x:v>
      </x:c>
      <x:c r="BY405" s="4" t="str">
        <x:v>Vladimir Tarasenko</x:v>
      </x:c>
      <x:c r="BZ405" s="4" t="str">
        <x:v>Vladimir Tarasenko</x:v>
      </x:c>
      <x:c r="CA405" s="4" t="str">
        <x:v>Vladimir Tarasenko</x:v>
      </x:c>
      <x:c r="CB405" s="4" t="str">
        <x:v>tarasvl01</x:v>
      </x:c>
    </x:row>
    <x:row r="406" ht="22" customHeight="1">
      <x:c r="A406" s="4" t="str">
        <x:v>Vladislav Gavrikov</x:v>
      </x:c>
      <x:c r="B406" s="4" t="str">
        <x:v>vladislavgavrikov</x:v>
      </x:c>
      <x:c r="C406" s="10" t="n">
        <x:v>1</x:v>
      </x:c>
      <x:c r="D406" s="10" t="n">
        <x:v>1</x:v>
      </x:c>
      <x:c r="E406" s="10" t="n">
        <x:v>1</x:v>
      </x:c>
      <x:c r="F406" s="4" t="n">
        <x:f>IF(COUNT(N406,Q406,T406,W406,Z406,AC406,AF406,AI406)=8,N406*Guide!$E$5+Q406*Guide!$E$6+T406*Guide!$E$7+W406*Guide!$E$8+Z406*Guide!$E$9+AC406*Guide!$E$10+AF406*Guide!$E$11+AI406*Guide!$E$12,"")</x:f>
        <x:v>254.5</x:v>
      </x:c>
      <x:c r="G406" s="4" t="n">
        <x:f>IF(COUNT(O406,R406,U406,X406,AA406,AD406,AG406,AJ406)=8,O406*Guide!$E$5+R406*Guide!$E$6+U406*Guide!$E$7+X406*Guide!$E$8+AA406*Guide!$E$9+AD406*Guide!$E$10+AG406*Guide!$E$11+AJ406*Guide!$E$12,"")</x:f>
        <x:v>240.25</x:v>
      </x:c>
      <x:c r="H406" s="4" t="n">
        <x:f>IF(COUNT(G406,F406)=2,G406-F406,"")</x:f>
        <x:v>-14.25</x:v>
      </x:c>
      <x:c r="I406" s="4" t="n">
        <x:f>IF(AND(ISNUMBER(F406),K406&gt;0),F406/K406,"")</x:f>
        <x:v>3.1036585365853657</x:v>
      </x:c>
      <x:c r="J406" s="4" t="n">
        <x:f>IF(AND(ISNUMBER(G406),L406&gt;0),G406/L406,"")</x:f>
        <x:v>2.9298780487804876</x:v>
      </x:c>
      <x:c r="K406" s="10" t="n">
        <x:v>82</x:v>
      </x:c>
      <x:c r="L406" s="10" t="n">
        <x:v>82</x:v>
      </x:c>
      <x:c r="M406" s="10" t="n">
        <x:f>IF(COUNT(L406,K406)=2,L406-K406,"")</x:f>
        <x:v>0</x:v>
      </x:c>
      <x:c r="N406" s="10" t="n">
        <x:v>6</x:v>
      </x:c>
      <x:c r="O406" s="10" t="n">
        <x:v>14</x:v>
      </x:c>
      <x:c r="P406" s="10" t="n">
        <x:f>IF(COUNT(O406,N406)=2,O406-N406,"")</x:f>
        <x:v>8</x:v>
      </x:c>
      <x:c r="Q406" s="10" t="n">
        <x:v>22</x:v>
      </x:c>
      <x:c r="R406" s="10" t="n">
        <x:v>21</x:v>
      </x:c>
      <x:c r="S406" s="10" t="n">
        <x:f>IF(COUNT(R406,Q406)=2,R406-Q406,"")</x:f>
        <x:v>-1</x:v>
      </x:c>
      <x:c r="T406" s="10" t="n">
        <x:v>20</x:v>
      </x:c>
      <x:c r="U406" s="10" t="n">
        <x:v>-8</x:v>
      </x:c>
      <x:c r="V406" s="10" t="n">
        <x:f>IF(COUNT(U406,T406)=2,U406-T406,"")</x:f>
        <x:v>-28</x:v>
      </x:c>
      <x:c r="W406" s="10" t="n">
        <x:v>1</x:v>
      </x:c>
      <x:c r="X406" s="10" t="n">
        <x:f>IF(COUNT(AV406,AW406)=2,AV406+AW406,"")</x:f>
        <x:v>6</x:v>
      </x:c>
      <x:c r="Y406" s="10" t="n">
        <x:f>IF(COUNT(X406,W406)=2,X406-W406,"")</x:f>
        <x:v>5</x:v>
      </x:c>
      <x:c r="Z406" s="10" t="n">
        <x:v>1</x:v>
      </x:c>
      <x:c r="AA406" s="10" t="n">
        <x:f>IF(COUNT(AX406,AY406)=2,AX406+AY406,"")</x:f>
        <x:v>1</x:v>
      </x:c>
      <x:c r="AB406" s="10" t="n">
        <x:f>IF(COUNT(AA406,Z406)=2,AA406-Z406,"")</x:f>
        <x:v>0</x:v>
      </x:c>
      <x:c r="AC406" s="10" t="n">
        <x:v>110</x:v>
      </x:c>
      <x:c r="AD406" s="10" t="n">
        <x:v>119</x:v>
      </x:c>
      <x:c r="AE406" s="10" t="n">
        <x:f>IF(COUNT(AD406,AC406)=2,AD406-AC406,"")</x:f>
        <x:v>9</x:v>
      </x:c>
      <x:c r="AF406" s="10" t="n">
        <x:v>50</x:v>
      </x:c>
      <x:c r="AG406" s="10" t="n">
        <x:v>50</x:v>
      </x:c>
      <x:c r="AH406" s="10" t="n">
        <x:f>IF(COUNT(AG406,AF406)=2,AG406-AF406,"")</x:f>
        <x:v>0</x:v>
      </x:c>
      <x:c r="AI406" s="10" t="n">
        <x:v>134</x:v>
      </x:c>
      <x:c r="AJ406" s="10" t="n">
        <x:v>104</x:v>
      </x:c>
      <x:c r="AK406" s="10" t="n">
        <x:f>IF(COUNT(AJ406,AI406)=2,AJ406-AI406,"")</x:f>
        <x:v>-30</x:v>
      </x:c>
      <x:c r="AL406" s="10" t="n">
        <x:v>30</x:v>
      </x:c>
      <x:c r="AM406" s="10" t="n">
        <x:v>30</x:v>
      </x:c>
      <x:c r="AN406" s="4" t="str">
        <x:v>D</x:v>
      </x:c>
      <x:c r="AO406" s="4" t="str">
        <x:v>D</x:v>
      </x:c>
      <x:c r="AP406" s="4" t="str">
        <x:v>NYR</x:v>
      </x:c>
      <x:c r="AQ406" s="4" t="str">
        <x:v>NYR</x:v>
      </x:c>
      <x:c r="AR406" s="4" t="n">
        <x:v>22.68</x:v>
      </x:c>
      <x:c r="AS406" s="4" t="n">
        <x:v>23.733333333333334</x:v>
      </x:c>
      <x:c r="AT406" s="4" t="n">
        <x:v>0.13</x:v>
      </x:c>
      <x:c r="AU406" s="4" t="n">
        <x:v>11.8</x:v>
      </x:c>
      <x:c r="AV406" s="10" t="n">
        <x:v>3</x:v>
      </x:c>
      <x:c r="AW406" s="10" t="n">
        <x:v>3</x:v>
      </x:c>
      <x:c r="AX406" s="10" t="n">
        <x:v>0</x:v>
      </x:c>
      <x:c r="AY406" s="10" t="n">
        <x:v>1</x:v>
      </x:c>
      <x:c r="AZ406" s="10" t="n">
        <x:v>1547</x:v>
      </x:c>
      <x:c r="BA406" s="10" t="n">
        <x:v>1535</x:v>
      </x:c>
      <x:c r="BB406" s="4" t="n">
        <x:v>50.2</x:v>
      </x:c>
      <x:c r="BC406" s="4" t="n">
        <x:v>1.7</x:v>
      </x:c>
      <x:c r="BD406" s="10" t="n">
        <x:v>1082</x:v>
      </x:c>
      <x:c r="BE406" s="10" t="n">
        <x:v>1133</x:v>
      </x:c>
      <x:c r="BF406" s="4" t="n">
        <x:v>48.8</x:v>
      </x:c>
      <x:c r="BG406" s="4" t="n">
        <x:v>1</x:v>
      </x:c>
      <x:c r="BH406" s="4" t="n">
        <x:v>9.7</x:v>
      </x:c>
      <x:c r="BI406" s="4" t="n">
        <x:v>90</x:v>
      </x:c>
      <x:c r="BJ406" s="4" t="n">
        <x:v>99.7</x:v>
      </x:c>
      <x:c r="BK406" s="4" t="n">
        <x:v>52.1</x:v>
      </x:c>
      <x:c r="BL406" s="4" t="n">
        <x:v>47.9</x:v>
      </x:c>
      <x:c r="BM406" s="4" t="n">
        <x:v>23.733333333333334</x:v>
      </x:c>
      <x:c r="BN406" s="4" t="n">
        <x:v>20.066666666666666</x:v>
      </x:c>
      <x:c r="BO406" s="10" t="n">
        <x:v>22</x:v>
      </x:c>
      <x:c r="BP406" s="10" t="n">
        <x:v>103</x:v>
      </x:c>
      <x:c r="BQ406" s="4" t="n">
        <x:v>0.3</x:v>
      </x:c>
      <x:c r="BR406" s="10" t="n">
        <x:v>320</x:v>
      </x:c>
      <x:c r="BS406" s="4" t="n">
        <x:v>37.2</x:v>
      </x:c>
      <x:c r="BT406" s="10" t="n">
        <x:v>82</x:v>
      </x:c>
      <x:c r="BU406" s="4" t="str">
        <x:v>NYR</x:v>
      </x:c>
      <x:c r="BV406" s="10" t="n">
        <x:v>394</x:v>
      </x:c>
      <x:c r="BW406" s="10" t="n">
        <x:v>262</x:v>
      </x:c>
      <x:c r="BX406" s="10" t="n">
        <x:v>330</x:v>
      </x:c>
      <x:c r="BY406" s="4" t="str">
        <x:v>Vladislav Gavrikov</x:v>
      </x:c>
      <x:c r="BZ406" s="4" t="str">
        <x:v>Vladislav Gavrikov</x:v>
      </x:c>
      <x:c r="CA406" s="4" t="str">
        <x:v>Vladislav Gavrikov</x:v>
      </x:c>
      <x:c r="CB406" s="4" t="str">
        <x:v>gavrivl01</x:v>
      </x:c>
    </x:row>
    <x:row r="407" ht="22" customHeight="1">
      <x:c r="A407" s="4" t="str">
        <x:v>Will Smith</x:v>
      </x:c>
      <x:c r="B407" s="4" t="str">
        <x:v>willsmith</x:v>
      </x:c>
      <x:c r="C407" s="10" t="n">
        <x:v>1</x:v>
      </x:c>
      <x:c r="D407" s="10" t="n">
        <x:v>1</x:v>
      </x:c>
      <x:c r="E407" s="10" t="n">
        <x:v>1</x:v>
      </x:c>
      <x:c r="F407" s="4" t="n">
        <x:f>IF(COUNT(N407,Q407,T407,W407,Z407,AC407,AF407,AI407)=8,N407*Guide!$E$5+Q407*Guide!$E$6+T407*Guide!$E$7+W407*Guide!$E$8+Z407*Guide!$E$9+AC407*Guide!$E$10+AF407*Guide!$E$11+AI407*Guide!$E$12,"")</x:f>
        <x:v>253</x:v>
      </x:c>
      <x:c r="G407" s="4" t="n">
        <x:f>IF(COUNT(O407,R407,U407,X407,AA407,AD407,AG407,AJ407)=8,O407*Guide!$E$5+R407*Guide!$E$6+U407*Guide!$E$7+X407*Guide!$E$8+AA407*Guide!$E$9+AD407*Guide!$E$10+AG407*Guide!$E$11+AJ407*Guide!$E$12,"")</x:f>
        <x:v>273.5</x:v>
      </x:c>
      <x:c r="H407" s="4" t="n">
        <x:f>IF(COUNT(G407,F407)=2,G407-F407,"")</x:f>
        <x:v>20.5</x:v>
      </x:c>
      <x:c r="I407" s="4" t="n">
        <x:f>IF(AND(ISNUMBER(F407),K407&gt;0),F407/K407,"")</x:f>
        <x:v>3.3733333333333335</x:v>
      </x:c>
      <x:c r="J407" s="4" t="n">
        <x:f>IF(AND(ISNUMBER(G407),L407&gt;0),G407/L407,"")</x:f>
        <x:v>3.963768115942029</x:v>
      </x:c>
      <x:c r="K407" s="10" t="n">
        <x:v>75</x:v>
      </x:c>
      <x:c r="L407" s="10" t="n">
        <x:v>69</x:v>
      </x:c>
      <x:c r="M407" s="10" t="n">
        <x:f>IF(COUNT(L407,K407)=2,L407-K407,"")</x:f>
        <x:v>-6</x:v>
      </x:c>
      <x:c r="N407" s="10" t="n">
        <x:v>24</x:v>
      </x:c>
      <x:c r="O407" s="10" t="n">
        <x:v>24</x:v>
      </x:c>
      <x:c r="P407" s="10" t="n">
        <x:f>IF(COUNT(O407,N407)=2,O407-N407,"")</x:f>
        <x:v>0</x:v>
      </x:c>
      <x:c r="Q407" s="10" t="n">
        <x:v>32</x:v>
      </x:c>
      <x:c r="R407" s="10" t="n">
        <x:v>35</x:v>
      </x:c>
      <x:c r="S407" s="10" t="n">
        <x:f>IF(COUNT(R407,Q407)=2,R407-Q407,"")</x:f>
        <x:v>3</x:v>
      </x:c>
      <x:c r="T407" s="10" t="n">
        <x:v>-13</x:v>
      </x:c>
      <x:c r="U407" s="10" t="n">
        <x:v>1</x:v>
      </x:c>
      <x:c r="V407" s="10" t="n">
        <x:f>IF(COUNT(U407,T407)=2,U407-T407,"")</x:f>
        <x:v>14</x:v>
      </x:c>
      <x:c r="W407" s="10" t="n">
        <x:v>20</x:v>
      </x:c>
      <x:c r="X407" s="10" t="n">
        <x:f>IF(COUNT(AV407,AW407)=2,AV407+AW407,"")</x:f>
        <x:v>17</x:v>
      </x:c>
      <x:c r="Y407" s="10" t="n">
        <x:f>IF(COUNT(X407,W407)=2,X407-W407,"")</x:f>
        <x:v>-3</x:v>
      </x:c>
      <x:c r="Z407" s="10" t="n">
        <x:v>0</x:v>
      </x:c>
      <x:c r="AA407" s="10" t="n">
        <x:f>IF(COUNT(AX407,AY407)=2,AX407+AY407,"")</x:f>
        <x:v>0</x:v>
      </x:c>
      <x:c r="AB407" s="10" t="n">
        <x:f>IF(COUNT(AA407,Z407)=2,AA407-Z407,"")</x:f>
        <x:v>0</x:v>
      </x:c>
      <x:c r="AC407" s="10" t="n">
        <x:v>147</x:v>
      </x:c>
      <x:c r="AD407" s="10" t="n">
        <x:v>166</x:v>
      </x:c>
      <x:c r="AE407" s="10" t="n">
        <x:f>IF(COUNT(AD407,AC407)=2,AD407-AC407,"")</x:f>
        <x:v>19</x:v>
      </x:c>
      <x:c r="AF407" s="10" t="n">
        <x:v>15</x:v>
      </x:c>
      <x:c r="AG407" s="10" t="n">
        <x:v>16</x:v>
      </x:c>
      <x:c r="AH407" s="10" t="n">
        <x:f>IF(COUNT(AG407,AF407)=2,AG407-AF407,"")</x:f>
        <x:v>1</x:v>
      </x:c>
      <x:c r="AI407" s="10" t="n">
        <x:v>18</x:v>
      </x:c>
      <x:c r="AJ407" s="10" t="n">
        <x:v>12</x:v>
      </x:c>
      <x:c r="AK407" s="10" t="n">
        <x:f>IF(COUNT(AJ407,AI407)=2,AJ407-AI407,"")</x:f>
        <x:v>-6</x:v>
      </x:c>
      <x:c r="AL407" s="10" t="n">
        <x:v>20</x:v>
      </x:c>
      <x:c r="AM407" s="10" t="n">
        <x:v>20</x:v>
      </x:c>
      <x:c r="AN407" s="4" t="str">
        <x:v>C,RW</x:v>
      </x:c>
      <x:c r="AO407" s="4" t="str">
        <x:v>C</x:v>
      </x:c>
      <x:c r="AP407" s="4" t="str">
        <x:v>SJ</x:v>
      </x:c>
      <x:c r="AQ407" s="4" t="str">
        <x:v>SJS</x:v>
      </x:c>
      <x:c r="AR407" s="4" t="n">
        <x:v>17.27</x:v>
      </x:c>
      <x:c r="AS407" s="4" t="n">
        <x:v>18.183333333333334</x:v>
      </x:c>
      <x:c r="AT407" s="4" t="n">
        <x:v>2.9</x:v>
      </x:c>
      <x:c r="AU407" s="4" t="n">
        <x:v>14.5</x:v>
      </x:c>
      <x:c r="AV407" s="10" t="n">
        <x:v>8</x:v>
      </x:c>
      <x:c r="AW407" s="10" t="n">
        <x:v>9</x:v>
      </x:c>
      <x:c r="AX407" s="10" t="n">
        <x:v>0</x:v>
      </x:c>
      <x:c r="AY407" s="10" t="n">
        <x:v>0</x:v>
      </x:c>
      <x:c r="AZ407" s="10" t="n">
        <x:v>951</x:v>
      </x:c>
      <x:c r="BA407" s="10" t="n">
        <x:v>984</x:v>
      </x:c>
      <x:c r="BB407" s="4" t="n">
        <x:v>49.1</x:v>
      </x:c>
      <x:c r="BC407" s="4" t="n">
        <x:v>3.6</x:v>
      </x:c>
      <x:c r="BD407" s="10" t="n">
        <x:v>705</x:v>
      </x:c>
      <x:c r="BE407" s="10" t="n">
        <x:v>731</x:v>
      </x:c>
      <x:c r="BF407" s="4" t="n">
        <x:v>49.1</x:v>
      </x:c>
      <x:c r="BG407" s="4" t="n">
        <x:v>4.8</x:v>
      </x:c>
      <x:c r="BH407" s="4" t="n">
        <x:v>11.9</x:v>
      </x:c>
      <x:c r="BI407" s="4" t="n">
        <x:v>89.8</x:v>
      </x:c>
      <x:c r="BJ407" s="4" t="n">
        <x:v>101.8</x:v>
      </x:c>
      <x:c r="BK407" s="4" t="n">
        <x:v>62.1</x:v>
      </x:c>
      <x:c r="BL407" s="4" t="n">
        <x:v>37.9</x:v>
      </x:c>
      <x:c r="BM407" s="4" t="n">
        <x:v>18.183333333333334</x:v>
      </x:c>
      <x:c r="BN407" s="4" t="n">
        <x:v>14.816666666666666</x:v>
      </x:c>
      <x:c r="BO407" s="10" t="n">
        <x:v>14</x:v>
      </x:c>
      <x:c r="BP407" s="10" t="n">
        <x:v>83</x:v>
      </x:c>
      <x:c r="BQ407" s="4" t="n">
        <x:v>3.7</x:v>
      </x:c>
      <x:c r="BR407" s="10" t="n">
        <x:v>320</x:v>
      </x:c>
      <x:c r="BS407" s="4" t="n">
        <x:v>51.9</x:v>
      </x:c>
      <x:c r="BT407" s="10" t="n">
        <x:v>69</x:v>
      </x:c>
      <x:c r="BU407" s="4" t="str">
        <x:v>SJS</x:v>
      </x:c>
      <x:c r="BV407" s="10" t="n">
        <x:v>115</x:v>
      </x:c>
      <x:c r="BW407" s="10" t="n">
        <x:v>97</x:v>
      </x:c>
      <x:c r="BX407" s="10" t="n">
        <x:v>950</x:v>
      </x:c>
      <x:c r="BY407" s="4" t="str">
        <x:v>Will Smith</x:v>
      </x:c>
      <x:c r="BZ407" s="4" t="str">
        <x:v>Will Smith</x:v>
      </x:c>
      <x:c r="CA407" s="4" t="str">
        <x:v>Will Smith</x:v>
      </x:c>
      <x:c r="CB407" s="4" t="str">
        <x:v>smithwi01</x:v>
      </x:c>
    </x:row>
    <x:row r="408" ht="22" customHeight="1">
      <x:c r="A408" s="4" t="str">
        <x:v>William Carrier</x:v>
      </x:c>
      <x:c r="B408" s="4" t="str">
        <x:v>williamcarrier</x:v>
      </x:c>
      <x:c r="C408" s="10" t="n">
        <x:v>1</x:v>
      </x:c>
      <x:c r="D408" s="10" t="n">
        <x:v>1</x:v>
      </x:c>
      <x:c r="E408" s="10" t="n">
        <x:v>1</x:v>
      </x:c>
      <x:c r="F408" s="4" t="n">
        <x:f>IF(COUNT(N408,Q408,T408,W408,Z408,AC408,AF408,AI408)=8,N408*Guide!$E$5+Q408*Guide!$E$6+T408*Guide!$E$7+W408*Guide!$E$8+Z408*Guide!$E$9+AC408*Guide!$E$10+AF408*Guide!$E$11+AI408*Guide!$E$12,"")</x:f>
        <x:v>199.25</x:v>
      </x:c>
      <x:c r="G408" s="4" t="n">
        <x:f>IF(COUNT(O408,R408,U408,X408,AA408,AD408,AG408,AJ408)=8,O408*Guide!$E$5+R408*Guide!$E$6+U408*Guide!$E$7+X408*Guide!$E$8+AA408*Guide!$E$9+AD408*Guide!$E$10+AG408*Guide!$E$11+AJ408*Guide!$E$12,"")</x:f>
        <x:v>142.5</x:v>
      </x:c>
      <x:c r="H408" s="4" t="n">
        <x:f>IF(COUNT(G408,F408)=2,G408-F408,"")</x:f>
        <x:v>-56.75</x:v>
      </x:c>
      <x:c r="I408" s="4" t="n">
        <x:f>IF(AND(ISNUMBER(F408),K408&gt;0),F408/K408,"")</x:f>
        <x:v>2.5544871794871793</x:v>
      </x:c>
      <x:c r="J408" s="4" t="n">
        <x:f>IF(AND(ISNUMBER(G408),L408&gt;0),G408/L408,"")</x:f>
        <x:v>2.0357142857142856</x:v>
      </x:c>
      <x:c r="K408" s="10" t="n">
        <x:v>78</x:v>
      </x:c>
      <x:c r="L408" s="10" t="n">
        <x:v>70</x:v>
      </x:c>
      <x:c r="M408" s="10" t="n">
        <x:f>IF(COUNT(L408,K408)=2,L408-K408,"")</x:f>
        <x:v>-8</x:v>
      </x:c>
      <x:c r="N408" s="10" t="n">
        <x:v>12</x:v>
      </x:c>
      <x:c r="O408" s="10" t="n">
        <x:v>7</x:v>
      </x:c>
      <x:c r="P408" s="10" t="n">
        <x:f>IF(COUNT(O408,N408)=2,O408-N408,"")</x:f>
        <x:v>-5</x:v>
      </x:c>
      <x:c r="Q408" s="10" t="n">
        <x:v>13</x:v>
      </x:c>
      <x:c r="R408" s="10" t="n">
        <x:v>11</x:v>
      </x:c>
      <x:c r="S408" s="10" t="n">
        <x:f>IF(COUNT(R408,Q408)=2,R408-Q408,"")</x:f>
        <x:v>-2</x:v>
      </x:c>
      <x:c r="T408" s="10" t="n">
        <x:v>5</x:v>
      </x:c>
      <x:c r="U408" s="10" t="n">
        <x:v>5</x:v>
      </x:c>
      <x:c r="V408" s="10" t="n">
        <x:f>IF(COUNT(U408,T408)=2,U408-T408,"")</x:f>
        <x:v>0</x:v>
      </x:c>
      <x:c r="W408" s="10" t="n">
        <x:v>0</x:v>
      </x:c>
      <x:c r="X408" s="10" t="n">
        <x:f>IF(COUNT(AV408,AW408)=2,AV408+AW408,"")</x:f>
        <x:v>0</x:v>
      </x:c>
      <x:c r="Y408" s="10" t="n">
        <x:f>IF(COUNT(X408,W408)=2,X408-W408,"")</x:f>
        <x:v>0</x:v>
      </x:c>
      <x:c r="Z408" s="10" t="n">
        <x:v>0</x:v>
      </x:c>
      <x:c r="AA408" s="10" t="n">
        <x:f>IF(COUNT(AX408,AY408)=2,AX408+AY408,"")</x:f>
        <x:v>0</x:v>
      </x:c>
      <x:c r="AB408" s="10" t="n">
        <x:f>IF(COUNT(AA408,Z408)=2,AA408-Z408,"")</x:f>
        <x:v>0</x:v>
      </x:c>
      <x:c r="AC408" s="10" t="n">
        <x:v>106</x:v>
      </x:c>
      <x:c r="AD408" s="10" t="n">
        <x:v>80</x:v>
      </x:c>
      <x:c r="AE408" s="10" t="n">
        <x:f>IF(COUNT(AD408,AC408)=2,AD408-AC408,"")</x:f>
        <x:v>-26</x:v>
      </x:c>
      <x:c r="AF408" s="10" t="n">
        <x:v>239</x:v>
      </x:c>
      <x:c r="AG408" s="10" t="n">
        <x:v>172</x:v>
      </x:c>
      <x:c r="AH408" s="10" t="n">
        <x:f>IF(COUNT(AG408,AF408)=2,AG408-AF408,"")</x:f>
        <x:v>-67</x:v>
      </x:c>
      <x:c r="AI408" s="10" t="n">
        <x:v>28</x:v>
      </x:c>
      <x:c r="AJ408" s="10" t="n">
        <x:v>18</x:v>
      </x:c>
      <x:c r="AK408" s="10" t="n">
        <x:f>IF(COUNT(AJ408,AI408)=2,AJ408-AI408,"")</x:f>
        <x:v>-10</x:v>
      </x:c>
      <x:c r="AL408" s="10" t="n">
        <x:v>31</x:v>
      </x:c>
      <x:c r="AM408" s="10" t="n">
        <x:v>31</x:v>
      </x:c>
      <x:c r="AN408" s="4" t="str">
        <x:v>LW</x:v>
      </x:c>
      <x:c r="AO408" s="4" t="str">
        <x:v>LW</x:v>
      </x:c>
      <x:c r="AP408" s="4" t="str">
        <x:v>CAR</x:v>
      </x:c>
      <x:c r="AQ408" s="4" t="str">
        <x:v>CAR</x:v>
      </x:c>
      <x:c r="AR408" s="4" t="n">
        <x:v>11.57</x:v>
      </x:c>
      <x:c r="AS408" s="4" t="n">
        <x:v>10.75</x:v>
      </x:c>
      <x:c r="AT408" s="4" t="n">
        <x:v>0.14</x:v>
      </x:c>
      <x:c r="AU408" s="4" t="n">
        <x:v>8.8</x:v>
      </x:c>
      <x:c r="AV408" s="10" t="n">
        <x:v>0</x:v>
      </x:c>
      <x:c r="AW408" s="10" t="n">
        <x:v>0</x:v>
      </x:c>
      <x:c r="AX408" s="10" t="n">
        <x:v>0</x:v>
      </x:c>
      <x:c r="AY408" s="10" t="n">
        <x:v>0</x:v>
      </x:c>
      <x:c r="AZ408" s="10" t="n">
        <x:v>832</x:v>
      </x:c>
      <x:c r="BA408" s="10" t="n">
        <x:v>570</x:v>
      </x:c>
      <x:c r="BB408" s="4" t="n">
        <x:v>59.3</x:v>
      </x:c>
      <x:c r="BC408" s="4" t="n">
        <x:v>-0.5</x:v>
      </x:c>
      <x:c r="BD408" s="10" t="n">
        <x:v>570</x:v>
      </x:c>
      <x:c r="BE408" s="10" t="n">
        <x:v>404</x:v>
      </x:c>
      <x:c r="BF408" s="4" t="n">
        <x:v>58.5</x:v>
      </x:c>
      <x:c r="BG408" s="4" t="n">
        <x:v>-0.6</x:v>
      </x:c>
      <x:c r="BH408" s="4" t="n">
        <x:v>9.8</x:v>
      </x:c>
      <x:c r="BI408" s="4" t="n">
        <x:v>88.8</x:v>
      </x:c>
      <x:c r="BJ408" s="4" t="n">
        <x:v>98.7</x:v>
      </x:c>
      <x:c r="BK408" s="4" t="n">
        <x:v>52.3</x:v>
      </x:c>
      <x:c r="BL408" s="4" t="n">
        <x:v>47.7</x:v>
      </x:c>
      <x:c r="BM408" s="4" t="n">
        <x:v>10.75</x:v>
      </x:c>
      <x:c r="BN408" s="4" t="n">
        <x:v>10.683333333333334</x:v>
      </x:c>
      <x:c r="BO408" s="10" t="n">
        <x:v>15</x:v>
      </x:c>
      <x:c r="BP408" s="10" t="n">
        <x:v>19</x:v>
      </x:c>
      <x:c r="BQ408" s="4" t="n">
        <x:v>6.9</x:v>
      </x:c>
      <x:c r="BR408" s="10" t="n">
        <x:v>172</x:v>
      </x:c>
      <x:c r="BS408" s="4" t="n">
        <x:v>46.5</x:v>
      </x:c>
      <x:c r="BT408" s="10" t="n">
        <x:v>70</x:v>
      </x:c>
      <x:c r="BU408" s="4" t="str">
        <x:v>CAR</x:v>
      </x:c>
      <x:c r="BV408" s="10" t="n">
        <x:v>435</x:v>
      </x:c>
      <x:c r="BW408" s="10" t="n">
        <x:v>487</x:v>
      </x:c>
      <x:c r="BX408" s="10" t="n">
        <x:v>135</x:v>
      </x:c>
      <x:c r="BY408" s="4" t="str">
        <x:v>William Carrier</x:v>
      </x:c>
      <x:c r="BZ408" s="4" t="str">
        <x:v>William Carrier</x:v>
      </x:c>
      <x:c r="CA408" s="4" t="str">
        <x:v>William Carrier</x:v>
      </x:c>
      <x:c r="CB408" s="4" t="str">
        <x:v>carriwi01</x:v>
      </x:c>
    </x:row>
    <x:row r="409" ht="22" customHeight="1">
      <x:c r="A409" s="4" t="str">
        <x:v>William Cuylle</x:v>
      </x:c>
      <x:c r="B409" s="4" t="str">
        <x:v>willcuylle</x:v>
      </x:c>
      <x:c r="C409" s="10" t="n">
        <x:v>1</x:v>
      </x:c>
      <x:c r="D409" s="10" t="n">
        <x:v>1</x:v>
      </x:c>
      <x:c r="E409" s="10" t="n">
        <x:v>1</x:v>
      </x:c>
      <x:c r="F409" s="4" t="n">
        <x:f>IF(COUNT(N409,Q409,T409,W409,Z409,AC409,AF409,AI409)=8,N409*Guide!$E$5+Q409*Guide!$E$6+T409*Guide!$E$7+W409*Guide!$E$8+Z409*Guide!$E$9+AC409*Guide!$E$10+AF409*Guide!$E$11+AI409*Guide!$E$12,"")</x:f>
        <x:v>277.5</x:v>
      </x:c>
      <x:c r="G409" s="4" t="n">
        <x:f>IF(COUNT(O409,R409,U409,X409,AA409,AD409,AG409,AJ409)=8,O409*Guide!$E$5+R409*Guide!$E$6+U409*Guide!$E$7+X409*Guide!$E$8+AA409*Guide!$E$9+AD409*Guide!$E$10+AG409*Guide!$E$11+AJ409*Guide!$E$12,"")</x:f>
        <x:v>295.75</x:v>
      </x:c>
      <x:c r="H409" s="4" t="n">
        <x:f>IF(COUNT(G409,F409)=2,G409-F409,"")</x:f>
        <x:v>18.25</x:v>
      </x:c>
      <x:c r="I409" s="4" t="n">
        <x:f>IF(AND(ISNUMBER(F409),K409&gt;0),F409/K409,"")</x:f>
        <x:v>3.425925925925926</x:v>
      </x:c>
      <x:c r="J409" s="4" t="n">
        <x:f>IF(AND(ISNUMBER(G409),L409&gt;0),G409/L409,"")</x:f>
        <x:v>3.606707317073171</x:v>
      </x:c>
      <x:c r="K409" s="10" t="n">
        <x:v>81</x:v>
      </x:c>
      <x:c r="L409" s="10" t="n">
        <x:v>82</x:v>
      </x:c>
      <x:c r="M409" s="10" t="n">
        <x:f>IF(COUNT(L409,K409)=2,L409-K409,"")</x:f>
        <x:v>1</x:v>
      </x:c>
      <x:c r="N409" s="10" t="n">
        <x:v>19</x:v>
      </x:c>
      <x:c r="O409" s="10" t="n">
        <x:v>20</x:v>
      </x:c>
      <x:c r="P409" s="10" t="n">
        <x:f>IF(COUNT(O409,N409)=2,O409-N409,"")</x:f>
        <x:v>1</x:v>
      </x:c>
      <x:c r="Q409" s="10" t="n">
        <x:v>18</x:v>
      </x:c>
      <x:c r="R409" s="10" t="n">
        <x:v>18</x:v>
      </x:c>
      <x:c r="S409" s="10" t="n">
        <x:f>IF(COUNT(R409,Q409)=2,R409-Q409,"")</x:f>
        <x:v>0</x:v>
      </x:c>
      <x:c r="T409" s="10" t="n">
        <x:v>-2</x:v>
      </x:c>
      <x:c r="U409" s="10" t="n">
        <x:v>-12</x:v>
      </x:c>
      <x:c r="V409" s="10" t="n">
        <x:f>IF(COUNT(U409,T409)=2,U409-T409,"")</x:f>
        <x:v>-10</x:v>
      </x:c>
      <x:c r="W409" s="10" t="n">
        <x:v>4</x:v>
      </x:c>
      <x:c r="X409" s="10" t="n">
        <x:f>IF(COUNT(AV409,AW409)=2,AV409+AW409,"")</x:f>
        <x:v>8</x:v>
      </x:c>
      <x:c r="Y409" s="10" t="n">
        <x:f>IF(COUNT(X409,W409)=2,X409-W409,"")</x:f>
        <x:v>4</x:v>
      </x:c>
      <x:c r="Z409" s="10" t="n">
        <x:v>1</x:v>
      </x:c>
      <x:c r="AA409" s="10" t="n">
        <x:f>IF(COUNT(AX409,AY409)=2,AX409+AY409,"")</x:f>
        <x:v>0</x:v>
      </x:c>
      <x:c r="AB409" s="10" t="n">
        <x:f>IF(COUNT(AA409,Z409)=2,AA409-Z409,"")</x:f>
        <x:v>-1</x:v>
      </x:c>
      <x:c r="AC409" s="10" t="n">
        <x:v>147</x:v>
      </x:c>
      <x:c r="AD409" s="10" t="n">
        <x:v>157</x:v>
      </x:c>
      <x:c r="AE409" s="10" t="n">
        <x:f>IF(COUNT(AD409,AC409)=2,AD409-AC409,"")</x:f>
        <x:v>10</x:v>
      </x:c>
      <x:c r="AF409" s="10" t="n">
        <x:v>291</x:v>
      </x:c>
      <x:c r="AG409" s="10" t="n">
        <x:v>302</x:v>
      </x:c>
      <x:c r="AH409" s="10" t="n">
        <x:f>IF(COUNT(AG409,AF409)=2,AG409-AF409,"")</x:f>
        <x:v>11</x:v>
      </x:c>
      <x:c r="AI409" s="10" t="n">
        <x:v>44</x:v>
      </x:c>
      <x:c r="AJ409" s="10" t="n">
        <x:v>68</x:v>
      </x:c>
      <x:c r="AK409" s="10" t="n">
        <x:f>IF(COUNT(AJ409,AI409)=2,AJ409-AI409,"")</x:f>
        <x:v>24</x:v>
      </x:c>
      <x:c r="AL409" s="10" t="n">
        <x:v>23</x:v>
      </x:c>
      <x:c r="AM409" s="10" t="n">
        <x:v>23</x:v>
      </x:c>
      <x:c r="AN409" s="4" t="str">
        <x:v>LW,RW</x:v>
      </x:c>
      <x:c r="AO409" s="4" t="str">
        <x:v>LW</x:v>
      </x:c>
      <x:c r="AP409" s="4" t="str">
        <x:v>NYR</x:v>
      </x:c>
      <x:c r="AQ409" s="4" t="str">
        <x:v>NYR</x:v>
      </x:c>
      <x:c r="AR409" s="4" t="n">
        <x:v>14.8</x:v>
      </x:c>
      <x:c r="AS409" s="4" t="n">
        <x:v>16.85</x:v>
      </x:c>
      <x:c r="AT409" s="4" t="n">
        <x:v>0.75</x:v>
      </x:c>
      <x:c r="AU409" s="4" t="n">
        <x:v>12.7</x:v>
      </x:c>
      <x:c r="AV409" s="10" t="n">
        <x:v>4</x:v>
      </x:c>
      <x:c r="AW409" s="10" t="n">
        <x:v>4</x:v>
      </x:c>
      <x:c r="AX409" s="10" t="n">
        <x:v>0</x:v>
      </x:c>
      <x:c r="AY409" s="10" t="n">
        <x:v>0</x:v>
      </x:c>
      <x:c r="AZ409" s="10" t="n">
        <x:v>1088</x:v>
      </x:c>
      <x:c r="BA409" s="10" t="n">
        <x:v>1081</x:v>
      </x:c>
      <x:c r="BB409" s="4" t="n">
        <x:v>50.2</x:v>
      </x:c>
      <x:c r="BC409" s="4" t="n">
        <x:v>1.4</x:v>
      </x:c>
      <x:c r="BD409" s="10" t="n">
        <x:v>728</x:v>
      </x:c>
      <x:c r="BE409" s="10" t="n">
        <x:v>786</x:v>
      </x:c>
      <x:c r="BF409" s="4" t="n">
        <x:v>48.1</x:v>
      </x:c>
      <x:c r="BG409" s="4" t="n">
        <x:v>-0.2</x:v>
      </x:c>
      <x:c r="BH409" s="4" t="n">
        <x:v>10.7</x:v>
      </x:c>
      <x:c r="BI409" s="4" t="n">
        <x:v>88.8</x:v>
      </x:c>
      <x:c r="BJ409" s="4" t="n">
        <x:v>99.6</x:v>
      </x:c>
      <x:c r="BK409" s="4" t="n">
        <x:v>50.7</x:v>
      </x:c>
      <x:c r="BL409" s="4" t="n">
        <x:v>49.3</x:v>
      </x:c>
      <x:c r="BM409" s="4" t="n">
        <x:v>16.85</x:v>
      </x:c>
      <x:c r="BN409" s="4" t="n">
        <x:v>13.833333333333334</x:v>
      </x:c>
      <x:c r="BO409" s="10" t="n">
        <x:v>9</x:v>
      </x:c>
      <x:c r="BP409" s="10" t="n">
        <x:v>56</x:v>
      </x:c>
      <x:c r="BQ409" s="4" t="n">
        <x:v>-1.7</x:v>
      </x:c>
      <x:c r="BR409" s="10" t="n">
        <x:v>338</x:v>
      </x:c>
      <x:c r="BS409" s="4" t="n">
        <x:v>46.4</x:v>
      </x:c>
      <x:c r="BT409" s="10" t="n">
        <x:v>82</x:v>
      </x:c>
      <x:c r="BU409" s="4" t="str">
        <x:v>NYR</x:v>
      </x:c>
      <x:c r="BV409" s="10" t="n">
        <x:v>280</x:v>
      </x:c>
      <x:c r="BW409" s="10" t="n">
        <x:v>227</x:v>
      </x:c>
      <x:c r="BX409" s="10" t="n">
        <x:v>187</x:v>
      </x:c>
      <x:c r="BY409" s="4" t="str">
        <x:v>Will Cuylle</x:v>
      </x:c>
      <x:c r="BZ409" s="4" t="str">
        <x:v>William Cuylle</x:v>
      </x:c>
      <x:c r="CA409" s="4" t="str">
        <x:v>William Cuylle</x:v>
      </x:c>
      <x:c r="CB409" s="4" t="str">
        <x:v>cuyllwi01</x:v>
      </x:c>
    </x:row>
    <x:row r="410" ht="22" customHeight="1">
      <x:c r="A410" s="4" t="str">
        <x:v>William Eklund</x:v>
      </x:c>
      <x:c r="B410" s="4" t="str">
        <x:v>williameklund</x:v>
      </x:c>
      <x:c r="C410" s="10" t="n">
        <x:v>1</x:v>
      </x:c>
      <x:c r="D410" s="10" t="n">
        <x:v>1</x:v>
      </x:c>
      <x:c r="E410" s="10" t="n">
        <x:v>1</x:v>
      </x:c>
      <x:c r="F410" s="4" t="n">
        <x:f>IF(COUNT(N410,Q410,T410,W410,Z410,AC410,AF410,AI410)=8,N410*Guide!$E$5+Q410*Guide!$E$6+T410*Guide!$E$7+W410*Guide!$E$8+Z410*Guide!$E$9+AC410*Guide!$E$10+AF410*Guide!$E$11+AI410*Guide!$E$12,"")</x:f>
        <x:v>284.5</x:v>
      </x:c>
      <x:c r="G410" s="4" t="n">
        <x:f>IF(COUNT(O410,R410,U410,X410,AA410,AD410,AG410,AJ410)=8,O410*Guide!$E$5+R410*Guide!$E$6+U410*Guide!$E$7+X410*Guide!$E$8+AA410*Guide!$E$9+AD410*Guide!$E$10+AG410*Guide!$E$11+AJ410*Guide!$E$12,"")</x:f>
        <x:v>259.25</x:v>
      </x:c>
      <x:c r="H410" s="4" t="n">
        <x:f>IF(COUNT(G410,F410)=2,G410-F410,"")</x:f>
        <x:v>-25.25</x:v>
      </x:c>
      <x:c r="I410" s="4" t="n">
        <x:f>IF(AND(ISNUMBER(F410),K410&gt;0),F410/K410,"")</x:f>
        <x:v>3.7434210526315788</x:v>
      </x:c>
      <x:c r="J410" s="4" t="n">
        <x:f>IF(AND(ISNUMBER(G410),L410&gt;0),G410/L410,"")</x:f>
        <x:v>3.323717948717949</x:v>
      </x:c>
      <x:c r="K410" s="10" t="n">
        <x:v>76</x:v>
      </x:c>
      <x:c r="L410" s="10" t="n">
        <x:v>78</x:v>
      </x:c>
      <x:c r="M410" s="10" t="n">
        <x:f>IF(COUNT(L410,K410)=2,L410-K410,"")</x:f>
        <x:v>2</x:v>
      </x:c>
      <x:c r="N410" s="10" t="n">
        <x:v>20</x:v>
      </x:c>
      <x:c r="O410" s="10" t="n">
        <x:v>15</x:v>
      </x:c>
      <x:c r="P410" s="10" t="n">
        <x:f>IF(COUNT(O410,N410)=2,O410-N410,"")</x:f>
        <x:v>-5</x:v>
      </x:c>
      <x:c r="Q410" s="10" t="n">
        <x:v>35</x:v>
      </x:c>
      <x:c r="R410" s="10" t="n">
        <x:v>38</x:v>
      </x:c>
      <x:c r="S410" s="10" t="n">
        <x:f>IF(COUNT(R410,Q410)=2,R410-Q410,"")</x:f>
        <x:v>3</x:v>
      </x:c>
      <x:c r="T410" s="10" t="n">
        <x:v>-14</x:v>
      </x:c>
      <x:c r="U410" s="10" t="n">
        <x:v>-31</x:v>
      </x:c>
      <x:c r="V410" s="10" t="n">
        <x:f>IF(COUNT(U410,T410)=2,U410-T410,"")</x:f>
        <x:v>-17</x:v>
      </x:c>
      <x:c r="W410" s="10" t="n">
        <x:v>18</x:v>
      </x:c>
      <x:c r="X410" s="10" t="n">
        <x:f>IF(COUNT(AV410,AW410)=2,AV410+AW410,"")</x:f>
        <x:v>16</x:v>
      </x:c>
      <x:c r="Y410" s="10" t="n">
        <x:f>IF(COUNT(X410,W410)=2,X410-W410,"")</x:f>
        <x:v>-2</x:v>
      </x:c>
      <x:c r="Z410" s="10" t="n">
        <x:v>1</x:v>
      </x:c>
      <x:c r="AA410" s="10" t="n">
        <x:f>IF(COUNT(AX410,AY410)=2,AX410+AY410,"")</x:f>
        <x:v>0</x:v>
      </x:c>
      <x:c r="AB410" s="10" t="n">
        <x:f>IF(COUNT(AA410,Z410)=2,AA410-Z410,"")</x:f>
        <x:v>-1</x:v>
      </x:c>
      <x:c r="AC410" s="10" t="n">
        <x:v>148</x:v>
      </x:c>
      <x:c r="AD410" s="10" t="n">
        <x:v>176</x:v>
      </x:c>
      <x:c r="AE410" s="10" t="n">
        <x:f>IF(COUNT(AD410,AC410)=2,AD410-AC410,"")</x:f>
        <x:v>28</x:v>
      </x:c>
      <x:c r="AF410" s="10" t="n">
        <x:v>51</x:v>
      </x:c>
      <x:c r="AG410" s="10" t="n">
        <x:v>72</x:v>
      </x:c>
      <x:c r="AH410" s="10" t="n">
        <x:f>IF(COUNT(AG410,AF410)=2,AG410-AF410,"")</x:f>
        <x:v>21</x:v>
      </x:c>
      <x:c r="AI410" s="10" t="n">
        <x:v>57</x:v>
      </x:c>
      <x:c r="AJ410" s="10" t="n">
        <x:v>51</x:v>
      </x:c>
      <x:c r="AK410" s="10" t="n">
        <x:f>IF(COUNT(AJ410,AI410)=2,AJ410-AI410,"")</x:f>
        <x:v>-6</x:v>
      </x:c>
      <x:c r="AL410" s="10" t="n">
        <x:v>23</x:v>
      </x:c>
      <x:c r="AM410" s="10" t="n">
        <x:v>23</x:v>
      </x:c>
      <x:c r="AN410" s="4" t="str">
        <x:v>LW</x:v>
      </x:c>
      <x:c r="AO410" s="4" t="str">
        <x:v>LW</x:v>
      </x:c>
      <x:c r="AP410" s="4" t="str">
        <x:v>SJ</x:v>
      </x:c>
      <x:c r="AQ410" s="4" t="str">
        <x:v>SJS</x:v>
      </x:c>
      <x:c r="AR410" s="4" t="n">
        <x:v>19.840000000000003</x:v>
      </x:c>
      <x:c r="AS410" s="4" t="n">
        <x:v>18.533333333333335</x:v>
      </x:c>
      <x:c r="AT410" s="4" t="n">
        <x:v>2.85</x:v>
      </x:c>
      <x:c r="AU410" s="4" t="n">
        <x:v>8.5</x:v>
      </x:c>
      <x:c r="AV410" s="10" t="n">
        <x:v>3</x:v>
      </x:c>
      <x:c r="AW410" s="10" t="n">
        <x:v>13</x:v>
      </x:c>
      <x:c r="AX410" s="10" t="n">
        <x:v>0</x:v>
      </x:c>
      <x:c r="AY410" s="10" t="n">
        <x:v>0</x:v>
      </x:c>
      <x:c r="AZ410" s="10" t="n">
        <x:v>1159</x:v>
      </x:c>
      <x:c r="BA410" s="10" t="n">
        <x:v>1099</x:v>
      </x:c>
      <x:c r="BB410" s="4" t="n">
        <x:v>51.3</x:v>
      </x:c>
      <x:c r="BC410" s="4" t="n">
        <x:v>6.3</x:v>
      </x:c>
      <x:c r="BD410" s="10" t="n">
        <x:v>819</x:v>
      </x:c>
      <x:c r="BE410" s="10" t="n">
        <x:v>804</x:v>
      </x:c>
      <x:c r="BF410" s="4" t="n">
        <x:v>50.5</x:v>
      </x:c>
      <x:c r="BG410" s="4" t="n">
        <x:v>5.6</x:v>
      </x:c>
      <x:c r="BH410" s="4" t="n">
        <x:v>10.7</x:v>
      </x:c>
      <x:c r="BI410" s="4" t="n">
        <x:v>84.3</x:v>
      </x:c>
      <x:c r="BJ410" s="4" t="n">
        <x:v>95.1</x:v>
      </x:c>
      <x:c r="BK410" s="4" t="n">
        <x:v>48</x:v>
      </x:c>
      <x:c r="BL410" s="4" t="n">
        <x:v>52</x:v>
      </x:c>
      <x:c r="BM410" s="4" t="n">
        <x:v>18.533333333333335</x:v>
      </x:c>
      <x:c r="BN410" s="4" t="n">
        <x:v>15.216666666666667</x:v>
      </x:c>
      <x:c r="BO410" s="10" t="n">
        <x:v>18</x:v>
      </x:c>
      <x:c r="BP410" s="10" t="n">
        <x:v>66</x:v>
      </x:c>
      <x:c r="BQ410" s="4" t="n">
        <x:v>-1.1</x:v>
      </x:c>
      <x:c r="BR410" s="10" t="n">
        <x:v>334</x:v>
      </x:c>
      <x:c r="BS410" s="4" t="n">
        <x:v>53</x:v>
      </x:c>
      <x:c r="BT410" s="10" t="n">
        <x:v>78</x:v>
      </x:c>
      <x:c r="BU410" s="4" t="str">
        <x:v>SJS</x:v>
      </x:c>
      <x:c r="BV410" s="10" t="n">
        <x:v>121</x:v>
      </x:c>
      <x:c r="BW410" s="10" t="n">
        <x:v>122</x:v>
      </x:c>
      <x:c r="BX410" s="10" t="n">
        <x:v>264</x:v>
      </x:c>
      <x:c r="BY410" s="4" t="str">
        <x:v>William Eklund</x:v>
      </x:c>
      <x:c r="BZ410" s="4" t="str">
        <x:v>William Eklund</x:v>
      </x:c>
      <x:c r="CA410" s="4" t="str">
        <x:v>William Eklund</x:v>
      </x:c>
      <x:c r="CB410" s="4" t="str">
        <x:v>eklunwi01</x:v>
      </x:c>
    </x:row>
    <x:row r="411" ht="22" customHeight="1">
      <x:c r="A411" s="4" t="str">
        <x:v>William Nylander</x:v>
      </x:c>
      <x:c r="B411" s="4" t="str">
        <x:v>williamnylander</x:v>
      </x:c>
      <x:c r="C411" s="10" t="n">
        <x:v>1</x:v>
      </x:c>
      <x:c r="D411" s="10" t="n">
        <x:v>1</x:v>
      </x:c>
      <x:c r="E411" s="10" t="n">
        <x:v>1</x:v>
      </x:c>
      <x:c r="F411" s="4" t="n">
        <x:f>IF(COUNT(N411,Q411,T411,W411,Z411,AC411,AF411,AI411)=8,N411*Guide!$E$5+Q411*Guide!$E$6+T411*Guide!$E$7+W411*Guide!$E$8+Z411*Guide!$E$9+AC411*Guide!$E$10+AF411*Guide!$E$11+AI411*Guide!$E$12,"")</x:f>
        <x:v>411.25</x:v>
      </x:c>
      <x:c r="G411" s="4" t="n">
        <x:f>IF(COUNT(O411,R411,U411,X411,AA411,AD411,AG411,AJ411)=8,O411*Guide!$E$5+R411*Guide!$E$6+U411*Guide!$E$7+X411*Guide!$E$8+AA411*Guide!$E$9+AD411*Guide!$E$10+AG411*Guide!$E$11+AJ411*Guide!$E$12,"")</x:f>
        <x:v>336.75</x:v>
      </x:c>
      <x:c r="H411" s="4" t="n">
        <x:f>IF(COUNT(G411,F411)=2,G411-F411,"")</x:f>
        <x:v>-74.5</x:v>
      </x:c>
      <x:c r="I411" s="4" t="n">
        <x:f>IF(AND(ISNUMBER(F411),K411&gt;0),F411/K411,"")</x:f>
        <x:v>5.015243902439025</x:v>
      </x:c>
      <x:c r="J411" s="4" t="n">
        <x:f>IF(AND(ISNUMBER(G411),L411&gt;0),G411/L411,"")</x:f>
        <x:v>5.180769230769231</x:v>
      </x:c>
      <x:c r="K411" s="10" t="n">
        <x:v>82</x:v>
      </x:c>
      <x:c r="L411" s="10" t="n">
        <x:v>65</x:v>
      </x:c>
      <x:c r="M411" s="10" t="n">
        <x:f>IF(COUNT(L411,K411)=2,L411-K411,"")</x:f>
        <x:v>-17</x:v>
      </x:c>
      <x:c r="N411" s="10" t="n">
        <x:v>38</x:v>
      </x:c>
      <x:c r="O411" s="10" t="n">
        <x:v>30</x:v>
      </x:c>
      <x:c r="P411" s="10" t="n">
        <x:f>IF(COUNT(O411,N411)=2,O411-N411,"")</x:f>
        <x:v>-8</x:v>
      </x:c>
      <x:c r="Q411" s="10" t="n">
        <x:v>48</x:v>
      </x:c>
      <x:c r="R411" s="10" t="n">
        <x:v>49</x:v>
      </x:c>
      <x:c r="S411" s="10" t="n">
        <x:f>IF(COUNT(R411,Q411)=2,R411-Q411,"")</x:f>
        <x:v>1</x:v>
      </x:c>
      <x:c r="T411" s="10" t="n">
        <x:v>-1</x:v>
      </x:c>
      <x:c r="U411" s="10" t="n">
        <x:v>-14</x:v>
      </x:c>
      <x:c r="V411" s="10" t="n">
        <x:f>IF(COUNT(U411,T411)=2,U411-T411,"")</x:f>
        <x:v>-13</x:v>
      </x:c>
      <x:c r="W411" s="10" t="n">
        <x:v>28</x:v>
      </x:c>
      <x:c r="X411" s="10" t="n">
        <x:f>IF(COUNT(AV411,AW411)=2,AV411+AW411,"")</x:f>
        <x:v>22</x:v>
      </x:c>
      <x:c r="Y411" s="10" t="n">
        <x:f>IF(COUNT(X411,W411)=2,X411-W411,"")</x:f>
        <x:v>-6</x:v>
      </x:c>
      <x:c r="Z411" s="10" t="n">
        <x:v>0</x:v>
      </x:c>
      <x:c r="AA411" s="10" t="n">
        <x:f>IF(COUNT(AX411,AY411)=2,AX411+AY411,"")</x:f>
        <x:v>0</x:v>
      </x:c>
      <x:c r="AB411" s="10" t="n">
        <x:f>IF(COUNT(AA411,Z411)=2,AA411-Z411,"")</x:f>
        <x:v>0</x:v>
      </x:c>
      <x:c r="AC411" s="10" t="n">
        <x:v>248</x:v>
      </x:c>
      <x:c r="AD411" s="10" t="n">
        <x:v>156</x:v>
      </x:c>
      <x:c r="AE411" s="10" t="n">
        <x:f>IF(COUNT(AD411,AC411)=2,AD411-AC411,"")</x:f>
        <x:v>-92</x:v>
      </x:c>
      <x:c r="AF411" s="10" t="n">
        <x:v>18</x:v>
      </x:c>
      <x:c r="AG411" s="10" t="n">
        <x:v>13</x:v>
      </x:c>
      <x:c r="AH411" s="10" t="n">
        <x:f>IF(COUNT(AG411,AF411)=2,AG411-AF411,"")</x:f>
        <x:v>-5</x:v>
      </x:c>
      <x:c r="AI411" s="10" t="n">
        <x:v>29</x:v>
      </x:c>
      <x:c r="AJ411" s="10" t="n">
        <x:v>26</x:v>
      </x:c>
      <x:c r="AK411" s="10" t="n">
        <x:f>IF(COUNT(AJ411,AI411)=2,AJ411-AI411,"")</x:f>
        <x:v>-3</x:v>
      </x:c>
      <x:c r="AL411" s="10" t="n">
        <x:v>29</x:v>
      </x:c>
      <x:c r="AM411" s="10" t="n">
        <x:v>29</x:v>
      </x:c>
      <x:c r="AN411" s="4" t="str">
        <x:v>C,RW</x:v>
      </x:c>
      <x:c r="AO411" s="4" t="str">
        <x:v>RW</x:v>
      </x:c>
      <x:c r="AP411" s="4" t="str">
        <x:v>TOR</x:v>
      </x:c>
      <x:c r="AQ411" s="4" t="str">
        <x:v>TOR</x:v>
      </x:c>
      <x:c r="AR411" s="4" t="n">
        <x:v>19.3</x:v>
      </x:c>
      <x:c r="AS411" s="4" t="n">
        <x:v>19.416666666666668</x:v>
      </x:c>
      <x:c r="AT411" s="4" t="n">
        <x:v>3.07</x:v>
      </x:c>
      <x:c r="AU411" s="4" t="n">
        <x:v>19.2</x:v>
      </x:c>
      <x:c r="AV411" s="10" t="n">
        <x:v>7</x:v>
      </x:c>
      <x:c r="AW411" s="10" t="n">
        <x:v>15</x:v>
      </x:c>
      <x:c r="AX411" s="10" t="n">
        <x:v>0</x:v>
      </x:c>
      <x:c r="AY411" s="10" t="n">
        <x:v>0</x:v>
      </x:c>
      <x:c r="AZ411" s="10" t="n">
        <x:v>1029</x:v>
      </x:c>
      <x:c r="BA411" s="10" t="n">
        <x:v>1106</x:v>
      </x:c>
      <x:c r="BB411" s="4" t="n">
        <x:v>48.2</x:v>
      </x:c>
      <x:c r="BC411" s="4" t="n">
        <x:v>6.1</x:v>
      </x:c>
      <x:c r="BD411" s="10" t="n">
        <x:v>780</x:v>
      </x:c>
      <x:c r="BE411" s="10" t="n">
        <x:v>827</x:v>
      </x:c>
      <x:c r="BF411" s="4" t="n">
        <x:v>48.5</x:v>
      </x:c>
      <x:c r="BG411" s="4" t="n">
        <x:v>5.7</x:v>
      </x:c>
      <x:c r="BH411" s="4" t="n">
        <x:v>14.5</x:v>
      </x:c>
      <x:c r="BI411" s="4" t="n">
        <x:v>85.7</x:v>
      </x:c>
      <x:c r="BJ411" s="4" t="n">
        <x:v>100.1</x:v>
      </x:c>
      <x:c r="BK411" s="4" t="n">
        <x:v>61.3</x:v>
      </x:c>
      <x:c r="BL411" s="4" t="n">
        <x:v>38.7</x:v>
      </x:c>
      <x:c r="BM411" s="4" t="n">
        <x:v>19.416666666666668</x:v>
      </x:c>
      <x:c r="BN411" s="4" t="n">
        <x:v>16.516666666666666</x:v>
      </x:c>
      <x:c r="BO411" s="10" t="n">
        <x:v>31</x:v>
      </x:c>
      <x:c r="BP411" s="10" t="n">
        <x:v>68</x:v>
      </x:c>
      <x:c r="BQ411" s="4" t="n">
        <x:v>-2.5</x:v>
      </x:c>
      <x:c r="BR411" s="10" t="n">
        <x:v>308</x:v>
      </x:c>
      <x:c r="BS411" s="4" t="n">
        <x:v>50.6</x:v>
      </x:c>
      <x:c r="BT411" s="10" t="n">
        <x:v>65</x:v>
      </x:c>
      <x:c r="BU411" s="4" t="str">
        <x:v>TOR</x:v>
      </x:c>
      <x:c r="BV411" s="10" t="n">
        <x:v>12</x:v>
      </x:c>
      <x:c r="BW411" s="10" t="n">
        <x:v>32</x:v>
      </x:c>
      <x:c r="BX411" s="10" t="n">
        <x:v>748</x:v>
      </x:c>
      <x:c r="BY411" s="4" t="str">
        <x:v>William Nylander</x:v>
      </x:c>
      <x:c r="BZ411" s="4" t="str">
        <x:v>William Nylander</x:v>
      </x:c>
      <x:c r="CA411" s="4" t="str">
        <x:v>William Nylander</x:v>
      </x:c>
      <x:c r="CB411" s="4" t="str">
        <x:v>nylanwi01</x:v>
      </x:c>
    </x:row>
    <x:row r="412" ht="22" customHeight="1">
      <x:c r="A412" s="4" t="str">
        <x:v>Wyatt Johnston</x:v>
      </x:c>
      <x:c r="B412" s="4" t="str">
        <x:v>wyattjohnston</x:v>
      </x:c>
      <x:c r="C412" s="10" t="n">
        <x:v>1</x:v>
      </x:c>
      <x:c r="D412" s="10" t="n">
        <x:v>1</x:v>
      </x:c>
      <x:c r="E412" s="10" t="n">
        <x:v>1</x:v>
      </x:c>
      <x:c r="F412" s="4" t="n">
        <x:f>IF(COUNT(N412,Q412,T412,W412,Z412,AC412,AF412,AI412)=8,N412*Guide!$E$5+Q412*Guide!$E$6+T412*Guide!$E$7+W412*Guide!$E$8+Z412*Guide!$E$9+AC412*Guide!$E$10+AF412*Guide!$E$11+AI412*Guide!$E$12,"")</x:f>
        <x:v>378.5</x:v>
      </x:c>
      <x:c r="G412" s="4" t="n">
        <x:f>IF(COUNT(O412,R412,U412,X412,AA412,AD412,AG412,AJ412)=8,O412*Guide!$E$5+R412*Guide!$E$6+U412*Guide!$E$7+X412*Guide!$E$8+AA412*Guide!$E$9+AD412*Guide!$E$10+AG412*Guide!$E$11+AJ412*Guide!$E$12,"")</x:f>
        <x:v>446.75</x:v>
      </x:c>
      <x:c r="H412" s="4" t="n">
        <x:f>IF(COUNT(G412,F412)=2,G412-F412,"")</x:f>
        <x:v>68.25</x:v>
      </x:c>
      <x:c r="I412" s="4" t="n">
        <x:f>IF(AND(ISNUMBER(F412),K412&gt;0),F412/K412,"")</x:f>
        <x:v>4.615853658536586</x:v>
      </x:c>
      <x:c r="J412" s="4" t="n">
        <x:f>IF(AND(ISNUMBER(G412),L412&gt;0),G412/L412,"")</x:f>
        <x:v>5.448170731707317</x:v>
      </x:c>
      <x:c r="K412" s="10" t="n">
        <x:v>82</x:v>
      </x:c>
      <x:c r="L412" s="10" t="n">
        <x:v>82</x:v>
      </x:c>
      <x:c r="M412" s="10" t="n">
        <x:f>IF(COUNT(L412,K412)=2,L412-K412,"")</x:f>
        <x:v>0</x:v>
      </x:c>
      <x:c r="N412" s="10" t="n">
        <x:v>36</x:v>
      </x:c>
      <x:c r="O412" s="10" t="n">
        <x:v>45</x:v>
      </x:c>
      <x:c r="P412" s="10" t="n">
        <x:f>IF(COUNT(O412,N412)=2,O412-N412,"")</x:f>
        <x:v>9</x:v>
      </x:c>
      <x:c r="Q412" s="10" t="n">
        <x:v>36</x:v>
      </x:c>
      <x:c r="R412" s="10" t="n">
        <x:v>41</x:v>
      </x:c>
      <x:c r="S412" s="10" t="n">
        <x:f>IF(COUNT(R412,Q412)=2,R412-Q412,"")</x:f>
        <x:v>5</x:v>
      </x:c>
      <x:c r="T412" s="10" t="n">
        <x:v>0</x:v>
      </x:c>
      <x:c r="U412" s="10" t="n">
        <x:v>-5</x:v>
      </x:c>
      <x:c r="V412" s="10" t="n">
        <x:f>IF(COUNT(U412,T412)=2,U412-T412,"")</x:f>
        <x:v>-5</x:v>
      </x:c>
      <x:c r="W412" s="10" t="n">
        <x:v>22</x:v>
      </x:c>
      <x:c r="X412" s="10" t="n">
        <x:f>IF(COUNT(AV412,AW412)=2,AV412+AW412,"")</x:f>
        <x:v>42</x:v>
      </x:c>
      <x:c r="Y412" s="10" t="n">
        <x:f>IF(COUNT(X412,W412)=2,X412-W412,"")</x:f>
        <x:v>20</x:v>
      </x:c>
      <x:c r="Z412" s="10" t="n">
        <x:v>2</x:v>
      </x:c>
      <x:c r="AA412" s="10" t="n">
        <x:f>IF(COUNT(AX412,AY412)=2,AX412+AY412,"")</x:f>
        <x:v>0</x:v>
      </x:c>
      <x:c r="AB412" s="10" t="n">
        <x:f>IF(COUNT(AA412,Z412)=2,AA412-Z412,"")</x:f>
        <x:v>-2</x:v>
      </x:c>
      <x:c r="AC412" s="10" t="n">
        <x:v>207</x:v>
      </x:c>
      <x:c r="AD412" s="10" t="n">
        <x:v>206</x:v>
      </x:c>
      <x:c r="AE412" s="10" t="n">
        <x:f>IF(COUNT(AD412,AC412)=2,AD412-AC412,"")</x:f>
        <x:v>-1</x:v>
      </x:c>
      <x:c r="AF412" s="10" t="n">
        <x:v>46</x:v>
      </x:c>
      <x:c r="AG412" s="10" t="n">
        <x:v>56</x:v>
      </x:c>
      <x:c r="AH412" s="10" t="n">
        <x:f>IF(COUNT(AG412,AF412)=2,AG412-AF412,"")</x:f>
        <x:v>10</x:v>
      </x:c>
      <x:c r="AI412" s="10" t="n">
        <x:v>47</x:v>
      </x:c>
      <x:c r="AJ412" s="10" t="n">
        <x:v>55</x:v>
      </x:c>
      <x:c r="AK412" s="10" t="n">
        <x:f>IF(COUNT(AJ412,AI412)=2,AJ412-AI412,"")</x:f>
        <x:v>8</x:v>
      </x:c>
      <x:c r="AL412" s="10" t="n">
        <x:v>22</x:v>
      </x:c>
      <x:c r="AM412" s="10" t="n">
        <x:v>22</x:v>
      </x:c>
      <x:c r="AN412" s="4" t="str">
        <x:v>C,RW</x:v>
      </x:c>
      <x:c r="AO412" s="4" t="str">
        <x:v>C</x:v>
      </x:c>
      <x:c r="AP412" s="4" t="str">
        <x:v>DAL</x:v>
      </x:c>
      <x:c r="AQ412" s="4" t="str">
        <x:v>DAL</x:v>
      </x:c>
      <x:c r="AR412" s="4" t="n">
        <x:v>18.96</x:v>
      </x:c>
      <x:c r="AS412" s="4" t="n">
        <x:v>20.116666666666667</x:v>
      </x:c>
      <x:c r="AT412" s="4" t="n">
        <x:v>2.9</x:v>
      </x:c>
      <x:c r="AU412" s="4" t="n">
        <x:v>21.8</x:v>
      </x:c>
      <x:c r="AV412" s="10" t="n">
        <x:v>27</x:v>
      </x:c>
      <x:c r="AW412" s="10" t="n">
        <x:v>15</x:v>
      </x:c>
      <x:c r="AX412" s="10" t="n">
        <x:v>0</x:v>
      </x:c>
      <x:c r="AY412" s="10" t="n">
        <x:v>0</x:v>
      </x:c>
      <x:c r="AZ412" s="10" t="n">
        <x:v>1171</x:v>
      </x:c>
      <x:c r="BA412" s="10" t="n">
        <x:v>1360</x:v>
      </x:c>
      <x:c r="BB412" s="4" t="n">
        <x:v>46.3</x:v>
      </x:c>
      <x:c r="BC412" s="4" t="n">
        <x:v>-2.1</x:v>
      </x:c>
      <x:c r="BD412" s="10" t="n">
        <x:v>855</x:v>
      </x:c>
      <x:c r="BE412" s="10" t="n">
        <x:v>972</x:v>
      </x:c>
      <x:c r="BF412" s="4" t="n">
        <x:v>46.8</x:v>
      </x:c>
      <x:c r="BG412" s="4" t="n">
        <x:v>-2</x:v>
      </x:c>
      <x:c r="BH412" s="4" t="n">
        <x:v>11.8</x:v>
      </x:c>
      <x:c r="BI412" s="4" t="n">
        <x:v>90.1</x:v>
      </x:c>
      <x:c r="BJ412" s="4" t="n">
        <x:v>101.9</x:v>
      </x:c>
      <x:c r="BK412" s="4" t="n">
        <x:v>53.4</x:v>
      </x:c>
      <x:c r="BL412" s="4" t="n">
        <x:v>46.6</x:v>
      </x:c>
      <x:c r="BM412" s="4" t="n">
        <x:v>20.116666666666667</x:v>
      </x:c>
      <x:c r="BN412" s="4" t="n">
        <x:v>16.1</x:v>
      </x:c>
      <x:c r="BO412" s="10" t="n">
        <x:v>23</x:v>
      </x:c>
      <x:c r="BP412" s="10" t="n">
        <x:v>62</x:v>
      </x:c>
      <x:c r="BQ412" s="4" t="n">
        <x:v>6.2</x:v>
      </x:c>
      <x:c r="BR412" s="10" t="n">
        <x:v>402</x:v>
      </x:c>
      <x:c r="BS412" s="4" t="n">
        <x:v>51.2</x:v>
      </x:c>
      <x:c r="BT412" s="10" t="n">
        <x:v>82</x:v>
      </x:c>
      <x:c r="BU412" s="4" t="str">
        <x:v>DAL</x:v>
      </x:c>
      <x:c r="BV412" s="10" t="n">
        <x:v>42</x:v>
      </x:c>
      <x:c r="BW412" s="10" t="n">
        <x:v>20</x:v>
      </x:c>
      <x:c r="BX412" s="10" t="n">
        <x:v>471</x:v>
      </x:c>
      <x:c r="BY412" s="4" t="str">
        <x:v>Wyatt Johnston</x:v>
      </x:c>
      <x:c r="BZ412" s="4" t="str">
        <x:v>Wyatt Johnston</x:v>
      </x:c>
      <x:c r="CA412" s="4" t="str">
        <x:v>Wyatt Johnston</x:v>
      </x:c>
      <x:c r="CB412" s="4" t="str">
        <x:v>johnswy01</x:v>
      </x:c>
    </x:row>
    <x:row r="413" ht="22" customHeight="1">
      <x:c r="A413" s="4" t="str">
        <x:v>Yakov Trenin</x:v>
      </x:c>
      <x:c r="B413" s="4" t="str">
        <x:v>yakovtrenin</x:v>
      </x:c>
      <x:c r="C413" s="10" t="n">
        <x:v>1</x:v>
      </x:c>
      <x:c r="D413" s="10" t="n">
        <x:v>1</x:v>
      </x:c>
      <x:c r="E413" s="10" t="n">
        <x:v>1</x:v>
      </x:c>
      <x:c r="F413" s="4" t="n">
        <x:f>IF(COUNT(N413,Q413,T413,W413,Z413,AC413,AF413,AI413)=8,N413*Guide!$E$5+Q413*Guide!$E$6+T413*Guide!$E$7+W413*Guide!$E$8+Z413*Guide!$E$9+AC413*Guide!$E$10+AF413*Guide!$E$11+AI413*Guide!$E$12,"")</x:f>
        <x:v>176</x:v>
      </x:c>
      <x:c r="G413" s="4" t="n">
        <x:f>IF(COUNT(O413,R413,U413,X413,AA413,AD413,AG413,AJ413)=8,O413*Guide!$E$5+R413*Guide!$E$6+U413*Guide!$E$7+X413*Guide!$E$8+AA413*Guide!$E$9+AD413*Guide!$E$10+AG413*Guide!$E$11+AJ413*Guide!$E$12,"")</x:f>
        <x:v>245</x:v>
      </x:c>
      <x:c r="H413" s="4" t="n">
        <x:f>IF(COUNT(G413,F413)=2,G413-F413,"")</x:f>
        <x:v>69</x:v>
      </x:c>
      <x:c r="I413" s="4" t="n">
        <x:f>IF(AND(ISNUMBER(F413),K413&gt;0),F413/K413,"")</x:f>
        <x:v>2.3157894736842106</x:v>
      </x:c>
      <x:c r="J413" s="4" t="n">
        <x:f>IF(AND(ISNUMBER(G413),L413&gt;0),G413/L413,"")</x:f>
        <x:v>2.9878048780487805</x:v>
      </x:c>
      <x:c r="K413" s="10" t="n">
        <x:v>76</x:v>
      </x:c>
      <x:c r="L413" s="10" t="n">
        <x:v>82</x:v>
      </x:c>
      <x:c r="M413" s="10" t="n">
        <x:f>IF(COUNT(L413,K413)=2,L413-K413,"")</x:f>
        <x:v>6</x:v>
      </x:c>
      <x:c r="N413" s="10" t="n">
        <x:v>10</x:v>
      </x:c>
      <x:c r="O413" s="10" t="n">
        <x:v>6</x:v>
      </x:c>
      <x:c r="P413" s="10" t="n">
        <x:f>IF(COUNT(O413,N413)=2,O413-N413,"")</x:f>
        <x:v>-4</x:v>
      </x:c>
      <x:c r="Q413" s="10" t="n">
        <x:v>10</x:v>
      </x:c>
      <x:c r="R413" s="10" t="n">
        <x:v>17</x:v>
      </x:c>
      <x:c r="S413" s="10" t="n">
        <x:f>IF(COUNT(R413,Q413)=2,R413-Q413,"")</x:f>
        <x:v>7</x:v>
      </x:c>
      <x:c r="T413" s="10" t="n">
        <x:v>-1</x:v>
      </x:c>
      <x:c r="U413" s="10" t="n">
        <x:v>13</x:v>
      </x:c>
      <x:c r="V413" s="10" t="n">
        <x:f>IF(COUNT(U413,T413)=2,U413-T413,"")</x:f>
        <x:v>14</x:v>
      </x:c>
      <x:c r="W413" s="10" t="n">
        <x:v>1</x:v>
      </x:c>
      <x:c r="X413" s="10" t="n">
        <x:f>IF(COUNT(AV413,AW413)=2,AV413+AW413,"")</x:f>
        <x:v>0</x:v>
      </x:c>
      <x:c r="Y413" s="10" t="n">
        <x:f>IF(COUNT(X413,W413)=2,X413-W413,"")</x:f>
        <x:v>-1</x:v>
      </x:c>
      <x:c r="Z413" s="10" t="n">
        <x:v>1</x:v>
      </x:c>
      <x:c r="AA413" s="10" t="n">
        <x:f>IF(COUNT(AX413,AY413)=2,AX413+AY413,"")</x:f>
        <x:v>0</x:v>
      </x:c>
      <x:c r="AB413" s="10" t="n">
        <x:f>IF(COUNT(AA413,Z413)=2,AA413-Z413,"")</x:f>
        <x:v>-1</x:v>
      </x:c>
      <x:c r="AC413" s="10" t="n">
        <x:v>95</x:v>
      </x:c>
      <x:c r="AD413" s="10" t="n">
        <x:v>98</x:v>
      </x:c>
      <x:c r="AE413" s="10" t="n">
        <x:f>IF(COUNT(AD413,AC413)=2,AD413-AC413,"")</x:f>
        <x:v>3</x:v>
      </x:c>
      <x:c r="AF413" s="10" t="n">
        <x:v>218</x:v>
      </x:c>
      <x:c r="AG413" s="10" t="n">
        <x:v>413</x:v>
      </x:c>
      <x:c r="AH413" s="10" t="n">
        <x:f>IF(COUNT(AG413,AF413)=2,AG413-AF413,"")</x:f>
        <x:v>195</x:v>
      </x:c>
      <x:c r="AI413" s="10" t="n">
        <x:v>33</x:v>
      </x:c>
      <x:c r="AJ413" s="10" t="n">
        <x:v>39</x:v>
      </x:c>
      <x:c r="AK413" s="10" t="n">
        <x:f>IF(COUNT(AJ413,AI413)=2,AJ413-AI413,"")</x:f>
        <x:v>6</x:v>
      </x:c>
      <x:c r="AL413" s="10" t="n">
        <x:v>29</x:v>
      </x:c>
      <x:c r="AM413" s="10" t="n">
        <x:v>29</x:v>
      </x:c>
      <x:c r="AN413" s="4" t="str">
        <x:v>C</x:v>
      </x:c>
      <x:c r="AO413" s="4" t="str">
        <x:v>C</x:v>
      </x:c>
      <x:c r="AP413" s="4" t="str">
        <x:v>MIN</x:v>
      </x:c>
      <x:c r="AQ413" s="4" t="str">
        <x:v>MIN</x:v>
      </x:c>
      <x:c r="AR413" s="4" t="n">
        <x:v>12.96</x:v>
      </x:c>
      <x:c r="AS413" s="4" t="n">
        <x:v>13.283333333333333</x:v>
      </x:c>
      <x:c r="AT413" s="4" t="n">
        <x:v>0.18</x:v>
      </x:c>
      <x:c r="AU413" s="4" t="n">
        <x:v>6.1</x:v>
      </x:c>
      <x:c r="AV413" s="10" t="n">
        <x:v>0</x:v>
      </x:c>
      <x:c r="AW413" s="10" t="n">
        <x:v>0</x:v>
      </x:c>
      <x:c r="AX413" s="10" t="n">
        <x:v>0</x:v>
      </x:c>
      <x:c r="AY413" s="10" t="n">
        <x:v>0</x:v>
      </x:c>
      <x:c r="AZ413" s="10" t="n">
        <x:v>843</x:v>
      </x:c>
      <x:c r="BA413" s="10" t="n">
        <x:v>996</x:v>
      </x:c>
      <x:c r="BB413" s="4" t="n">
        <x:v>45.8</x:v>
      </x:c>
      <x:c r="BC413" s="4" t="n">
        <x:v>-3.2</x:v>
      </x:c>
      <x:c r="BD413" s="10" t="n">
        <x:v>624</x:v>
      </x:c>
      <x:c r="BE413" s="10" t="n">
        <x:v>690</x:v>
      </x:c>
      <x:c r="BF413" s="4" t="n">
        <x:v>47.5</x:v>
      </x:c>
      <x:c r="BG413" s="4" t="n">
        <x:v>-2.1</x:v>
      </x:c>
      <x:c r="BH413" s="4" t="n">
        <x:v>10.7</x:v>
      </x:c>
      <x:c r="BI413" s="4" t="n">
        <x:v>93</x:v>
      </x:c>
      <x:c r="BJ413" s="4" t="n">
        <x:v>103.7</x:v>
      </x:c>
      <x:c r="BK413" s="4" t="n">
        <x:v>37.6</x:v>
      </x:c>
      <x:c r="BL413" s="4" t="n">
        <x:v>62.4</x:v>
      </x:c>
      <x:c r="BM413" s="4" t="n">
        <x:v>13.283333333333333</x:v>
      </x:c>
      <x:c r="BN413" s="4" t="n">
        <x:v>11.833333333333334</x:v>
      </x:c>
      <x:c r="BO413" s="10" t="n">
        <x:v>24</x:v>
      </x:c>
      <x:c r="BP413" s="10" t="n">
        <x:v>63</x:v>
      </x:c>
      <x:c r="BQ413" s="4" t="n">
        <x:v>-1.7</x:v>
      </x:c>
      <x:c r="BR413" s="10" t="n">
        <x:v>191</x:v>
      </x:c>
      <x:c r="BS413" s="4" t="n">
        <x:v>51.3</x:v>
      </x:c>
      <x:c r="BT413" s="10" t="n">
        <x:v>82</x:v>
      </x:c>
      <x:c r="BU413" s="4" t="str">
        <x:v>MIN</x:v>
      </x:c>
      <x:c r="BV413" s="10" t="n">
        <x:v>525</x:v>
      </x:c>
      <x:c r="BW413" s="10" t="n">
        <x:v>427</x:v>
      </x:c>
      <x:c r="BX413" s="10" t="n">
        <x:v>1028</x:v>
      </x:c>
      <x:c r="BY413" s="4" t="str">
        <x:v>Yakov Trenin</x:v>
      </x:c>
      <x:c r="BZ413" s="4" t="str">
        <x:v>Yakov Trenin</x:v>
      </x:c>
      <x:c r="CA413" s="4" t="str">
        <x:v>Yakov Trenin</x:v>
      </x:c>
      <x:c r="CB413" s="4" t="str">
        <x:v>treniya01</x:v>
      </x:c>
    </x:row>
    <x:row r="414" ht="22" customHeight="1">
      <x:c r="A414" s="4" t="str">
        <x:v>Yanni Gourde</x:v>
      </x:c>
      <x:c r="B414" s="4" t="str">
        <x:v>yannigourde</x:v>
      </x:c>
      <x:c r="C414" s="10" t="n">
        <x:v>1</x:v>
      </x:c>
      <x:c r="D414" s="10" t="n">
        <x:v>1</x:v>
      </x:c>
      <x:c r="E414" s="10" t="n">
        <x:v>1</x:v>
      </x:c>
      <x:c r="F414" s="4" t="n">
        <x:f>IF(COUNT(N414,Q414,T414,W414,Z414,AC414,AF414,AI414)=8,N414*Guide!$E$5+Q414*Guide!$E$6+T414*Guide!$E$7+W414*Guide!$E$8+Z414*Guide!$E$9+AC414*Guide!$E$10+AF414*Guide!$E$11+AI414*Guide!$E$12,"")</x:f>
        <x:v>225</x:v>
      </x:c>
      <x:c r="G414" s="4" t="n">
        <x:f>IF(COUNT(O414,R414,U414,X414,AA414,AD414,AG414,AJ414)=8,O414*Guide!$E$5+R414*Guide!$E$6+U414*Guide!$E$7+X414*Guide!$E$8+AA414*Guide!$E$9+AD414*Guide!$E$10+AG414*Guide!$E$11+AJ414*Guide!$E$12,"")</x:f>
        <x:v>167.5</x:v>
      </x:c>
      <x:c r="H414" s="4" t="n">
        <x:f>IF(COUNT(G414,F414)=2,G414-F414,"")</x:f>
        <x:v>-57.5</x:v>
      </x:c>
      <x:c r="I414" s="4" t="n">
        <x:f>IF(AND(ISNUMBER(F414),K414&gt;0),F414/K414,"")</x:f>
        <x:v>2.960526315789474</x:v>
      </x:c>
      <x:c r="J414" s="4" t="n">
        <x:f>IF(AND(ISNUMBER(G414),L414&gt;0),G414/L414,"")</x:f>
        <x:v>2.042682926829268</x:v>
      </x:c>
      <x:c r="K414" s="10" t="n">
        <x:v>76</x:v>
      </x:c>
      <x:c r="L414" s="10" t="n">
        <x:v>82</x:v>
      </x:c>
      <x:c r="M414" s="10" t="n">
        <x:f>IF(COUNT(L414,K414)=2,L414-K414,"")</x:f>
        <x:v>6</x:v>
      </x:c>
      <x:c r="N414" s="10" t="n">
        <x:v>13</x:v>
      </x:c>
      <x:c r="O414" s="10" t="n">
        <x:v>9</x:v>
      </x:c>
      <x:c r="P414" s="10" t="n">
        <x:f>IF(COUNT(O414,N414)=2,O414-N414,"")</x:f>
        <x:v>-4</x:v>
      </x:c>
      <x:c r="Q414" s="10" t="n">
        <x:v>23</x:v>
      </x:c>
      <x:c r="R414" s="10" t="n">
        <x:v>19</x:v>
      </x:c>
      <x:c r="S414" s="10" t="n">
        <x:f>IF(COUNT(R414,Q414)=2,R414-Q414,"")</x:f>
        <x:v>-4</x:v>
      </x:c>
      <x:c r="T414" s="10" t="n">
        <x:v>1</x:v>
      </x:c>
      <x:c r="U414" s="10" t="n">
        <x:v>-6</x:v>
      </x:c>
      <x:c r="V414" s="10" t="n">
        <x:f>IF(COUNT(U414,T414)=2,U414-T414,"")</x:f>
        <x:v>-7</x:v>
      </x:c>
      <x:c r="W414" s="10" t="n">
        <x:v>3</x:v>
      </x:c>
      <x:c r="X414" s="10" t="n">
        <x:f>IF(COUNT(AV414,AW414)=2,AV414+AW414,"")</x:f>
        <x:v>0</x:v>
      </x:c>
      <x:c r="Y414" s="10" t="n">
        <x:f>IF(COUNT(X414,W414)=2,X414-W414,"")</x:f>
        <x:v>-3</x:v>
      </x:c>
      <x:c r="Z414" s="10" t="n">
        <x:v>1</x:v>
      </x:c>
      <x:c r="AA414" s="10" t="n">
        <x:f>IF(COUNT(AX414,AY414)=2,AX414+AY414,"")</x:f>
        <x:v>0</x:v>
      </x:c>
      <x:c r="AB414" s="10" t="n">
        <x:f>IF(COUNT(AA414,Z414)=2,AA414-Z414,"")</x:f>
        <x:v>-1</x:v>
      </x:c>
      <x:c r="AC414" s="10" t="n">
        <x:v>112</x:v>
      </x:c>
      <x:c r="AD414" s="10" t="n">
        <x:v>114</x:v>
      </x:c>
      <x:c r="AE414" s="10" t="n">
        <x:f>IF(COUNT(AD414,AC414)=2,AD414-AC414,"")</x:f>
        <x:v>2</x:v>
      </x:c>
      <x:c r="AF414" s="10" t="n">
        <x:v>135</x:v>
      </x:c>
      <x:c r="AG414" s="10" t="n">
        <x:v>115</x:v>
      </x:c>
      <x:c r="AH414" s="10" t="n">
        <x:f>IF(COUNT(AG414,AF414)=2,AG414-AF414,"")</x:f>
        <x:v>-20</x:v>
      </x:c>
      <x:c r="AI414" s="10" t="n">
        <x:v>47</x:v>
      </x:c>
      <x:c r="AJ414" s="10" t="n">
        <x:v>31</x:v>
      </x:c>
      <x:c r="AK414" s="10" t="n">
        <x:f>IF(COUNT(AJ414,AI414)=2,AJ414-AI414,"")</x:f>
        <x:v>-16</x:v>
      </x:c>
      <x:c r="AL414" s="10" t="n">
        <x:v>34</x:v>
      </x:c>
      <x:c r="AM414" s="10" t="n">
        <x:v>34</x:v>
      </x:c>
      <x:c r="AN414" s="4" t="str">
        <x:v>C</x:v>
      </x:c>
      <x:c r="AO414" s="4" t="str">
        <x:v>C</x:v>
      </x:c>
      <x:c r="AP414" s="4" t="str">
        <x:v>TB</x:v>
      </x:c>
      <x:c r="AQ414" s="4" t="str">
        <x:v>TBL</x:v>
      </x:c>
      <x:c r="AR414" s="4" t="n">
        <x:v>16.08</x:v>
      </x:c>
      <x:c r="AS414" s="4" t="n">
        <x:v>16.366666666666667</x:v>
      </x:c>
      <x:c r="AT414" s="4" t="n">
        <x:v>0.49</x:v>
      </x:c>
      <x:c r="AU414" s="4" t="n">
        <x:v>7.9</x:v>
      </x:c>
      <x:c r="AV414" s="10" t="n">
        <x:v>0</x:v>
      </x:c>
      <x:c r="AW414" s="10" t="n">
        <x:v>0</x:v>
      </x:c>
      <x:c r="AX414" s="10" t="n">
        <x:v>0</x:v>
      </x:c>
      <x:c r="AY414" s="10" t="n">
        <x:v>0</x:v>
      </x:c>
      <x:c r="AZ414" s="10" t="n">
        <x:v>1042</x:v>
      </x:c>
      <x:c r="BA414" s="10" t="n">
        <x:v>955</x:v>
      </x:c>
      <x:c r="BB414" s="4" t="n">
        <x:v>52.2</x:v>
      </x:c>
      <x:c r="BC414" s="4" t="n">
        <x:v>-1.3</x:v>
      </x:c>
      <x:c r="BD414" s="10" t="n">
        <x:v>740</x:v>
      </x:c>
      <x:c r="BE414" s="10" t="n">
        <x:v>691</x:v>
      </x:c>
      <x:c r="BF414" s="4" t="n">
        <x:v>51.7</x:v>
      </x:c>
      <x:c r="BG414" s="4" t="n">
        <x:v>-1</x:v>
      </x:c>
      <x:c r="BH414" s="4" t="n">
        <x:v>9</x:v>
      </x:c>
      <x:c r="BI414" s="4" t="n">
        <x:v>89.6</x:v>
      </x:c>
      <x:c r="BJ414" s="4" t="n">
        <x:v>98.7</x:v>
      </x:c>
      <x:c r="BK414" s="4" t="n">
        <x:v>39.5</x:v>
      </x:c>
      <x:c r="BL414" s="4" t="n">
        <x:v>60.5</x:v>
      </x:c>
      <x:c r="BM414" s="4" t="n">
        <x:v>16.366666666666667</x:v>
      </x:c>
      <x:c r="BN414" s="4" t="n">
        <x:v>14.133333333333333</x:v>
      </x:c>
      <x:c r="BO414" s="10" t="n">
        <x:v>26</x:v>
      </x:c>
      <x:c r="BP414" s="10" t="n">
        <x:v>77</x:v>
      </x:c>
      <x:c r="BQ414" s="4" t="n">
        <x:v>-1.2</x:v>
      </x:c>
      <x:c r="BR414" s="10" t="n">
        <x:v>215</x:v>
      </x:c>
      <x:c r="BS414" s="4" t="n">
        <x:v>53</x:v>
      </x:c>
      <x:c r="BT414" s="10" t="n">
        <x:v>82</x:v>
      </x:c>
      <x:c r="BU414" s="4" t="str">
        <x:v>TBL</x:v>
      </x:c>
      <x:c r="BV414" s="10" t="n">
        <x:v>294</x:v>
      </x:c>
      <x:c r="BW414" s="10" t="n">
        <x:v>354</x:v>
      </x:c>
      <x:c r="BX414" s="10" t="n">
        <x:v>350</x:v>
      </x:c>
      <x:c r="BY414" s="4" t="str">
        <x:v>Yanni Gourde</x:v>
      </x:c>
      <x:c r="BZ414" s="4" t="str">
        <x:v>Yanni Gourde</x:v>
      </x:c>
      <x:c r="CA414" s="4" t="str">
        <x:v>Yanni Gourde</x:v>
      </x:c>
      <x:c r="CB414" s="4" t="str">
        <x:v>gourdya01</x:v>
      </x:c>
    </x:row>
    <x:row r="415" ht="22" customHeight="1">
      <x:c r="A415" s="4" t="str">
        <x:v>Yegor Sharangovich</x:v>
      </x:c>
      <x:c r="B415" s="4" t="str">
        <x:v>yegorsharangovich</x:v>
      </x:c>
      <x:c r="C415" s="10" t="n">
        <x:v>1</x:v>
      </x:c>
      <x:c r="D415" s="10" t="n">
        <x:v>1</x:v>
      </x:c>
      <x:c r="E415" s="10" t="n">
        <x:v>1</x:v>
      </x:c>
      <x:c r="F415" s="4" t="n">
        <x:f>IF(COUNT(N415,Q415,T415,W415,Z415,AC415,AF415,AI415)=8,N415*Guide!$E$5+Q415*Guide!$E$6+T415*Guide!$E$7+W415*Guide!$E$8+Z415*Guide!$E$9+AC415*Guide!$E$10+AF415*Guide!$E$11+AI415*Guide!$E$12,"")</x:f>
        <x:v>224</x:v>
      </x:c>
      <x:c r="G415" s="4" t="n">
        <x:f>IF(COUNT(O415,R415,U415,X415,AA415,AD415,AG415,AJ415)=8,O415*Guide!$E$5+R415*Guide!$E$6+U415*Guide!$E$7+X415*Guide!$E$8+AA415*Guide!$E$9+AD415*Guide!$E$10+AG415*Guide!$E$11+AJ415*Guide!$E$12,"")</x:f>
        <x:v>156</x:v>
      </x:c>
      <x:c r="H415" s="4" t="n">
        <x:f>IF(COUNT(G415,F415)=2,G415-F415,"")</x:f>
        <x:v>-68</x:v>
      </x:c>
      <x:c r="I415" s="4" t="n">
        <x:f>IF(AND(ISNUMBER(F415),K415&gt;0),F415/K415,"")</x:f>
        <x:v>2.9473684210526314</x:v>
      </x:c>
      <x:c r="J415" s="4" t="n">
        <x:f>IF(AND(ISNUMBER(G415),L415&gt;0),G415/L415,"")</x:f>
        <x:v>2</x:v>
      </x:c>
      <x:c r="K415" s="10" t="n">
        <x:v>76</x:v>
      </x:c>
      <x:c r="L415" s="10" t="n">
        <x:v>78</x:v>
      </x:c>
      <x:c r="M415" s="10" t="n">
        <x:f>IF(COUNT(L415,K415)=2,L415-K415,"")</x:f>
        <x:v>2</x:v>
      </x:c>
      <x:c r="N415" s="10" t="n">
        <x:v>20</x:v>
      </x:c>
      <x:c r="O415" s="10" t="n">
        <x:v>15</x:v>
      </x:c>
      <x:c r="P415" s="10" t="n">
        <x:f>IF(COUNT(O415,N415)=2,O415-N415,"")</x:f>
        <x:v>-5</x:v>
      </x:c>
      <x:c r="Q415" s="10" t="n">
        <x:v>23</x:v>
      </x:c>
      <x:c r="R415" s="10" t="n">
        <x:v>14</x:v>
      </x:c>
      <x:c r="S415" s="10" t="n">
        <x:f>IF(COUNT(R415,Q415)=2,R415-Q415,"")</x:f>
        <x:v>-9</x:v>
      </x:c>
      <x:c r="T415" s="10" t="n">
        <x:v>-11</x:v>
      </x:c>
      <x:c r="U415" s="10" t="n">
        <x:v>-20</x:v>
      </x:c>
      <x:c r="V415" s="10" t="n">
        <x:f>IF(COUNT(U415,T415)=2,U415-T415,"")</x:f>
        <x:v>-9</x:v>
      </x:c>
      <x:c r="W415" s="10" t="n">
        <x:v>12</x:v>
      </x:c>
      <x:c r="X415" s="10" t="n">
        <x:f>IF(COUNT(AV415,AW415)=2,AV415+AW415,"")</x:f>
        <x:v>7</x:v>
      </x:c>
      <x:c r="Y415" s="10" t="n">
        <x:f>IF(COUNT(X415,W415)=2,X415-W415,"")</x:f>
        <x:v>-5</x:v>
      </x:c>
      <x:c r="Z415" s="10" t="n">
        <x:v>2</x:v>
      </x:c>
      <x:c r="AA415" s="10" t="n">
        <x:f>IF(COUNT(AX415,AY415)=2,AX415+AY415,"")</x:f>
        <x:v>1</x:v>
      </x:c>
      <x:c r="AB415" s="10" t="n">
        <x:f>IF(COUNT(AA415,Z415)=2,AA415-Z415,"")</x:f>
        <x:v>-1</x:v>
      </x:c>
      <x:c r="AC415" s="10" t="n">
        <x:v>141</x:v>
      </x:c>
      <x:c r="AD415" s="10" t="n">
        <x:v>142</x:v>
      </x:c>
      <x:c r="AE415" s="10" t="n">
        <x:f>IF(COUNT(AD415,AC415)=2,AD415-AC415,"")</x:f>
        <x:v>1</x:v>
      </x:c>
      <x:c r="AF415" s="10" t="n">
        <x:v>17</x:v>
      </x:c>
      <x:c r="AG415" s="10" t="n">
        <x:v>21</x:v>
      </x:c>
      <x:c r="AH415" s="10" t="n">
        <x:f>IF(COUNT(AG415,AF415)=2,AG415-AF415,"")</x:f>
        <x:v>4</x:v>
      </x:c>
      <x:c r="AI415" s="10" t="n">
        <x:v>38</x:v>
      </x:c>
      <x:c r="AJ415" s="10" t="n">
        <x:v>31</x:v>
      </x:c>
      <x:c r="AK415" s="10" t="n">
        <x:f>IF(COUNT(AJ415,AI415)=2,AJ415-AI415,"")</x:f>
        <x:v>-7</x:v>
      </x:c>
      <x:c r="AL415" s="10" t="n">
        <x:v>27</x:v>
      </x:c>
      <x:c r="AM415" s="10" t="n">
        <x:v>27</x:v>
      </x:c>
      <x:c r="AN415" s="4" t="str">
        <x:v>C,LW,RW</x:v>
      </x:c>
      <x:c r="AO415" s="4" t="str">
        <x:v>C</x:v>
      </x:c>
      <x:c r="AP415" s="4" t="str">
        <x:v>CGY</x:v>
      </x:c>
      <x:c r="AQ415" s="4" t="str">
        <x:v>CGY</x:v>
      </x:c>
      <x:c r="AR415" s="4" t="n">
        <x:v>16.78</x:v>
      </x:c>
      <x:c r="AS415" s="4" t="n">
        <x:v>16.05</x:v>
      </x:c>
      <x:c r="AT415" s="4" t="n">
        <x:v>2.15</x:v>
      </x:c>
      <x:c r="AU415" s="4" t="n">
        <x:v>10.6</x:v>
      </x:c>
      <x:c r="AV415" s="10" t="n">
        <x:v>4</x:v>
      </x:c>
      <x:c r="AW415" s="10" t="n">
        <x:v>3</x:v>
      </x:c>
      <x:c r="AX415" s="10" t="n">
        <x:v>1</x:v>
      </x:c>
      <x:c r="AY415" s="10" t="n">
        <x:v>0</x:v>
      </x:c>
      <x:c r="AZ415" s="10" t="n">
        <x:v>1054</x:v>
      </x:c>
      <x:c r="BA415" s="10" t="n">
        <x:v>1084</x:v>
      </x:c>
      <x:c r="BB415" s="4" t="n">
        <x:v>49.3</x:v>
      </x:c>
      <x:c r="BC415" s="4" t="n">
        <x:v>1.2</x:v>
      </x:c>
      <x:c r="BD415" s="10" t="n">
        <x:v>725</x:v>
      </x:c>
      <x:c r="BE415" s="10" t="n">
        <x:v>774</x:v>
      </x:c>
      <x:c r="BF415" s="4" t="n">
        <x:v>48.4</x:v>
      </x:c>
      <x:c r="BG415" s="4" t="n">
        <x:v>0.6</x:v>
      </x:c>
      <x:c r="BH415" s="4" t="n">
        <x:v>8.1</x:v>
      </x:c>
      <x:c r="BI415" s="4" t="n">
        <x:v>89.4</x:v>
      </x:c>
      <x:c r="BJ415" s="4" t="n">
        <x:v>97.4</x:v>
      </x:c>
      <x:c r="BK415" s="4" t="n">
        <x:v>53</x:v>
      </x:c>
      <x:c r="BL415" s="4" t="n">
        <x:v>47</x:v>
      </x:c>
      <x:c r="BM415" s="4" t="n">
        <x:v>16.05</x:v>
      </x:c>
      <x:c r="BN415" s="4" t="n">
        <x:v>13.5</x:v>
      </x:c>
      <x:c r="BO415" s="10" t="n">
        <x:v>18</x:v>
      </x:c>
      <x:c r="BP415" s="10" t="n">
        <x:v>55</x:v>
      </x:c>
      <x:c r="BQ415" s="4" t="n">
        <x:v>-7.9</x:v>
      </x:c>
      <x:c r="BR415" s="10" t="n">
        <x:v>303</x:v>
      </x:c>
      <x:c r="BS415" s="4" t="n">
        <x:v>46.9</x:v>
      </x:c>
      <x:c r="BT415" s="10" t="n">
        <x:v>78</x:v>
      </x:c>
      <x:c r="BU415" s="4" t="str">
        <x:v>CGY</x:v>
      </x:c>
      <x:c r="BV415" s="10" t="n">
        <x:v>219</x:v>
      </x:c>
      <x:c r="BW415" s="10" t="n">
        <x:v>348</x:v>
      </x:c>
      <x:c r="BX415" s="10" t="n">
        <x:v>926</x:v>
      </x:c>
      <x:c r="BY415" s="4" t="str">
        <x:v>Yegor Sharangovich</x:v>
      </x:c>
      <x:c r="BZ415" s="4" t="str">
        <x:v>Yegor Sharangovich</x:v>
      </x:c>
      <x:c r="CA415" s="4" t="str">
        <x:v>Yegor Sharangovich</x:v>
      </x:c>
      <x:c r="CB415" s="4" t="str">
        <x:v>sharaye01</x:v>
      </x:c>
    </x:row>
    <x:row r="416" ht="22" customHeight="1">
      <x:c r="A416" s="4" t="str">
        <x:v>Zach Benson</x:v>
      </x:c>
      <x:c r="B416" s="4" t="str">
        <x:v>zachbenson</x:v>
      </x:c>
      <x:c r="C416" s="10" t="n">
        <x:v>1</x:v>
      </x:c>
      <x:c r="D416" s="10" t="n">
        <x:v>1</x:v>
      </x:c>
      <x:c r="E416" s="10" t="n">
        <x:v>1</x:v>
      </x:c>
      <x:c r="F416" s="4" t="n">
        <x:f>IF(COUNT(N416,Q416,T416,W416,Z416,AC416,AF416,AI416)=8,N416*Guide!$E$5+Q416*Guide!$E$6+T416*Guide!$E$7+W416*Guide!$E$8+Z416*Guide!$E$9+AC416*Guide!$E$10+AF416*Guide!$E$11+AI416*Guide!$E$12,"")</x:f>
        <x:v>210.75</x:v>
      </x:c>
      <x:c r="G416" s="4" t="n">
        <x:f>IF(COUNT(O416,R416,U416,X416,AA416,AD416,AG416,AJ416)=8,O416*Guide!$E$5+R416*Guide!$E$6+U416*Guide!$E$7+X416*Guide!$E$8+AA416*Guide!$E$9+AD416*Guide!$E$10+AG416*Guide!$E$11+AJ416*Guide!$E$12,"")</x:f>
        <x:v>235.25</x:v>
      </x:c>
      <x:c r="H416" s="4" t="n">
        <x:f>IF(COUNT(G416,F416)=2,G416-F416,"")</x:f>
        <x:v>24.5</x:v>
      </x:c>
      <x:c r="I416" s="4" t="n">
        <x:f>IF(AND(ISNUMBER(F416),K416&gt;0),F416/K416,"")</x:f>
        <x:v>2.81</x:v>
      </x:c>
      <x:c r="J416" s="4" t="n">
        <x:f>IF(AND(ISNUMBER(G416),L416&gt;0),G416/L416,"")</x:f>
        <x:v>3.6192307692307693</x:v>
      </x:c>
      <x:c r="K416" s="10" t="n">
        <x:v>75</x:v>
      </x:c>
      <x:c r="L416" s="10" t="n">
        <x:v>65</x:v>
      </x:c>
      <x:c r="M416" s="10" t="n">
        <x:f>IF(COUNT(L416,K416)=2,L416-K416,"")</x:f>
        <x:v>-10</x:v>
      </x:c>
      <x:c r="N416" s="10" t="n">
        <x:v>17</x:v>
      </x:c>
      <x:c r="O416" s="10" t="n">
        <x:v>13</x:v>
      </x:c>
      <x:c r="P416" s="10" t="n">
        <x:f>IF(COUNT(O416,N416)=2,O416-N416,"")</x:f>
        <x:v>-4</x:v>
      </x:c>
      <x:c r="Q416" s="10" t="n">
        <x:v>22</x:v>
      </x:c>
      <x:c r="R416" s="10" t="n">
        <x:v>30</x:v>
      </x:c>
      <x:c r="S416" s="10" t="n">
        <x:f>IF(COUNT(R416,Q416)=2,R416-Q416,"")</x:f>
        <x:v>8</x:v>
      </x:c>
      <x:c r="T416" s="10" t="n">
        <x:v>1</x:v>
      </x:c>
      <x:c r="U416" s="10" t="n">
        <x:v>27</x:v>
      </x:c>
      <x:c r="V416" s="10" t="n">
        <x:f>IF(COUNT(U416,T416)=2,U416-T416,"")</x:f>
        <x:v>26</x:v>
      </x:c>
      <x:c r="W416" s="10" t="n">
        <x:v>7</x:v>
      </x:c>
      <x:c r="X416" s="10" t="n">
        <x:f>IF(COUNT(AV416,AW416)=2,AV416+AW416,"")</x:f>
        <x:v>5</x:v>
      </x:c>
      <x:c r="Y416" s="10" t="n">
        <x:f>IF(COUNT(X416,W416)=2,X416-W416,"")</x:f>
        <x:v>-2</x:v>
      </x:c>
      <x:c r="Z416" s="10" t="n">
        <x:v>1</x:v>
      </x:c>
      <x:c r="AA416" s="10" t="n">
        <x:f>IF(COUNT(AX416,AY416)=2,AX416+AY416,"")</x:f>
        <x:v>2</x:v>
      </x:c>
      <x:c r="AB416" s="10" t="n">
        <x:f>IF(COUNT(AA416,Z416)=2,AA416-Z416,"")</x:f>
        <x:v>1</x:v>
      </x:c>
      <x:c r="AC416" s="10" t="n">
        <x:v>124</x:v>
      </x:c>
      <x:c r="AD416" s="10" t="n">
        <x:v>115</x:v>
      </x:c>
      <x:c r="AE416" s="10" t="n">
        <x:f>IF(COUNT(AD416,AC416)=2,AD416-AC416,"")</x:f>
        <x:v>-9</x:v>
      </x:c>
      <x:c r="AF416" s="10" t="n">
        <x:v>37</x:v>
      </x:c>
      <x:c r="AG416" s="10" t="n">
        <x:v>40</x:v>
      </x:c>
      <x:c r="AH416" s="10" t="n">
        <x:f>IF(COUNT(AG416,AF416)=2,AG416-AF416,"")</x:f>
        <x:v>3</x:v>
      </x:c>
      <x:c r="AI416" s="10" t="n">
        <x:v>34</x:v>
      </x:c>
      <x:c r="AJ416" s="10" t="n">
        <x:v>22</x:v>
      </x:c>
      <x:c r="AK416" s="10" t="n">
        <x:f>IF(COUNT(AJ416,AI416)=2,AJ416-AI416,"")</x:f>
        <x:v>-12</x:v>
      </x:c>
      <x:c r="AL416" s="10" t="n">
        <x:v>20</x:v>
      </x:c>
      <x:c r="AM416" s="10" t="n">
        <x:v>20</x:v>
      </x:c>
      <x:c r="AN416" s="4" t="str">
        <x:v>LW</x:v>
      </x:c>
      <x:c r="AO416" s="4" t="str">
        <x:v>LW</x:v>
      </x:c>
      <x:c r="AP416" s="4" t="str">
        <x:v>BUF</x:v>
      </x:c>
      <x:c r="AQ416" s="4" t="str">
        <x:v>BUF</x:v>
      </x:c>
      <x:c r="AR416" s="4" t="n">
        <x:v>15.45</x:v>
      </x:c>
      <x:c r="AS416" s="4" t="n">
        <x:v>15.883333333333333</x:v>
      </x:c>
      <x:c r="AT416" s="4" t="n">
        <x:v>1.5</x:v>
      </x:c>
      <x:c r="AU416" s="4" t="n">
        <x:v>11.3</x:v>
      </x:c>
      <x:c r="AV416" s="10" t="n">
        <x:v>1</x:v>
      </x:c>
      <x:c r="AW416" s="10" t="n">
        <x:v>4</x:v>
      </x:c>
      <x:c r="AX416" s="10" t="n">
        <x:v>1</x:v>
      </x:c>
      <x:c r="AY416" s="10" t="n">
        <x:v>1</x:v>
      </x:c>
      <x:c r="AZ416" s="10" t="n">
        <x:v>864</x:v>
      </x:c>
      <x:c r="BA416" s="10" t="n">
        <x:v>780</x:v>
      </x:c>
      <x:c r="BB416" s="4" t="n">
        <x:v>52.6</x:v>
      </x:c>
      <x:c r="BC416" s="4" t="n">
        <x:v>4.6</x:v>
      </x:c>
      <x:c r="BD416" s="10" t="n">
        <x:v>633</x:v>
      </x:c>
      <x:c r="BE416" s="10" t="n">
        <x:v>570</x:v>
      </x:c>
      <x:c r="BF416" s="4" t="n">
        <x:v>52.6</x:v>
      </x:c>
      <x:c r="BG416" s="4" t="n">
        <x:v>3.7</x:v>
      </x:c>
      <x:c r="BH416" s="4" t="n">
        <x:v>13.7</x:v>
      </x:c>
      <x:c r="BI416" s="4" t="n">
        <x:v>91.7</x:v>
      </x:c>
      <x:c r="BJ416" s="4" t="n">
        <x:v>105.4</x:v>
      </x:c>
      <x:c r="BK416" s="4" t="n">
        <x:v>47.6</x:v>
      </x:c>
      <x:c r="BL416" s="4" t="n">
        <x:v>52.4</x:v>
      </x:c>
      <x:c r="BM416" s="4" t="n">
        <x:v>15.883333333333333</x:v>
      </x:c>
      <x:c r="BN416" s="4" t="n">
        <x:v>13.216666666666667</x:v>
      </x:c>
      <x:c r="BO416" s="10" t="n">
        <x:v>25</x:v>
      </x:c>
      <x:c r="BP416" s="10" t="n">
        <x:v>46</x:v>
      </x:c>
      <x:c r="BQ416" s="4" t="n">
        <x:v>4.4</x:v>
      </x:c>
      <x:c r="BR416" s="10" t="n">
        <x:v>193</x:v>
      </x:c>
      <x:c r="BS416" s="4" t="n">
        <x:v>59.6</x:v>
      </x:c>
      <x:c r="BT416" s="10" t="n">
        <x:v>65</x:v>
      </x:c>
      <x:c r="BU416" s="4" t="str">
        <x:v>BUF</x:v>
      </x:c>
      <x:c r="BV416" s="10" t="n">
        <x:v>262</x:v>
      </x:c>
      <x:c r="BW416" s="10" t="n">
        <x:v>189</x:v>
      </x:c>
      <x:c r="BX416" s="10" t="n">
        <x:v>50</x:v>
      </x:c>
      <x:c r="BY416" s="4" t="str">
        <x:v>Zach Benson</x:v>
      </x:c>
      <x:c r="BZ416" s="4" t="str">
        <x:v>Zach Benson</x:v>
      </x:c>
      <x:c r="CA416" s="4" t="str">
        <x:v>Zach Benson</x:v>
      </x:c>
      <x:c r="CB416" s="4" t="str">
        <x:v>bensoza01</x:v>
      </x:c>
    </x:row>
    <x:row r="417" ht="22" customHeight="1">
      <x:c r="A417" s="4" t="str">
        <x:v>Zach Hyman</x:v>
      </x:c>
      <x:c r="B417" s="4" t="str">
        <x:v>zachhyman</x:v>
      </x:c>
      <x:c r="C417" s="10" t="n">
        <x:v>1</x:v>
      </x:c>
      <x:c r="D417" s="10" t="n">
        <x:v>1</x:v>
      </x:c>
      <x:c r="E417" s="10" t="n">
        <x:v>1</x:v>
      </x:c>
      <x:c r="F417" s="4" t="n">
        <x:f>IF(COUNT(N417,Q417,T417,W417,Z417,AC417,AF417,AI417)=8,N417*Guide!$E$5+Q417*Guide!$E$6+T417*Guide!$E$7+W417*Guide!$E$8+Z417*Guide!$E$9+AC417*Guide!$E$10+AF417*Guide!$E$11+AI417*Guide!$E$12,"")</x:f>
        <x:v>350</x:v>
      </x:c>
      <x:c r="G417" s="4" t="n">
        <x:f>IF(COUNT(O417,R417,U417,X417,AA417,AD417,AG417,AJ417)=8,O417*Guide!$E$5+R417*Guide!$E$6+U417*Guide!$E$7+X417*Guide!$E$8+AA417*Guide!$E$9+AD417*Guide!$E$10+AG417*Guide!$E$11+AJ417*Guide!$E$12,"")</x:f>
        <x:v>282.25</x:v>
      </x:c>
      <x:c r="H417" s="4" t="n">
        <x:f>IF(COUNT(G417,F417)=2,G417-F417,"")</x:f>
        <x:v>-67.75</x:v>
      </x:c>
      <x:c r="I417" s="4" t="n">
        <x:f>IF(AND(ISNUMBER(F417),K417&gt;0),F417/K417,"")</x:f>
        <x:v>4.605263157894737</x:v>
      </x:c>
      <x:c r="J417" s="4" t="n">
        <x:f>IF(AND(ISNUMBER(G417),L417&gt;0),G417/L417,"")</x:f>
        <x:v>4.866379310344827</x:v>
      </x:c>
      <x:c r="K417" s="10" t="n">
        <x:v>76</x:v>
      </x:c>
      <x:c r="L417" s="10" t="n">
        <x:v>58</x:v>
      </x:c>
      <x:c r="M417" s="10" t="n">
        <x:f>IF(COUNT(L417,K417)=2,L417-K417,"")</x:f>
        <x:v>-18</x:v>
      </x:c>
      <x:c r="N417" s="10" t="n">
        <x:v>36</x:v>
      </x:c>
      <x:c r="O417" s="10" t="n">
        <x:v>31</x:v>
      </x:c>
      <x:c r="P417" s="10" t="n">
        <x:f>IF(COUNT(O417,N417)=2,O417-N417,"")</x:f>
        <x:v>-5</x:v>
      </x:c>
      <x:c r="Q417" s="10" t="n">
        <x:v>25</x:v>
      </x:c>
      <x:c r="R417" s="10" t="n">
        <x:v>21</x:v>
      </x:c>
      <x:c r="S417" s="10" t="n">
        <x:f>IF(COUNT(R417,Q417)=2,R417-Q417,"")</x:f>
        <x:v>-4</x:v>
      </x:c>
      <x:c r="T417" s="10" t="n">
        <x:v>24</x:v>
      </x:c>
      <x:c r="U417" s="10" t="n">
        <x:v>13</x:v>
      </x:c>
      <x:c r="V417" s="10" t="n">
        <x:f>IF(COUNT(U417,T417)=2,U417-T417,"")</x:f>
        <x:v>-11</x:v>
      </x:c>
      <x:c r="W417" s="10" t="n">
        <x:v>16</x:v>
      </x:c>
      <x:c r="X417" s="10" t="n">
        <x:f>IF(COUNT(AV417,AW417)=2,AV417+AW417,"")</x:f>
        <x:v>15</x:v>
      </x:c>
      <x:c r="Y417" s="10" t="n">
        <x:f>IF(COUNT(X417,W417)=2,X417-W417,"")</x:f>
        <x:v>-1</x:v>
      </x:c>
      <x:c r="Z417" s="10" t="n">
        <x:v>0</x:v>
      </x:c>
      <x:c r="AA417" s="10" t="n">
        <x:f>IF(COUNT(AX417,AY417)=2,AX417+AY417,"")</x:f>
        <x:v>0</x:v>
      </x:c>
      <x:c r="AB417" s="10" t="n">
        <x:f>IF(COUNT(AA417,Z417)=2,AA417-Z417,"")</x:f>
        <x:v>0</x:v>
      </x:c>
      <x:c r="AC417" s="10" t="n">
        <x:v>214</x:v>
      </x:c>
      <x:c r="AD417" s="10" t="n">
        <x:v>159</x:v>
      </x:c>
      <x:c r="AE417" s="10" t="n">
        <x:f>IF(COUNT(AD417,AC417)=2,AD417-AC417,"")</x:f>
        <x:v>-55</x:v>
      </x:c>
      <x:c r="AF417" s="10" t="n">
        <x:v>66</x:v>
      </x:c>
      <x:c r="AG417" s="10" t="n">
        <x:v>56</x:v>
      </x:c>
      <x:c r="AH417" s="10" t="n">
        <x:f>IF(COUNT(AG417,AF417)=2,AG417-AF417,"")</x:f>
        <x:v>-10</x:v>
      </x:c>
      <x:c r="AI417" s="10" t="n">
        <x:v>28</x:v>
      </x:c>
      <x:c r="AJ417" s="10" t="n">
        <x:v>18</x:v>
      </x:c>
      <x:c r="AK417" s="10" t="n">
        <x:f>IF(COUNT(AJ417,AI417)=2,AJ417-AI417,"")</x:f>
        <x:v>-10</x:v>
      </x:c>
      <x:c r="AL417" s="10" t="n">
        <x:v>33</x:v>
      </x:c>
      <x:c r="AM417" s="10" t="n">
        <x:v>33</x:v>
      </x:c>
      <x:c r="AN417" s="4" t="str">
        <x:v>LW,RW</x:v>
      </x:c>
      <x:c r="AO417" s="4" t="str">
        <x:v>LW</x:v>
      </x:c>
      <x:c r="AP417" s="4" t="str">
        <x:v>EDM</x:v>
      </x:c>
      <x:c r="AQ417" s="4" t="str">
        <x:v>EDM</x:v>
      </x:c>
      <x:c r="AR417" s="4" t="n">
        <x:v>18.58</x:v>
      </x:c>
      <x:c r="AS417" s="4" t="n">
        <x:v>19.983333333333334</x:v>
      </x:c>
      <x:c r="AT417" s="4" t="n">
        <x:v>2.95</x:v>
      </x:c>
      <x:c r="AU417" s="4" t="n">
        <x:v>19.5</x:v>
      </x:c>
      <x:c r="AV417" s="10" t="n">
        <x:v>10</x:v>
      </x:c>
      <x:c r="AW417" s="10" t="n">
        <x:v>5</x:v>
      </x:c>
      <x:c r="AX417" s="10" t="n">
        <x:v>0</x:v>
      </x:c>
      <x:c r="AY417" s="10" t="n">
        <x:v>0</x:v>
      </x:c>
      <x:c r="AZ417" s="10" t="n">
        <x:v>1023</x:v>
      </x:c>
      <x:c r="BA417" s="10" t="n">
        <x:v>916</x:v>
      </x:c>
      <x:c r="BB417" s="4" t="n">
        <x:v>52.8</x:v>
      </x:c>
      <x:c r="BC417" s="4" t="n">
        <x:v>3.5</x:v>
      </x:c>
      <x:c r="BD417" s="10" t="n">
        <x:v>777</x:v>
      </x:c>
      <x:c r="BE417" s="10" t="n">
        <x:v>681</x:v>
      </x:c>
      <x:c r="BF417" s="4" t="n">
        <x:v>53.3</x:v>
      </x:c>
      <x:c r="BG417" s="4" t="n">
        <x:v>3</x:v>
      </x:c>
      <x:c r="BH417" s="4" t="n">
        <x:v>13.3</x:v>
      </x:c>
      <x:c r="BI417" s="4" t="n">
        <x:v>88</x:v>
      </x:c>
      <x:c r="BJ417" s="4" t="n">
        <x:v>101.3</x:v>
      </x:c>
      <x:c r="BK417" s="4" t="n">
        <x:v>62.7</x:v>
      </x:c>
      <x:c r="BL417" s="4" t="n">
        <x:v>37.3</x:v>
      </x:c>
      <x:c r="BM417" s="4" t="n">
        <x:v>19.983333333333334</x:v>
      </x:c>
      <x:c r="BN417" s="4" t="n">
        <x:v>16.333333333333332</x:v>
      </x:c>
      <x:c r="BO417" s="10" t="n">
        <x:v>8</x:v>
      </x:c>
      <x:c r="BP417" s="10" t="n">
        <x:v>27</x:v>
      </x:c>
      <x:c r="BQ417" s="4" t="n">
        <x:v>11.5</x:v>
      </x:c>
      <x:c r="BR417" s="10" t="n">
        <x:v>291</x:v>
      </x:c>
      <x:c r="BS417" s="4" t="n">
        <x:v>54.6</x:v>
      </x:c>
      <x:c r="BT417" s="10" t="n">
        <x:v>58</x:v>
      </x:c>
      <x:c r="BU417" s="4" t="str">
        <x:v>EDM</x:v>
      </x:c>
      <x:c r="BV417" s="10" t="n">
        <x:v>86</x:v>
      </x:c>
      <x:c r="BW417" s="10" t="n">
        <x:v>129</x:v>
      </x:c>
      <x:c r="BX417" s="10" t="n">
        <x:v>445</x:v>
      </x:c>
      <x:c r="BY417" s="4" t="str">
        <x:v>Zach Hyman</x:v>
      </x:c>
      <x:c r="BZ417" s="4" t="str">
        <x:v>Zach Hyman</x:v>
      </x:c>
      <x:c r="CA417" s="4" t="str">
        <x:v>Zach Hyman</x:v>
      </x:c>
      <x:c r="CB417" s="4" t="str">
        <x:v>hymanza01</x:v>
      </x:c>
    </x:row>
    <x:row r="418" ht="22" customHeight="1">
      <x:c r="A418" s="4" t="str">
        <x:v>Zach Werenski</x:v>
      </x:c>
      <x:c r="B418" s="4" t="str">
        <x:v>zachwerenski</x:v>
      </x:c>
      <x:c r="C418" s="10" t="n">
        <x:v>1</x:v>
      </x:c>
      <x:c r="D418" s="10" t="n">
        <x:v>1</x:v>
      </x:c>
      <x:c r="E418" s="10" t="n">
        <x:v>1</x:v>
      </x:c>
      <x:c r="F418" s="4" t="n">
        <x:f>IF(COUNT(N418,Q418,T418,W418,Z418,AC418,AF418,AI418)=8,N418*Guide!$E$5+Q418*Guide!$E$6+T418*Guide!$E$7+W418*Guide!$E$8+Z418*Guide!$E$9+AC418*Guide!$E$10+AF418*Guide!$E$11+AI418*Guide!$E$12,"")</x:f>
        <x:v>435.25</x:v>
      </x:c>
      <x:c r="G418" s="4" t="n">
        <x:f>IF(COUNT(O418,R418,U418,X418,AA418,AD418,AG418,AJ418)=8,O418*Guide!$E$5+R418*Guide!$E$6+U418*Guide!$E$7+X418*Guide!$E$8+AA418*Guide!$E$9+AD418*Guide!$E$10+AG418*Guide!$E$11+AJ418*Guide!$E$12,"")</x:f>
        <x:v>439</x:v>
      </x:c>
      <x:c r="H418" s="4" t="n">
        <x:f>IF(COUNT(G418,F418)=2,G418-F418,"")</x:f>
        <x:v>3.75</x:v>
      </x:c>
      <x:c r="I418" s="4" t="n">
        <x:f>IF(AND(ISNUMBER(F418),K418&gt;0),F418/K418,"")</x:f>
        <x:v>5.440625</x:v>
      </x:c>
      <x:c r="J418" s="4" t="n">
        <x:f>IF(AND(ISNUMBER(G418),L418&gt;0),G418/L418,"")</x:f>
        <x:v>5.8533333333333335</x:v>
      </x:c>
      <x:c r="K418" s="10" t="n">
        <x:v>80</x:v>
      </x:c>
      <x:c r="L418" s="10" t="n">
        <x:v>75</x:v>
      </x:c>
      <x:c r="M418" s="10" t="n">
        <x:f>IF(COUNT(L418,K418)=2,L418-K418,"")</x:f>
        <x:v>-5</x:v>
      </x:c>
      <x:c r="N418" s="10" t="n">
        <x:v>19</x:v>
      </x:c>
      <x:c r="O418" s="10" t="n">
        <x:v>22</x:v>
      </x:c>
      <x:c r="P418" s="10" t="n">
        <x:f>IF(COUNT(O418,N418)=2,O418-N418,"")</x:f>
        <x:v>3</x:v>
      </x:c>
      <x:c r="Q418" s="10" t="n">
        <x:v>52</x:v>
      </x:c>
      <x:c r="R418" s="10" t="n">
        <x:v>59</x:v>
      </x:c>
      <x:c r="S418" s="10" t="n">
        <x:f>IF(COUNT(R418,Q418)=2,R418-Q418,"")</x:f>
        <x:v>7</x:v>
      </x:c>
      <x:c r="T418" s="10" t="n">
        <x:v>2</x:v>
      </x:c>
      <x:c r="U418" s="10" t="n">
        <x:v>7</x:v>
      </x:c>
      <x:c r="V418" s="10" t="n">
        <x:f>IF(COUNT(U418,T418)=2,U418-T418,"")</x:f>
        <x:v>5</x:v>
      </x:c>
      <x:c r="W418" s="10" t="n">
        <x:v>21</x:v>
      </x:c>
      <x:c r="X418" s="10" t="n">
        <x:f>IF(COUNT(AV418,AW418)=2,AV418+AW418,"")</x:f>
        <x:v>21</x:v>
      </x:c>
      <x:c r="Y418" s="10" t="n">
        <x:f>IF(COUNT(X418,W418)=2,X418-W418,"")</x:f>
        <x:v>0</x:v>
      </x:c>
      <x:c r="Z418" s="10" t="n">
        <x:v>1</x:v>
      </x:c>
      <x:c r="AA418" s="10" t="n">
        <x:f>IF(COUNT(AX418,AY418)=2,AX418+AY418,"")</x:f>
        <x:v>1</x:v>
      </x:c>
      <x:c r="AB418" s="10" t="n">
        <x:f>IF(COUNT(AA418,Z418)=2,AA418-Z418,"")</x:f>
        <x:v>0</x:v>
      </x:c>
      <x:c r="AC418" s="10" t="n">
        <x:v>260</x:v>
      </x:c>
      <x:c r="AD418" s="10" t="n">
        <x:v>260</x:v>
      </x:c>
      <x:c r="AE418" s="10" t="n">
        <x:f>IF(COUNT(AD418,AC418)=2,AD418-AC418,"")</x:f>
        <x:v>0</x:v>
      </x:c>
      <x:c r="AF418" s="10" t="n">
        <x:v>23</x:v>
      </x:c>
      <x:c r="AG418" s="10" t="n">
        <x:v>30</x:v>
      </x:c>
      <x:c r="AH418" s="10" t="n">
        <x:f>IF(COUNT(AG418,AF418)=2,AG418-AF418,"")</x:f>
        <x:v>7</x:v>
      </x:c>
      <x:c r="AI418" s="10" t="n">
        <x:v>142</x:v>
      </x:c>
      <x:c r="AJ418" s="10" t="n">
        <x:v>94</x:v>
      </x:c>
      <x:c r="AK418" s="10" t="n">
        <x:f>IF(COUNT(AJ418,AI418)=2,AJ418-AI418,"")</x:f>
        <x:v>-48</x:v>
      </x:c>
      <x:c r="AL418" s="10" t="n">
        <x:v>28</x:v>
      </x:c>
      <x:c r="AM418" s="10" t="n">
        <x:v>28</x:v>
      </x:c>
      <x:c r="AN418" s="4" t="str">
        <x:v>D</x:v>
      </x:c>
      <x:c r="AO418" s="4" t="str">
        <x:v>D</x:v>
      </x:c>
      <x:c r="AP418" s="4" t="str">
        <x:v>CBJ</x:v>
      </x:c>
      <x:c r="AQ418" s="4" t="str">
        <x:v>CBJ</x:v>
      </x:c>
      <x:c r="AR418" s="4" t="n">
        <x:v>26.409999999999997</x:v>
      </x:c>
      <x:c r="AS418" s="4" t="n">
        <x:v>26.616666666666667</x:v>
      </x:c>
      <x:c r="AT418" s="4" t="n">
        <x:v>2.67</x:v>
      </x:c>
      <x:c r="AU418" s="4" t="n">
        <x:v>8.5</x:v>
      </x:c>
      <x:c r="AV418" s="10" t="n">
        <x:v>4</x:v>
      </x:c>
      <x:c r="AW418" s="10" t="n">
        <x:v>17</x:v>
      </x:c>
      <x:c r="AX418" s="10" t="n">
        <x:v>0</x:v>
      </x:c>
      <x:c r="AY418" s="10" t="n">
        <x:v>1</x:v>
      </x:c>
      <x:c r="AZ418" s="10" t="n">
        <x:v>1901</x:v>
      </x:c>
      <x:c r="BA418" s="10" t="n">
        <x:v>1655</x:v>
      </x:c>
      <x:c r="BB418" s="4" t="n">
        <x:v>53.5</x:v>
      </x:c>
      <x:c r="BC418" s="4" t="n">
        <x:v>4.9</x:v>
      </x:c>
      <x:c r="BD418" s="10" t="n">
        <x:v>1357</x:v>
      </x:c>
      <x:c r="BE418" s="10" t="n">
        <x:v>1210</x:v>
      </x:c>
      <x:c r="BF418" s="4" t="n">
        <x:v>52.9</x:v>
      </x:c>
      <x:c r="BG418" s="4" t="n">
        <x:v>4.7</x:v>
      </x:c>
      <x:c r="BH418" s="4" t="n">
        <x:v>10.8</x:v>
      </x:c>
      <x:c r="BI418" s="4" t="n">
        <x:v>88.9</x:v>
      </x:c>
      <x:c r="BJ418" s="4" t="n">
        <x:v>99.7</x:v>
      </x:c>
      <x:c r="BK418" s="4" t="n">
        <x:v>55.5</x:v>
      </x:c>
      <x:c r="BL418" s="4" t="n">
        <x:v>44.5</x:v>
      </x:c>
      <x:c r="BM418" s="4" t="n">
        <x:v>26.616666666666667</x:v>
      </x:c>
      <x:c r="BN418" s="4" t="n">
        <x:v>22.35</x:v>
      </x:c>
      <x:c r="BO418" s="10" t="n">
        <x:v>35</x:v>
      </x:c>
      <x:c r="BP418" s="10" t="n">
        <x:v>125</x:v>
      </x:c>
      <x:c r="BQ418" s="4" t="n">
        <x:v>10.2</x:v>
      </x:c>
      <x:c r="BR418" s="10" t="n">
        <x:v>590</x:v>
      </x:c>
      <x:c r="BS418" s="4" t="n">
        <x:v>44.1</x:v>
      </x:c>
      <x:c r="BT418" s="10" t="n">
        <x:v>75</x:v>
      </x:c>
      <x:c r="BU418" s="4" t="str">
        <x:v>CBJ</x:v>
      </x:c>
      <x:c r="BV418" s="10" t="n">
        <x:v>43</x:v>
      </x:c>
      <x:c r="BW418" s="10" t="n">
        <x:v>28</x:v>
      </x:c>
      <x:c r="BX418" s="10" t="n">
        <x:v>1069</x:v>
      </x:c>
      <x:c r="BY418" s="4" t="str">
        <x:v>Zach Werenski</x:v>
      </x:c>
      <x:c r="BZ418" s="4" t="str">
        <x:v>Zach Werenski</x:v>
      </x:c>
      <x:c r="CA418" s="4" t="str">
        <x:v>Zach Werenski</x:v>
      </x:c>
      <x:c r="CB418" s="4" t="str">
        <x:v>werenza01</x:v>
      </x:c>
    </x:row>
    <x:row r="419" ht="22" customHeight="1">
      <x:c r="A419" s="4" t="str">
        <x:v>Zachary Bolduc</x:v>
      </x:c>
      <x:c r="B419" s="4" t="str">
        <x:v>zackbolduc</x:v>
      </x:c>
      <x:c r="C419" s="10" t="n">
        <x:v>1</x:v>
      </x:c>
      <x:c r="D419" s="10" t="n">
        <x:v>1</x:v>
      </x:c>
      <x:c r="E419" s="10" t="n">
        <x:v>1</x:v>
      </x:c>
      <x:c r="F419" s="4" t="n">
        <x:f>IF(COUNT(N419,Q419,T419,W419,Z419,AC419,AF419,AI419)=8,N419*Guide!$E$5+Q419*Guide!$E$6+T419*Guide!$E$7+W419*Guide!$E$8+Z419*Guide!$E$9+AC419*Guide!$E$10+AF419*Guide!$E$11+AI419*Guide!$E$12,"")</x:f>
        <x:v>229.25</x:v>
      </x:c>
      <x:c r="G419" s="4" t="n">
        <x:f>IF(COUNT(O419,R419,U419,X419,AA419,AD419,AG419,AJ419)=8,O419*Guide!$E$5+R419*Guide!$E$6+U419*Guide!$E$7+X419*Guide!$E$8+AA419*Guide!$E$9+AD419*Guide!$E$10+AG419*Guide!$E$11+AJ419*Guide!$E$12,"")</x:f>
        <x:v>202</x:v>
      </x:c>
      <x:c r="H419" s="4" t="n">
        <x:f>IF(COUNT(G419,F419)=2,G419-F419,"")</x:f>
        <x:v>-27.25</x:v>
      </x:c>
      <x:c r="I419" s="4" t="n">
        <x:f>IF(AND(ISNUMBER(F419),K419&gt;0),F419/K419,"")</x:f>
        <x:v>3.0566666666666666</x:v>
      </x:c>
      <x:c r="J419" s="4" t="n">
        <x:f>IF(AND(ISNUMBER(G419),L419&gt;0),G419/L419,"")</x:f>
        <x:v>2.58974358974359</x:v>
      </x:c>
      <x:c r="K419" s="10" t="n">
        <x:v>75</x:v>
      </x:c>
      <x:c r="L419" s="10" t="n">
        <x:v>78</x:v>
      </x:c>
      <x:c r="M419" s="10" t="n">
        <x:f>IF(COUNT(L419,K419)=2,L419-K419,"")</x:f>
        <x:v>3</x:v>
      </x:c>
      <x:c r="N419" s="10" t="n">
        <x:v>19</x:v>
      </x:c>
      <x:c r="O419" s="10" t="n">
        <x:v>12</x:v>
      </x:c>
      <x:c r="P419" s="10" t="n">
        <x:f>IF(COUNT(O419,N419)=2,O419-N419,"")</x:f>
        <x:v>-7</x:v>
      </x:c>
      <x:c r="Q419" s="10" t="n">
        <x:v>19</x:v>
      </x:c>
      <x:c r="R419" s="10" t="n">
        <x:v>18</x:v>
      </x:c>
      <x:c r="S419" s="10" t="n">
        <x:f>IF(COUNT(R419,Q419)=2,R419-Q419,"")</x:f>
        <x:v>-1</x:v>
      </x:c>
      <x:c r="T419" s="10" t="n">
        <x:v>3</x:v>
      </x:c>
      <x:c r="U419" s="10" t="n">
        <x:v>-6</x:v>
      </x:c>
      <x:c r="V419" s="10" t="n">
        <x:f>IF(COUNT(U419,T419)=2,U419-T419,"")</x:f>
        <x:v>-9</x:v>
      </x:c>
      <x:c r="W419" s="10" t="n">
        <x:v>10</x:v>
      </x:c>
      <x:c r="X419" s="10" t="n">
        <x:f>IF(COUNT(AV419,AW419)=2,AV419+AW419,"")</x:f>
        <x:v>6</x:v>
      </x:c>
      <x:c r="Y419" s="10" t="n">
        <x:f>IF(COUNT(X419,W419)=2,X419-W419,"")</x:f>
        <x:v>-4</x:v>
      </x:c>
      <x:c r="Z419" s="10" t="n">
        <x:v>0</x:v>
      </x:c>
      <x:c r="AA419" s="10" t="n">
        <x:f>IF(COUNT(AX419,AY419)=2,AX419+AY419,"")</x:f>
        <x:v>0</x:v>
      </x:c>
      <x:c r="AB419" s="10" t="n">
        <x:f>IF(COUNT(AA419,Z419)=2,AA419-Z419,"")</x:f>
        <x:v>0</x:v>
      </x:c>
      <x:c r="AC419" s="10" t="n">
        <x:v>125</x:v>
      </x:c>
      <x:c r="AD419" s="10" t="n">
        <x:v>101</x:v>
      </x:c>
      <x:c r="AE419" s="10" t="n">
        <x:f>IF(COUNT(AD419,AC419)=2,AD419-AC419,"")</x:f>
        <x:v>-24</x:v>
      </x:c>
      <x:c r="AF419" s="10" t="n">
        <x:v>94</x:v>
      </x:c>
      <x:c r="AG419" s="10" t="n">
        <x:v>170</x:v>
      </x:c>
      <x:c r="AH419" s="10" t="n">
        <x:f>IF(COUNT(AG419,AF419)=2,AG419-AF419,"")</x:f>
        <x:v>76</x:v>
      </x:c>
      <x:c r="AI419" s="10" t="n">
        <x:v>38</x:v>
      </x:c>
      <x:c r="AJ419" s="10" t="n">
        <x:v>43</x:v>
      </x:c>
      <x:c r="AK419" s="10" t="n">
        <x:f>IF(COUNT(AJ419,AI419)=2,AJ419-AI419,"")</x:f>
        <x:v>5</x:v>
      </x:c>
      <x:c r="AL419" s="10" t="n">
        <x:v>22</x:v>
      </x:c>
      <x:c r="AM419" s="10" t="n">
        <x:v>22</x:v>
      </x:c>
      <x:c r="AN419" s="4" t="str">
        <x:v>RW</x:v>
      </x:c>
      <x:c r="AO419" s="4" t="str">
        <x:v>C</x:v>
      </x:c>
      <x:c r="AP419" s="4" t="str">
        <x:v>MTL</x:v>
      </x:c>
      <x:c r="AQ419" s="4" t="str">
        <x:v>MTL</x:v>
      </x:c>
      <x:c r="AR419" s="4" t="n">
        <x:v>13.21</x:v>
      </x:c>
      <x:c r="AS419" s="4" t="n">
        <x:v>13.633333333333333</x:v>
      </x:c>
      <x:c r="AT419" s="4" t="n">
        <x:v>1.29</x:v>
      </x:c>
      <x:c r="AU419" s="4" t="n">
        <x:v>11.9</x:v>
      </x:c>
      <x:c r="AV419" s="10" t="n">
        <x:v>3</x:v>
      </x:c>
      <x:c r="AW419" s="10" t="n">
        <x:v>3</x:v>
      </x:c>
      <x:c r="AX419" s="10" t="n">
        <x:v>0</x:v>
      </x:c>
      <x:c r="AY419" s="10" t="n">
        <x:v>0</x:v>
      </x:c>
      <x:c r="AZ419" s="10" t="n">
        <x:v>851</x:v>
      </x:c>
      <x:c r="BA419" s="10" t="n">
        <x:v>875</x:v>
      </x:c>
      <x:c r="BB419" s="4" t="n">
        <x:v>49.3</x:v>
      </x:c>
      <x:c r="BC419" s="4" t="n">
        <x:v>0.8</x:v>
      </x:c>
      <x:c r="BD419" s="10" t="n">
        <x:v>610</x:v>
      </x:c>
      <x:c r="BE419" s="10" t="n">
        <x:v>601</x:v>
      </x:c>
      <x:c r="BF419" s="4" t="n">
        <x:v>50.4</x:v>
      </x:c>
      <x:c r="BG419" s="4" t="n">
        <x:v>0.9</x:v>
      </x:c>
      <x:c r="BH419" s="4" t="n">
        <x:v>10.1</x:v>
      </x:c>
      <x:c r="BI419" s="4" t="n">
        <x:v>89.5</x:v>
      </x:c>
      <x:c r="BJ419" s="4" t="n">
        <x:v>99.6</x:v>
      </x:c>
      <x:c r="BK419" s="4" t="n">
        <x:v>47.9</x:v>
      </x:c>
      <x:c r="BL419" s="4" t="n">
        <x:v>52.1</x:v>
      </x:c>
      <x:c r="BM419" s="4" t="n">
        <x:v>13.633333333333333</x:v>
      </x:c>
      <x:c r="BN419" s="4" t="n">
        <x:v>12.016666666666667</x:v>
      </x:c>
      <x:c r="BO419" s="10" t="n">
        <x:v>18</x:v>
      </x:c>
      <x:c r="BP419" s="10" t="n">
        <x:v>66</x:v>
      </x:c>
      <x:c r="BQ419" s="4" t="n">
        <x:v>1</x:v>
      </x:c>
      <x:c r="BR419" s="10" t="n">
        <x:v>235</x:v>
      </x:c>
      <x:c r="BS419" s="4" t="n">
        <x:v>43</x:v>
      </x:c>
      <x:c r="BT419" s="10" t="n">
        <x:v>78</x:v>
      </x:c>
      <x:c r="BU419" s="4" t="str">
        <x:v>MTL</x:v>
      </x:c>
      <x:c r="BV419" s="10" t="n">
        <x:v>274</x:v>
      </x:c>
      <x:c r="BW419" s="10" t="n">
        <x:v>326</x:v>
      </x:c>
      <x:c r="BX419" s="10" t="n">
        <x:v>77</x:v>
      </x:c>
      <x:c r="BY419" s="4" t="str">
        <x:v>Zack Bolduc</x:v>
      </x:c>
      <x:c r="BZ419" s="4" t="str">
        <x:v>Zachary Bolduc</x:v>
      </x:c>
      <x:c r="CA419" s="4" t="str">
        <x:v>Zachary Bolduc</x:v>
      </x:c>
      <x:c r="CB419" s="4" t="str">
        <x:v>bolduza01</x:v>
      </x:c>
    </x:row>
    <x:row r="420" ht="22" customHeight="1">
      <x:c r="A420" s="4" t="str">
        <x:v>Zeev Buium</x:v>
      </x:c>
      <x:c r="B420" s="4" t="str">
        <x:v>zeevbuium</x:v>
      </x:c>
      <x:c r="C420" s="10" t="n">
        <x:v>1</x:v>
      </x:c>
      <x:c r="D420" s="10" t="n">
        <x:v>1</x:v>
      </x:c>
      <x:c r="E420" s="10" t="n">
        <x:v>1</x:v>
      </x:c>
      <x:c r="F420" s="4" t="n">
        <x:f>IF(COUNT(N420,Q420,T420,W420,Z420,AC420,AF420,AI420)=8,N420*Guide!$E$5+Q420*Guide!$E$6+T420*Guide!$E$7+W420*Guide!$E$8+Z420*Guide!$E$9+AC420*Guide!$E$10+AF420*Guide!$E$11+AI420*Guide!$E$12,"")</x:f>
        <x:v>253.5</x:v>
      </x:c>
      <x:c r="G420" s="4" t="n">
        <x:f>IF(COUNT(O420,R420,U420,X420,AA420,AD420,AG420,AJ420)=8,O420*Guide!$E$5+R420*Guide!$E$6+U420*Guide!$E$7+X420*Guide!$E$8+AA420*Guide!$E$9+AD420*Guide!$E$10+AG420*Guide!$E$11+AJ420*Guide!$E$12,"")</x:f>
        <x:v>130.5</x:v>
      </x:c>
      <x:c r="H420" s="4" t="n">
        <x:f>IF(COUNT(G420,F420)=2,G420-F420,"")</x:f>
        <x:v>-123</x:v>
      </x:c>
      <x:c r="I420" s="4" t="n">
        <x:f>IF(AND(ISNUMBER(F420),K420&gt;0),F420/K420,"")</x:f>
        <x:v>3.25</x:v>
      </x:c>
      <x:c r="J420" s="4" t="n">
        <x:f>IF(AND(ISNUMBER(G420),L420&gt;0),G420/L420,"")</x:f>
        <x:v>1.7171052631578947</x:v>
      </x:c>
      <x:c r="K420" s="10" t="n">
        <x:v>78</x:v>
      </x:c>
      <x:c r="L420" s="10" t="n">
        <x:v>76</x:v>
      </x:c>
      <x:c r="M420" s="10" t="n">
        <x:f>IF(COUNT(L420,K420)=2,L420-K420,"")</x:f>
        <x:v>-2</x:v>
      </x:c>
      <x:c r="N420" s="10" t="n">
        <x:v>8</x:v>
      </x:c>
      <x:c r="O420" s="10" t="n">
        <x:v>6</x:v>
      </x:c>
      <x:c r="P420" s="10" t="n">
        <x:f>IF(COUNT(O420,N420)=2,O420-N420,"")</x:f>
        <x:v>-2</x:v>
      </x:c>
      <x:c r="Q420" s="10" t="n">
        <x:v>29</x:v>
      </x:c>
      <x:c r="R420" s="10" t="n">
        <x:v>20</x:v>
      </x:c>
      <x:c r="S420" s="10" t="n">
        <x:f>IF(COUNT(R420,Q420)=2,R420-Q420,"")</x:f>
        <x:v>-9</x:v>
      </x:c>
      <x:c r="T420" s="10" t="n">
        <x:v>5</x:v>
      </x:c>
      <x:c r="U420" s="10" t="n">
        <x:v>-33</x:v>
      </x:c>
      <x:c r="V420" s="10" t="n">
        <x:f>IF(COUNT(U420,T420)=2,U420-T420,"")</x:f>
        <x:v>-38</x:v>
      </x:c>
      <x:c r="W420" s="10" t="n">
        <x:v>13</x:v>
      </x:c>
      <x:c r="X420" s="10" t="n">
        <x:f>IF(COUNT(AV420,AW420)=2,AV420+AW420,"")</x:f>
        <x:v>13</x:v>
      </x:c>
      <x:c r="Y420" s="10" t="n">
        <x:f>IF(COUNT(X420,W420)=2,X420-W420,"")</x:f>
        <x:v>0</x:v>
      </x:c>
      <x:c r="Z420" s="10" t="n">
        <x:v>0</x:v>
      </x:c>
      <x:c r="AA420" s="10" t="n">
        <x:f>IF(COUNT(AX420,AY420)=2,AX420+AY420,"")</x:f>
        <x:v>0</x:v>
      </x:c>
      <x:c r="AB420" s="10" t="n">
        <x:f>IF(COUNT(AA420,Z420)=2,AA420-Z420,"")</x:f>
        <x:v>0</x:v>
      </x:c>
      <x:c r="AC420" s="10" t="n">
        <x:v>130</x:v>
      </x:c>
      <x:c r="AD420" s="10" t="n">
        <x:v>73</x:v>
      </x:c>
      <x:c r="AE420" s="10" t="n">
        <x:f>IF(COUNT(AD420,AC420)=2,AD420-AC420,"")</x:f>
        <x:v>-57</x:v>
      </x:c>
      <x:c r="AF420" s="10" t="n">
        <x:v>63</x:v>
      </x:c>
      <x:c r="AG420" s="10" t="n">
        <x:v>28</x:v>
      </x:c>
      <x:c r="AH420" s="10" t="n">
        <x:f>IF(COUNT(AG420,AF420)=2,AG420-AF420,"")</x:f>
        <x:v>-35</x:v>
      </x:c>
      <x:c r="AI420" s="10" t="n">
        <x:v>91</x:v>
      </x:c>
      <x:c r="AJ420" s="10" t="n">
        <x:v>55</x:v>
      </x:c>
      <x:c r="AK420" s="10" t="n">
        <x:f>IF(COUNT(AJ420,AI420)=2,AJ420-AI420,"")</x:f>
        <x:v>-36</x:v>
      </x:c>
      <x:c r="AL420" s="10" t="n">
        <x:v>20</x:v>
      </x:c>
      <x:c r="AM420" s="10" t="n">
        <x:v>20</x:v>
      </x:c>
      <x:c r="AN420" s="4" t="str">
        <x:v>D</x:v>
      </x:c>
      <x:c r="AO420" s="4" t="str">
        <x:v>D</x:v>
      </x:c>
      <x:c r="AP420" s="4" t="str">
        <x:v>MIN</x:v>
      </x:c>
      <x:c r="AQ420" s="4" t="str">
        <x:v>2TM</x:v>
      </x:c>
      <x:c r="AR420" s="4" t="n">
        <x:v>19.75</x:v>
      </x:c>
      <x:c r="AS420" s="4" t="n">
        <x:v>19.583333333333332</x:v>
      </x:c>
      <x:c r="AT420" s="4" t="n">
        <x:v>2.75</x:v>
      </x:c>
      <x:c r="AU420" s="4" t="n">
        <x:v>8.2</x:v>
      </x:c>
      <x:c r="AV420" s="10" t="n">
        <x:v>3</x:v>
      </x:c>
      <x:c r="AW420" s="10" t="n">
        <x:v>10</x:v>
      </x:c>
      <x:c r="AX420" s="10" t="n">
        <x:v>0</x:v>
      </x:c>
      <x:c r="AY420" s="10" t="n">
        <x:v>0</x:v>
      </x:c>
      <x:c r="AZ420" s="10" t="n">
        <x:v>1224</x:v>
      </x:c>
      <x:c r="BA420" s="10" t="n">
        <x:v>1290</x:v>
      </x:c>
      <x:c r="BB420" s="4" t="n">
        <x:v>48.7</x:v>
      </x:c>
      <x:c r="BC420" s="4" t="n">
        <x:v>3.2</x:v>
      </x:c>
      <x:c r="BD420" s="10" t="n">
        <x:v>867</x:v>
      </x:c>
      <x:c r="BE420" s="10" t="n">
        <x:v>975</x:v>
      </x:c>
      <x:c r="BF420" s="4" t="n">
        <x:v>47.1</x:v>
      </x:c>
      <x:c r="BG420" s="4" t="n">
        <x:v>1</x:v>
      </x:c>
      <x:c r="BH420" s="4" t="n">
        <x:v>7</x:v>
      </x:c>
      <x:c r="BI420" s="4" t="n">
        <x:v>88.9</x:v>
      </x:c>
      <x:c r="BJ420" s="4" t="n">
        <x:v>95.9</x:v>
      </x:c>
      <x:c r="BK420" s="4" t="n">
        <x:v>59.5</x:v>
      </x:c>
      <x:c r="BL420" s="4" t="n">
        <x:v>40.5</x:v>
      </x:c>
      <x:c r="BM420" s="4" t="n">
        <x:v>19.583333333333332</x:v>
      </x:c>
      <x:c r="BN420" s="4" t="n">
        <x:v>17.233333333333334</x:v>
      </x:c>
      <x:c r="BO420" s="10" t="n">
        <x:v>14</x:v>
      </x:c>
      <x:c r="BP420" s="10" t="n">
        <x:v>88</x:v>
      </x:c>
      <x:c r="BQ420" s="4" t="n">
        <x:v>-12.7</x:v>
      </x:c>
      <x:c r="BR420" s="10" t="n">
        <x:v>207</x:v>
      </x:c>
      <x:c r="BS420" s="4" t="n">
        <x:v>35.3</x:v>
      </x:c>
      <x:c r="BT420" s="10" t="n">
        <x:v>76</x:v>
      </x:c>
      <x:c r="BU420" s="4" t="str">
        <x:v>TOT</x:v>
      </x:c>
      <x:c r="BV420" s="10" t="n">
        <x:v>281</x:v>
      </x:c>
      <x:c r="BW420" s="10" t="n">
        <x:v>386</x:v>
      </x:c>
      <x:c r="BX420" s="10" t="n">
        <x:v>108</x:v>
      </x:c>
      <x:c r="BY420" s="4" t="str">
        <x:v>Zeev Buium</x:v>
      </x:c>
      <x:c r="BZ420" s="4" t="str">
        <x:v>Zeev Buium</x:v>
      </x:c>
      <x:c r="CA420" s="4" t="str">
        <x:v>Zeev Buium</x:v>
      </x:c>
      <x:c r="CB420" s="4" t="str">
        <x:v>buiumze01</x:v>
      </x:c>
    </x:row>
    <x:row r="421" ht="22" customHeight="1">
      <x:c r="A421" s="4" t="str">
        <x:v>Zemgus Girgensons</x:v>
      </x:c>
      <x:c r="B421" s="4" t="str">
        <x:v>zemgusgirgensons</x:v>
      </x:c>
      <x:c r="C421" s="10" t="n">
        <x:v>1</x:v>
      </x:c>
      <x:c r="D421" s="10" t="n">
        <x:v>1</x:v>
      </x:c>
      <x:c r="E421" s="10" t="n">
        <x:v>1</x:v>
      </x:c>
      <x:c r="F421" s="4" t="n">
        <x:f>IF(COUNT(N421,Q421,T421,W421,Z421,AC421,AF421,AI421)=8,N421*Guide!$E$5+Q421*Guide!$E$6+T421*Guide!$E$7+W421*Guide!$E$8+Z421*Guide!$E$9+AC421*Guide!$E$10+AF421*Guide!$E$11+AI421*Guide!$E$12,"")</x:f>
        <x:v>144.5</x:v>
      </x:c>
      <x:c r="G421" s="4" t="n">
        <x:f>IF(COUNT(O421,R421,U421,X421,AA421,AD421,AG421,AJ421)=8,O421*Guide!$E$5+R421*Guide!$E$6+U421*Guide!$E$7+X421*Guide!$E$8+AA421*Guide!$E$9+AD421*Guide!$E$10+AG421*Guide!$E$11+AJ421*Guide!$E$12,"")</x:f>
        <x:v>174</x:v>
      </x:c>
      <x:c r="H421" s="4" t="n">
        <x:f>IF(COUNT(G421,F421)=2,G421-F421,"")</x:f>
        <x:v>29.5</x:v>
      </x:c>
      <x:c r="I421" s="4" t="n">
        <x:f>IF(AND(ISNUMBER(F421),K421&gt;0),F421/K421,"")</x:f>
        <x:v>1.80625</x:v>
      </x:c>
      <x:c r="J421" s="4" t="n">
        <x:f>IF(AND(ISNUMBER(G421),L421&gt;0),G421/L421,"")</x:f>
        <x:v>2.3513513513513513</x:v>
      </x:c>
      <x:c r="K421" s="10" t="n">
        <x:v>80</x:v>
      </x:c>
      <x:c r="L421" s="10" t="n">
        <x:v>74</x:v>
      </x:c>
      <x:c r="M421" s="10" t="n">
        <x:f>IF(COUNT(L421,K421)=2,L421-K421,"")</x:f>
        <x:v>-6</x:v>
      </x:c>
      <x:c r="N421" s="10" t="n">
        <x:v>7</x:v>
      </x:c>
      <x:c r="O421" s="10" t="n">
        <x:v>9</x:v>
      </x:c>
      <x:c r="P421" s="10" t="n">
        <x:f>IF(COUNT(O421,N421)=2,O421-N421,"")</x:f>
        <x:v>2</x:v>
      </x:c>
      <x:c r="Q421" s="10" t="n">
        <x:v>8</x:v>
      </x:c>
      <x:c r="R421" s="10" t="n">
        <x:v>11</x:v>
      </x:c>
      <x:c r="S421" s="10" t="n">
        <x:f>IF(COUNT(R421,Q421)=2,R421-Q421,"")</x:f>
        <x:v>3</x:v>
      </x:c>
      <x:c r="T421" s="10" t="n">
        <x:v>-4</x:v>
      </x:c>
      <x:c r="U421" s="10" t="n">
        <x:v>1</x:v>
      </x:c>
      <x:c r="V421" s="10" t="n">
        <x:f>IF(COUNT(U421,T421)=2,U421-T421,"")</x:f>
        <x:v>5</x:v>
      </x:c>
      <x:c r="W421" s="10" t="n">
        <x:v>0</x:v>
      </x:c>
      <x:c r="X421" s="10" t="n">
        <x:f>IF(COUNT(AV421,AW421)=2,AV421+AW421,"")</x:f>
        <x:v>0</x:v>
      </x:c>
      <x:c r="Y421" s="10" t="n">
        <x:f>IF(COUNT(X421,W421)=2,X421-W421,"")</x:f>
        <x:v>0</x:v>
      </x:c>
      <x:c r="Z421" s="10" t="n">
        <x:v>1</x:v>
      </x:c>
      <x:c r="AA421" s="10" t="n">
        <x:f>IF(COUNT(AX421,AY421)=2,AX421+AY421,"")</x:f>
        <x:v>0</x:v>
      </x:c>
      <x:c r="AB421" s="10" t="n">
        <x:f>IF(COUNT(AA421,Z421)=2,AA421-Z421,"")</x:f>
        <x:v>-1</x:v>
      </x:c>
      <x:c r="AC421" s="10" t="n">
        <x:v>82</x:v>
      </x:c>
      <x:c r="AD421" s="10" t="n">
        <x:v>89</x:v>
      </x:c>
      <x:c r="AE421" s="10" t="n">
        <x:f>IF(COUNT(AD421,AC421)=2,AD421-AC421,"")</x:f>
        <x:v>7</x:v>
      </x:c>
      <x:c r="AF421" s="10" t="n">
        <x:v>154</x:v>
      </x:c>
      <x:c r="AG421" s="10" t="n">
        <x:v>195</x:v>
      </x:c>
      <x:c r="AH421" s="10" t="n">
        <x:f>IF(COUNT(AG421,AF421)=2,AG421-AF421,"")</x:f>
        <x:v>41</x:v>
      </x:c>
      <x:c r="AI421" s="10" t="n">
        <x:v>46</x:v>
      </x:c>
      <x:c r="AJ421" s="10" t="n">
        <x:v>44</x:v>
      </x:c>
      <x:c r="AK421" s="10" t="n">
        <x:f>IF(COUNT(AJ421,AI421)=2,AJ421-AI421,"")</x:f>
        <x:v>-2</x:v>
      </x:c>
      <x:c r="AL421" s="10" t="n">
        <x:v>32</x:v>
      </x:c>
      <x:c r="AM421" s="10" t="n">
        <x:v>32</x:v>
      </x:c>
      <x:c r="AN421" s="4" t="str">
        <x:v>LW,RW</x:v>
      </x:c>
      <x:c r="AO421" s="4" t="str">
        <x:v>C</x:v>
      </x:c>
      <x:c r="AP421" s="4" t="str">
        <x:v>TB</x:v>
      </x:c>
      <x:c r="AQ421" s="4" t="str">
        <x:v>TBL</x:v>
      </x:c>
      <x:c r="AR421" s="4" t="n">
        <x:v>11.53</x:v>
      </x:c>
      <x:c r="AS421" s="4" t="n">
        <x:v>14.766666666666667</x:v>
      </x:c>
      <x:c r="AT421" s="4" t="n">
        <x:v>0.1</x:v>
      </x:c>
      <x:c r="AU421" s="4" t="n">
        <x:v>10.1</x:v>
      </x:c>
      <x:c r="AV421" s="10" t="n">
        <x:v>0</x:v>
      </x:c>
      <x:c r="AW421" s="10" t="n">
        <x:v>0</x:v>
      </x:c>
      <x:c r="AX421" s="10" t="n">
        <x:v>0</x:v>
      </x:c>
      <x:c r="AY421" s="10" t="n">
        <x:v>0</x:v>
      </x:c>
      <x:c r="AZ421" s="10" t="n">
        <x:v>827</x:v>
      </x:c>
      <x:c r="BA421" s="10" t="n">
        <x:v>827</x:v>
      </x:c>
      <x:c r="BB421" s="4" t="n">
        <x:v>50</x:v>
      </x:c>
      <x:c r="BC421" s="4" t="n">
        <x:v>-4.9</x:v>
      </x:c>
      <x:c r="BD421" s="10" t="n">
        <x:v>594</x:v>
      </x:c>
      <x:c r="BE421" s="10" t="n">
        <x:v>596</x:v>
      </x:c>
      <x:c r="BF421" s="4" t="n">
        <x:v>49.9</x:v>
      </x:c>
      <x:c r="BG421" s="4" t="n">
        <x:v>-4.1</x:v>
      </x:c>
      <x:c r="BH421" s="4" t="n">
        <x:v>8.7</x:v>
      </x:c>
      <x:c r="BI421" s="4" t="n">
        <x:v>92.3</x:v>
      </x:c>
      <x:c r="BJ421" s="4" t="n">
        <x:v>101</x:v>
      </x:c>
      <x:c r="BK421" s="4" t="n">
        <x:v>37.1</x:v>
      </x:c>
      <x:c r="BL421" s="4" t="n">
        <x:v>62.9</x:v>
      </x:c>
      <x:c r="BM421" s="4" t="n">
        <x:v>14.766666666666667</x:v>
      </x:c>
      <x:c r="BN421" s="4" t="n">
        <x:v>12.8</x:v>
      </x:c>
      <x:c r="BO421" s="10" t="n">
        <x:v>6</x:v>
      </x:c>
      <x:c r="BP421" s="10" t="n">
        <x:v>42</x:v>
      </x:c>
      <x:c r="BQ421" s="4" t="n">
        <x:v>-5.7</x:v>
      </x:c>
      <x:c r="BR421" s="10" t="n">
        <x:v>176</x:v>
      </x:c>
      <x:c r="BS421" s="4" t="n">
        <x:v>50.6</x:v>
      </x:c>
      <x:c r="BT421" s="10" t="n">
        <x:v>74</x:v>
      </x:c>
      <x:c r="BU421" s="4" t="str">
        <x:v>TBL</x:v>
      </x:c>
      <x:c r="BV421" s="10" t="n">
        <x:v>631</x:v>
      </x:c>
      <x:c r="BW421" s="10" t="n">
        <x:v>465</x:v>
      </x:c>
      <x:c r="BX421" s="10" t="n">
        <x:v>341</x:v>
      </x:c>
      <x:c r="BY421" s="4" t="str">
        <x:v>Zemgus Girgensons</x:v>
      </x:c>
      <x:c r="BZ421" s="4" t="str">
        <x:v>Zemgus Girgensons</x:v>
      </x:c>
      <x:c r="CA421" s="4" t="str">
        <x:v>Zemgus Girgensons</x:v>
      </x:c>
      <x:c r="CB421" s="4" t="str">
        <x:v>girgeze01</x:v>
      </x:c>
    </x:row>
    <x:row r="422" ht="22" customHeight="1">
      <x:c r="A422" s="4" t="str">
        <x:v>Aatu Raty</x:v>
      </x:c>
      <x:c r="B422" s="4" t="str">
        <x:v>aaturaty</x:v>
      </x:c>
      <x:c r="C422" s="10" t="n">
        <x:v>1</x:v>
      </x:c>
      <x:c r="D422" s="10" t="n">
        <x:v>0</x:v>
      </x:c>
      <x:c r="E422" s="10" t="n">
        <x:v>1</x:v>
      </x:c>
      <x:c r="F422" s="4" t="n">
        <x:f>IF(COUNT(N422,Q422,T422,W422,Z422,AC422,AF422,AI422)=8,N422*Guide!$E$5+Q422*Guide!$E$6+T422*Guide!$E$7+W422*Guide!$E$8+Z422*Guide!$E$9+AC422*Guide!$E$10+AF422*Guide!$E$11+AI422*Guide!$E$12,"")</x:f>
        <x:v>204</x:v>
      </x:c>
      <x:c r="G422" s="4" t="str">
        <x:f>IF(COUNT(O422,R422,U422,X422,AA422,AD422,AG422,AJ422)=8,O422*Guide!$E$5+R422*Guide!$E$6+U422*Guide!$E$7+X422*Guide!$E$8+AA422*Guide!$E$9+AD422*Guide!$E$10+AG422*Guide!$E$11+AJ422*Guide!$E$12,"")</x:f>
      </x:c>
      <x:c r="H422" s="4" t="str">
        <x:f>IF(COUNT(G422,F422)=2,G422-F422,"")</x:f>
      </x:c>
      <x:c r="I422" s="4" t="n">
        <x:f>IF(AND(ISNUMBER(F422),K422&gt;0),F422/K422,"")</x:f>
        <x:v>2.72</x:v>
      </x:c>
      <x:c r="J422" s="4" t="str">
        <x:f>IF(AND(ISNUMBER(G422),L422&gt;0),G422/L422,"")</x:f>
      </x:c>
      <x:c r="K422" s="10" t="n">
        <x:v>75</x:v>
      </x:c>
      <x:c r="L422" s="10"/>
      <x:c r="M422" s="10" t="str">
        <x:f>IF(COUNT(L422,K422)=2,L422-K422,"")</x:f>
      </x:c>
      <x:c r="N422" s="10" t="n">
        <x:v>17</x:v>
      </x:c>
      <x:c r="O422" s="10"/>
      <x:c r="P422" s="10" t="str">
        <x:f>IF(COUNT(O422,N422)=2,O422-N422,"")</x:f>
      </x:c>
      <x:c r="Q422" s="10" t="n">
        <x:v>15</x:v>
      </x:c>
      <x:c r="R422" s="10"/>
      <x:c r="S422" s="10" t="str">
        <x:f>IF(COUNT(R422,Q422)=2,R422-Q422,"")</x:f>
      </x:c>
      <x:c r="T422" s="10" t="n">
        <x:v>-1</x:v>
      </x:c>
      <x:c r="U422" s="10"/>
      <x:c r="V422" s="10" t="str">
        <x:f>IF(COUNT(U422,T422)=2,U422-T422,"")</x:f>
      </x:c>
      <x:c r="W422" s="10" t="n">
        <x:v>2</x:v>
      </x:c>
      <x:c r="X422" s="10" t="str">
        <x:f>IF(COUNT(AV422,AW422)=2,AV422+AW422,"")</x:f>
      </x:c>
      <x:c r="Y422" s="10" t="str">
        <x:f>IF(COUNT(X422,W422)=2,X422-W422,"")</x:f>
      </x:c>
      <x:c r="Z422" s="10" t="n">
        <x:v>0</x:v>
      </x:c>
      <x:c r="AA422" s="10" t="str">
        <x:f>IF(COUNT(AX422,AY422)=2,AX422+AY422,"")</x:f>
      </x:c>
      <x:c r="AB422" s="10" t="str">
        <x:f>IF(COUNT(AA422,Z422)=2,AA422-Z422,"")</x:f>
      </x:c>
      <x:c r="AC422" s="10" t="n">
        <x:v>92</x:v>
      </x:c>
      <x:c r="AD422" s="10"/>
      <x:c r="AE422" s="10" t="str">
        <x:f>IF(COUNT(AD422,AC422)=2,AD422-AC422,"")</x:f>
      </x:c>
      <x:c r="AF422" s="10" t="n">
        <x:v>205</x:v>
      </x:c>
      <x:c r="AG422" s="10"/>
      <x:c r="AH422" s="10" t="str">
        <x:f>IF(COUNT(AG422,AF422)=2,AG422-AF422,"")</x:f>
      </x:c>
      <x:c r="AI422" s="10" t="n">
        <x:v>21</x:v>
      </x:c>
      <x:c r="AJ422" s="10"/>
      <x:c r="AK422" s="10" t="str">
        <x:f>IF(COUNT(AJ422,AI422)=2,AJ422-AI422,"")</x:f>
      </x:c>
      <x:c r="AL422" s="10" t="n">
        <x:v>23</x:v>
      </x:c>
      <x:c r="AM422" s="10"/>
      <x:c r="AN422" s="4" t="str">
        <x:v>C</x:v>
      </x:c>
      <x:c r="AO422" s="4"/>
      <x:c r="AP422" s="4" t="str">
        <x:v>VAN</x:v>
      </x:c>
      <x:c r="AQ422" s="4"/>
      <x:c r="AR422" s="4" t="n">
        <x:v>12.66</x:v>
      </x:c>
      <x:c r="AS422" s="4"/>
      <x:c r="AT422" s="4" t="n">
        <x:v>0.33</x:v>
      </x:c>
      <x:c r="AU422" s="4"/>
      <x:c r="AV422" s="10"/>
      <x:c r="AW422" s="10"/>
      <x:c r="AX422" s="10"/>
      <x:c r="AY422" s="10"/>
      <x:c r="AZ422" s="10" t="n">
        <x:v>663</x:v>
      </x:c>
      <x:c r="BA422" s="10" t="n">
        <x:v>724</x:v>
      </x:c>
      <x:c r="BB422" s="4" t="n">
        <x:v>47.8</x:v>
      </x:c>
      <x:c r="BC422" s="4" t="n">
        <x:v>0.6</x:v>
      </x:c>
      <x:c r="BD422" s="10" t="n">
        <x:v>474</x:v>
      </x:c>
      <x:c r="BE422" s="10" t="n">
        <x:v>533</x:v>
      </x:c>
      <x:c r="BF422" s="4" t="n">
        <x:v>47.1</x:v>
      </x:c>
      <x:c r="BG422" s="4" t="n">
        <x:v>0.6</x:v>
      </x:c>
      <x:c r="BH422" s="4" t="n">
        <x:v>8</x:v>
      </x:c>
      <x:c r="BI422" s="4" t="n">
        <x:v>91.8</x:v>
      </x:c>
      <x:c r="BJ422" s="4" t="n">
        <x:v>99.8</x:v>
      </x:c>
      <x:c r="BK422" s="4" t="n">
        <x:v>41.6</x:v>
      </x:c>
      <x:c r="BL422" s="4" t="n">
        <x:v>58.4</x:v>
      </x:c>
      <x:c r="BM422" s="4" t="n">
        <x:v>12.016666666666667</x:v>
      </x:c>
      <x:c r="BN422" s="4" t="n">
        <x:v>11.016666666666667</x:v>
      </x:c>
      <x:c r="BO422" s="10" t="n">
        <x:v>10</x:v>
      </x:c>
      <x:c r="BP422" s="10" t="n">
        <x:v>29</x:v>
      </x:c>
      <x:c r="BQ422" s="4" t="n">
        <x:v>-8.8</x:v>
      </x:c>
      <x:c r="BR422" s="10" t="n">
        <x:v>142</x:v>
      </x:c>
      <x:c r="BS422" s="4" t="n">
        <x:v>45.8</x:v>
      </x:c>
      <x:c r="BT422" s="10" t="n">
        <x:v>66</x:v>
      </x:c>
      <x:c r="BU422" s="4" t="str">
        <x:v>VAN</x:v>
      </x:c>
      <x:c r="BV422" s="10" t="n">
        <x:v>345</x:v>
      </x:c>
      <x:c r="BW422" s="10"/>
      <x:c r="BX422" s="10" t="n">
        <x:v>843</x:v>
      </x:c>
      <x:c r="BY422" s="4" t="str">
        <x:v>Aatu Raty</x:v>
      </x:c>
      <x:c r="BZ422" s="4"/>
      <x:c r="CA422" s="4" t="str">
        <x:v>Aatu Räty</x:v>
      </x:c>
      <x:c r="CB422" s="4" t="str">
        <x:v>ratyaa01</x:v>
      </x:c>
    </x:row>
    <x:row r="423" ht="22" customHeight="1">
      <x:c r="A423" s="4" t="str">
        <x:v>Abram Wiebe</x:v>
      </x:c>
      <x:c r="B423" s="4" t="str">
        <x:v>abramwiebe</x:v>
      </x:c>
      <x:c r="C423" s="10" t="n">
        <x:v>0</x:v>
      </x:c>
      <x:c r="D423" s="10" t="n">
        <x:v>0</x:v>
      </x:c>
      <x:c r="E423" s="10" t="n">
        <x:v>1</x:v>
      </x:c>
      <x:c r="F423" s="4" t="str">
        <x:f>IF(COUNT(N423,Q423,T423,W423,Z423,AC423,AF423,AI423)=8,N423*Guide!$E$5+Q423*Guide!$E$6+T423*Guide!$E$7+W423*Guide!$E$8+Z423*Guide!$E$9+AC423*Guide!$E$10+AF423*Guide!$E$11+AI423*Guide!$E$12,"")</x:f>
      </x:c>
      <x:c r="G423" s="4" t="str">
        <x:f>IF(COUNT(O423,R423,U423,X423,AA423,AD423,AG423,AJ423)=8,O423*Guide!$E$5+R423*Guide!$E$6+U423*Guide!$E$7+X423*Guide!$E$8+AA423*Guide!$E$9+AD423*Guide!$E$10+AG423*Guide!$E$11+AJ423*Guide!$E$12,"")</x:f>
      </x:c>
      <x:c r="H423" s="4" t="str">
        <x:f>IF(COUNT(G423,F423)=2,G423-F423,"")</x:f>
      </x:c>
      <x:c r="I423" s="4" t="str">
        <x:f>IF(AND(ISNUMBER(F423),K423&gt;0),F423/K423,"")</x:f>
      </x:c>
      <x:c r="J423" s="4" t="str">
        <x:f>IF(AND(ISNUMBER(G423),L423&gt;0),G423/L423,"")</x:f>
      </x:c>
      <x:c r="K423" s="10"/>
      <x:c r="L423" s="10"/>
      <x:c r="M423" s="10" t="str">
        <x:f>IF(COUNT(L423,K423)=2,L423-K423,"")</x:f>
      </x:c>
      <x:c r="N423" s="10"/>
      <x:c r="O423" s="10"/>
      <x:c r="P423" s="10" t="str">
        <x:f>IF(COUNT(O423,N423)=2,O423-N423,"")</x:f>
      </x:c>
      <x:c r="Q423" s="10"/>
      <x:c r="R423" s="10"/>
      <x:c r="S423" s="10" t="str">
        <x:f>IF(COUNT(R423,Q423)=2,R423-Q423,"")</x:f>
      </x:c>
      <x:c r="T423" s="10"/>
      <x:c r="U423" s="10"/>
      <x:c r="V423" s="10" t="str">
        <x:f>IF(COUNT(U423,T423)=2,U423-T423,"")</x:f>
      </x:c>
      <x:c r="W423" s="10"/>
      <x:c r="X423" s="10" t="str">
        <x:f>IF(COUNT(AV423,AW423)=2,AV423+AW423,"")</x:f>
      </x:c>
      <x:c r="Y423" s="10" t="str">
        <x:f>IF(COUNT(X423,W423)=2,X423-W423,"")</x:f>
      </x:c>
      <x:c r="Z423" s="10"/>
      <x:c r="AA423" s="10" t="str">
        <x:f>IF(COUNT(AX423,AY423)=2,AX423+AY423,"")</x:f>
      </x:c>
      <x:c r="AB423" s="10" t="str">
        <x:f>IF(COUNT(AA423,Z423)=2,AA423-Z423,"")</x:f>
      </x:c>
      <x:c r="AC423" s="10"/>
      <x:c r="AD423" s="10"/>
      <x:c r="AE423" s="10" t="str">
        <x:f>IF(COUNT(AD423,AC423)=2,AD423-AC423,"")</x:f>
      </x:c>
      <x:c r="AF423" s="10"/>
      <x:c r="AG423" s="10"/>
      <x:c r="AH423" s="10" t="str">
        <x:f>IF(COUNT(AG423,AF423)=2,AG423-AF423,"")</x:f>
      </x:c>
      <x:c r="AI423" s="10"/>
      <x:c r="AJ423" s="10"/>
      <x:c r="AK423" s="10" t="str">
        <x:f>IF(COUNT(AJ423,AI423)=2,AJ423-AI423,"")</x:f>
      </x:c>
      <x:c r="AL423" s="10"/>
      <x:c r="AM423" s="10"/>
      <x:c r="AN423" s="4"/>
      <x:c r="AO423" s="4"/>
      <x:c r="AP423" s="4"/>
      <x:c r="AQ423" s="4"/>
      <x:c r="AR423" s="4"/>
      <x:c r="AS423" s="4"/>
      <x:c r="AT423" s="4"/>
      <x:c r="AU423" s="4"/>
      <x:c r="AV423" s="10"/>
      <x:c r="AW423" s="10"/>
      <x:c r="AX423" s="10"/>
      <x:c r="AY423" s="10"/>
      <x:c r="AZ423" s="10" t="n">
        <x:v>39</x:v>
      </x:c>
      <x:c r="BA423" s="10" t="n">
        <x:v>55</x:v>
      </x:c>
      <x:c r="BB423" s="4" t="n">
        <x:v>41.5</x:v>
      </x:c>
      <x:c r="BC423" s="4" t="n">
        <x:v>-2.2</x:v>
      </x:c>
      <x:c r="BD423" s="10" t="n">
        <x:v>28</x:v>
      </x:c>
      <x:c r="BE423" s="10" t="n">
        <x:v>44</x:v>
      </x:c>
      <x:c r="BF423" s="4" t="n">
        <x:v>38.9</x:v>
      </x:c>
      <x:c r="BG423" s="4" t="n">
        <x:v>-6.8</x:v>
      </x:c>
      <x:c r="BH423" s="4" t="n">
        <x:v>5.3</x:v>
      </x:c>
      <x:c r="BI423" s="4" t="n">
        <x:v>96.6</x:v>
      </x:c>
      <x:c r="BJ423" s="4" t="n">
        <x:v>101.8</x:v>
      </x:c>
      <x:c r="BK423" s="4" t="n">
        <x:v>67.6</x:v>
      </x:c>
      <x:c r="BL423" s="4" t="n">
        <x:v>32.4</x:v>
      </x:c>
      <x:c r="BM423" s="4" t="n">
        <x:v>12.016666666666667</x:v>
      </x:c>
      <x:c r="BN423" s="4" t="n">
        <x:v>12.016666666666667</x:v>
      </x:c>
      <x:c r="BO423" s="10" t="n">
        <x:v>0</x:v>
      </x:c>
      <x:c r="BP423" s="10" t="n">
        <x:v>2</x:v>
      </x:c>
      <x:c r="BQ423" s="4" t="n">
        <x:v>-1.7</x:v>
      </x:c>
      <x:c r="BR423" s="10" t="n">
        <x:v>5</x:v>
      </x:c>
      <x:c r="BS423" s="4" t="n">
        <x:v>0</x:v>
      </x:c>
      <x:c r="BT423" s="10" t="n">
        <x:v>4</x:v>
      </x:c>
      <x:c r="BU423" s="4" t="str">
        <x:v>CGY</x:v>
      </x:c>
      <x:c r="BV423" s="10"/>
      <x:c r="BW423" s="10"/>
      <x:c r="BX423" s="10" t="n">
        <x:v>1074</x:v>
      </x:c>
      <x:c r="BY423" s="4"/>
      <x:c r="BZ423" s="4"/>
      <x:c r="CA423" s="4" t="str">
        <x:v>Abram Wiebe</x:v>
      </x:c>
      <x:c r="CB423" s="4" t="str">
        <x:v>wiebeab01</x:v>
      </x:c>
    </x:row>
    <x:row r="424" ht="22" customHeight="1">
      <x:c r="A424" s="4" t="str">
        <x:v>Adam Boqvist</x:v>
      </x:c>
      <x:c r="B424" s="4" t="str">
        <x:v>adamboqvist</x:v>
      </x:c>
      <x:c r="C424" s="10" t="n">
        <x:v>1</x:v>
      </x:c>
      <x:c r="D424" s="10" t="n">
        <x:v>0</x:v>
      </x:c>
      <x:c r="E424" s="10" t="n">
        <x:v>1</x:v>
      </x:c>
      <x:c r="F424" s="4" t="n">
        <x:f>IF(COUNT(N424,Q424,T424,W424,Z424,AC424,AF424,AI424)=8,N424*Guide!$E$5+Q424*Guide!$E$6+T424*Guide!$E$7+W424*Guide!$E$8+Z424*Guide!$E$9+AC424*Guide!$E$10+AF424*Guide!$E$11+AI424*Guide!$E$12,"")</x:f>
        <x:v>112.75</x:v>
      </x:c>
      <x:c r="G424" s="4" t="str">
        <x:f>IF(COUNT(O424,R424,U424,X424,AA424,AD424,AG424,AJ424)=8,O424*Guide!$E$5+R424*Guide!$E$6+U424*Guide!$E$7+X424*Guide!$E$8+AA424*Guide!$E$9+AD424*Guide!$E$10+AG424*Guide!$E$11+AJ424*Guide!$E$12,"")</x:f>
      </x:c>
      <x:c r="H424" s="4" t="str">
        <x:f>IF(COUNT(G424,F424)=2,G424-F424,"")</x:f>
      </x:c>
      <x:c r="I424" s="4" t="n">
        <x:f>IF(AND(ISNUMBER(F424),K424&gt;0),F424/K424,"")</x:f>
        <x:v>2.3010204081632653</x:v>
      </x:c>
      <x:c r="J424" s="4" t="str">
        <x:f>IF(AND(ISNUMBER(G424),L424&gt;0),G424/L424,"")</x:f>
      </x:c>
      <x:c r="K424" s="10" t="n">
        <x:v>49</x:v>
      </x:c>
      <x:c r="L424" s="10"/>
      <x:c r="M424" s="10" t="str">
        <x:f>IF(COUNT(L424,K424)=2,L424-K424,"")</x:f>
      </x:c>
      <x:c r="N424" s="10" t="n">
        <x:v>4</x:v>
      </x:c>
      <x:c r="O424" s="10"/>
      <x:c r="P424" s="10" t="str">
        <x:f>IF(COUNT(O424,N424)=2,O424-N424,"")</x:f>
      </x:c>
      <x:c r="Q424" s="10" t="n">
        <x:v>15</x:v>
      </x:c>
      <x:c r="R424" s="10"/>
      <x:c r="S424" s="10" t="str">
        <x:f>IF(COUNT(R424,Q424)=2,R424-Q424,"")</x:f>
      </x:c>
      <x:c r="T424" s="10" t="n">
        <x:v>-4</x:v>
      </x:c>
      <x:c r="U424" s="10"/>
      <x:c r="V424" s="10" t="str">
        <x:f>IF(COUNT(U424,T424)=2,U424-T424,"")</x:f>
      </x:c>
      <x:c r="W424" s="10" t="n">
        <x:v>9</x:v>
      </x:c>
      <x:c r="X424" s="10" t="str">
        <x:f>IF(COUNT(AV424,AW424)=2,AV424+AW424,"")</x:f>
      </x:c>
      <x:c r="Y424" s="10" t="str">
        <x:f>IF(COUNT(X424,W424)=2,X424-W424,"")</x:f>
      </x:c>
      <x:c r="Z424" s="10" t="n">
        <x:v>0</x:v>
      </x:c>
      <x:c r="AA424" s="10" t="str">
        <x:f>IF(COUNT(AX424,AY424)=2,AX424+AY424,"")</x:f>
      </x:c>
      <x:c r="AB424" s="10" t="str">
        <x:f>IF(COUNT(AA424,Z424)=2,AA424-Z424,"")</x:f>
      </x:c>
      <x:c r="AC424" s="10" t="n">
        <x:v>55</x:v>
      </x:c>
      <x:c r="AD424" s="10"/>
      <x:c r="AE424" s="10" t="str">
        <x:f>IF(COUNT(AD424,AC424)=2,AD424-AC424,"")</x:f>
      </x:c>
      <x:c r="AF424" s="10" t="n">
        <x:v>18</x:v>
      </x:c>
      <x:c r="AG424" s="10"/>
      <x:c r="AH424" s="10" t="str">
        <x:f>IF(COUNT(AG424,AF424)=2,AG424-AF424,"")</x:f>
      </x:c>
      <x:c r="AI424" s="10" t="n">
        <x:v>38</x:v>
      </x:c>
      <x:c r="AJ424" s="10"/>
      <x:c r="AK424" s="10" t="str">
        <x:f>IF(COUNT(AJ424,AI424)=2,AJ424-AI424,"")</x:f>
      </x:c>
      <x:c r="AL424" s="10" t="n">
        <x:v>25</x:v>
      </x:c>
      <x:c r="AM424" s="10"/>
      <x:c r="AN424" s="4" t="str">
        <x:v>D</x:v>
      </x:c>
      <x:c r="AO424" s="4"/>
      <x:c r="AP424" s="4" t="str">
        <x:v>NYI</x:v>
      </x:c>
      <x:c r="AQ424" s="4"/>
      <x:c r="AR424" s="4" t="n">
        <x:v>14.64</x:v>
      </x:c>
      <x:c r="AS424" s="4"/>
      <x:c r="AT424" s="4" t="n">
        <x:v>2.02</x:v>
      </x:c>
      <x:c r="AU424" s="4"/>
      <x:c r="AV424" s="10"/>
      <x:c r="AW424" s="10"/>
      <x:c r="AX424" s="10"/>
      <x:c r="AY424" s="10"/>
      <x:c r="AZ424" s="10" t="n">
        <x:v>292</x:v>
      </x:c>
      <x:c r="BA424" s="10" t="n">
        <x:v>392</x:v>
      </x:c>
      <x:c r="BB424" s="4" t="n">
        <x:v>42.7</x:v>
      </x:c>
      <x:c r="BC424" s="4" t="n">
        <x:v>-9</x:v>
      </x:c>
      <x:c r="BD424" s="10" t="n">
        <x:v>211</x:v>
      </x:c>
      <x:c r="BE424" s="10" t="n">
        <x:v>275</x:v>
      </x:c>
      <x:c r="BF424" s="4" t="n">
        <x:v>43.4</x:v>
      </x:c>
      <x:c r="BG424" s="4" t="n">
        <x:v>-8.7</x:v>
      </x:c>
      <x:c r="BH424" s="4" t="n">
        <x:v>6.8</x:v>
      </x:c>
      <x:c r="BI424" s="4" t="n">
        <x:v>90.8</x:v>
      </x:c>
      <x:c r="BJ424" s="4" t="n">
        <x:v>97.6</x:v>
      </x:c>
      <x:c r="BK424" s="4" t="n">
        <x:v>64.8</x:v>
      </x:c>
      <x:c r="BL424" s="4" t="n">
        <x:v>35.2</x:v>
      </x:c>
      <x:c r="BM424" s="4" t="n">
        <x:v>13.1</x:v>
      </x:c>
      <x:c r="BN424" s="4" t="n">
        <x:v>12.55</x:v>
      </x:c>
      <x:c r="BO424" s="10" t="n">
        <x:v>5</x:v>
      </x:c>
      <x:c r="BP424" s="10" t="n">
        <x:v>11</x:v>
      </x:c>
      <x:c r="BQ424" s="4" t="n">
        <x:v>-7.9</x:v>
      </x:c>
      <x:c r="BR424" s="10" t="n">
        <x:v>51</x:v>
      </x:c>
      <x:c r="BS424" s="4" t="n">
        <x:v>33.3</x:v>
      </x:c>
      <x:c r="BT424" s="10" t="n">
        <x:v>28</x:v>
      </x:c>
      <x:c r="BU424" s="4" t="str">
        <x:v>NYI</x:v>
      </x:c>
      <x:c r="BV424" s="10" t="n">
        <x:v>549</x:v>
      </x:c>
      <x:c r="BW424" s="10"/>
      <x:c r="BX424" s="10" t="n">
        <x:v>81</x:v>
      </x:c>
      <x:c r="BY424" s="4" t="str">
        <x:v>Adam Boqvist</x:v>
      </x:c>
      <x:c r="BZ424" s="4"/>
      <x:c r="CA424" s="4" t="str">
        <x:v>Adam Boqvist</x:v>
      </x:c>
      <x:c r="CB424" s="4" t="str">
        <x:v>boqviad01</x:v>
      </x:c>
    </x:row>
    <x:row r="425" ht="22" customHeight="1">
      <x:c r="A425" s="4" t="str">
        <x:v>Adam Edstrom</x:v>
      </x:c>
      <x:c r="B425" s="4" t="str">
        <x:v>adamedstrom</x:v>
      </x:c>
      <x:c r="C425" s="10" t="n">
        <x:v>1</x:v>
      </x:c>
      <x:c r="D425" s="10" t="n">
        <x:v>0</x:v>
      </x:c>
      <x:c r="E425" s="10" t="n">
        <x:v>1</x:v>
      </x:c>
      <x:c r="F425" s="4" t="n">
        <x:f>IF(COUNT(N425,Q425,T425,W425,Z425,AC425,AF425,AI425)=8,N425*Guide!$E$5+Q425*Guide!$E$6+T425*Guide!$E$7+W425*Guide!$E$8+Z425*Guide!$E$9+AC425*Guide!$E$10+AF425*Guide!$E$11+AI425*Guide!$E$12,"")</x:f>
        <x:v>143.25</x:v>
      </x:c>
      <x:c r="G425" s="4" t="str">
        <x:f>IF(COUNT(O425,R425,U425,X425,AA425,AD425,AG425,AJ425)=8,O425*Guide!$E$5+R425*Guide!$E$6+U425*Guide!$E$7+X425*Guide!$E$8+AA425*Guide!$E$9+AD425*Guide!$E$10+AG425*Guide!$E$11+AJ425*Guide!$E$12,"")</x:f>
      </x:c>
      <x:c r="H425" s="4" t="str">
        <x:f>IF(COUNT(G425,F425)=2,G425-F425,"")</x:f>
      </x:c>
      <x:c r="I425" s="4" t="n">
        <x:f>IF(AND(ISNUMBER(F425),K425&gt;0),F425/K425,"")</x:f>
        <x:v>1.9895833333333333</x:v>
      </x:c>
      <x:c r="J425" s="4" t="str">
        <x:f>IF(AND(ISNUMBER(G425),L425&gt;0),G425/L425,"")</x:f>
      </x:c>
      <x:c r="K425" s="10" t="n">
        <x:v>72</x:v>
      </x:c>
      <x:c r="L425" s="10"/>
      <x:c r="M425" s="10" t="str">
        <x:f>IF(COUNT(L425,K425)=2,L425-K425,"")</x:f>
      </x:c>
      <x:c r="N425" s="10" t="n">
        <x:v>10</x:v>
      </x:c>
      <x:c r="O425" s="10"/>
      <x:c r="P425" s="10" t="str">
        <x:f>IF(COUNT(O425,N425)=2,O425-N425,"")</x:f>
      </x:c>
      <x:c r="Q425" s="10" t="n">
        <x:v>8</x:v>
      </x:c>
      <x:c r="R425" s="10"/>
      <x:c r="S425" s="10" t="str">
        <x:f>IF(COUNT(R425,Q425)=2,R425-Q425,"")</x:f>
      </x:c>
      <x:c r="T425" s="10" t="n">
        <x:v>-2</x:v>
      </x:c>
      <x:c r="U425" s="10"/>
      <x:c r="V425" s="10" t="str">
        <x:f>IF(COUNT(U425,T425)=2,U425-T425,"")</x:f>
      </x:c>
      <x:c r="W425" s="10" t="n">
        <x:v>0</x:v>
      </x:c>
      <x:c r="X425" s="10" t="str">
        <x:f>IF(COUNT(AV425,AW425)=2,AV425+AW425,"")</x:f>
      </x:c>
      <x:c r="Y425" s="10" t="str">
        <x:f>IF(COUNT(X425,W425)=2,X425-W425,"")</x:f>
      </x:c>
      <x:c r="Z425" s="10" t="n">
        <x:v>0</x:v>
      </x:c>
      <x:c r="AA425" s="10" t="str">
        <x:f>IF(COUNT(AX425,AY425)=2,AX425+AY425,"")</x:f>
      </x:c>
      <x:c r="AB425" s="10" t="str">
        <x:f>IF(COUNT(AA425,Z425)=2,AA425-Z425,"")</x:f>
      </x:c>
      <x:c r="AC425" s="10" t="n">
        <x:v>59</x:v>
      </x:c>
      <x:c r="AD425" s="10"/>
      <x:c r="AE425" s="10" t="str">
        <x:f>IF(COUNT(AD425,AC425)=2,AD425-AC425,"")</x:f>
      </x:c>
      <x:c r="AF425" s="10" t="n">
        <x:v>131</x:v>
      </x:c>
      <x:c r="AG425" s="10"/>
      <x:c r="AH425" s="10" t="str">
        <x:f>IF(COUNT(AG425,AF425)=2,AG425-AF425,"")</x:f>
      </x:c>
      <x:c r="AI425" s="10" t="n">
        <x:v>45</x:v>
      </x:c>
      <x:c r="AJ425" s="10"/>
      <x:c r="AK425" s="10" t="str">
        <x:f>IF(COUNT(AJ425,AI425)=2,AJ425-AI425,"")</x:f>
      </x:c>
      <x:c r="AL425" s="10" t="n">
        <x:v>25</x:v>
      </x:c>
      <x:c r="AM425" s="10"/>
      <x:c r="AN425" s="4" t="str">
        <x:v>C</x:v>
      </x:c>
      <x:c r="AO425" s="4"/>
      <x:c r="AP425" s="4" t="str">
        <x:v>NYR</x:v>
      </x:c>
      <x:c r="AQ425" s="4"/>
      <x:c r="AR425" s="4" t="n">
        <x:v>9.5</x:v>
      </x:c>
      <x:c r="AS425" s="4"/>
      <x:c r="AT425" s="4" t="n">
        <x:v>0.13</x:v>
      </x:c>
      <x:c r="AU425" s="4"/>
      <x:c r="AV425" s="10"/>
      <x:c r="AW425" s="10"/>
      <x:c r="AX425" s="10"/>
      <x:c r="AY425" s="10"/>
      <x:c r="AZ425" s="10" t="n">
        <x:v>299</x:v>
      </x:c>
      <x:c r="BA425" s="10" t="n">
        <x:v>336</x:v>
      </x:c>
      <x:c r="BB425" s="4" t="n">
        <x:v>47.1</x:v>
      </x:c>
      <x:c r="BC425" s="4" t="n">
        <x:v>-2.2</x:v>
      </x:c>
      <x:c r="BD425" s="10" t="n">
        <x:v>206</x:v>
      </x:c>
      <x:c r="BE425" s="10" t="n">
        <x:v>242</x:v>
      </x:c>
      <x:c r="BF425" s="4" t="n">
        <x:v>46</x:v>
      </x:c>
      <x:c r="BG425" s="4" t="n">
        <x:v>-2.1</x:v>
      </x:c>
      <x:c r="BH425" s="4" t="n">
        <x:v>9.1</x:v>
      </x:c>
      <x:c r="BI425" s="4" t="n">
        <x:v>93.6</x:v>
      </x:c>
      <x:c r="BJ425" s="4" t="n">
        <x:v>102.7</x:v>
      </x:c>
      <x:c r="BK425" s="4" t="n">
        <x:v>36</x:v>
      </x:c>
      <x:c r="BL425" s="4" t="n">
        <x:v>64</x:v>
      </x:c>
      <x:c r="BM425" s="4" t="n">
        <x:v>9.466666666666667</x:v>
      </x:c>
      <x:c r="BN425" s="4" t="n">
        <x:v>9.383333333333333</x:v>
      </x:c>
      <x:c r="BO425" s="10" t="n">
        <x:v>5</x:v>
      </x:c>
      <x:c r="BP425" s="10" t="n">
        <x:v>18</x:v>
      </x:c>
      <x:c r="BQ425" s="4" t="n">
        <x:v>-2.4</x:v>
      </x:c>
      <x:c r="BR425" s="10" t="n">
        <x:v>54</x:v>
      </x:c>
      <x:c r="BS425" s="4" t="n">
        <x:v>57.4</x:v>
      </x:c>
      <x:c r="BT425" s="10" t="n">
        <x:v>35</x:v>
      </x:c>
      <x:c r="BU425" s="4" t="str">
        <x:v>NYR</x:v>
      </x:c>
      <x:c r="BV425" s="10" t="n">
        <x:v>574</x:v>
      </x:c>
      <x:c r="BW425" s="10"/>
      <x:c r="BX425" s="10" t="n">
        <x:v>257</x:v>
      </x:c>
      <x:c r="BY425" s="4" t="str">
        <x:v>Adam Edstrom</x:v>
      </x:c>
      <x:c r="BZ425" s="4"/>
      <x:c r="CA425" s="4" t="str">
        <x:v>Adam Edstrom</x:v>
      </x:c>
      <x:c r="CB425" s="4" t="str">
        <x:v>edstrad01</x:v>
      </x:c>
    </x:row>
    <x:row r="426" ht="22" customHeight="1">
      <x:c r="A426" s="4" t="str">
        <x:v>Adam Engstrom</x:v>
      </x:c>
      <x:c r="B426" s="4" t="str">
        <x:v>adamengstrom</x:v>
      </x:c>
      <x:c r="C426" s="10" t="n">
        <x:v>0</x:v>
      </x:c>
      <x:c r="D426" s="10" t="n">
        <x:v>0</x:v>
      </x:c>
      <x:c r="E426" s="10" t="n">
        <x:v>1</x:v>
      </x:c>
      <x:c r="F426" s="4" t="str">
        <x:f>IF(COUNT(N426,Q426,T426,W426,Z426,AC426,AF426,AI426)=8,N426*Guide!$E$5+Q426*Guide!$E$6+T426*Guide!$E$7+W426*Guide!$E$8+Z426*Guide!$E$9+AC426*Guide!$E$10+AF426*Guide!$E$11+AI426*Guide!$E$12,"")</x:f>
      </x:c>
      <x:c r="G426" s="4" t="str">
        <x:f>IF(COUNT(O426,R426,U426,X426,AA426,AD426,AG426,AJ426)=8,O426*Guide!$E$5+R426*Guide!$E$6+U426*Guide!$E$7+X426*Guide!$E$8+AA426*Guide!$E$9+AD426*Guide!$E$10+AG426*Guide!$E$11+AJ426*Guide!$E$12,"")</x:f>
      </x:c>
      <x:c r="H426" s="4" t="str">
        <x:f>IF(COUNT(G426,F426)=2,G426-F426,"")</x:f>
      </x:c>
      <x:c r="I426" s="4" t="str">
        <x:f>IF(AND(ISNUMBER(F426),K426&gt;0),F426/K426,"")</x:f>
      </x:c>
      <x:c r="J426" s="4" t="str">
        <x:f>IF(AND(ISNUMBER(G426),L426&gt;0),G426/L426,"")</x:f>
      </x:c>
      <x:c r="K426" s="10"/>
      <x:c r="L426" s="10"/>
      <x:c r="M426" s="10" t="str">
        <x:f>IF(COUNT(L426,K426)=2,L426-K426,"")</x:f>
      </x:c>
      <x:c r="N426" s="10"/>
      <x:c r="O426" s="10"/>
      <x:c r="P426" s="10" t="str">
        <x:f>IF(COUNT(O426,N426)=2,O426-N426,"")</x:f>
      </x:c>
      <x:c r="Q426" s="10"/>
      <x:c r="R426" s="10"/>
      <x:c r="S426" s="10" t="str">
        <x:f>IF(COUNT(R426,Q426)=2,R426-Q426,"")</x:f>
      </x:c>
      <x:c r="T426" s="10"/>
      <x:c r="U426" s="10"/>
      <x:c r="V426" s="10" t="str">
        <x:f>IF(COUNT(U426,T426)=2,U426-T426,"")</x:f>
      </x:c>
      <x:c r="W426" s="10"/>
      <x:c r="X426" s="10" t="str">
        <x:f>IF(COUNT(AV426,AW426)=2,AV426+AW426,"")</x:f>
      </x:c>
      <x:c r="Y426" s="10" t="str">
        <x:f>IF(COUNT(X426,W426)=2,X426-W426,"")</x:f>
      </x:c>
      <x:c r="Z426" s="10"/>
      <x:c r="AA426" s="10" t="str">
        <x:f>IF(COUNT(AX426,AY426)=2,AX426+AY426,"")</x:f>
      </x:c>
      <x:c r="AB426" s="10" t="str">
        <x:f>IF(COUNT(AA426,Z426)=2,AA426-Z426,"")</x:f>
      </x:c>
      <x:c r="AC426" s="10"/>
      <x:c r="AD426" s="10"/>
      <x:c r="AE426" s="10" t="str">
        <x:f>IF(COUNT(AD426,AC426)=2,AD426-AC426,"")</x:f>
      </x:c>
      <x:c r="AF426" s="10"/>
      <x:c r="AG426" s="10"/>
      <x:c r="AH426" s="10" t="str">
        <x:f>IF(COUNT(AG426,AF426)=2,AG426-AF426,"")</x:f>
      </x:c>
      <x:c r="AI426" s="10"/>
      <x:c r="AJ426" s="10"/>
      <x:c r="AK426" s="10" t="str">
        <x:f>IF(COUNT(AJ426,AI426)=2,AJ426-AI426,"")</x:f>
      </x:c>
      <x:c r="AL426" s="10"/>
      <x:c r="AM426" s="10"/>
      <x:c r="AN426" s="4"/>
      <x:c r="AO426" s="4"/>
      <x:c r="AP426" s="4"/>
      <x:c r="AQ426" s="4"/>
      <x:c r="AR426" s="4"/>
      <x:c r="AS426" s="4"/>
      <x:c r="AT426" s="4"/>
      <x:c r="AU426" s="4"/>
      <x:c r="AV426" s="10"/>
      <x:c r="AW426" s="10"/>
      <x:c r="AX426" s="10"/>
      <x:c r="AY426" s="10"/>
      <x:c r="AZ426" s="10" t="n">
        <x:v>165</x:v>
      </x:c>
      <x:c r="BA426" s="10" t="n">
        <x:v>163</x:v>
      </x:c>
      <x:c r="BB426" s="4" t="n">
        <x:v>50.3</x:v>
      </x:c>
      <x:c r="BC426" s="4" t="n">
        <x:v>2.8</x:v>
      </x:c>
      <x:c r="BD426" s="10" t="n">
        <x:v>118</x:v>
      </x:c>
      <x:c r="BE426" s="10" t="n">
        <x:v>120</x:v>
      </x:c>
      <x:c r="BF426" s="4" t="n">
        <x:v>49.6</x:v>
      </x:c>
      <x:c r="BG426" s="4" t="n">
        <x:v>1.4</x:v>
      </x:c>
      <x:c r="BH426" s="4" t="n">
        <x:v>12.7</x:v>
      </x:c>
      <x:c r="BI426" s="4" t="n">
        <x:v>91.3</x:v>
      </x:c>
      <x:c r="BJ426" s="4" t="n">
        <x:v>103.9</x:v>
      </x:c>
      <x:c r="BK426" s="4" t="n">
        <x:v>67.3</x:v>
      </x:c>
      <x:c r="BL426" s="4" t="n">
        <x:v>32.7</x:v>
      </x:c>
      <x:c r="BM426" s="4" t="n">
        <x:v>13.05</x:v>
      </x:c>
      <x:c r="BN426" s="4" t="n">
        <x:v>12.733333333333333</x:v>
      </x:c>
      <x:c r="BO426" s="10" t="n">
        <x:v>2</x:v>
      </x:c>
      <x:c r="BP426" s="10" t="n">
        <x:v>7</x:v>
      </x:c>
      <x:c r="BQ426" s="4" t="n">
        <x:v>0.8</x:v>
      </x:c>
      <x:c r="BR426" s="10" t="n">
        <x:v>29</x:v>
      </x:c>
      <x:c r="BS426" s="4" t="n">
        <x:v>37.9</x:v>
      </x:c>
      <x:c r="BT426" s="10" t="n">
        <x:v>15</x:v>
      </x:c>
      <x:c r="BU426" s="4" t="str">
        <x:v>MTL</x:v>
      </x:c>
      <x:c r="BV426" s="10"/>
      <x:c r="BW426" s="10"/>
      <x:c r="BX426" s="10" t="n">
        <x:v>269</x:v>
      </x:c>
      <x:c r="BY426" s="4"/>
      <x:c r="BZ426" s="4"/>
      <x:c r="CA426" s="4" t="str">
        <x:v>Adam Engstrom</x:v>
      </x:c>
      <x:c r="CB426" s="4" t="str">
        <x:v>engstad01</x:v>
      </x:c>
    </x:row>
    <x:row r="427" ht="22" customHeight="1">
      <x:c r="A427" s="4" t="str">
        <x:v>Adam Erne</x:v>
      </x:c>
      <x:c r="B427" s="4" t="str">
        <x:v>adamerne</x:v>
      </x:c>
      <x:c r="C427" s="10" t="n">
        <x:v>0</x:v>
      </x:c>
      <x:c r="D427" s="10" t="n">
        <x:v>0</x:v>
      </x:c>
      <x:c r="E427" s="10" t="n">
        <x:v>1</x:v>
      </x:c>
      <x:c r="F427" s="4" t="str">
        <x:f>IF(COUNT(N427,Q427,T427,W427,Z427,AC427,AF427,AI427)=8,N427*Guide!$E$5+Q427*Guide!$E$6+T427*Guide!$E$7+W427*Guide!$E$8+Z427*Guide!$E$9+AC427*Guide!$E$10+AF427*Guide!$E$11+AI427*Guide!$E$12,"")</x:f>
      </x:c>
      <x:c r="G427" s="4" t="str">
        <x:f>IF(COUNT(O427,R427,U427,X427,AA427,AD427,AG427,AJ427)=8,O427*Guide!$E$5+R427*Guide!$E$6+U427*Guide!$E$7+X427*Guide!$E$8+AA427*Guide!$E$9+AD427*Guide!$E$10+AG427*Guide!$E$11+AJ427*Guide!$E$12,"")</x:f>
      </x:c>
      <x:c r="H427" s="4" t="str">
        <x:f>IF(COUNT(G427,F427)=2,G427-F427,"")</x:f>
      </x:c>
      <x:c r="I427" s="4" t="str">
        <x:f>IF(AND(ISNUMBER(F427),K427&gt;0),F427/K427,"")</x:f>
      </x:c>
      <x:c r="J427" s="4" t="str">
        <x:f>IF(AND(ISNUMBER(G427),L427&gt;0),G427/L427,"")</x:f>
      </x:c>
      <x:c r="K427" s="10"/>
      <x:c r="L427" s="10"/>
      <x:c r="M427" s="10" t="str">
        <x:f>IF(COUNT(L427,K427)=2,L427-K427,"")</x:f>
      </x:c>
      <x:c r="N427" s="10"/>
      <x:c r="O427" s="10"/>
      <x:c r="P427" s="10" t="str">
        <x:f>IF(COUNT(O427,N427)=2,O427-N427,"")</x:f>
      </x:c>
      <x:c r="Q427" s="10"/>
      <x:c r="R427" s="10"/>
      <x:c r="S427" s="10" t="str">
        <x:f>IF(COUNT(R427,Q427)=2,R427-Q427,"")</x:f>
      </x:c>
      <x:c r="T427" s="10"/>
      <x:c r="U427" s="10"/>
      <x:c r="V427" s="10" t="str">
        <x:f>IF(COUNT(U427,T427)=2,U427-T427,"")</x:f>
      </x:c>
      <x:c r="W427" s="10"/>
      <x:c r="X427" s="10" t="str">
        <x:f>IF(COUNT(AV427,AW427)=2,AV427+AW427,"")</x:f>
      </x:c>
      <x:c r="Y427" s="10" t="str">
        <x:f>IF(COUNT(X427,W427)=2,X427-W427,"")</x:f>
      </x:c>
      <x:c r="Z427" s="10"/>
      <x:c r="AA427" s="10" t="str">
        <x:f>IF(COUNT(AX427,AY427)=2,AX427+AY427,"")</x:f>
      </x:c>
      <x:c r="AB427" s="10" t="str">
        <x:f>IF(COUNT(AA427,Z427)=2,AA427-Z427,"")</x:f>
      </x:c>
      <x:c r="AC427" s="10"/>
      <x:c r="AD427" s="10"/>
      <x:c r="AE427" s="10" t="str">
        <x:f>IF(COUNT(AD427,AC427)=2,AD427-AC427,"")</x:f>
      </x:c>
      <x:c r="AF427" s="10"/>
      <x:c r="AG427" s="10"/>
      <x:c r="AH427" s="10" t="str">
        <x:f>IF(COUNT(AG427,AF427)=2,AG427-AF427,"")</x:f>
      </x:c>
      <x:c r="AI427" s="10"/>
      <x:c r="AJ427" s="10"/>
      <x:c r="AK427" s="10" t="str">
        <x:f>IF(COUNT(AJ427,AI427)=2,AJ427-AI427,"")</x:f>
      </x:c>
      <x:c r="AL427" s="10"/>
      <x:c r="AM427" s="10"/>
      <x:c r="AN427" s="4"/>
      <x:c r="AO427" s="4"/>
      <x:c r="AP427" s="4"/>
      <x:c r="AQ427" s="4"/>
      <x:c r="AR427" s="4"/>
      <x:c r="AS427" s="4"/>
      <x:c r="AT427" s="4"/>
      <x:c r="AU427" s="4"/>
      <x:c r="AV427" s="10"/>
      <x:c r="AW427" s="10"/>
      <x:c r="AX427" s="10"/>
      <x:c r="AY427" s="10"/>
      <x:c r="AZ427" s="10" t="n">
        <x:v>316</x:v>
      </x:c>
      <x:c r="BA427" s="10" t="n">
        <x:v>378</x:v>
      </x:c>
      <x:c r="BB427" s="4" t="n">
        <x:v>45.5</x:v>
      </x:c>
      <x:c r="BC427" s="4" t="n">
        <x:v>-3.1</x:v>
      </x:c>
      <x:c r="BD427" s="10" t="n">
        <x:v>218</x:v>
      </x:c>
      <x:c r="BE427" s="10" t="n">
        <x:v>257</x:v>
      </x:c>
      <x:c r="BF427" s="4" t="n">
        <x:v>45.9</x:v>
      </x:c>
      <x:c r="BG427" s="4" t="n">
        <x:v>-3.7</x:v>
      </x:c>
      <x:c r="BH427" s="4" t="n">
        <x:v>10.1</x:v>
      </x:c>
      <x:c r="BI427" s="4" t="n">
        <x:v>91.9</x:v>
      </x:c>
      <x:c r="BJ427" s="4" t="n">
        <x:v>102.1</x:v>
      </x:c>
      <x:c r="BK427" s="4" t="n">
        <x:v>39.5</x:v>
      </x:c>
      <x:c r="BL427" s="4" t="n">
        <x:v>60.5</x:v>
      </x:c>
      <x:c r="BM427" s="4" t="n">
        <x:v>10</x:v>
      </x:c>
      <x:c r="BN427" s="4" t="n">
        <x:v>9.95</x:v>
      </x:c>
      <x:c r="BO427" s="10" t="n">
        <x:v>9</x:v>
      </x:c>
      <x:c r="BP427" s="10" t="n">
        <x:v>17</x:v>
      </x:c>
      <x:c r="BQ427" s="4" t="n">
        <x:v>-0.8</x:v>
      </x:c>
      <x:c r="BR427" s="10" t="n">
        <x:v>87</x:v>
      </x:c>
      <x:c r="BS427" s="4" t="n">
        <x:v>49.4</x:v>
      </x:c>
      <x:c r="BT427" s="10" t="n">
        <x:v>45</x:v>
      </x:c>
      <x:c r="BU427" s="4" t="str">
        <x:v>DAL</x:v>
      </x:c>
      <x:c r="BV427" s="10"/>
      <x:c r="BW427" s="10"/>
      <x:c r="BX427" s="10" t="n">
        <x:v>271</x:v>
      </x:c>
      <x:c r="BY427" s="4"/>
      <x:c r="BZ427" s="4"/>
      <x:c r="CA427" s="4" t="str">
        <x:v>Adam Erne</x:v>
      </x:c>
      <x:c r="CB427" s="4" t="str">
        <x:v>ernead01</x:v>
      </x:c>
    </x:row>
    <x:row r="428" ht="22" customHeight="1">
      <x:c r="A428" s="4" t="str">
        <x:v>Adam Ginning</x:v>
      </x:c>
      <x:c r="B428" s="4" t="str">
        <x:v>adamginning</x:v>
      </x:c>
      <x:c r="C428" s="10" t="n">
        <x:v>0</x:v>
      </x:c>
      <x:c r="D428" s="10" t="n">
        <x:v>0</x:v>
      </x:c>
      <x:c r="E428" s="10" t="n">
        <x:v>1</x:v>
      </x:c>
      <x:c r="F428" s="4" t="str">
        <x:f>IF(COUNT(N428,Q428,T428,W428,Z428,AC428,AF428,AI428)=8,N428*Guide!$E$5+Q428*Guide!$E$6+T428*Guide!$E$7+W428*Guide!$E$8+Z428*Guide!$E$9+AC428*Guide!$E$10+AF428*Guide!$E$11+AI428*Guide!$E$12,"")</x:f>
      </x:c>
      <x:c r="G428" s="4" t="str">
        <x:f>IF(COUNT(O428,R428,U428,X428,AA428,AD428,AG428,AJ428)=8,O428*Guide!$E$5+R428*Guide!$E$6+U428*Guide!$E$7+X428*Guide!$E$8+AA428*Guide!$E$9+AD428*Guide!$E$10+AG428*Guide!$E$11+AJ428*Guide!$E$12,"")</x:f>
      </x:c>
      <x:c r="H428" s="4" t="str">
        <x:f>IF(COUNT(G428,F428)=2,G428-F428,"")</x:f>
      </x:c>
      <x:c r="I428" s="4" t="str">
        <x:f>IF(AND(ISNUMBER(F428),K428&gt;0),F428/K428,"")</x:f>
      </x:c>
      <x:c r="J428" s="4" t="str">
        <x:f>IF(AND(ISNUMBER(G428),L428&gt;0),G428/L428,"")</x:f>
      </x:c>
      <x:c r="K428" s="10"/>
      <x:c r="L428" s="10"/>
      <x:c r="M428" s="10" t="str">
        <x:f>IF(COUNT(L428,K428)=2,L428-K428,"")</x:f>
      </x:c>
      <x:c r="N428" s="10"/>
      <x:c r="O428" s="10"/>
      <x:c r="P428" s="10" t="str">
        <x:f>IF(COUNT(O428,N428)=2,O428-N428,"")</x:f>
      </x:c>
      <x:c r="Q428" s="10"/>
      <x:c r="R428" s="10"/>
      <x:c r="S428" s="10" t="str">
        <x:f>IF(COUNT(R428,Q428)=2,R428-Q428,"")</x:f>
      </x:c>
      <x:c r="T428" s="10"/>
      <x:c r="U428" s="10"/>
      <x:c r="V428" s="10" t="str">
        <x:f>IF(COUNT(U428,T428)=2,U428-T428,"")</x:f>
      </x:c>
      <x:c r="W428" s="10"/>
      <x:c r="X428" s="10" t="str">
        <x:f>IF(COUNT(AV428,AW428)=2,AV428+AW428,"")</x:f>
      </x:c>
      <x:c r="Y428" s="10" t="str">
        <x:f>IF(COUNT(X428,W428)=2,X428-W428,"")</x:f>
      </x:c>
      <x:c r="Z428" s="10"/>
      <x:c r="AA428" s="10" t="str">
        <x:f>IF(COUNT(AX428,AY428)=2,AX428+AY428,"")</x:f>
      </x:c>
      <x:c r="AB428" s="10" t="str">
        <x:f>IF(COUNT(AA428,Z428)=2,AA428-Z428,"")</x:f>
      </x:c>
      <x:c r="AC428" s="10"/>
      <x:c r="AD428" s="10"/>
      <x:c r="AE428" s="10" t="str">
        <x:f>IF(COUNT(AD428,AC428)=2,AD428-AC428,"")</x:f>
      </x:c>
      <x:c r="AF428" s="10"/>
      <x:c r="AG428" s="10"/>
      <x:c r="AH428" s="10" t="str">
        <x:f>IF(COUNT(AG428,AF428)=2,AG428-AF428,"")</x:f>
      </x:c>
      <x:c r="AI428" s="10"/>
      <x:c r="AJ428" s="10"/>
      <x:c r="AK428" s="10" t="str">
        <x:f>IF(COUNT(AJ428,AI428)=2,AJ428-AI428,"")</x:f>
      </x:c>
      <x:c r="AL428" s="10"/>
      <x:c r="AM428" s="10"/>
      <x:c r="AN428" s="4"/>
      <x:c r="AO428" s="4"/>
      <x:c r="AP428" s="4"/>
      <x:c r="AQ428" s="4"/>
      <x:c r="AR428" s="4"/>
      <x:c r="AS428" s="4"/>
      <x:c r="AT428" s="4"/>
      <x:c r="AU428" s="4"/>
      <x:c r="AV428" s="10"/>
      <x:c r="AW428" s="10"/>
      <x:c r="AX428" s="10"/>
      <x:c r="AY428" s="10"/>
      <x:c r="AZ428" s="10" t="n">
        <x:v>36</x:v>
      </x:c>
      <x:c r="BA428" s="10" t="n">
        <x:v>72</x:v>
      </x:c>
      <x:c r="BB428" s="4" t="n">
        <x:v>33.3</x:v>
      </x:c>
      <x:c r="BC428" s="4" t="n">
        <x:v>-14.5</x:v>
      </x:c>
      <x:c r="BD428" s="10" t="n">
        <x:v>22</x:v>
      </x:c>
      <x:c r="BE428" s="10" t="n">
        <x:v>56</x:v>
      </x:c>
      <x:c r="BF428" s="4" t="n">
        <x:v>28.2</x:v>
      </x:c>
      <x:c r="BG428" s="4" t="n">
        <x:v>-21.6</x:v>
      </x:c>
      <x:c r="BH428" s="4" t="n">
        <x:v>16.7</x:v>
      </x:c>
      <x:c r="BI428" s="4" t="n">
        <x:v>94.3</x:v>
      </x:c>
      <x:c r="BJ428" s="4" t="n">
        <x:v>111</x:v>
      </x:c>
      <x:c r="BK428" s="4" t="n">
        <x:v>48.4</x:v>
      </x:c>
      <x:c r="BL428" s="4" t="n">
        <x:v>51.6</x:v>
      </x:c>
      <x:c r="BM428" s="4" t="n">
        <x:v>15.333333333333334</x:v>
      </x:c>
      <x:c r="BN428" s="4" t="n">
        <x:v>13.55</x:v>
      </x:c>
      <x:c r="BO428" s="10" t="n">
        <x:v>0</x:v>
      </x:c>
      <x:c r="BP428" s="10" t="n">
        <x:v>5</x:v>
      </x:c>
      <x:c r="BQ428" s="4" t="n">
        <x:v>-1.6</x:v>
      </x:c>
      <x:c r="BR428" s="10" t="n">
        <x:v>9</x:v>
      </x:c>
      <x:c r="BS428" s="4" t="n">
        <x:v>22.2</x:v>
      </x:c>
      <x:c r="BT428" s="10" t="n">
        <x:v>5</x:v>
      </x:c>
      <x:c r="BU428" s="4" t="str">
        <x:v>PHI</x:v>
      </x:c>
      <x:c r="BV428" s="10"/>
      <x:c r="BW428" s="10"/>
      <x:c r="BX428" s="10" t="n">
        <x:v>337</x:v>
      </x:c>
      <x:c r="BY428" s="4"/>
      <x:c r="BZ428" s="4"/>
      <x:c r="CA428" s="4" t="str">
        <x:v>Adam Ginning</x:v>
      </x:c>
      <x:c r="CB428" s="4" t="str">
        <x:v>ginniad01</x:v>
      </x:c>
    </x:row>
    <x:row r="429" ht="22" customHeight="1">
      <x:c r="A429" s="4" t="str">
        <x:v>Adam Henrique</x:v>
      </x:c>
      <x:c r="B429" s="4" t="str">
        <x:v>adamhenrique</x:v>
      </x:c>
      <x:c r="C429" s="10" t="n">
        <x:v>1</x:v>
      </x:c>
      <x:c r="D429" s="10" t="n">
        <x:v>0</x:v>
      </x:c>
      <x:c r="E429" s="10" t="n">
        <x:v>1</x:v>
      </x:c>
      <x:c r="F429" s="4" t="n">
        <x:f>IF(COUNT(N429,Q429,T429,W429,Z429,AC429,AF429,AI429)=8,N429*Guide!$E$5+Q429*Guide!$E$6+T429*Guide!$E$7+W429*Guide!$E$8+Z429*Guide!$E$9+AC429*Guide!$E$10+AF429*Guide!$E$11+AI429*Guide!$E$12,"")</x:f>
        <x:v>220.5</x:v>
      </x:c>
      <x:c r="G429" s="4" t="str">
        <x:f>IF(COUNT(O429,R429,U429,X429,AA429,AD429,AG429,AJ429)=8,O429*Guide!$E$5+R429*Guide!$E$6+U429*Guide!$E$7+X429*Guide!$E$8+AA429*Guide!$E$9+AD429*Guide!$E$10+AG429*Guide!$E$11+AJ429*Guide!$E$12,"")</x:f>
      </x:c>
      <x:c r="H429" s="4" t="str">
        <x:f>IF(COUNT(G429,F429)=2,G429-F429,"")</x:f>
      </x:c>
      <x:c r="I429" s="4" t="n">
        <x:f>IF(AND(ISNUMBER(F429),K429&gt;0),F429/K429,"")</x:f>
        <x:v>2.7911392405063293</x:v>
      </x:c>
      <x:c r="J429" s="4" t="str">
        <x:f>IF(AND(ISNUMBER(G429),L429&gt;0),G429/L429,"")</x:f>
      </x:c>
      <x:c r="K429" s="10" t="n">
        <x:v>79</x:v>
      </x:c>
      <x:c r="L429" s="10"/>
      <x:c r="M429" s="10" t="str">
        <x:f>IF(COUNT(L429,K429)=2,L429-K429,"")</x:f>
      </x:c>
      <x:c r="N429" s="10" t="n">
        <x:v>16</x:v>
      </x:c>
      <x:c r="O429" s="10"/>
      <x:c r="P429" s="10" t="str">
        <x:f>IF(COUNT(O429,N429)=2,O429-N429,"")</x:f>
      </x:c>
      <x:c r="Q429" s="10" t="n">
        <x:v>17</x:v>
      </x:c>
      <x:c r="R429" s="10"/>
      <x:c r="S429" s="10" t="str">
        <x:f>IF(COUNT(R429,Q429)=2,R429-Q429,"")</x:f>
      </x:c>
      <x:c r="T429" s="10" t="n">
        <x:v>0</x:v>
      </x:c>
      <x:c r="U429" s="10"/>
      <x:c r="V429" s="10" t="str">
        <x:f>IF(COUNT(U429,T429)=2,U429-T429,"")</x:f>
      </x:c>
      <x:c r="W429" s="10" t="n">
        <x:v>5</x:v>
      </x:c>
      <x:c r="X429" s="10" t="str">
        <x:f>IF(COUNT(AV429,AW429)=2,AV429+AW429,"")</x:f>
      </x:c>
      <x:c r="Y429" s="10" t="str">
        <x:f>IF(COUNT(X429,W429)=2,X429-W429,"")</x:f>
      </x:c>
      <x:c r="Z429" s="10" t="n">
        <x:v>2</x:v>
      </x:c>
      <x:c r="AA429" s="10" t="str">
        <x:f>IF(COUNT(AX429,AY429)=2,AX429+AY429,"")</x:f>
      </x:c>
      <x:c r="AB429" s="10" t="str">
        <x:f>IF(COUNT(AA429,Z429)=2,AA429-Z429,"")</x:f>
      </x:c>
      <x:c r="AC429" s="10" t="n">
        <x:v>104</x:v>
      </x:c>
      <x:c r="AD429" s="10"/>
      <x:c r="AE429" s="10" t="str">
        <x:f>IF(COUNT(AD429,AC429)=2,AD429-AC429,"")</x:f>
      </x:c>
      <x:c r="AF429" s="10" t="n">
        <x:v>58</x:v>
      </x:c>
      <x:c r="AG429" s="10"/>
      <x:c r="AH429" s="10" t="str">
        <x:f>IF(COUNT(AG429,AF429)=2,AG429-AF429,"")</x:f>
      </x:c>
      <x:c r="AI429" s="10" t="n">
        <x:v>72</x:v>
      </x:c>
      <x:c r="AJ429" s="10"/>
      <x:c r="AK429" s="10" t="str">
        <x:f>IF(COUNT(AJ429,AI429)=2,AJ429-AI429,"")</x:f>
      </x:c>
      <x:c r="AL429" s="10" t="n">
        <x:v>35</x:v>
      </x:c>
      <x:c r="AM429" s="10"/>
      <x:c r="AN429" s="4" t="str">
        <x:v>C</x:v>
      </x:c>
      <x:c r="AO429" s="4"/>
      <x:c r="AP429" s="4" t="str">
        <x:v>EDM</x:v>
      </x:c>
      <x:c r="AQ429" s="4"/>
      <x:c r="AR429" s="4" t="n">
        <x:v>14.760000000000002</x:v>
      </x:c>
      <x:c r="AS429" s="4"/>
      <x:c r="AT429" s="4" t="n">
        <x:v>0.98</x:v>
      </x:c>
      <x:c r="AU429" s="4"/>
      <x:c r="AV429" s="10"/>
      <x:c r="AW429" s="10"/>
      <x:c r="AX429" s="10"/>
      <x:c r="AY429" s="10"/>
      <x:c r="AZ429" s="10" t="n">
        <x:v>600</x:v>
      </x:c>
      <x:c r="BA429" s="10" t="n">
        <x:v>662</x:v>
      </x:c>
      <x:c r="BB429" s="4" t="n">
        <x:v>47.5</x:v>
      </x:c>
      <x:c r="BC429" s="4" t="n">
        <x:v>-3.3</x:v>
      </x:c>
      <x:c r="BD429" s="10" t="n">
        <x:v>417</x:v>
      </x:c>
      <x:c r="BE429" s="10" t="n">
        <x:v>431</x:v>
      </x:c>
      <x:c r="BF429" s="4" t="n">
        <x:v>49.2</x:v>
      </x:c>
      <x:c r="BG429" s="4" t="n">
        <x:v>-1.9</x:v>
      </x:c>
      <x:c r="BH429" s="4" t="n">
        <x:v>6.7</x:v>
      </x:c>
      <x:c r="BI429" s="4" t="n">
        <x:v>88.3</x:v>
      </x:c>
      <x:c r="BJ429" s="4" t="n">
        <x:v>95.1</x:v>
      </x:c>
      <x:c r="BK429" s="4" t="n">
        <x:v>36.3</x:v>
      </x:c>
      <x:c r="BL429" s="4" t="n">
        <x:v>63.7</x:v>
      </x:c>
      <x:c r="BM429" s="4" t="n">
        <x:v>13.233333333333333</x:v>
      </x:c>
      <x:c r="BN429" s="4" t="n">
        <x:v>10.966666666666667</x:v>
      </x:c>
      <x:c r="BO429" s="10" t="n">
        <x:v>14</x:v>
      </x:c>
      <x:c r="BP429" s="10" t="n">
        <x:v>36</x:v>
      </x:c>
      <x:c r="BQ429" s="4" t="n">
        <x:v>-2</x:v>
      </x:c>
      <x:c r="BR429" s="10" t="n">
        <x:v>164</x:v>
      </x:c>
      <x:c r="BS429" s="4" t="n">
        <x:v>55.5</x:v>
      </x:c>
      <x:c r="BT429" s="10" t="n">
        <x:v>65</x:v>
      </x:c>
      <x:c r="BU429" s="4" t="str">
        <x:v>EDM</x:v>
      </x:c>
      <x:c r="BV429" s="10" t="n">
        <x:v>333</x:v>
      </x:c>
      <x:c r="BW429" s="10"/>
      <x:c r="BX429" s="10" t="n">
        <x:v>410</x:v>
      </x:c>
      <x:c r="BY429" s="4" t="str">
        <x:v>Adam Henrique</x:v>
      </x:c>
      <x:c r="BZ429" s="4"/>
      <x:c r="CA429" s="4" t="str">
        <x:v>Adam Henrique</x:v>
      </x:c>
      <x:c r="CB429" s="4" t="str">
        <x:v>henriad01</x:v>
      </x:c>
    </x:row>
    <x:row r="430" ht="22" customHeight="1">
      <x:c r="A430" s="4" t="str">
        <x:v>Adam Pelech</x:v>
      </x:c>
      <x:c r="B430" s="4" t="str">
        <x:v>adampelech</x:v>
      </x:c>
      <x:c r="C430" s="10" t="n">
        <x:v>1</x:v>
      </x:c>
      <x:c r="D430" s="10" t="n">
        <x:v>0</x:v>
      </x:c>
      <x:c r="E430" s="10" t="n">
        <x:v>1</x:v>
      </x:c>
      <x:c r="F430" s="4" t="n">
        <x:f>IF(COUNT(N430,Q430,T430,W430,Z430,AC430,AF430,AI430)=8,N430*Guide!$E$5+Q430*Guide!$E$6+T430*Guide!$E$7+W430*Guide!$E$8+Z430*Guide!$E$9+AC430*Guide!$E$10+AF430*Guide!$E$11+AI430*Guide!$E$12,"")</x:f>
        <x:v>224.75</x:v>
      </x:c>
      <x:c r="G430" s="4" t="str">
        <x:f>IF(COUNT(O430,R430,U430,X430,AA430,AD430,AG430,AJ430)=8,O430*Guide!$E$5+R430*Guide!$E$6+U430*Guide!$E$7+X430*Guide!$E$8+AA430*Guide!$E$9+AD430*Guide!$E$10+AG430*Guide!$E$11+AJ430*Guide!$E$12,"")</x:f>
      </x:c>
      <x:c r="H430" s="4" t="str">
        <x:f>IF(COUNT(G430,F430)=2,G430-F430,"")</x:f>
      </x:c>
      <x:c r="I430" s="4" t="n">
        <x:f>IF(AND(ISNUMBER(F430),K430&gt;0),F430/K430,"")</x:f>
        <x:v>3.0371621621621623</x:v>
      </x:c>
      <x:c r="J430" s="4" t="str">
        <x:f>IF(AND(ISNUMBER(G430),L430&gt;0),G430/L430,"")</x:f>
      </x:c>
      <x:c r="K430" s="10" t="n">
        <x:v>74</x:v>
      </x:c>
      <x:c r="L430" s="10"/>
      <x:c r="M430" s="10" t="str">
        <x:f>IF(COUNT(L430,K430)=2,L430-K430,"")</x:f>
      </x:c>
      <x:c r="N430" s="10" t="n">
        <x:v>4</x:v>
      </x:c>
      <x:c r="O430" s="10"/>
      <x:c r="P430" s="10" t="str">
        <x:f>IF(COUNT(O430,N430)=2,O430-N430,"")</x:f>
      </x:c>
      <x:c r="Q430" s="10" t="n">
        <x:v>20</x:v>
      </x:c>
      <x:c r="R430" s="10"/>
      <x:c r="S430" s="10" t="str">
        <x:f>IF(COUNT(R430,Q430)=2,R430-Q430,"")</x:f>
      </x:c>
      <x:c r="T430" s="10" t="n">
        <x:v>7</x:v>
      </x:c>
      <x:c r="U430" s="10"/>
      <x:c r="V430" s="10" t="str">
        <x:f>IF(COUNT(U430,T430)=2,U430-T430,"")</x:f>
      </x:c>
      <x:c r="W430" s="10" t="n">
        <x:v>1</x:v>
      </x:c>
      <x:c r="X430" s="10" t="str">
        <x:f>IF(COUNT(AV430,AW430)=2,AV430+AW430,"")</x:f>
      </x:c>
      <x:c r="Y430" s="10" t="str">
        <x:f>IF(COUNT(X430,W430)=2,X430-W430,"")</x:f>
      </x:c>
      <x:c r="Z430" s="10" t="n">
        <x:v>1</x:v>
      </x:c>
      <x:c r="AA430" s="10" t="str">
        <x:f>IF(COUNT(AX430,AY430)=2,AX430+AY430,"")</x:f>
      </x:c>
      <x:c r="AB430" s="10" t="str">
        <x:f>IF(COUNT(AA430,Z430)=2,AA430-Z430,"")</x:f>
      </x:c>
      <x:c r="AC430" s="10" t="n">
        <x:v>122</x:v>
      </x:c>
      <x:c r="AD430" s="10"/>
      <x:c r="AE430" s="10" t="str">
        <x:f>IF(COUNT(AD430,AC430)=2,AD430-AC430,"")</x:f>
      </x:c>
      <x:c r="AF430" s="10" t="n">
        <x:v>81</x:v>
      </x:c>
      <x:c r="AG430" s="10"/>
      <x:c r="AH430" s="10" t="str">
        <x:f>IF(COUNT(AG430,AF430)=2,AG430-AF430,"")</x:f>
      </x:c>
      <x:c r="AI430" s="10" t="n">
        <x:v>116</x:v>
      </x:c>
      <x:c r="AJ430" s="10"/>
      <x:c r="AK430" s="10" t="str">
        <x:f>IF(COUNT(AJ430,AI430)=2,AJ430-AI430,"")</x:f>
      </x:c>
      <x:c r="AL430" s="10" t="n">
        <x:v>31</x:v>
      </x:c>
      <x:c r="AM430" s="10"/>
      <x:c r="AN430" s="4" t="str">
        <x:v>D</x:v>
      </x:c>
      <x:c r="AO430" s="4"/>
      <x:c r="AP430" s="4" t="str">
        <x:v>NYI</x:v>
      </x:c>
      <x:c r="AQ430" s="4"/>
      <x:c r="AR430" s="4" t="n">
        <x:v>21.099999999999998</x:v>
      </x:c>
      <x:c r="AS430" s="4"/>
      <x:c r="AT430" s="4" t="n">
        <x:v>0.16</x:v>
      </x:c>
      <x:c r="AU430" s="4"/>
      <x:c r="AV430" s="10"/>
      <x:c r="AW430" s="10"/>
      <x:c r="AX430" s="10"/>
      <x:c r="AY430" s="10"/>
      <x:c r="AZ430" s="10" t="n">
        <x:v>1500</x:v>
      </x:c>
      <x:c r="BA430" s="10" t="n">
        <x:v>1351</x:v>
      </x:c>
      <x:c r="BB430" s="4" t="n">
        <x:v>52.6</x:v>
      </x:c>
      <x:c r="BC430" s="4" t="n">
        <x:v>4.8</x:v>
      </x:c>
      <x:c r="BD430" s="10" t="n">
        <x:v>1086</x:v>
      </x:c>
      <x:c r="BE430" s="10" t="n">
        <x:v>979</x:v>
      </x:c>
      <x:c r="BF430" s="4" t="n">
        <x:v>52.6</x:v>
      </x:c>
      <x:c r="BG430" s="4" t="n">
        <x:v>4.1</x:v>
      </x:c>
      <x:c r="BH430" s="4" t="n">
        <x:v>7.7</x:v>
      </x:c>
      <x:c r="BI430" s="4" t="n">
        <x:v>90.9</x:v>
      </x:c>
      <x:c r="BJ430" s="4" t="n">
        <x:v>98.7</x:v>
      </x:c>
      <x:c r="BK430" s="4" t="n">
        <x:v>47.6</x:v>
      </x:c>
      <x:c r="BL430" s="4" t="n">
        <x:v>52.4</x:v>
      </x:c>
      <x:c r="BM430" s="4" t="n">
        <x:v>20.883333333333333</x:v>
      </x:c>
      <x:c r="BN430" s="4" t="n">
        <x:v>18.266666666666666</x:v>
      </x:c>
      <x:c r="BO430" s="10" t="n">
        <x:v>31</x:v>
      </x:c>
      <x:c r="BP430" s="10" t="n">
        <x:v>70</x:v>
      </x:c>
      <x:c r="BQ430" s="4" t="n">
        <x:v>2.6</x:v>
      </x:c>
      <x:c r="BR430" s="10" t="n">
        <x:v>319</x:v>
      </x:c>
      <x:c r="BS430" s="4" t="n">
        <x:v>38.2</x:v>
      </x:c>
      <x:c r="BT430" s="10" t="n">
        <x:v>82</x:v>
      </x:c>
      <x:c r="BU430" s="4" t="str">
        <x:v>NYI</x:v>
      </x:c>
      <x:c r="BV430" s="10" t="n">
        <x:v>448</x:v>
      </x:c>
      <x:c r="BW430" s="10"/>
      <x:c r="BX430" s="10" t="n">
        <x:v>793</x:v>
      </x:c>
      <x:c r="BY430" s="4" t="str">
        <x:v>Adam Pelech</x:v>
      </x:c>
      <x:c r="BZ430" s="4"/>
      <x:c r="CA430" s="4" t="str">
        <x:v>Adam Pelech</x:v>
      </x:c>
      <x:c r="CB430" s="4" t="str">
        <x:v>pelecad01</x:v>
      </x:c>
    </x:row>
    <x:row r="431" ht="22" customHeight="1">
      <x:c r="A431" s="4" t="str">
        <x:v>Adam Sykora</x:v>
      </x:c>
      <x:c r="B431" s="4" t="str">
        <x:v>adamsykora</x:v>
      </x:c>
      <x:c r="C431" s="10" t="n">
        <x:v>0</x:v>
      </x:c>
      <x:c r="D431" s="10" t="n">
        <x:v>0</x:v>
      </x:c>
      <x:c r="E431" s="10" t="n">
        <x:v>1</x:v>
      </x:c>
      <x:c r="F431" s="4" t="str">
        <x:f>IF(COUNT(N431,Q431,T431,W431,Z431,AC431,AF431,AI431)=8,N431*Guide!$E$5+Q431*Guide!$E$6+T431*Guide!$E$7+W431*Guide!$E$8+Z431*Guide!$E$9+AC431*Guide!$E$10+AF431*Guide!$E$11+AI431*Guide!$E$12,"")</x:f>
      </x:c>
      <x:c r="G431" s="4" t="str">
        <x:f>IF(COUNT(O431,R431,U431,X431,AA431,AD431,AG431,AJ431)=8,O431*Guide!$E$5+R431*Guide!$E$6+U431*Guide!$E$7+X431*Guide!$E$8+AA431*Guide!$E$9+AD431*Guide!$E$10+AG431*Guide!$E$11+AJ431*Guide!$E$12,"")</x:f>
      </x:c>
      <x:c r="H431" s="4" t="str">
        <x:f>IF(COUNT(G431,F431)=2,G431-F431,"")</x:f>
      </x:c>
      <x:c r="I431" s="4" t="str">
        <x:f>IF(AND(ISNUMBER(F431),K431&gt;0),F431/K431,"")</x:f>
      </x:c>
      <x:c r="J431" s="4" t="str">
        <x:f>IF(AND(ISNUMBER(G431),L431&gt;0),G431/L431,"")</x:f>
      </x:c>
      <x:c r="K431" s="10"/>
      <x:c r="L431" s="10"/>
      <x:c r="M431" s="10" t="str">
        <x:f>IF(COUNT(L431,K431)=2,L431-K431,"")</x:f>
      </x:c>
      <x:c r="N431" s="10"/>
      <x:c r="O431" s="10"/>
      <x:c r="P431" s="10" t="str">
        <x:f>IF(COUNT(O431,N431)=2,O431-N431,"")</x:f>
      </x:c>
      <x:c r="Q431" s="10"/>
      <x:c r="R431" s="10"/>
      <x:c r="S431" s="10" t="str">
        <x:f>IF(COUNT(R431,Q431)=2,R431-Q431,"")</x:f>
      </x:c>
      <x:c r="T431" s="10"/>
      <x:c r="U431" s="10"/>
      <x:c r="V431" s="10" t="str">
        <x:f>IF(COUNT(U431,T431)=2,U431-T431,"")</x:f>
      </x:c>
      <x:c r="W431" s="10"/>
      <x:c r="X431" s="10" t="str">
        <x:f>IF(COUNT(AV431,AW431)=2,AV431+AW431,"")</x:f>
      </x:c>
      <x:c r="Y431" s="10" t="str">
        <x:f>IF(COUNT(X431,W431)=2,X431-W431,"")</x:f>
      </x:c>
      <x:c r="Z431" s="10"/>
      <x:c r="AA431" s="10" t="str">
        <x:f>IF(COUNT(AX431,AY431)=2,AX431+AY431,"")</x:f>
      </x:c>
      <x:c r="AB431" s="10" t="str">
        <x:f>IF(COUNT(AA431,Z431)=2,AA431-Z431,"")</x:f>
      </x:c>
      <x:c r="AC431" s="10"/>
      <x:c r="AD431" s="10"/>
      <x:c r="AE431" s="10" t="str">
        <x:f>IF(COUNT(AD431,AC431)=2,AD431-AC431,"")</x:f>
      </x:c>
      <x:c r="AF431" s="10"/>
      <x:c r="AG431" s="10"/>
      <x:c r="AH431" s="10" t="str">
        <x:f>IF(COUNT(AG431,AF431)=2,AG431-AF431,"")</x:f>
      </x:c>
      <x:c r="AI431" s="10"/>
      <x:c r="AJ431" s="10"/>
      <x:c r="AK431" s="10" t="str">
        <x:f>IF(COUNT(AJ431,AI431)=2,AJ431-AI431,"")</x:f>
      </x:c>
      <x:c r="AL431" s="10"/>
      <x:c r="AM431" s="10"/>
      <x:c r="AN431" s="4"/>
      <x:c r="AO431" s="4"/>
      <x:c r="AP431" s="4"/>
      <x:c r="AQ431" s="4"/>
      <x:c r="AR431" s="4"/>
      <x:c r="AS431" s="4"/>
      <x:c r="AT431" s="4"/>
      <x:c r="AU431" s="4"/>
      <x:c r="AV431" s="10"/>
      <x:c r="AW431" s="10"/>
      <x:c r="AX431" s="10"/>
      <x:c r="AY431" s="10"/>
      <x:c r="AZ431" s="10" t="n">
        <x:v>106</x:v>
      </x:c>
      <x:c r="BA431" s="10" t="n">
        <x:v>120</x:v>
      </x:c>
      <x:c r="BB431" s="4" t="n">
        <x:v>46.9</x:v>
      </x:c>
      <x:c r="BC431" s="4" t="n">
        <x:v>-5.4</x:v>
      </x:c>
      <x:c r="BD431" s="10" t="n">
        <x:v>70</x:v>
      </x:c>
      <x:c r="BE431" s="10" t="n">
        <x:v>80</x:v>
      </x:c>
      <x:c r="BF431" s="4" t="n">
        <x:v>46.7</x:v>
      </x:c>
      <x:c r="BG431" s="4" t="n">
        <x:v>-5.8</x:v>
      </x:c>
      <x:c r="BH431" s="4" t="n">
        <x:v>11.9</x:v>
      </x:c>
      <x:c r="BI431" s="4" t="n">
        <x:v>89.8</x:v>
      </x:c>
      <x:c r="BJ431" s="4" t="n">
        <x:v>101.7</x:v>
      </x:c>
      <x:c r="BK431" s="4" t="n">
        <x:v>55.2</x:v>
      </x:c>
      <x:c r="BL431" s="4" t="n">
        <x:v>44.8</x:v>
      </x:c>
      <x:c r="BM431" s="4" t="n">
        <x:v>11.166666666666666</x:v>
      </x:c>
      <x:c r="BN431" s="4" t="n">
        <x:v>11.016666666666667</x:v>
      </x:c>
      <x:c r="BO431" s="10" t="n">
        <x:v>2</x:v>
      </x:c>
      <x:c r="BP431" s="10" t="n">
        <x:v>3</x:v>
      </x:c>
      <x:c r="BQ431" s="4" t="n">
        <x:v>-0.1</x:v>
      </x:c>
      <x:c r="BR431" s="10" t="n">
        <x:v>27</x:v>
      </x:c>
      <x:c r="BS431" s="4" t="n">
        <x:v>55.6</x:v>
      </x:c>
      <x:c r="BT431" s="10" t="n">
        <x:v>11</x:v>
      </x:c>
      <x:c r="BU431" s="4" t="str">
        <x:v>NYR</x:v>
      </x:c>
      <x:c r="BV431" s="10"/>
      <x:c r="BW431" s="10"/>
      <x:c r="BX431" s="10" t="n">
        <x:v>1001</x:v>
      </x:c>
      <x:c r="BY431" s="4"/>
      <x:c r="BZ431" s="4"/>
      <x:c r="CA431" s="4" t="str">
        <x:v>Adam Sykora</x:v>
      </x:c>
      <x:c r="CB431" s="4" t="str">
        <x:v>sykorad01</x:v>
      </x:c>
    </x:row>
    <x:row r="432" ht="22" customHeight="1">
      <x:c r="A432" s="4" t="str">
        <x:v>Adam Wilsby</x:v>
      </x:c>
      <x:c r="B432" s="4" t="str">
        <x:v>adamwilsby</x:v>
      </x:c>
      <x:c r="C432" s="10" t="n">
        <x:v>1</x:v>
      </x:c>
      <x:c r="D432" s="10" t="n">
        <x:v>0</x:v>
      </x:c>
      <x:c r="E432" s="10" t="n">
        <x:v>1</x:v>
      </x:c>
      <x:c r="F432" s="4" t="n">
        <x:f>IF(COUNT(N432,Q432,T432,W432,Z432,AC432,AF432,AI432)=8,N432*Guide!$E$5+Q432*Guide!$E$6+T432*Guide!$E$7+W432*Guide!$E$8+Z432*Guide!$E$9+AC432*Guide!$E$10+AF432*Guide!$E$11+AI432*Guide!$E$12,"")</x:f>
        <x:v>148.5</x:v>
      </x:c>
      <x:c r="G432" s="4" t="str">
        <x:f>IF(COUNT(O432,R432,U432,X432,AA432,AD432,AG432,AJ432)=8,O432*Guide!$E$5+R432*Guide!$E$6+U432*Guide!$E$7+X432*Guide!$E$8+AA432*Guide!$E$9+AD432*Guide!$E$10+AG432*Guide!$E$11+AJ432*Guide!$E$12,"")</x:f>
      </x:c>
      <x:c r="H432" s="4" t="str">
        <x:f>IF(COUNT(G432,F432)=2,G432-F432,"")</x:f>
      </x:c>
      <x:c r="I432" s="4" t="n">
        <x:f>IF(AND(ISNUMBER(F432),K432&gt;0),F432/K432,"")</x:f>
        <x:v>2.3203125</x:v>
      </x:c>
      <x:c r="J432" s="4" t="str">
        <x:f>IF(AND(ISNUMBER(G432),L432&gt;0),G432/L432,"")</x:f>
      </x:c>
      <x:c r="K432" s="10" t="n">
        <x:v>64</x:v>
      </x:c>
      <x:c r="L432" s="10"/>
      <x:c r="M432" s="10" t="str">
        <x:f>IF(COUNT(L432,K432)=2,L432-K432,"")</x:f>
      </x:c>
      <x:c r="N432" s="10" t="n">
        <x:v>4</x:v>
      </x:c>
      <x:c r="O432" s="10"/>
      <x:c r="P432" s="10" t="str">
        <x:f>IF(COUNT(O432,N432)=2,O432-N432,"")</x:f>
      </x:c>
      <x:c r="Q432" s="10" t="n">
        <x:v>13</x:v>
      </x:c>
      <x:c r="R432" s="10"/>
      <x:c r="S432" s="10" t="str">
        <x:f>IF(COUNT(R432,Q432)=2,R432-Q432,"")</x:f>
      </x:c>
      <x:c r="T432" s="10" t="n">
        <x:v>4</x:v>
      </x:c>
      <x:c r="U432" s="10"/>
      <x:c r="V432" s="10" t="str">
        <x:f>IF(COUNT(U432,T432)=2,U432-T432,"")</x:f>
      </x:c>
      <x:c r="W432" s="10" t="n">
        <x:v>0</x:v>
      </x:c>
      <x:c r="X432" s="10" t="str">
        <x:f>IF(COUNT(AV432,AW432)=2,AV432+AW432,"")</x:f>
      </x:c>
      <x:c r="Y432" s="10" t="str">
        <x:f>IF(COUNT(X432,W432)=2,X432-W432,"")</x:f>
      </x:c>
      <x:c r="Z432" s="10" t="n">
        <x:v>1</x:v>
      </x:c>
      <x:c r="AA432" s="10" t="str">
        <x:f>IF(COUNT(AX432,AY432)=2,AX432+AY432,"")</x:f>
      </x:c>
      <x:c r="AB432" s="10" t="str">
        <x:f>IF(COUNT(AA432,Z432)=2,AA432-Z432,"")</x:f>
      </x:c>
      <x:c r="AC432" s="10" t="n">
        <x:v>86</x:v>
      </x:c>
      <x:c r="AD432" s="10"/>
      <x:c r="AE432" s="10" t="str">
        <x:f>IF(COUNT(AD432,AC432)=2,AD432-AC432,"")</x:f>
      </x:c>
      <x:c r="AF432" s="10" t="n">
        <x:v>50</x:v>
      </x:c>
      <x:c r="AG432" s="10"/>
      <x:c r="AH432" s="10" t="str">
        <x:f>IF(COUNT(AG432,AF432)=2,AG432-AF432,"")</x:f>
      </x:c>
      <x:c r="AI432" s="10" t="n">
        <x:v>70</x:v>
      </x:c>
      <x:c r="AJ432" s="10"/>
      <x:c r="AK432" s="10" t="str">
        <x:f>IF(COUNT(AJ432,AI432)=2,AJ432-AI432,"")</x:f>
      </x:c>
      <x:c r="AL432" s="10" t="n">
        <x:v>25</x:v>
      </x:c>
      <x:c r="AM432" s="10"/>
      <x:c r="AN432" s="4" t="str">
        <x:v>D</x:v>
      </x:c>
      <x:c r="AO432" s="4"/>
      <x:c r="AP432" s="4" t="str">
        <x:v>NSH</x:v>
      </x:c>
      <x:c r="AQ432" s="4"/>
      <x:c r="AR432" s="4" t="n">
        <x:v>18.119999999999997</x:v>
      </x:c>
      <x:c r="AS432" s="4"/>
      <x:c r="AT432" s="4" t="n">
        <x:v>0.06</x:v>
      </x:c>
      <x:c r="AU432" s="4"/>
      <x:c r="AV432" s="10"/>
      <x:c r="AW432" s="10"/>
      <x:c r="AX432" s="10"/>
      <x:c r="AY432" s="10"/>
      <x:c r="AZ432" s="10" t="n">
        <x:v>879</x:v>
      </x:c>
      <x:c r="BA432" s="10" t="n">
        <x:v>837</x:v>
      </x:c>
      <x:c r="BB432" s="4" t="n">
        <x:v>51.2</x:v>
      </x:c>
      <x:c r="BC432" s="4" t="n">
        <x:v>2</x:v>
      </x:c>
      <x:c r="BD432" s="10" t="n">
        <x:v>625</x:v>
      </x:c>
      <x:c r="BE432" s="10" t="n">
        <x:v>633</x:v>
      </x:c>
      <x:c r="BF432" s="4" t="n">
        <x:v>49.7</x:v>
      </x:c>
      <x:c r="BG432" s="4" t="n">
        <x:v>1.4</x:v>
      </x:c>
      <x:c r="BH432" s="4" t="n">
        <x:v>9</x:v>
      </x:c>
      <x:c r="BI432" s="4" t="n">
        <x:v>91</x:v>
      </x:c>
      <x:c r="BJ432" s="4" t="n">
        <x:v>100</x:v>
      </x:c>
      <x:c r="BK432" s="4" t="n">
        <x:v>43.4</x:v>
      </x:c>
      <x:c r="BL432" s="4" t="n">
        <x:v>56.6</x:v>
      </x:c>
      <x:c r="BM432" s="4" t="n">
        <x:v>17.016666666666666</x:v>
      </x:c>
      <x:c r="BN432" s="4" t="n">
        <x:v>15.95</x:v>
      </x:c>
      <x:c r="BO432" s="10" t="n">
        <x:v>15</x:v>
      </x:c>
      <x:c r="BP432" s="10" t="n">
        <x:v>47</x:v>
      </x:c>
      <x:c r="BQ432" s="4" t="n">
        <x:v>-3.6</x:v>
      </x:c>
      <x:c r="BR432" s="10" t="n">
        <x:v>136</x:v>
      </x:c>
      <x:c r="BS432" s="4" t="n">
        <x:v>43.4</x:v>
      </x:c>
      <x:c r="BT432" s="10" t="n">
        <x:v>58</x:v>
      </x:c>
      <x:c r="BU432" s="4" t="str">
        <x:v>NSH</x:v>
      </x:c>
      <x:c r="BV432" s="10" t="n">
        <x:v>588</x:v>
      </x:c>
      <x:c r="BW432" s="10"/>
      <x:c r="BX432" s="10" t="n">
        <x:v>1077</x:v>
      </x:c>
      <x:c r="BY432" s="4" t="str">
        <x:v>Adam Wilsby</x:v>
      </x:c>
      <x:c r="BZ432" s="4"/>
      <x:c r="CA432" s="4" t="str">
        <x:v>Adam Wilsby</x:v>
      </x:c>
      <x:c r="CB432" s="4" t="str">
        <x:v>wilsbad01</x:v>
      </x:c>
    </x:row>
    <x:row r="433" ht="22" customHeight="1">
      <x:c r="A433" s="4" t="str">
        <x:v>Akil Thomas</x:v>
      </x:c>
      <x:c r="B433" s="4" t="str">
        <x:v>akilthomas</x:v>
      </x:c>
      <x:c r="C433" s="10" t="n">
        <x:v>1</x:v>
      </x:c>
      <x:c r="D433" s="10" t="n">
        <x:v>0</x:v>
      </x:c>
      <x:c r="E433" s="10" t="n">
        <x:v>0</x:v>
      </x:c>
      <x:c r="F433" s="4" t="n">
        <x:f>IF(COUNT(N433,Q433,T433,W433,Z433,AC433,AF433,AI433)=8,N433*Guide!$E$5+Q433*Guide!$E$6+T433*Guide!$E$7+W433*Guide!$E$8+Z433*Guide!$E$9+AC433*Guide!$E$10+AF433*Guide!$E$11+AI433*Guide!$E$12,"")</x:f>
        <x:v>126.25</x:v>
      </x:c>
      <x:c r="G433" s="4" t="str">
        <x:f>IF(COUNT(O433,R433,U433,X433,AA433,AD433,AG433,AJ433)=8,O433*Guide!$E$5+R433*Guide!$E$6+U433*Guide!$E$7+X433*Guide!$E$8+AA433*Guide!$E$9+AD433*Guide!$E$10+AG433*Guide!$E$11+AJ433*Guide!$E$12,"")</x:f>
      </x:c>
      <x:c r="H433" s="4" t="str">
        <x:f>IF(COUNT(G433,F433)=2,G433-F433,"")</x:f>
      </x:c>
      <x:c r="I433" s="4" t="n">
        <x:f>IF(AND(ISNUMBER(F433),K433&gt;0),F433/K433,"")</x:f>
        <x:v>1.8035714285714286</x:v>
      </x:c>
      <x:c r="J433" s="4" t="str">
        <x:f>IF(AND(ISNUMBER(G433),L433&gt;0),G433/L433,"")</x:f>
      </x:c>
      <x:c r="K433" s="10" t="n">
        <x:v>70</x:v>
      </x:c>
      <x:c r="L433" s="10"/>
      <x:c r="M433" s="10" t="str">
        <x:f>IF(COUNT(L433,K433)=2,L433-K433,"")</x:f>
      </x:c>
      <x:c r="N433" s="10" t="n">
        <x:v>8</x:v>
      </x:c>
      <x:c r="O433" s="10"/>
      <x:c r="P433" s="10" t="str">
        <x:f>IF(COUNT(O433,N433)=2,O433-N433,"")</x:f>
      </x:c>
      <x:c r="Q433" s="10" t="n">
        <x:v>10</x:v>
      </x:c>
      <x:c r="R433" s="10"/>
      <x:c r="S433" s="10" t="str">
        <x:f>IF(COUNT(R433,Q433)=2,R433-Q433,"")</x:f>
      </x:c>
      <x:c r="T433" s="10" t="n">
        <x:v>-2</x:v>
      </x:c>
      <x:c r="U433" s="10"/>
      <x:c r="V433" s="10" t="str">
        <x:f>IF(COUNT(U433,T433)=2,U433-T433,"")</x:f>
      </x:c>
      <x:c r="W433" s="10" t="n">
        <x:v>0</x:v>
      </x:c>
      <x:c r="X433" s="10" t="str">
        <x:f>IF(COUNT(AV433,AW433)=2,AV433+AW433,"")</x:f>
      </x:c>
      <x:c r="Y433" s="10" t="str">
        <x:f>IF(COUNT(X433,W433)=2,X433-W433,"")</x:f>
      </x:c>
      <x:c r="Z433" s="10" t="n">
        <x:v>0</x:v>
      </x:c>
      <x:c r="AA433" s="10" t="str">
        <x:f>IF(COUNT(AX433,AY433)=2,AX433+AY433,"")</x:f>
      </x:c>
      <x:c r="AB433" s="10" t="str">
        <x:f>IF(COUNT(AA433,Z433)=2,AA433-Z433,"")</x:f>
      </x:c>
      <x:c r="AC433" s="10" t="n">
        <x:v>62</x:v>
      </x:c>
      <x:c r="AD433" s="10"/>
      <x:c r="AE433" s="10" t="str">
        <x:f>IF(COUNT(AD433,AC433)=2,AD433-AC433,"")</x:f>
      </x:c>
      <x:c r="AF433" s="10" t="n">
        <x:v>110</x:v>
      </x:c>
      <x:c r="AG433" s="10"/>
      <x:c r="AH433" s="10" t="str">
        <x:f>IF(COUNT(AG433,AF433)=2,AG433-AF433,"")</x:f>
      </x:c>
      <x:c r="AI433" s="10" t="n">
        <x:v>31</x:v>
      </x:c>
      <x:c r="AJ433" s="10"/>
      <x:c r="AK433" s="10" t="str">
        <x:f>IF(COUNT(AJ433,AI433)=2,AJ433-AI433,"")</x:f>
      </x:c>
      <x:c r="AL433" s="10" t="n">
        <x:v>26</x:v>
      </x:c>
      <x:c r="AM433" s="10"/>
      <x:c r="AN433" s="4" t="str">
        <x:v>C</x:v>
      </x:c>
      <x:c r="AO433" s="4"/>
      <x:c r="AP433" s="4" t="str">
        <x:v>LA</x:v>
      </x:c>
      <x:c r="AQ433" s="4"/>
      <x:c r="AR433" s="4" t="n">
        <x:v>10.040000000000001</x:v>
      </x:c>
      <x:c r="AS433" s="4"/>
      <x:c r="AT433" s="4" t="n">
        <x:v>0.15</x:v>
      </x:c>
      <x:c r="AU433" s="4"/>
      <x:c r="AV433" s="10"/>
      <x:c r="AW433" s="10"/>
      <x:c r="AX433" s="10"/>
      <x:c r="AY433" s="10"/>
      <x:c r="AZ433" s="10"/>
      <x:c r="BA433" s="10"/>
      <x:c r="BB433" s="4"/>
      <x:c r="BC433" s="4"/>
      <x:c r="BD433" s="10"/>
      <x:c r="BE433" s="10"/>
      <x:c r="BF433" s="4"/>
      <x:c r="BG433" s="4"/>
      <x:c r="BH433" s="4"/>
      <x:c r="BI433" s="4"/>
      <x:c r="BJ433" s="4"/>
      <x:c r="BK433" s="4"/>
      <x:c r="BL433" s="4"/>
      <x:c r="BM433" s="4"/>
      <x:c r="BN433" s="4"/>
      <x:c r="BO433" s="10"/>
      <x:c r="BP433" s="10"/>
      <x:c r="BQ433" s="4"/>
      <x:c r="BR433" s="10"/>
      <x:c r="BS433" s="4"/>
      <x:c r="BT433" s="10"/>
      <x:c r="BU433" s="4"/>
      <x:c r="BV433" s="10" t="n">
        <x:v>578</x:v>
      </x:c>
      <x:c r="BW433" s="10"/>
      <x:c r="BX433" s="10"/>
      <x:c r="BY433" s="4" t="str">
        <x:v>Akil Thomas</x:v>
      </x:c>
      <x:c r="BZ433" s="4"/>
      <x:c r="CA433" s="4"/>
      <x:c r="CB433" s="4"/>
    </x:row>
    <x:row r="434" ht="22" customHeight="1">
      <x:c r="A434" s="4" t="str">
        <x:v>Albert Johansson</x:v>
      </x:c>
      <x:c r="B434" s="4" t="str">
        <x:v>albertjohansson</x:v>
      </x:c>
      <x:c r="C434" s="10" t="n">
        <x:v>1</x:v>
      </x:c>
      <x:c r="D434" s="10" t="n">
        <x:v>0</x:v>
      </x:c>
      <x:c r="E434" s="10" t="n">
        <x:v>1</x:v>
      </x:c>
      <x:c r="F434" s="4" t="n">
        <x:f>IF(COUNT(N434,Q434,T434,W434,Z434,AC434,AF434,AI434)=8,N434*Guide!$E$5+Q434*Guide!$E$6+T434*Guide!$E$7+W434*Guide!$E$8+Z434*Guide!$E$9+AC434*Guide!$E$10+AF434*Guide!$E$11+AI434*Guide!$E$12,"")</x:f>
        <x:v>132</x:v>
      </x:c>
      <x:c r="G434" s="4" t="str">
        <x:f>IF(COUNT(O434,R434,U434,X434,AA434,AD434,AG434,AJ434)=8,O434*Guide!$E$5+R434*Guide!$E$6+U434*Guide!$E$7+X434*Guide!$E$8+AA434*Guide!$E$9+AD434*Guide!$E$10+AG434*Guide!$E$11+AJ434*Guide!$E$12,"")</x:f>
      </x:c>
      <x:c r="H434" s="4" t="str">
        <x:f>IF(COUNT(G434,F434)=2,G434-F434,"")</x:f>
      </x:c>
      <x:c r="I434" s="4" t="n">
        <x:f>IF(AND(ISNUMBER(F434),K434&gt;0),F434/K434,"")</x:f>
        <x:v>1.9701492537313432</x:v>
      </x:c>
      <x:c r="J434" s="4" t="str">
        <x:f>IF(AND(ISNUMBER(G434),L434&gt;0),G434/L434,"")</x:f>
      </x:c>
      <x:c r="K434" s="10" t="n">
        <x:v>67</x:v>
      </x:c>
      <x:c r="L434" s="10"/>
      <x:c r="M434" s="10" t="str">
        <x:f>IF(COUNT(L434,K434)=2,L434-K434,"")</x:f>
      </x:c>
      <x:c r="N434" s="10" t="n">
        <x:v>3</x:v>
      </x:c>
      <x:c r="O434" s="10"/>
      <x:c r="P434" s="10" t="str">
        <x:f>IF(COUNT(O434,N434)=2,O434-N434,"")</x:f>
      </x:c>
      <x:c r="Q434" s="10" t="n">
        <x:v>9</x:v>
      </x:c>
      <x:c r="R434" s="10"/>
      <x:c r="S434" s="10" t="str">
        <x:f>IF(COUNT(R434,Q434)=2,R434-Q434,"")</x:f>
      </x:c>
      <x:c r="T434" s="10" t="n">
        <x:v>-4</x:v>
      </x:c>
      <x:c r="U434" s="10"/>
      <x:c r="V434" s="10" t="str">
        <x:f>IF(COUNT(U434,T434)=2,U434-T434,"")</x:f>
      </x:c>
      <x:c r="W434" s="10" t="n">
        <x:v>0</x:v>
      </x:c>
      <x:c r="X434" s="10" t="str">
        <x:f>IF(COUNT(AV434,AW434)=2,AV434+AW434,"")</x:f>
      </x:c>
      <x:c r="Y434" s="10" t="str">
        <x:f>IF(COUNT(X434,W434)=2,X434-W434,"")</x:f>
      </x:c>
      <x:c r="Z434" s="10" t="n">
        <x:v>0</x:v>
      </x:c>
      <x:c r="AA434" s="10" t="str">
        <x:f>IF(COUNT(AX434,AY434)=2,AX434+AY434,"")</x:f>
      </x:c>
      <x:c r="AB434" s="10" t="str">
        <x:f>IF(COUNT(AA434,Z434)=2,AA434-Z434,"")</x:f>
      </x:c>
      <x:c r="AC434" s="10" t="n">
        <x:v>53</x:v>
      </x:c>
      <x:c r="AD434" s="10"/>
      <x:c r="AE434" s="10" t="str">
        <x:f>IF(COUNT(AD434,AC434)=2,AD434-AC434,"")</x:f>
      </x:c>
      <x:c r="AF434" s="10" t="n">
        <x:v>71</x:v>
      </x:c>
      <x:c r="AG434" s="10"/>
      <x:c r="AH434" s="10" t="str">
        <x:f>IF(COUNT(AG434,AF434)=2,AG434-AF434,"")</x:f>
      </x:c>
      <x:c r="AI434" s="10" t="n">
        <x:v>88</x:v>
      </x:c>
      <x:c r="AJ434" s="10"/>
      <x:c r="AK434" s="10" t="str">
        <x:f>IF(COUNT(AJ434,AI434)=2,AJ434-AI434,"")</x:f>
      </x:c>
      <x:c r="AL434" s="10" t="n">
        <x:v>25</x:v>
      </x:c>
      <x:c r="AM434" s="10"/>
      <x:c r="AN434" s="4" t="str">
        <x:v>D</x:v>
      </x:c>
      <x:c r="AO434" s="4"/>
      <x:c r="AP434" s="4" t="str">
        <x:v>DET</x:v>
      </x:c>
      <x:c r="AQ434" s="4"/>
      <x:c r="AR434" s="4" t="n">
        <x:v>16.36</x:v>
      </x:c>
      <x:c r="AS434" s="4"/>
      <x:c r="AT434" s="4" t="n">
        <x:v>0.06</x:v>
      </x:c>
      <x:c r="AU434" s="4"/>
      <x:c r="AV434" s="10"/>
      <x:c r="AW434" s="10"/>
      <x:c r="AX434" s="10"/>
      <x:c r="AY434" s="10"/>
      <x:c r="AZ434" s="10" t="n">
        <x:v>1030</x:v>
      </x:c>
      <x:c r="BA434" s="10" t="n">
        <x:v>1225</x:v>
      </x:c>
      <x:c r="BB434" s="4" t="n">
        <x:v>45.7</x:v>
      </x:c>
      <x:c r="BC434" s="4" t="n">
        <x:v>-4.5</x:v>
      </x:c>
      <x:c r="BD434" s="10" t="n">
        <x:v>732</x:v>
      </x:c>
      <x:c r="BE434" s="10" t="n">
        <x:v>870</x:v>
      </x:c>
      <x:c r="BF434" s="4" t="n">
        <x:v>45.7</x:v>
      </x:c>
      <x:c r="BG434" s="4" t="n">
        <x:v>-5.7</x:v>
      </x:c>
      <x:c r="BH434" s="4" t="n">
        <x:v>7.7</x:v>
      </x:c>
      <x:c r="BI434" s="4" t="n">
        <x:v>90.5</x:v>
      </x:c>
      <x:c r="BJ434" s="4" t="n">
        <x:v>98.2</x:v>
      </x:c>
      <x:c r="BK434" s="4" t="n">
        <x:v>47.8</x:v>
      </x:c>
      <x:c r="BL434" s="4" t="n">
        <x:v>52.2</x:v>
      </x:c>
      <x:c r="BM434" s="4" t="n">
        <x:v>15.933333333333334</x:v>
      </x:c>
      <x:c r="BN434" s="4" t="n">
        <x:v>14.383333333333333</x:v>
      </x:c>
      <x:c r="BO434" s="10" t="n">
        <x:v>23</x:v>
      </x:c>
      <x:c r="BP434" s="10" t="n">
        <x:v>57</x:v>
      </x:c>
      <x:c r="BQ434" s="4" t="n">
        <x:v>-9.4</x:v>
      </x:c>
      <x:c r="BR434" s="10" t="n">
        <x:v>173</x:v>
      </x:c>
      <x:c r="BS434" s="4" t="n">
        <x:v>35.3</x:v>
      </x:c>
      <x:c r="BT434" s="10" t="n">
        <x:v>82</x:v>
      </x:c>
      <x:c r="BU434" s="4" t="str">
        <x:v>DET</x:v>
      </x:c>
      <x:c r="BV434" s="10" t="n">
        <x:v>687</x:v>
      </x:c>
      <x:c r="BW434" s="10"/>
      <x:c r="BX434" s="10" t="n">
        <x:v>466</x:v>
      </x:c>
      <x:c r="BY434" s="4" t="str">
        <x:v>Albert Johansson</x:v>
      </x:c>
      <x:c r="BZ434" s="4"/>
      <x:c r="CA434" s="4" t="str">
        <x:v>Albert Johansson</x:v>
      </x:c>
      <x:c r="CB434" s="4" t="str">
        <x:v>johanal01</x:v>
      </x:c>
    </x:row>
    <x:row r="435" ht="22" customHeight="1">
      <x:c r="A435" s="4" t="str">
        <x:v>Alec Regula</x:v>
      </x:c>
      <x:c r="B435" s="4" t="str">
        <x:v>alecregula</x:v>
      </x:c>
      <x:c r="C435" s="10" t="n">
        <x:v>0</x:v>
      </x:c>
      <x:c r="D435" s="10" t="n">
        <x:v>0</x:v>
      </x:c>
      <x:c r="E435" s="10" t="n">
        <x:v>1</x:v>
      </x:c>
      <x:c r="F435" s="4" t="str">
        <x:f>IF(COUNT(N435,Q435,T435,W435,Z435,AC435,AF435,AI435)=8,N435*Guide!$E$5+Q435*Guide!$E$6+T435*Guide!$E$7+W435*Guide!$E$8+Z435*Guide!$E$9+AC435*Guide!$E$10+AF435*Guide!$E$11+AI435*Guide!$E$12,"")</x:f>
      </x:c>
      <x:c r="G435" s="4" t="str">
        <x:f>IF(COUNT(O435,R435,U435,X435,AA435,AD435,AG435,AJ435)=8,O435*Guide!$E$5+R435*Guide!$E$6+U435*Guide!$E$7+X435*Guide!$E$8+AA435*Guide!$E$9+AD435*Guide!$E$10+AG435*Guide!$E$11+AJ435*Guide!$E$12,"")</x:f>
      </x:c>
      <x:c r="H435" s="4" t="str">
        <x:f>IF(COUNT(G435,F435)=2,G435-F435,"")</x:f>
      </x:c>
      <x:c r="I435" s="4" t="str">
        <x:f>IF(AND(ISNUMBER(F435),K435&gt;0),F435/K435,"")</x:f>
      </x:c>
      <x:c r="J435" s="4" t="str">
        <x:f>IF(AND(ISNUMBER(G435),L435&gt;0),G435/L435,"")</x:f>
      </x:c>
      <x:c r="K435" s="10"/>
      <x:c r="L435" s="10"/>
      <x:c r="M435" s="10" t="str">
        <x:f>IF(COUNT(L435,K435)=2,L435-K435,"")</x:f>
      </x:c>
      <x:c r="N435" s="10"/>
      <x:c r="O435" s="10"/>
      <x:c r="P435" s="10" t="str">
        <x:f>IF(COUNT(O435,N435)=2,O435-N435,"")</x:f>
      </x:c>
      <x:c r="Q435" s="10"/>
      <x:c r="R435" s="10"/>
      <x:c r="S435" s="10" t="str">
        <x:f>IF(COUNT(R435,Q435)=2,R435-Q435,"")</x:f>
      </x:c>
      <x:c r="T435" s="10"/>
      <x:c r="U435" s="10"/>
      <x:c r="V435" s="10" t="str">
        <x:f>IF(COUNT(U435,T435)=2,U435-T435,"")</x:f>
      </x:c>
      <x:c r="W435" s="10"/>
      <x:c r="X435" s="10" t="str">
        <x:f>IF(COUNT(AV435,AW435)=2,AV435+AW435,"")</x:f>
      </x:c>
      <x:c r="Y435" s="10" t="str">
        <x:f>IF(COUNT(X435,W435)=2,X435-W435,"")</x:f>
      </x:c>
      <x:c r="Z435" s="10"/>
      <x:c r="AA435" s="10" t="str">
        <x:f>IF(COUNT(AX435,AY435)=2,AX435+AY435,"")</x:f>
      </x:c>
      <x:c r="AB435" s="10" t="str">
        <x:f>IF(COUNT(AA435,Z435)=2,AA435-Z435,"")</x:f>
      </x:c>
      <x:c r="AC435" s="10"/>
      <x:c r="AD435" s="10"/>
      <x:c r="AE435" s="10" t="str">
        <x:f>IF(COUNT(AD435,AC435)=2,AD435-AC435,"")</x:f>
      </x:c>
      <x:c r="AF435" s="10"/>
      <x:c r="AG435" s="10"/>
      <x:c r="AH435" s="10" t="str">
        <x:f>IF(COUNT(AG435,AF435)=2,AG435-AF435,"")</x:f>
      </x:c>
      <x:c r="AI435" s="10"/>
      <x:c r="AJ435" s="10"/>
      <x:c r="AK435" s="10" t="str">
        <x:f>IF(COUNT(AJ435,AI435)=2,AJ435-AI435,"")</x:f>
      </x:c>
      <x:c r="AL435" s="10"/>
      <x:c r="AM435" s="10"/>
      <x:c r="AN435" s="4"/>
      <x:c r="AO435" s="4"/>
      <x:c r="AP435" s="4"/>
      <x:c r="AQ435" s="4"/>
      <x:c r="AR435" s="4"/>
      <x:c r="AS435" s="4"/>
      <x:c r="AT435" s="4"/>
      <x:c r="AU435" s="4"/>
      <x:c r="AV435" s="10"/>
      <x:c r="AW435" s="10"/>
      <x:c r="AX435" s="10"/>
      <x:c r="AY435" s="10"/>
      <x:c r="AZ435" s="10" t="n">
        <x:v>346</x:v>
      </x:c>
      <x:c r="BA435" s="10" t="n">
        <x:v>393</x:v>
      </x:c>
      <x:c r="BB435" s="4" t="n">
        <x:v>46.8</x:v>
      </x:c>
      <x:c r="BC435" s="4" t="n">
        <x:v>-5.4</x:v>
      </x:c>
      <x:c r="BD435" s="10" t="n">
        <x:v>264</x:v>
      </x:c>
      <x:c r="BE435" s="10" t="n">
        <x:v>271</x:v>
      </x:c>
      <x:c r="BF435" s="4" t="n">
        <x:v>49.3</x:v>
      </x:c>
      <x:c r="BG435" s="4" t="n">
        <x:v>-3.6</x:v>
      </x:c>
      <x:c r="BH435" s="4" t="n">
        <x:v>5.2</x:v>
      </x:c>
      <x:c r="BI435" s="4" t="n">
        <x:v>86</x:v>
      </x:c>
      <x:c r="BJ435" s="4" t="n">
        <x:v>91.3</x:v>
      </x:c>
      <x:c r="BK435" s="4" t="n">
        <x:v>54</x:v>
      </x:c>
      <x:c r="BL435" s="4" t="n">
        <x:v>46</x:v>
      </x:c>
      <x:c r="BM435" s="4" t="n">
        <x:v>14.466666666666667</x:v>
      </x:c>
      <x:c r="BN435" s="4" t="n">
        <x:v>13.633333333333333</x:v>
      </x:c>
      <x:c r="BO435" s="10" t="n">
        <x:v>7</x:v>
      </x:c>
      <x:c r="BP435" s="10" t="n">
        <x:v>28</x:v>
      </x:c>
      <x:c r="BQ435" s="4" t="n">
        <x:v>-2.3</x:v>
      </x:c>
      <x:c r="BR435" s="10" t="n">
        <x:v>51</x:v>
      </x:c>
      <x:c r="BS435" s="4" t="n">
        <x:v>35.3</x:v>
      </x:c>
      <x:c r="BT435" s="10" t="n">
        <x:v>29</x:v>
      </x:c>
      <x:c r="BU435" s="4" t="str">
        <x:v>EDM</x:v>
      </x:c>
      <x:c r="BV435" s="10"/>
      <x:c r="BW435" s="10"/>
      <x:c r="BX435" s="10" t="n">
        <x:v>847</x:v>
      </x:c>
      <x:c r="BY435" s="4"/>
      <x:c r="BZ435" s="4"/>
      <x:c r="CA435" s="4" t="str">
        <x:v>Alec Regula</x:v>
      </x:c>
      <x:c r="CB435" s="4" t="str">
        <x:v>regulal01</x:v>
      </x:c>
    </x:row>
    <x:row r="436" ht="22" customHeight="1">
      <x:c r="A436" s="4" t="str">
        <x:v>Aleksander Barkov</x:v>
      </x:c>
      <x:c r="B436" s="4" t="str">
        <x:v>aleksanderbarkov</x:v>
      </x:c>
      <x:c r="C436" s="10" t="n">
        <x:v>1</x:v>
      </x:c>
      <x:c r="D436" s="10" t="n">
        <x:v>0</x:v>
      </x:c>
      <x:c r="E436" s="10" t="n">
        <x:v>0</x:v>
      </x:c>
      <x:c r="F436" s="4" t="n">
        <x:f>IF(COUNT(N436,Q436,T436,W436,Z436,AC436,AF436,AI436)=8,N436*Guide!$E$5+Q436*Guide!$E$6+T436*Guide!$E$7+W436*Guide!$E$8+Z436*Guide!$E$9+AC436*Guide!$E$10+AF436*Guide!$E$11+AI436*Guide!$E$12,"")</x:f>
        <x:v>402.5</x:v>
      </x:c>
      <x:c r="G436" s="4" t="str">
        <x:f>IF(COUNT(O436,R436,U436,X436,AA436,AD436,AG436,AJ436)=8,O436*Guide!$E$5+R436*Guide!$E$6+U436*Guide!$E$7+X436*Guide!$E$8+AA436*Guide!$E$9+AD436*Guide!$E$10+AG436*Guide!$E$11+AJ436*Guide!$E$12,"")</x:f>
      </x:c>
      <x:c r="H436" s="4" t="str">
        <x:f>IF(COUNT(G436,F436)=2,G436-F436,"")</x:f>
      </x:c>
      <x:c r="I436" s="4" t="n">
        <x:f>IF(AND(ISNUMBER(F436),K436&gt;0),F436/K436,"")</x:f>
        <x:v>5.590277777777778</x:v>
      </x:c>
      <x:c r="J436" s="4" t="str">
        <x:f>IF(AND(ISNUMBER(G436),L436&gt;0),G436/L436,"")</x:f>
      </x:c>
      <x:c r="K436" s="10" t="n">
        <x:v>72</x:v>
      </x:c>
      <x:c r="L436" s="10"/>
      <x:c r="M436" s="10" t="str">
        <x:f>IF(COUNT(L436,K436)=2,L436-K436,"")</x:f>
      </x:c>
      <x:c r="N436" s="10" t="n">
        <x:v>23</x:v>
      </x:c>
      <x:c r="O436" s="10"/>
      <x:c r="P436" s="10" t="str">
        <x:f>IF(COUNT(O436,N436)=2,O436-N436,"")</x:f>
      </x:c>
      <x:c r="Q436" s="10" t="n">
        <x:v>52</x:v>
      </x:c>
      <x:c r="R436" s="10"/>
      <x:c r="S436" s="10" t="str">
        <x:f>IF(COUNT(R436,Q436)=2,R436-Q436,"")</x:f>
      </x:c>
      <x:c r="T436" s="10" t="n">
        <x:v>17</x:v>
      </x:c>
      <x:c r="U436" s="10"/>
      <x:c r="V436" s="10" t="str">
        <x:f>IF(COUNT(U436,T436)=2,U436-T436,"")</x:f>
      </x:c>
      <x:c r="W436" s="10" t="n">
        <x:v>27</x:v>
      </x:c>
      <x:c r="X436" s="10" t="str">
        <x:f>IF(COUNT(AV436,AW436)=2,AV436+AW436,"")</x:f>
      </x:c>
      <x:c r="Y436" s="10" t="str">
        <x:f>IF(COUNT(X436,W436)=2,X436-W436,"")</x:f>
      </x:c>
      <x:c r="Z436" s="10" t="n">
        <x:v>2</x:v>
      </x:c>
      <x:c r="AA436" s="10" t="str">
        <x:f>IF(COUNT(AX436,AY436)=2,AX436+AY436,"")</x:f>
      </x:c>
      <x:c r="AB436" s="10" t="str">
        <x:f>IF(COUNT(AA436,Z436)=2,AA436-Z436,"")</x:f>
      </x:c>
      <x:c r="AC436" s="10" t="n">
        <x:v>167</x:v>
      </x:c>
      <x:c r="AD436" s="10"/>
      <x:c r="AE436" s="10" t="str">
        <x:f>IF(COUNT(AD436,AC436)=2,AD436-AC436,"")</x:f>
      </x:c>
      <x:c r="AF436" s="10" t="n">
        <x:v>89</x:v>
      </x:c>
      <x:c r="AG436" s="10"/>
      <x:c r="AH436" s="10" t="str">
        <x:f>IF(COUNT(AG436,AF436)=2,AG436-AF436,"")</x:f>
      </x:c>
      <x:c r="AI436" s="10" t="n">
        <x:v>54</x:v>
      </x:c>
      <x:c r="AJ436" s="10"/>
      <x:c r="AK436" s="10" t="str">
        <x:f>IF(COUNT(AJ436,AI436)=2,AJ436-AI436,"")</x:f>
      </x:c>
      <x:c r="AL436" s="10" t="n">
        <x:v>30</x:v>
      </x:c>
      <x:c r="AM436" s="10"/>
      <x:c r="AN436" s="4" t="str">
        <x:v>C</x:v>
      </x:c>
      <x:c r="AO436" s="4"/>
      <x:c r="AP436" s="4" t="str">
        <x:v>FLA</x:v>
      </x:c>
      <x:c r="AQ436" s="4"/>
      <x:c r="AR436" s="4" t="n">
        <x:v>19.94</x:v>
      </x:c>
      <x:c r="AS436" s="4"/>
      <x:c r="AT436" s="4" t="n">
        <x:v>3.14</x:v>
      </x:c>
      <x:c r="AU436" s="4"/>
      <x:c r="AV436" s="10"/>
      <x:c r="AW436" s="10"/>
      <x:c r="AX436" s="10"/>
      <x:c r="AY436" s="10"/>
      <x:c r="AZ436" s="10"/>
      <x:c r="BA436" s="10"/>
      <x:c r="BB436" s="4"/>
      <x:c r="BC436" s="4"/>
      <x:c r="BD436" s="10"/>
      <x:c r="BE436" s="10"/>
      <x:c r="BF436" s="4"/>
      <x:c r="BG436" s="4"/>
      <x:c r="BH436" s="4"/>
      <x:c r="BI436" s="4"/>
      <x:c r="BJ436" s="4"/>
      <x:c r="BK436" s="4"/>
      <x:c r="BL436" s="4"/>
      <x:c r="BM436" s="4"/>
      <x:c r="BN436" s="4"/>
      <x:c r="BO436" s="10"/>
      <x:c r="BP436" s="10"/>
      <x:c r="BQ436" s="4"/>
      <x:c r="BR436" s="10"/>
      <x:c r="BS436" s="4"/>
      <x:c r="BT436" s="10"/>
      <x:c r="BU436" s="4"/>
      <x:c r="BV436" s="10" t="n">
        <x:v>33</x:v>
      </x:c>
      <x:c r="BW436" s="10"/>
      <x:c r="BX436" s="10"/>
      <x:c r="BY436" s="4" t="str">
        <x:v>Aleksander Barkov</x:v>
      </x:c>
      <x:c r="BZ436" s="4"/>
      <x:c r="CA436" s="4"/>
      <x:c r="CB436" s="4"/>
    </x:row>
    <x:row r="437" ht="22" customHeight="1">
      <x:c r="A437" s="4" t="str">
        <x:v>Aleksanteri Kaskimaki</x:v>
      </x:c>
      <x:c r="B437" s="4" t="str">
        <x:v>aleksanterikaskimaki</x:v>
      </x:c>
      <x:c r="C437" s="10" t="n">
        <x:v>0</x:v>
      </x:c>
      <x:c r="D437" s="10" t="n">
        <x:v>0</x:v>
      </x:c>
      <x:c r="E437" s="10" t="n">
        <x:v>1</x:v>
      </x:c>
      <x:c r="F437" s="4" t="str">
        <x:f>IF(COUNT(N437,Q437,T437,W437,Z437,AC437,AF437,AI437)=8,N437*Guide!$E$5+Q437*Guide!$E$6+T437*Guide!$E$7+W437*Guide!$E$8+Z437*Guide!$E$9+AC437*Guide!$E$10+AF437*Guide!$E$11+AI437*Guide!$E$12,"")</x:f>
      </x:c>
      <x:c r="G437" s="4" t="str">
        <x:f>IF(COUNT(O437,R437,U437,X437,AA437,AD437,AG437,AJ437)=8,O437*Guide!$E$5+R437*Guide!$E$6+U437*Guide!$E$7+X437*Guide!$E$8+AA437*Guide!$E$9+AD437*Guide!$E$10+AG437*Guide!$E$11+AJ437*Guide!$E$12,"")</x:f>
      </x:c>
      <x:c r="H437" s="4" t="str">
        <x:f>IF(COUNT(G437,F437)=2,G437-F437,"")</x:f>
      </x:c>
      <x:c r="I437" s="4" t="str">
        <x:f>IF(AND(ISNUMBER(F437),K437&gt;0),F437/K437,"")</x:f>
      </x:c>
      <x:c r="J437" s="4" t="str">
        <x:f>IF(AND(ISNUMBER(G437),L437&gt;0),G437/L437,"")</x:f>
      </x:c>
      <x:c r="K437" s="10"/>
      <x:c r="L437" s="10"/>
      <x:c r="M437" s="10" t="str">
        <x:f>IF(COUNT(L437,K437)=2,L437-K437,"")</x:f>
      </x:c>
      <x:c r="N437" s="10"/>
      <x:c r="O437" s="10"/>
      <x:c r="P437" s="10" t="str">
        <x:f>IF(COUNT(O437,N437)=2,O437-N437,"")</x:f>
      </x:c>
      <x:c r="Q437" s="10"/>
      <x:c r="R437" s="10"/>
      <x:c r="S437" s="10" t="str">
        <x:f>IF(COUNT(R437,Q437)=2,R437-Q437,"")</x:f>
      </x:c>
      <x:c r="T437" s="10"/>
      <x:c r="U437" s="10"/>
      <x:c r="V437" s="10" t="str">
        <x:f>IF(COUNT(U437,T437)=2,U437-T437,"")</x:f>
      </x:c>
      <x:c r="W437" s="10"/>
      <x:c r="X437" s="10" t="str">
        <x:f>IF(COUNT(AV437,AW437)=2,AV437+AW437,"")</x:f>
      </x:c>
      <x:c r="Y437" s="10" t="str">
        <x:f>IF(COUNT(X437,W437)=2,X437-W437,"")</x:f>
      </x:c>
      <x:c r="Z437" s="10"/>
      <x:c r="AA437" s="10" t="str">
        <x:f>IF(COUNT(AX437,AY437)=2,AX437+AY437,"")</x:f>
      </x:c>
      <x:c r="AB437" s="10" t="str">
        <x:f>IF(COUNT(AA437,Z437)=2,AA437-Z437,"")</x:f>
      </x:c>
      <x:c r="AC437" s="10"/>
      <x:c r="AD437" s="10"/>
      <x:c r="AE437" s="10" t="str">
        <x:f>IF(COUNT(AD437,AC437)=2,AD437-AC437,"")</x:f>
      </x:c>
      <x:c r="AF437" s="10"/>
      <x:c r="AG437" s="10"/>
      <x:c r="AH437" s="10" t="str">
        <x:f>IF(COUNT(AG437,AF437)=2,AG437-AF437,"")</x:f>
      </x:c>
      <x:c r="AI437" s="10"/>
      <x:c r="AJ437" s="10"/>
      <x:c r="AK437" s="10" t="str">
        <x:f>IF(COUNT(AJ437,AI437)=2,AJ437-AI437,"")</x:f>
      </x:c>
      <x:c r="AL437" s="10"/>
      <x:c r="AM437" s="10"/>
      <x:c r="AN437" s="4"/>
      <x:c r="AO437" s="4"/>
      <x:c r="AP437" s="4"/>
      <x:c r="AQ437" s="4"/>
      <x:c r="AR437" s="4"/>
      <x:c r="AS437" s="4"/>
      <x:c r="AT437" s="4"/>
      <x:c r="AU437" s="4"/>
      <x:c r="AV437" s="10"/>
      <x:c r="AW437" s="10"/>
      <x:c r="AX437" s="10"/>
      <x:c r="AY437" s="10"/>
      <x:c r="AZ437" s="10" t="n">
        <x:v>38</x:v>
      </x:c>
      <x:c r="BA437" s="10" t="n">
        <x:v>49</x:v>
      </x:c>
      <x:c r="BB437" s="4" t="n">
        <x:v>43.7</x:v>
      </x:c>
      <x:c r="BC437" s="4" t="n">
        <x:v>-3.4</x:v>
      </x:c>
      <x:c r="BD437" s="10" t="n">
        <x:v>29</x:v>
      </x:c>
      <x:c r="BE437" s="10" t="n">
        <x:v>34</x:v>
      </x:c>
      <x:c r="BF437" s="4" t="n">
        <x:v>46</x:v>
      </x:c>
      <x:c r="BG437" s="4" t="n">
        <x:v>-0.8</x:v>
      </x:c>
      <x:c r="BH437" s="4" t="n">
        <x:v>4.8</x:v>
      </x:c>
      <x:c r="BI437" s="4" t="n">
        <x:v>69.6</x:v>
      </x:c>
      <x:c r="BJ437" s="4" t="n">
        <x:v>74.3</x:v>
      </x:c>
      <x:c r="BK437" s="4" t="n">
        <x:v>60</x:v>
      </x:c>
      <x:c r="BL437" s="4" t="n">
        <x:v>40</x:v>
      </x:c>
      <x:c r="BM437" s="4" t="n">
        <x:v>10.4</x:v>
      </x:c>
      <x:c r="BN437" s="4" t="n">
        <x:v>9.85</x:v>
      </x:c>
      <x:c r="BO437" s="10" t="n">
        <x:v>0</x:v>
      </x:c>
      <x:c r="BP437" s="10" t="n">
        <x:v>2</x:v>
      </x:c>
      <x:c r="BQ437" s="4" t="n">
        <x:v>-2</x:v>
      </x:c>
      <x:c r="BR437" s="10" t="n">
        <x:v>8</x:v>
      </x:c>
      <x:c r="BS437" s="4" t="n">
        <x:v>75</x:v>
      </x:c>
      <x:c r="BT437" s="10" t="n">
        <x:v>5</x:v>
      </x:c>
      <x:c r="BU437" s="4" t="str">
        <x:v>STL</x:v>
      </x:c>
      <x:c r="BV437" s="10"/>
      <x:c r="BW437" s="10"/>
      <x:c r="BX437" s="10" t="n">
        <x:v>505</x:v>
      </x:c>
      <x:c r="BY437" s="4"/>
      <x:c r="BZ437" s="4"/>
      <x:c r="CA437" s="4" t="str">
        <x:v>Aleksanteri Kaskimaki</x:v>
      </x:c>
      <x:c r="CB437" s="4" t="str">
        <x:v>kaskial01</x:v>
      </x:c>
    </x:row>
    <x:row r="438" ht="22" customHeight="1">
      <x:c r="A438" s="4" t="str">
        <x:v>Alex Barré-Boulet</x:v>
      </x:c>
      <x:c r="B438" s="4" t="str">
        <x:v>alexbarreboulet</x:v>
      </x:c>
      <x:c r="C438" s="10" t="n">
        <x:v>0</x:v>
      </x:c>
      <x:c r="D438" s="10" t="n">
        <x:v>0</x:v>
      </x:c>
      <x:c r="E438" s="10" t="n">
        <x:v>1</x:v>
      </x:c>
      <x:c r="F438" s="4" t="str">
        <x:f>IF(COUNT(N438,Q438,T438,W438,Z438,AC438,AF438,AI438)=8,N438*Guide!$E$5+Q438*Guide!$E$6+T438*Guide!$E$7+W438*Guide!$E$8+Z438*Guide!$E$9+AC438*Guide!$E$10+AF438*Guide!$E$11+AI438*Guide!$E$12,"")</x:f>
      </x:c>
      <x:c r="G438" s="4" t="str">
        <x:f>IF(COUNT(O438,R438,U438,X438,AA438,AD438,AG438,AJ438)=8,O438*Guide!$E$5+R438*Guide!$E$6+U438*Guide!$E$7+X438*Guide!$E$8+AA438*Guide!$E$9+AD438*Guide!$E$10+AG438*Guide!$E$11+AJ438*Guide!$E$12,"")</x:f>
      </x:c>
      <x:c r="H438" s="4" t="str">
        <x:f>IF(COUNT(G438,F438)=2,G438-F438,"")</x:f>
      </x:c>
      <x:c r="I438" s="4" t="str">
        <x:f>IF(AND(ISNUMBER(F438),K438&gt;0),F438/K438,"")</x:f>
      </x:c>
      <x:c r="J438" s="4" t="str">
        <x:f>IF(AND(ISNUMBER(G438),L438&gt;0),G438/L438,"")</x:f>
      </x:c>
      <x:c r="K438" s="10"/>
      <x:c r="L438" s="10"/>
      <x:c r="M438" s="10" t="str">
        <x:f>IF(COUNT(L438,K438)=2,L438-K438,"")</x:f>
      </x:c>
      <x:c r="N438" s="10"/>
      <x:c r="O438" s="10"/>
      <x:c r="P438" s="10" t="str">
        <x:f>IF(COUNT(O438,N438)=2,O438-N438,"")</x:f>
      </x:c>
      <x:c r="Q438" s="10"/>
      <x:c r="R438" s="10"/>
      <x:c r="S438" s="10" t="str">
        <x:f>IF(COUNT(R438,Q438)=2,R438-Q438,"")</x:f>
      </x:c>
      <x:c r="T438" s="10"/>
      <x:c r="U438" s="10"/>
      <x:c r="V438" s="10" t="str">
        <x:f>IF(COUNT(U438,T438)=2,U438-T438,"")</x:f>
      </x:c>
      <x:c r="W438" s="10"/>
      <x:c r="X438" s="10" t="str">
        <x:f>IF(COUNT(AV438,AW438)=2,AV438+AW438,"")</x:f>
      </x:c>
      <x:c r="Y438" s="10" t="str">
        <x:f>IF(COUNT(X438,W438)=2,X438-W438,"")</x:f>
      </x:c>
      <x:c r="Z438" s="10"/>
      <x:c r="AA438" s="10" t="str">
        <x:f>IF(COUNT(AX438,AY438)=2,AX438+AY438,"")</x:f>
      </x:c>
      <x:c r="AB438" s="10" t="str">
        <x:f>IF(COUNT(AA438,Z438)=2,AA438-Z438,"")</x:f>
      </x:c>
      <x:c r="AC438" s="10"/>
      <x:c r="AD438" s="10"/>
      <x:c r="AE438" s="10" t="str">
        <x:f>IF(COUNT(AD438,AC438)=2,AD438-AC438,"")</x:f>
      </x:c>
      <x:c r="AF438" s="10"/>
      <x:c r="AG438" s="10"/>
      <x:c r="AH438" s="10" t="str">
        <x:f>IF(COUNT(AG438,AF438)=2,AG438-AF438,"")</x:f>
      </x:c>
      <x:c r="AI438" s="10"/>
      <x:c r="AJ438" s="10"/>
      <x:c r="AK438" s="10" t="str">
        <x:f>IF(COUNT(AJ438,AI438)=2,AJ438-AI438,"")</x:f>
      </x:c>
      <x:c r="AL438" s="10"/>
      <x:c r="AM438" s="10"/>
      <x:c r="AN438" s="4"/>
      <x:c r="AO438" s="4"/>
      <x:c r="AP438" s="4"/>
      <x:c r="AQ438" s="4"/>
      <x:c r="AR438" s="4"/>
      <x:c r="AS438" s="4"/>
      <x:c r="AT438" s="4"/>
      <x:c r="AU438" s="4"/>
      <x:c r="AV438" s="10"/>
      <x:c r="AW438" s="10"/>
      <x:c r="AX438" s="10"/>
      <x:c r="AY438" s="10"/>
      <x:c r="AZ438" s="10" t="n">
        <x:v>16</x:v>
      </x:c>
      <x:c r="BA438" s="10" t="n">
        <x:v>5</x:v>
      </x:c>
      <x:c r="BB438" s="4" t="n">
        <x:v>76.2</x:v>
      </x:c>
      <x:c r="BC438" s="4" t="n">
        <x:v>14.4</x:v>
      </x:c>
      <x:c r="BD438" s="10" t="n">
        <x:v>10</x:v>
      </x:c>
      <x:c r="BE438" s="10" t="n">
        <x:v>3</x:v>
      </x:c>
      <x:c r="BF438" s="4" t="n">
        <x:v>76.9</x:v>
      </x:c>
      <x:c r="BG438" s="4" t="n">
        <x:v>14.8</x:v>
      </x:c>
      <x:c r="BH438" s="4" t="n">
        <x:v>0</x:v>
      </x:c>
      <x:c r="BI438" s="4" t="n">
        <x:v>100</x:v>
      </x:c>
      <x:c r="BJ438" s="4" t="n">
        <x:v>100</x:v>
      </x:c>
      <x:c r="BK438" s="4" t="n">
        <x:v>100</x:v>
      </x:c>
      <x:c r="BL438" s="4" t="n">
        <x:v>0</x:v>
      </x:c>
      <x:c r="BM438" s="4" t="n">
        <x:v>8.4</x:v>
      </x:c>
      <x:c r="BN438" s="4" t="n">
        <x:v>6.95</x:v>
      </x:c>
      <x:c r="BO438" s="10" t="n">
        <x:v>0</x:v>
      </x:c>
      <x:c r="BP438" s="10" t="n">
        <x:v>0</x:v>
      </x:c>
      <x:c r="BQ438" s="4" t="n">
        <x:v>0.1</x:v>
      </x:c>
      <x:c r="BR438" s="10" t="n">
        <x:v>3</x:v>
      </x:c>
      <x:c r="BS438" s="4" t="n">
        <x:v>0</x:v>
      </x:c>
      <x:c r="BT438" s="10" t="n">
        <x:v>2</x:v>
      </x:c>
      <x:c r="BU438" s="4" t="str">
        <x:v>COL</x:v>
      </x:c>
      <x:c r="BV438" s="10"/>
      <x:c r="BW438" s="10"/>
      <x:c r="BX438" s="10" t="n">
        <x:v>31</x:v>
      </x:c>
      <x:c r="BY438" s="4"/>
      <x:c r="BZ438" s="4"/>
      <x:c r="CA438" s="4" t="str">
        <x:v>Alex Barré-Boulet</x:v>
      </x:c>
      <x:c r="CB438" s="4" t="str">
        <x:v>barreal01</x:v>
      </x:c>
    </x:row>
    <x:row r="439" ht="22" customHeight="1">
      <x:c r="A439" s="4" t="str">
        <x:v>Alex Bump</x:v>
      </x:c>
      <x:c r="B439" s="4" t="str">
        <x:v>alexbump</x:v>
      </x:c>
      <x:c r="C439" s="10" t="n">
        <x:v>0</x:v>
      </x:c>
      <x:c r="D439" s="10" t="n">
        <x:v>0</x:v>
      </x:c>
      <x:c r="E439" s="10" t="n">
        <x:v>1</x:v>
      </x:c>
      <x:c r="F439" s="4" t="str">
        <x:f>IF(COUNT(N439,Q439,T439,W439,Z439,AC439,AF439,AI439)=8,N439*Guide!$E$5+Q439*Guide!$E$6+T439*Guide!$E$7+W439*Guide!$E$8+Z439*Guide!$E$9+AC439*Guide!$E$10+AF439*Guide!$E$11+AI439*Guide!$E$12,"")</x:f>
      </x:c>
      <x:c r="G439" s="4" t="str">
        <x:f>IF(COUNT(O439,R439,U439,X439,AA439,AD439,AG439,AJ439)=8,O439*Guide!$E$5+R439*Guide!$E$6+U439*Guide!$E$7+X439*Guide!$E$8+AA439*Guide!$E$9+AD439*Guide!$E$10+AG439*Guide!$E$11+AJ439*Guide!$E$12,"")</x:f>
      </x:c>
      <x:c r="H439" s="4" t="str">
        <x:f>IF(COUNT(G439,F439)=2,G439-F439,"")</x:f>
      </x:c>
      <x:c r="I439" s="4" t="str">
        <x:f>IF(AND(ISNUMBER(F439),K439&gt;0),F439/K439,"")</x:f>
      </x:c>
      <x:c r="J439" s="4" t="str">
        <x:f>IF(AND(ISNUMBER(G439),L439&gt;0),G439/L439,"")</x:f>
      </x:c>
      <x:c r="K439" s="10"/>
      <x:c r="L439" s="10"/>
      <x:c r="M439" s="10" t="str">
        <x:f>IF(COUNT(L439,K439)=2,L439-K439,"")</x:f>
      </x:c>
      <x:c r="N439" s="10"/>
      <x:c r="O439" s="10"/>
      <x:c r="P439" s="10" t="str">
        <x:f>IF(COUNT(O439,N439)=2,O439-N439,"")</x:f>
      </x:c>
      <x:c r="Q439" s="10"/>
      <x:c r="R439" s="10"/>
      <x:c r="S439" s="10" t="str">
        <x:f>IF(COUNT(R439,Q439)=2,R439-Q439,"")</x:f>
      </x:c>
      <x:c r="T439" s="10"/>
      <x:c r="U439" s="10"/>
      <x:c r="V439" s="10" t="str">
        <x:f>IF(COUNT(U439,T439)=2,U439-T439,"")</x:f>
      </x:c>
      <x:c r="W439" s="10"/>
      <x:c r="X439" s="10" t="str">
        <x:f>IF(COUNT(AV439,AW439)=2,AV439+AW439,"")</x:f>
      </x:c>
      <x:c r="Y439" s="10" t="str">
        <x:f>IF(COUNT(X439,W439)=2,X439-W439,"")</x:f>
      </x:c>
      <x:c r="Z439" s="10"/>
      <x:c r="AA439" s="10" t="str">
        <x:f>IF(COUNT(AX439,AY439)=2,AX439+AY439,"")</x:f>
      </x:c>
      <x:c r="AB439" s="10" t="str">
        <x:f>IF(COUNT(AA439,Z439)=2,AA439-Z439,"")</x:f>
      </x:c>
      <x:c r="AC439" s="10"/>
      <x:c r="AD439" s="10"/>
      <x:c r="AE439" s="10" t="str">
        <x:f>IF(COUNT(AD439,AC439)=2,AD439-AC439,"")</x:f>
      </x:c>
      <x:c r="AF439" s="10"/>
      <x:c r="AG439" s="10"/>
      <x:c r="AH439" s="10" t="str">
        <x:f>IF(COUNT(AG439,AF439)=2,AG439-AF439,"")</x:f>
      </x:c>
      <x:c r="AI439" s="10"/>
      <x:c r="AJ439" s="10"/>
      <x:c r="AK439" s="10" t="str">
        <x:f>IF(COUNT(AJ439,AI439)=2,AJ439-AI439,"")</x:f>
      </x:c>
      <x:c r="AL439" s="10"/>
      <x:c r="AM439" s="10"/>
      <x:c r="AN439" s="4"/>
      <x:c r="AO439" s="4"/>
      <x:c r="AP439" s="4"/>
      <x:c r="AQ439" s="4"/>
      <x:c r="AR439" s="4"/>
      <x:c r="AS439" s="4"/>
      <x:c r="AT439" s="4"/>
      <x:c r="AU439" s="4"/>
      <x:c r="AV439" s="10"/>
      <x:c r="AW439" s="10"/>
      <x:c r="AX439" s="10"/>
      <x:c r="AY439" s="10"/>
      <x:c r="AZ439" s="10" t="n">
        <x:v>151</x:v>
      </x:c>
      <x:c r="BA439" s="10" t="n">
        <x:v>194</x:v>
      </x:c>
      <x:c r="BB439" s="4" t="n">
        <x:v>43.8</x:v>
      </x:c>
      <x:c r="BC439" s="4" t="n">
        <x:v>-3.8</x:v>
      </x:c>
      <x:c r="BD439" s="10" t="n">
        <x:v>112</x:v>
      </x:c>
      <x:c r="BE439" s="10" t="n">
        <x:v>143</x:v>
      </x:c>
      <x:c r="BF439" s="4" t="n">
        <x:v>43.9</x:v>
      </x:c>
      <x:c r="BG439" s="4" t="n">
        <x:v>-6.8</x:v>
      </x:c>
      <x:c r="BH439" s="4" t="n">
        <x:v>12.2</x:v>
      </x:c>
      <x:c r="BI439" s="4" t="n">
        <x:v>92.6</x:v>
      </x:c>
      <x:c r="BJ439" s="4" t="n">
        <x:v>104.8</x:v>
      </x:c>
      <x:c r="BK439" s="4" t="n">
        <x:v>58.2</x:v>
      </x:c>
      <x:c r="BL439" s="4" t="n">
        <x:v>41.8</x:v>
      </x:c>
      <x:c r="BM439" s="4" t="n">
        <x:v>12.633333333333333</x:v>
      </x:c>
      <x:c r="BN439" s="4" t="n">
        <x:v>11.666666666666666</x:v>
      </x:c>
      <x:c r="BO439" s="10" t="n">
        <x:v>3</x:v>
      </x:c>
      <x:c r="BP439" s="10" t="n">
        <x:v>12</x:v>
      </x:c>
      <x:c r="BQ439" s="4" t="n">
        <x:v>2.5</x:v>
      </x:c>
      <x:c r="BR439" s="10" t="n">
        <x:v>54</x:v>
      </x:c>
      <x:c r="BS439" s="4" t="n">
        <x:v>42.6</x:v>
      </x:c>
      <x:c r="BT439" s="10" t="n">
        <x:v>17</x:v>
      </x:c>
      <x:c r="BU439" s="4" t="str">
        <x:v>PHI</x:v>
      </x:c>
      <x:c r="BV439" s="10"/>
      <x:c r="BW439" s="10"/>
      <x:c r="BX439" s="10" t="n">
        <x:v>111</x:v>
      </x:c>
      <x:c r="BY439" s="4"/>
      <x:c r="BZ439" s="4"/>
      <x:c r="CA439" s="4" t="str">
        <x:v>Alex Bump</x:v>
      </x:c>
      <x:c r="CB439" s="4" t="str">
        <x:v>bumpal01</x:v>
      </x:c>
    </x:row>
    <x:row r="440" ht="22" customHeight="1">
      <x:c r="A440" s="4" t="str">
        <x:v>Alex Pietrangelo</x:v>
      </x:c>
      <x:c r="B440" s="4" t="str">
        <x:v>alexpietrangelo</x:v>
      </x:c>
      <x:c r="C440" s="10" t="n">
        <x:v>1</x:v>
      </x:c>
      <x:c r="D440" s="10" t="n">
        <x:v>0</x:v>
      </x:c>
      <x:c r="E440" s="10" t="n">
        <x:v>0</x:v>
      </x:c>
      <x:c r="F440" s="4" t="n">
        <x:f>IF(COUNT(N440,Q440,T440,W440,Z440,AC440,AF440,AI440)=8,N440*Guide!$E$5+Q440*Guide!$E$6+T440*Guide!$E$7+W440*Guide!$E$8+Z440*Guide!$E$9+AC440*Guide!$E$10+AF440*Guide!$E$11+AI440*Guide!$E$12,"")</x:f>
        <x:v>99.25</x:v>
      </x:c>
      <x:c r="G440" s="4" t="str">
        <x:f>IF(COUNT(O440,R440,U440,X440,AA440,AD440,AG440,AJ440)=8,O440*Guide!$E$5+R440*Guide!$E$6+U440*Guide!$E$7+X440*Guide!$E$8+AA440*Guide!$E$9+AD440*Guide!$E$10+AG440*Guide!$E$11+AJ440*Guide!$E$12,"")</x:f>
      </x:c>
      <x:c r="H440" s="4" t="str">
        <x:f>IF(COUNT(G440,F440)=2,G440-F440,"")</x:f>
      </x:c>
      <x:c r="I440" s="4" t="n">
        <x:f>IF(AND(ISNUMBER(F440),K440&gt;0),F440/K440,"")</x:f>
        <x:v>3.97</x:v>
      </x:c>
      <x:c r="J440" s="4" t="str">
        <x:f>IF(AND(ISNUMBER(G440),L440&gt;0),G440/L440,"")</x:f>
      </x:c>
      <x:c r="K440" s="10" t="n">
        <x:v>25</x:v>
      </x:c>
      <x:c r="L440" s="10"/>
      <x:c r="M440" s="10" t="str">
        <x:f>IF(COUNT(L440,K440)=2,L440-K440,"")</x:f>
      </x:c>
      <x:c r="N440" s="10" t="n">
        <x:v>2</x:v>
      </x:c>
      <x:c r="O440" s="10"/>
      <x:c r="P440" s="10" t="str">
        <x:f>IF(COUNT(O440,N440)=2,O440-N440,"")</x:f>
      </x:c>
      <x:c r="Q440" s="10" t="n">
        <x:v>11</x:v>
      </x:c>
      <x:c r="R440" s="10"/>
      <x:c r="S440" s="10" t="str">
        <x:f>IF(COUNT(R440,Q440)=2,R440-Q440,"")</x:f>
      </x:c>
      <x:c r="T440" s="10" t="n">
        <x:v>2</x:v>
      </x:c>
      <x:c r="U440" s="10"/>
      <x:c r="V440" s="10" t="str">
        <x:f>IF(COUNT(U440,T440)=2,U440-T440,"")</x:f>
      </x:c>
      <x:c r="W440" s="10" t="n">
        <x:v>2</x:v>
      </x:c>
      <x:c r="X440" s="10" t="str">
        <x:f>IF(COUNT(AV440,AW440)=2,AV440+AW440,"")</x:f>
      </x:c>
      <x:c r="Y440" s="10" t="str">
        <x:f>IF(COUNT(X440,W440)=2,X440-W440,"")</x:f>
      </x:c>
      <x:c r="Z440" s="10" t="n">
        <x:v>0</x:v>
      </x:c>
      <x:c r="AA440" s="10" t="str">
        <x:f>IF(COUNT(AX440,AY440)=2,AX440+AY440,"")</x:f>
      </x:c>
      <x:c r="AB440" s="10" t="str">
        <x:f>IF(COUNT(AA440,Z440)=2,AA440-Z440,"")</x:f>
      </x:c>
      <x:c r="AC440" s="10" t="n">
        <x:v>46</x:v>
      </x:c>
      <x:c r="AD440" s="10"/>
      <x:c r="AE440" s="10" t="str">
        <x:f>IF(COUNT(AD440,AC440)=2,AD440-AC440,"")</x:f>
      </x:c>
      <x:c r="AF440" s="10" t="n">
        <x:v>15</x:v>
      </x:c>
      <x:c r="AG440" s="10"/>
      <x:c r="AH440" s="10" t="str">
        <x:f>IF(COUNT(AG440,AF440)=2,AG440-AF440,"")</x:f>
      </x:c>
      <x:c r="AI440" s="10" t="n">
        <x:v>52</x:v>
      </x:c>
      <x:c r="AJ440" s="10"/>
      <x:c r="AK440" s="10" t="str">
        <x:f>IF(COUNT(AJ440,AI440)=2,AJ440-AI440,"")</x:f>
      </x:c>
      <x:c r="AL440" s="10" t="n">
        <x:v>36</x:v>
      </x:c>
      <x:c r="AM440" s="10"/>
      <x:c r="AN440" s="4" t="str">
        <x:v>D</x:v>
      </x:c>
      <x:c r="AO440" s="4"/>
      <x:c r="AP440" s="4" t="str">
        <x:v>VGK</x:v>
      </x:c>
      <x:c r="AQ440" s="4"/>
      <x:c r="AR440" s="4" t="n">
        <x:v>22.619999999999997</x:v>
      </x:c>
      <x:c r="AS440" s="4"/>
      <x:c r="AT440" s="4" t="n">
        <x:v>1.12</x:v>
      </x:c>
      <x:c r="AU440" s="4"/>
      <x:c r="AV440" s="10"/>
      <x:c r="AW440" s="10"/>
      <x:c r="AX440" s="10"/>
      <x:c r="AY440" s="10"/>
      <x:c r="AZ440" s="10"/>
      <x:c r="BA440" s="10"/>
      <x:c r="BB440" s="4"/>
      <x:c r="BC440" s="4"/>
      <x:c r="BD440" s="10"/>
      <x:c r="BE440" s="10"/>
      <x:c r="BF440" s="4"/>
      <x:c r="BG440" s="4"/>
      <x:c r="BH440" s="4"/>
      <x:c r="BI440" s="4"/>
      <x:c r="BJ440" s="4"/>
      <x:c r="BK440" s="4"/>
      <x:c r="BL440" s="4"/>
      <x:c r="BM440" s="4"/>
      <x:c r="BN440" s="4"/>
      <x:c r="BO440" s="10"/>
      <x:c r="BP440" s="10"/>
      <x:c r="BQ440" s="4"/>
      <x:c r="BR440" s="10"/>
      <x:c r="BS440" s="4"/>
      <x:c r="BT440" s="10"/>
      <x:c r="BU440" s="4"/>
      <x:c r="BV440" s="10" t="n">
        <x:v>676</x:v>
      </x:c>
      <x:c r="BW440" s="10"/>
      <x:c r="BX440" s="10"/>
      <x:c r="BY440" s="4" t="str">
        <x:v>Alex Pietrangelo</x:v>
      </x:c>
      <x:c r="BZ440" s="4"/>
      <x:c r="CA440" s="4"/>
      <x:c r="CB440" s="4"/>
    </x:row>
    <x:row r="441" ht="22" customHeight="1">
      <x:c r="A441" s="4" t="str">
        <x:v>Alex Steeves</x:v>
      </x:c>
      <x:c r="B441" s="4" t="str">
        <x:v>alexsteeves</x:v>
      </x:c>
      <x:c r="C441" s="10" t="n">
        <x:v>0</x:v>
      </x:c>
      <x:c r="D441" s="10" t="n">
        <x:v>0</x:v>
      </x:c>
      <x:c r="E441" s="10" t="n">
        <x:v>1</x:v>
      </x:c>
      <x:c r="F441" s="4" t="str">
        <x:f>IF(COUNT(N441,Q441,T441,W441,Z441,AC441,AF441,AI441)=8,N441*Guide!$E$5+Q441*Guide!$E$6+T441*Guide!$E$7+W441*Guide!$E$8+Z441*Guide!$E$9+AC441*Guide!$E$10+AF441*Guide!$E$11+AI441*Guide!$E$12,"")</x:f>
      </x:c>
      <x:c r="G441" s="4" t="str">
        <x:f>IF(COUNT(O441,R441,U441,X441,AA441,AD441,AG441,AJ441)=8,O441*Guide!$E$5+R441*Guide!$E$6+U441*Guide!$E$7+X441*Guide!$E$8+AA441*Guide!$E$9+AD441*Guide!$E$10+AG441*Guide!$E$11+AJ441*Guide!$E$12,"")</x:f>
      </x:c>
      <x:c r="H441" s="4" t="str">
        <x:f>IF(COUNT(G441,F441)=2,G441-F441,"")</x:f>
      </x:c>
      <x:c r="I441" s="4" t="str">
        <x:f>IF(AND(ISNUMBER(F441),K441&gt;0),F441/K441,"")</x:f>
      </x:c>
      <x:c r="J441" s="4" t="str">
        <x:f>IF(AND(ISNUMBER(G441),L441&gt;0),G441/L441,"")</x:f>
      </x:c>
      <x:c r="K441" s="10"/>
      <x:c r="L441" s="10"/>
      <x:c r="M441" s="10" t="str">
        <x:f>IF(COUNT(L441,K441)=2,L441-K441,"")</x:f>
      </x:c>
      <x:c r="N441" s="10"/>
      <x:c r="O441" s="10"/>
      <x:c r="P441" s="10" t="str">
        <x:f>IF(COUNT(O441,N441)=2,O441-N441,"")</x:f>
      </x:c>
      <x:c r="Q441" s="10"/>
      <x:c r="R441" s="10"/>
      <x:c r="S441" s="10" t="str">
        <x:f>IF(COUNT(R441,Q441)=2,R441-Q441,"")</x:f>
      </x:c>
      <x:c r="T441" s="10"/>
      <x:c r="U441" s="10"/>
      <x:c r="V441" s="10" t="str">
        <x:f>IF(COUNT(U441,T441)=2,U441-T441,"")</x:f>
      </x:c>
      <x:c r="W441" s="10"/>
      <x:c r="X441" s="10" t="str">
        <x:f>IF(COUNT(AV441,AW441)=2,AV441+AW441,"")</x:f>
      </x:c>
      <x:c r="Y441" s="10" t="str">
        <x:f>IF(COUNT(X441,W441)=2,X441-W441,"")</x:f>
      </x:c>
      <x:c r="Z441" s="10"/>
      <x:c r="AA441" s="10" t="str">
        <x:f>IF(COUNT(AX441,AY441)=2,AX441+AY441,"")</x:f>
      </x:c>
      <x:c r="AB441" s="10" t="str">
        <x:f>IF(COUNT(AA441,Z441)=2,AA441-Z441,"")</x:f>
      </x:c>
      <x:c r="AC441" s="10"/>
      <x:c r="AD441" s="10"/>
      <x:c r="AE441" s="10" t="str">
        <x:f>IF(COUNT(AD441,AC441)=2,AD441-AC441,"")</x:f>
      </x:c>
      <x:c r="AF441" s="10"/>
      <x:c r="AG441" s="10"/>
      <x:c r="AH441" s="10" t="str">
        <x:f>IF(COUNT(AG441,AF441)=2,AG441-AF441,"")</x:f>
      </x:c>
      <x:c r="AI441" s="10"/>
      <x:c r="AJ441" s="10"/>
      <x:c r="AK441" s="10" t="str">
        <x:f>IF(COUNT(AJ441,AI441)=2,AJ441-AI441,"")</x:f>
      </x:c>
      <x:c r="AL441" s="10"/>
      <x:c r="AM441" s="10"/>
      <x:c r="AN441" s="4"/>
      <x:c r="AO441" s="4"/>
      <x:c r="AP441" s="4"/>
      <x:c r="AQ441" s="4"/>
      <x:c r="AR441" s="4"/>
      <x:c r="AS441" s="4"/>
      <x:c r="AT441" s="4"/>
      <x:c r="AU441" s="4"/>
      <x:c r="AV441" s="10"/>
      <x:c r="AW441" s="10"/>
      <x:c r="AX441" s="10"/>
      <x:c r="AY441" s="10"/>
      <x:c r="AZ441" s="10" t="n">
        <x:v>425</x:v>
      </x:c>
      <x:c r="BA441" s="10" t="n">
        <x:v>432</x:v>
      </x:c>
      <x:c r="BB441" s="4" t="n">
        <x:v>49.6</x:v>
      </x:c>
      <x:c r="BC441" s="4" t="n">
        <x:v>1.6</x:v>
      </x:c>
      <x:c r="BD441" s="10" t="n">
        <x:v>309</x:v>
      </x:c>
      <x:c r="BE441" s="10" t="n">
        <x:v>296</x:v>
      </x:c>
      <x:c r="BF441" s="4" t="n">
        <x:v>51.1</x:v>
      </x:c>
      <x:c r="BG441" s="4" t="n">
        <x:v>3.5</x:v>
      </x:c>
      <x:c r="BH441" s="4" t="n">
        <x:v>10.6</x:v>
      </x:c>
      <x:c r="BI441" s="4" t="n">
        <x:v>91.7</x:v>
      </x:c>
      <x:c r="BJ441" s="4" t="n">
        <x:v>102.3</x:v>
      </x:c>
      <x:c r="BK441" s="4" t="n">
        <x:v>47.9</x:v>
      </x:c>
      <x:c r="BL441" s="4" t="n">
        <x:v>52.1</x:v>
      </x:c>
      <x:c r="BM441" s="4" t="n">
        <x:v>11.933333333333334</x:v>
      </x:c>
      <x:c r="BN441" s="4" t="n">
        <x:v>10.55</x:v>
      </x:c>
      <x:c r="BO441" s="10" t="n">
        <x:v>9</x:v>
      </x:c>
      <x:c r="BP441" s="10" t="n">
        <x:v>23</x:v>
      </x:c>
      <x:c r="BQ441" s="4" t="n">
        <x:v>-0.5</x:v>
      </x:c>
      <x:c r="BR441" s="10" t="n">
        <x:v>109</x:v>
      </x:c>
      <x:c r="BS441" s="4" t="n">
        <x:v>50.5</x:v>
      </x:c>
      <x:c r="BT441" s="10" t="n">
        <x:v>43</x:v>
      </x:c>
      <x:c r="BU441" s="4" t="str">
        <x:v>BOS</x:v>
      </x:c>
      <x:c r="BV441" s="10"/>
      <x:c r="BW441" s="10"/>
      <x:c r="BX441" s="10" t="n">
        <x:v>980</x:v>
      </x:c>
      <x:c r="BY441" s="4"/>
      <x:c r="BZ441" s="4"/>
      <x:c r="CA441" s="4" t="str">
        <x:v>Alex Steeves</x:v>
      </x:c>
      <x:c r="CB441" s="4" t="str">
        <x:v>steeval02</x:v>
      </x:c>
    </x:row>
    <x:row r="442" ht="22" customHeight="1">
      <x:c r="A442" s="4" t="str">
        <x:v>Alex Turcotte</x:v>
      </x:c>
      <x:c r="B442" s="4" t="str">
        <x:v>alexturcotte</x:v>
      </x:c>
      <x:c r="C442" s="10" t="n">
        <x:v>1</x:v>
      </x:c>
      <x:c r="D442" s="10" t="n">
        <x:v>0</x:v>
      </x:c>
      <x:c r="E442" s="10" t="n">
        <x:v>1</x:v>
      </x:c>
      <x:c r="F442" s="4" t="n">
        <x:f>IF(COUNT(N442,Q442,T442,W442,Z442,AC442,AF442,AI442)=8,N442*Guide!$E$5+Q442*Guide!$E$6+T442*Guide!$E$7+W442*Guide!$E$8+Z442*Guide!$E$9+AC442*Guide!$E$10+AF442*Guide!$E$11+AI442*Guide!$E$12,"")</x:f>
        <x:v>156.75</x:v>
      </x:c>
      <x:c r="G442" s="4" t="str">
        <x:f>IF(COUNT(O442,R442,U442,X442,AA442,AD442,AG442,AJ442)=8,O442*Guide!$E$5+R442*Guide!$E$6+U442*Guide!$E$7+X442*Guide!$E$8+AA442*Guide!$E$9+AD442*Guide!$E$10+AG442*Guide!$E$11+AJ442*Guide!$E$12,"")</x:f>
      </x:c>
      <x:c r="H442" s="4" t="str">
        <x:f>IF(COUNT(G442,F442)=2,G442-F442,"")</x:f>
      </x:c>
      <x:c r="I442" s="4" t="n">
        <x:f>IF(AND(ISNUMBER(F442),K442&gt;0),F442/K442,"")</x:f>
        <x:v>2.1770833333333335</x:v>
      </x:c>
      <x:c r="J442" s="4" t="str">
        <x:f>IF(AND(ISNUMBER(G442),L442&gt;0),G442/L442,"")</x:f>
      </x:c>
      <x:c r="K442" s="10" t="n">
        <x:v>72</x:v>
      </x:c>
      <x:c r="L442" s="10"/>
      <x:c r="M442" s="10" t="str">
        <x:f>IF(COUNT(L442,K442)=2,L442-K442,"")</x:f>
      </x:c>
      <x:c r="N442" s="10" t="n">
        <x:v>11</x:v>
      </x:c>
      <x:c r="O442" s="10"/>
      <x:c r="P442" s="10" t="str">
        <x:f>IF(COUNT(O442,N442)=2,O442-N442,"")</x:f>
      </x:c>
      <x:c r="Q442" s="10" t="n">
        <x:v>16</x:v>
      </x:c>
      <x:c r="R442" s="10"/>
      <x:c r="S442" s="10" t="str">
        <x:f>IF(COUNT(R442,Q442)=2,R442-Q442,"")</x:f>
      </x:c>
      <x:c r="T442" s="10" t="n">
        <x:v>4</x:v>
      </x:c>
      <x:c r="U442" s="10"/>
      <x:c r="V442" s="10" t="str">
        <x:f>IF(COUNT(U442,T442)=2,U442-T442,"")</x:f>
      </x:c>
      <x:c r="W442" s="10" t="n">
        <x:v>4</x:v>
      </x:c>
      <x:c r="X442" s="10" t="str">
        <x:f>IF(COUNT(AV442,AW442)=2,AV442+AW442,"")</x:f>
      </x:c>
      <x:c r="Y442" s="10" t="str">
        <x:f>IF(COUNT(X442,W442)=2,X442-W442,"")</x:f>
      </x:c>
      <x:c r="Z442" s="10" t="n">
        <x:v>0</x:v>
      </x:c>
      <x:c r="AA442" s="10" t="str">
        <x:f>IF(COUNT(AX442,AY442)=2,AX442+AY442,"")</x:f>
      </x:c>
      <x:c r="AB442" s="10" t="str">
        <x:f>IF(COUNT(AA442,Z442)=2,AA442-Z442,"")</x:f>
      </x:c>
      <x:c r="AC442" s="10" t="n">
        <x:v>82</x:v>
      </x:c>
      <x:c r="AD442" s="10"/>
      <x:c r="AE442" s="10" t="str">
        <x:f>IF(COUNT(AD442,AC442)=2,AD442-AC442,"")</x:f>
      </x:c>
      <x:c r="AF442" s="10" t="n">
        <x:v>43</x:v>
      </x:c>
      <x:c r="AG442" s="10"/>
      <x:c r="AH442" s="10" t="str">
        <x:f>IF(COUNT(AG442,AF442)=2,AG442-AF442,"")</x:f>
      </x:c>
      <x:c r="AI442" s="10" t="n">
        <x:v>34</x:v>
      </x:c>
      <x:c r="AJ442" s="10"/>
      <x:c r="AK442" s="10" t="str">
        <x:f>IF(COUNT(AJ442,AI442)=2,AJ442-AI442,"")</x:f>
      </x:c>
      <x:c r="AL442" s="10" t="n">
        <x:v>24</x:v>
      </x:c>
      <x:c r="AM442" s="10"/>
      <x:c r="AN442" s="4" t="str">
        <x:v>C,LW</x:v>
      </x:c>
      <x:c r="AO442" s="4"/>
      <x:c r="AP442" s="4" t="str">
        <x:v>LA</x:v>
      </x:c>
      <x:c r="AQ442" s="4"/>
      <x:c r="AR442" s="4" t="n">
        <x:v>11.729999999999999</x:v>
      </x:c>
      <x:c r="AS442" s="4"/>
      <x:c r="AT442" s="4" t="n">
        <x:v>0.78</x:v>
      </x:c>
      <x:c r="AU442" s="4"/>
      <x:c r="AV442" s="10"/>
      <x:c r="AW442" s="10"/>
      <x:c r="AX442" s="10"/>
      <x:c r="AY442" s="10"/>
      <x:c r="AZ442" s="10" t="n">
        <x:v>704</x:v>
      </x:c>
      <x:c r="BA442" s="10" t="n">
        <x:v>586</x:v>
      </x:c>
      <x:c r="BB442" s="4" t="n">
        <x:v>54.6</x:v>
      </x:c>
      <x:c r="BC442" s="4" t="n">
        <x:v>3.2</x:v>
      </x:c>
      <x:c r="BD442" s="10" t="n">
        <x:v>497</x:v>
      </x:c>
      <x:c r="BE442" s="10" t="n">
        <x:v>416</x:v>
      </x:c>
      <x:c r="BF442" s="4" t="n">
        <x:v>54.4</x:v>
      </x:c>
      <x:c r="BG442" s="4" t="n">
        <x:v>3.8</x:v>
      </x:c>
      <x:c r="BH442" s="4" t="n">
        <x:v>6.4</x:v>
      </x:c>
      <x:c r="BI442" s="4" t="n">
        <x:v>89.1</x:v>
      </x:c>
      <x:c r="BJ442" s="4" t="n">
        <x:v>95.6</x:v>
      </x:c>
      <x:c r="BK442" s="4" t="n">
        <x:v>55.8</x:v>
      </x:c>
      <x:c r="BL442" s="4" t="n">
        <x:v>44.2</x:v>
      </x:c>
      <x:c r="BM442" s="4" t="n">
        <x:v>10.833333333333334</x:v>
      </x:c>
      <x:c r="BN442" s="4" t="n">
        <x:v>10.516666666666667</x:v>
      </x:c>
      <x:c r="BO442" s="10" t="n">
        <x:v>14</x:v>
      </x:c>
      <x:c r="BP442" s="10" t="n">
        <x:v>27</x:v>
      </x:c>
      <x:c r="BQ442" s="4" t="n">
        <x:v>8.4</x:v>
      </x:c>
      <x:c r="BR442" s="10" t="n">
        <x:v>138</x:v>
      </x:c>
      <x:c r="BS442" s="4" t="n">
        <x:v>48.6</x:v>
      </x:c>
      <x:c r="BT442" s="10" t="n">
        <x:v>62</x:v>
      </x:c>
      <x:c r="BU442" s="4" t="str">
        <x:v>LAK</x:v>
      </x:c>
      <x:c r="BV442" s="10" t="n">
        <x:v>413</x:v>
      </x:c>
      <x:c r="BW442" s="10"/>
      <x:c r="BX442" s="10" t="n">
        <x:v>1038</x:v>
      </x:c>
      <x:c r="BY442" s="4" t="str">
        <x:v>Alex Turcotte</x:v>
      </x:c>
      <x:c r="BZ442" s="4"/>
      <x:c r="CA442" s="4" t="str">
        <x:v>Alex Turcotte</x:v>
      </x:c>
      <x:c r="CB442" s="4" t="str">
        <x:v>turcoal02</x:v>
      </x:c>
    </x:row>
    <x:row r="443" ht="22" customHeight="1">
      <x:c r="A443" s="4" t="str">
        <x:v>Alexander Alexeyev</x:v>
      </x:c>
      <x:c r="B443" s="4" t="str">
        <x:v>alexanderalexeyev</x:v>
      </x:c>
      <x:c r="C443" s="10" t="n">
        <x:v>1</x:v>
      </x:c>
      <x:c r="D443" s="10" t="n">
        <x:v>0</x:v>
      </x:c>
      <x:c r="E443" s="10" t="n">
        <x:v>0</x:v>
      </x:c>
      <x:c r="F443" s="4" t="n">
        <x:f>IF(COUNT(N443,Q443,T443,W443,Z443,AC443,AF443,AI443)=8,N443*Guide!$E$5+Q443*Guide!$E$6+T443*Guide!$E$7+W443*Guide!$E$8+Z443*Guide!$E$9+AC443*Guide!$E$10+AF443*Guide!$E$11+AI443*Guide!$E$12,"")</x:f>
        <x:v>120.5</x:v>
      </x:c>
      <x:c r="G443" s="4" t="str">
        <x:f>IF(COUNT(O443,R443,U443,X443,AA443,AD443,AG443,AJ443)=8,O443*Guide!$E$5+R443*Guide!$E$6+U443*Guide!$E$7+X443*Guide!$E$8+AA443*Guide!$E$9+AD443*Guide!$E$10+AG443*Guide!$E$11+AJ443*Guide!$E$12,"")</x:f>
      </x:c>
      <x:c r="H443" s="4" t="str">
        <x:f>IF(COUNT(G443,F443)=2,G443-F443,"")</x:f>
      </x:c>
      <x:c r="I443" s="4" t="n">
        <x:f>IF(AND(ISNUMBER(F443),K443&gt;0),F443/K443,"")</x:f>
        <x:v>1.8828125</x:v>
      </x:c>
      <x:c r="J443" s="4" t="str">
        <x:f>IF(AND(ISNUMBER(G443),L443&gt;0),G443/L443,"")</x:f>
      </x:c>
      <x:c r="K443" s="10" t="n">
        <x:v>64</x:v>
      </x:c>
      <x:c r="L443" s="10"/>
      <x:c r="M443" s="10" t="str">
        <x:f>IF(COUNT(L443,K443)=2,L443-K443,"")</x:f>
      </x:c>
      <x:c r="N443" s="10" t="n">
        <x:v>2</x:v>
      </x:c>
      <x:c r="O443" s="10"/>
      <x:c r="P443" s="10" t="str">
        <x:f>IF(COUNT(O443,N443)=2,O443-N443,"")</x:f>
      </x:c>
      <x:c r="Q443" s="10" t="n">
        <x:v>9</x:v>
      </x:c>
      <x:c r="R443" s="10"/>
      <x:c r="S443" s="10" t="str">
        <x:f>IF(COUNT(R443,Q443)=2,R443-Q443,"")</x:f>
      </x:c>
      <x:c r="T443" s="10" t="n">
        <x:v>-1</x:v>
      </x:c>
      <x:c r="U443" s="10"/>
      <x:c r="V443" s="10" t="str">
        <x:f>IF(COUNT(U443,T443)=2,U443-T443,"")</x:f>
      </x:c>
      <x:c r="W443" s="10" t="n">
        <x:v>1</x:v>
      </x:c>
      <x:c r="X443" s="10" t="str">
        <x:f>IF(COUNT(AV443,AW443)=2,AV443+AW443,"")</x:f>
      </x:c>
      <x:c r="Y443" s="10" t="str">
        <x:f>IF(COUNT(X443,W443)=2,X443-W443,"")</x:f>
      </x:c>
      <x:c r="Z443" s="10" t="n">
        <x:v>0</x:v>
      </x:c>
      <x:c r="AA443" s="10" t="str">
        <x:f>IF(COUNT(AX443,AY443)=2,AX443+AY443,"")</x:f>
      </x:c>
      <x:c r="AB443" s="10" t="str">
        <x:f>IF(COUNT(AA443,Z443)=2,AA443-Z443,"")</x:f>
      </x:c>
      <x:c r="AC443" s="10" t="n">
        <x:v>40</x:v>
      </x:c>
      <x:c r="AD443" s="10"/>
      <x:c r="AE443" s="10" t="str">
        <x:f>IF(COUNT(AD443,AC443)=2,AD443-AC443,"")</x:f>
      </x:c>
      <x:c r="AF443" s="10" t="n">
        <x:v>59</x:v>
      </x:c>
      <x:c r="AG443" s="10"/>
      <x:c r="AH443" s="10" t="str">
        <x:f>IF(COUNT(AG443,AF443)=2,AG443-AF443,"")</x:f>
      </x:c>
      <x:c r="AI443" s="10" t="n">
        <x:v>81</x:v>
      </x:c>
      <x:c r="AJ443" s="10"/>
      <x:c r="AK443" s="10" t="str">
        <x:f>IF(COUNT(AJ443,AI443)=2,AJ443-AI443,"")</x:f>
      </x:c>
      <x:c r="AL443" s="10" t="n">
        <x:v>26</x:v>
      </x:c>
      <x:c r="AM443" s="10"/>
      <x:c r="AN443" s="4" t="str">
        <x:v>D</x:v>
      </x:c>
      <x:c r="AO443" s="4"/>
      <x:c r="AP443" s="4" t="str">
        <x:v>PIT</x:v>
      </x:c>
      <x:c r="AQ443" s="4"/>
      <x:c r="AR443" s="4" t="n">
        <x:v>14.17</x:v>
      </x:c>
      <x:c r="AS443" s="4"/>
      <x:c r="AT443" s="4" t="n">
        <x:v>0.16</x:v>
      </x:c>
      <x:c r="AU443" s="4"/>
      <x:c r="AV443" s="10"/>
      <x:c r="AW443" s="10"/>
      <x:c r="AX443" s="10"/>
      <x:c r="AY443" s="10"/>
      <x:c r="AZ443" s="10"/>
      <x:c r="BA443" s="10"/>
      <x:c r="BB443" s="4"/>
      <x:c r="BC443" s="4"/>
      <x:c r="BD443" s="10"/>
      <x:c r="BE443" s="10"/>
      <x:c r="BF443" s="4"/>
      <x:c r="BG443" s="4"/>
      <x:c r="BH443" s="4"/>
      <x:c r="BI443" s="4"/>
      <x:c r="BJ443" s="4"/>
      <x:c r="BK443" s="4"/>
      <x:c r="BL443" s="4"/>
      <x:c r="BM443" s="4"/>
      <x:c r="BN443" s="4"/>
      <x:c r="BO443" s="10"/>
      <x:c r="BP443" s="10"/>
      <x:c r="BQ443" s="4"/>
      <x:c r="BR443" s="10"/>
      <x:c r="BS443" s="4"/>
      <x:c r="BT443" s="10"/>
      <x:c r="BU443" s="4"/>
      <x:c r="BV443" s="10" t="n">
        <x:v>709</x:v>
      </x:c>
      <x:c r="BW443" s="10"/>
      <x:c r="BX443" s="10"/>
      <x:c r="BY443" s="4" t="str">
        <x:v>Alexander Alexeyev</x:v>
      </x:c>
      <x:c r="BZ443" s="4"/>
      <x:c r="CA443" s="4"/>
      <x:c r="CB443" s="4"/>
    </x:row>
    <x:row r="444" ht="22" customHeight="1">
      <x:c r="A444" s="4" t="str">
        <x:v>Alexander Holtz</x:v>
      </x:c>
      <x:c r="B444" s="4" t="str">
        <x:v>alexanderholtz</x:v>
      </x:c>
      <x:c r="C444" s="10" t="n">
        <x:v>1</x:v>
      </x:c>
      <x:c r="D444" s="10" t="n">
        <x:v>0</x:v>
      </x:c>
      <x:c r="E444" s="10" t="n">
        <x:v>1</x:v>
      </x:c>
      <x:c r="F444" s="4" t="n">
        <x:f>IF(COUNT(N444,Q444,T444,W444,Z444,AC444,AF444,AI444)=8,N444*Guide!$E$5+Q444*Guide!$E$6+T444*Guide!$E$7+W444*Guide!$E$8+Z444*Guide!$E$9+AC444*Guide!$E$10+AF444*Guide!$E$11+AI444*Guide!$E$12,"")</x:f>
        <x:v>122.5</x:v>
      </x:c>
      <x:c r="G444" s="4" t="str">
        <x:f>IF(COUNT(O444,R444,U444,X444,AA444,AD444,AG444,AJ444)=8,O444*Guide!$E$5+R444*Guide!$E$6+U444*Guide!$E$7+X444*Guide!$E$8+AA444*Guide!$E$9+AD444*Guide!$E$10+AG444*Guide!$E$11+AJ444*Guide!$E$12,"")</x:f>
      </x:c>
      <x:c r="H444" s="4" t="str">
        <x:f>IF(COUNT(G444,F444)=2,G444-F444,"")</x:f>
      </x:c>
      <x:c r="I444" s="4" t="n">
        <x:f>IF(AND(ISNUMBER(F444),K444&gt;0),F444/K444,"")</x:f>
        <x:v>1.9140625</x:v>
      </x:c>
      <x:c r="J444" s="4" t="str">
        <x:f>IF(AND(ISNUMBER(G444),L444&gt;0),G444/L444,"")</x:f>
      </x:c>
      <x:c r="K444" s="10" t="n">
        <x:v>64</x:v>
      </x:c>
      <x:c r="L444" s="10"/>
      <x:c r="M444" s="10" t="str">
        <x:f>IF(COUNT(L444,K444)=2,L444-K444,"")</x:f>
      </x:c>
      <x:c r="N444" s="10" t="n">
        <x:v>10</x:v>
      </x:c>
      <x:c r="O444" s="10"/>
      <x:c r="P444" s="10" t="str">
        <x:f>IF(COUNT(O444,N444)=2,O444-N444,"")</x:f>
      </x:c>
      <x:c r="Q444" s="10" t="n">
        <x:v>12</x:v>
      </x:c>
      <x:c r="R444" s="10"/>
      <x:c r="S444" s="10" t="str">
        <x:f>IF(COUNT(R444,Q444)=2,R444-Q444,"")</x:f>
      </x:c>
      <x:c r="T444" s="10" t="n">
        <x:v>-3</x:v>
      </x:c>
      <x:c r="U444" s="10"/>
      <x:c r="V444" s="10" t="str">
        <x:f>IF(COUNT(U444,T444)=2,U444-T444,"")</x:f>
      </x:c>
      <x:c r="W444" s="10" t="n">
        <x:v>4</x:v>
      </x:c>
      <x:c r="X444" s="10" t="str">
        <x:f>IF(COUNT(AV444,AW444)=2,AV444+AW444,"")</x:f>
      </x:c>
      <x:c r="Y444" s="10" t="str">
        <x:f>IF(COUNT(X444,W444)=2,X444-W444,"")</x:f>
      </x:c>
      <x:c r="Z444" s="10" t="n">
        <x:v>0</x:v>
      </x:c>
      <x:c r="AA444" s="10" t="str">
        <x:f>IF(COUNT(AX444,AY444)=2,AX444+AY444,"")</x:f>
      </x:c>
      <x:c r="AB444" s="10" t="str">
        <x:f>IF(COUNT(AA444,Z444)=2,AA444-Z444,"")</x:f>
      </x:c>
      <x:c r="AC444" s="10" t="n">
        <x:v>86</x:v>
      </x:c>
      <x:c r="AD444" s="10"/>
      <x:c r="AE444" s="10" t="str">
        <x:f>IF(COUNT(AD444,AC444)=2,AD444-AC444,"")</x:f>
      </x:c>
      <x:c r="AF444" s="10" t="n">
        <x:v>42</x:v>
      </x:c>
      <x:c r="AG444" s="10"/>
      <x:c r="AH444" s="10" t="str">
        <x:f>IF(COUNT(AG444,AF444)=2,AG444-AF444,"")</x:f>
      </x:c>
      <x:c r="AI444" s="10" t="n">
        <x:v>18</x:v>
      </x:c>
      <x:c r="AJ444" s="10"/>
      <x:c r="AK444" s="10" t="str">
        <x:f>IF(COUNT(AJ444,AI444)=2,AJ444-AI444,"")</x:f>
      </x:c>
      <x:c r="AL444" s="10" t="n">
        <x:v>24</x:v>
      </x:c>
      <x:c r="AM444" s="10"/>
      <x:c r="AN444" s="4" t="str">
        <x:v>RW</x:v>
      </x:c>
      <x:c r="AO444" s="4"/>
      <x:c r="AP444" s="4" t="str">
        <x:v>VGK</x:v>
      </x:c>
      <x:c r="AQ444" s="4"/>
      <x:c r="AR444" s="4" t="n">
        <x:v>11.86</x:v>
      </x:c>
      <x:c r="AS444" s="4"/>
      <x:c r="AT444" s="4" t="n">
        <x:v>0.82</x:v>
      </x:c>
      <x:c r="AU444" s="4"/>
      <x:c r="AV444" s="10"/>
      <x:c r="AW444" s="10"/>
      <x:c r="AX444" s="10"/>
      <x:c r="AY444" s="10"/>
      <x:c r="AZ444" s="10" t="n">
        <x:v>254</x:v>
      </x:c>
      <x:c r="BA444" s="10" t="n">
        <x:v>312</x:v>
      </x:c>
      <x:c r="BB444" s="4" t="n">
        <x:v>44.9</x:v>
      </x:c>
      <x:c r="BC444" s="4" t="n">
        <x:v>-5.8</x:v>
      </x:c>
      <x:c r="BD444" s="10" t="n">
        <x:v>174</x:v>
      </x:c>
      <x:c r="BE444" s="10" t="n">
        <x:v>219</x:v>
      </x:c>
      <x:c r="BF444" s="4" t="n">
        <x:v>44.3</x:v>
      </x:c>
      <x:c r="BG444" s="4" t="n">
        <x:v>-7.1</x:v>
      </x:c>
      <x:c r="BH444" s="4" t="n">
        <x:v>13.6</x:v>
      </x:c>
      <x:c r="BI444" s="4" t="n">
        <x:v>89.4</x:v>
      </x:c>
      <x:c r="BJ444" s="4" t="n">
        <x:v>103</x:v>
      </x:c>
      <x:c r="BK444" s="4" t="n">
        <x:v>52.4</x:v>
      </x:c>
      <x:c r="BL444" s="4" t="n">
        <x:v>47.6</x:v>
      </x:c>
      <x:c r="BM444" s="4" t="n">
        <x:v>11.483333333333333</x:v>
      </x:c>
      <x:c r="BN444" s="4" t="n">
        <x:v>10.983333333333333</x:v>
      </x:c>
      <x:c r="BO444" s="10" t="n">
        <x:v>1</x:v>
      </x:c>
      <x:c r="BP444" s="10" t="n">
        <x:v>20</x:v>
      </x:c>
      <x:c r="BQ444" s="4" t="n">
        <x:v>-0.9</x:v>
      </x:c>
      <x:c r="BR444" s="10" t="n">
        <x:v>71</x:v>
      </x:c>
      <x:c r="BS444" s="4" t="n">
        <x:v>42.3</x:v>
      </x:c>
      <x:c r="BT444" s="10" t="n">
        <x:v>28</x:v>
      </x:c>
      <x:c r="BU444" s="4" t="str">
        <x:v>VEG</x:v>
      </x:c>
      <x:c r="BV444" s="10" t="n">
        <x:v>490</x:v>
      </x:c>
      <x:c r="BW444" s="10"/>
      <x:c r="BX444" s="10" t="n">
        <x:v>424</x:v>
      </x:c>
      <x:c r="BY444" s="4" t="str">
        <x:v>Alexander Holtz</x:v>
      </x:c>
      <x:c r="BZ444" s="4"/>
      <x:c r="CA444" s="4" t="str">
        <x:v>Alexander Holtz</x:v>
      </x:c>
      <x:c r="CB444" s="4" t="str">
        <x:v>holtzal01</x:v>
      </x:c>
    </x:row>
    <x:row r="445" ht="22" customHeight="1">
      <x:c r="A445" s="4" t="str">
        <x:v>Alexander Kerfoot</x:v>
      </x:c>
      <x:c r="B445" s="4" t="str">
        <x:v>alexanderkerfoot</x:v>
      </x:c>
      <x:c r="C445" s="10" t="n">
        <x:v>1</x:v>
      </x:c>
      <x:c r="D445" s="10" t="n">
        <x:v>0</x:v>
      </x:c>
      <x:c r="E445" s="10" t="n">
        <x:v>1</x:v>
      </x:c>
      <x:c r="F445" s="4" t="n">
        <x:f>IF(COUNT(N445,Q445,T445,W445,Z445,AC445,AF445,AI445)=8,N445*Guide!$E$5+Q445*Guide!$E$6+T445*Guide!$E$7+W445*Guide!$E$8+Z445*Guide!$E$9+AC445*Guide!$E$10+AF445*Guide!$E$11+AI445*Guide!$E$12,"")</x:f>
        <x:v>205</x:v>
      </x:c>
      <x:c r="G445" s="4" t="str">
        <x:f>IF(COUNT(O445,R445,U445,X445,AA445,AD445,AG445,AJ445)=8,O445*Guide!$E$5+R445*Guide!$E$6+U445*Guide!$E$7+X445*Guide!$E$8+AA445*Guide!$E$9+AD445*Guide!$E$10+AG445*Guide!$E$11+AJ445*Guide!$E$12,"")</x:f>
      </x:c>
      <x:c r="H445" s="4" t="str">
        <x:f>IF(COUNT(G445,F445)=2,G445-F445,"")</x:f>
      </x:c>
      <x:c r="I445" s="4" t="n">
        <x:f>IF(AND(ISNUMBER(F445),K445&gt;0),F445/K445,"")</x:f>
        <x:v>2.5625</x:v>
      </x:c>
      <x:c r="J445" s="4" t="str">
        <x:f>IF(AND(ISNUMBER(G445),L445&gt;0),G445/L445,"")</x:f>
      </x:c>
      <x:c r="K445" s="10" t="n">
        <x:v>80</x:v>
      </x:c>
      <x:c r="L445" s="10"/>
      <x:c r="M445" s="10" t="str">
        <x:f>IF(COUNT(L445,K445)=2,L445-K445,"")</x:f>
      </x:c>
      <x:c r="N445" s="10" t="n">
        <x:v>12</x:v>
      </x:c>
      <x:c r="O445" s="10"/>
      <x:c r="P445" s="10" t="str">
        <x:f>IF(COUNT(O445,N445)=2,O445-N445,"")</x:f>
      </x:c>
      <x:c r="Q445" s="10" t="n">
        <x:v>21</x:v>
      </x:c>
      <x:c r="R445" s="10"/>
      <x:c r="S445" s="10" t="str">
        <x:f>IF(COUNT(R445,Q445)=2,R445-Q445,"")</x:f>
      </x:c>
      <x:c r="T445" s="10" t="n">
        <x:v>-2</x:v>
      </x:c>
      <x:c r="U445" s="10"/>
      <x:c r="V445" s="10" t="str">
        <x:f>IF(COUNT(U445,T445)=2,U445-T445,"")</x:f>
      </x:c>
      <x:c r="W445" s="10" t="n">
        <x:v>3</x:v>
      </x:c>
      <x:c r="X445" s="10" t="str">
        <x:f>IF(COUNT(AV445,AW445)=2,AV445+AW445,"")</x:f>
      </x:c>
      <x:c r="Y445" s="10" t="str">
        <x:f>IF(COUNT(X445,W445)=2,X445-W445,"")</x:f>
      </x:c>
      <x:c r="Z445" s="10" t="n">
        <x:v>2</x:v>
      </x:c>
      <x:c r="AA445" s="10" t="str">
        <x:f>IF(COUNT(AX445,AY445)=2,AX445+AY445,"")</x:f>
      </x:c>
      <x:c r="AB445" s="10" t="str">
        <x:f>IF(COUNT(AA445,Z445)=2,AA445-Z445,"")</x:f>
      </x:c>
      <x:c r="AC445" s="10" t="n">
        <x:v>98</x:v>
      </x:c>
      <x:c r="AD445" s="10"/>
      <x:c r="AE445" s="10" t="str">
        <x:f>IF(COUNT(AD445,AC445)=2,AD445-AC445,"")</x:f>
      </x:c>
      <x:c r="AF445" s="10" t="n">
        <x:v>58</x:v>
      </x:c>
      <x:c r="AG445" s="10"/>
      <x:c r="AH445" s="10" t="str">
        <x:f>IF(COUNT(AG445,AF445)=2,AG445-AF445,"")</x:f>
      </x:c>
      <x:c r="AI445" s="10" t="n">
        <x:v>64</x:v>
      </x:c>
      <x:c r="AJ445" s="10"/>
      <x:c r="AK445" s="10" t="str">
        <x:f>IF(COUNT(AJ445,AI445)=2,AJ445-AI445,"")</x:f>
      </x:c>
      <x:c r="AL445" s="10" t="n">
        <x:v>31</x:v>
      </x:c>
      <x:c r="AM445" s="10"/>
      <x:c r="AN445" s="4" t="str">
        <x:v>C,LW,RW</x:v>
      </x:c>
      <x:c r="AO445" s="4"/>
      <x:c r="AP445" s="4" t="str">
        <x:v>UTA</x:v>
      </x:c>
      <x:c r="AQ445" s="4"/>
      <x:c r="AR445" s="4" t="n">
        <x:v>15.22</x:v>
      </x:c>
      <x:c r="AS445" s="4"/>
      <x:c r="AT445" s="4" t="n">
        <x:v>0.57</x:v>
      </x:c>
      <x:c r="AU445" s="4"/>
      <x:c r="AV445" s="10"/>
      <x:c r="AW445" s="10"/>
      <x:c r="AX445" s="10"/>
      <x:c r="AY445" s="10"/>
      <x:c r="AZ445" s="10" t="n">
        <x:v>363</x:v>
      </x:c>
      <x:c r="BA445" s="10" t="n">
        <x:v>329</x:v>
      </x:c>
      <x:c r="BB445" s="4" t="n">
        <x:v>52.5</x:v>
      </x:c>
      <x:c r="BC445" s="4" t="n">
        <x:v>-1.8</x:v>
      </x:c>
      <x:c r="BD445" s="10" t="n">
        <x:v>242</x:v>
      </x:c>
      <x:c r="BE445" s="10" t="n">
        <x:v>227</x:v>
      </x:c>
      <x:c r="BF445" s="4" t="n">
        <x:v>51.6</x:v>
      </x:c>
      <x:c r="BG445" s="4" t="n">
        <x:v>-1.4</x:v>
      </x:c>
      <x:c r="BH445" s="4" t="n">
        <x:v>13.1</x:v>
      </x:c>
      <x:c r="BI445" s="4" t="n">
        <x:v>87.2</x:v>
      </x:c>
      <x:c r="BJ445" s="4" t="n">
        <x:v>100.3</x:v>
      </x:c>
      <x:c r="BK445" s="4" t="n">
        <x:v>40.1</x:v>
      </x:c>
      <x:c r="BL445" s="4" t="n">
        <x:v>59.9</x:v>
      </x:c>
      <x:c r="BM445" s="4" t="n">
        <x:v>12.783333333333333</x:v>
      </x:c>
      <x:c r="BN445" s="4" t="n">
        <x:v>10.866666666666667</x:v>
      </x:c>
      <x:c r="BO445" s="10" t="n">
        <x:v>6</x:v>
      </x:c>
      <x:c r="BP445" s="10" t="n">
        <x:v>26</x:v>
      </x:c>
      <x:c r="BQ445" s="4" t="n">
        <x:v>-1.6</x:v>
      </x:c>
      <x:c r="BR445" s="10" t="n">
        <x:v>63</x:v>
      </x:c>
      <x:c r="BS445" s="4" t="n">
        <x:v>44.4</x:v>
      </x:c>
      <x:c r="BT445" s="10" t="n">
        <x:v>34</x:v>
      </x:c>
      <x:c r="BU445" s="4" t="str">
        <x:v>UTA</x:v>
      </x:c>
      <x:c r="BV445" s="10" t="n">
        <x:v>331</x:v>
      </x:c>
      <x:c r="BW445" s="10"/>
      <x:c r="BX445" s="10" t="n">
        <x:v>513</x:v>
      </x:c>
      <x:c r="BY445" s="4" t="str">
        <x:v>Alexander Kerfoot</x:v>
      </x:c>
      <x:c r="BZ445" s="4"/>
      <x:c r="CA445" s="4" t="str">
        <x:v>Alexander Kerfoot</x:v>
      </x:c>
      <x:c r="CB445" s="4" t="str">
        <x:v>kerfoal01</x:v>
      </x:c>
    </x:row>
    <x:row r="446" ht="22" customHeight="1">
      <x:c r="A446" s="4" t="str">
        <x:v>Alexander Petrovic</x:v>
      </x:c>
      <x:c r="B446" s="4" t="str">
        <x:v>alexanderpetrovic</x:v>
      </x:c>
      <x:c r="C446" s="10" t="n">
        <x:v>0</x:v>
      </x:c>
      <x:c r="D446" s="10" t="n">
        <x:v>0</x:v>
      </x:c>
      <x:c r="E446" s="10" t="n">
        <x:v>1</x:v>
      </x:c>
      <x:c r="F446" s="4" t="str">
        <x:f>IF(COUNT(N446,Q446,T446,W446,Z446,AC446,AF446,AI446)=8,N446*Guide!$E$5+Q446*Guide!$E$6+T446*Guide!$E$7+W446*Guide!$E$8+Z446*Guide!$E$9+AC446*Guide!$E$10+AF446*Guide!$E$11+AI446*Guide!$E$12,"")</x:f>
      </x:c>
      <x:c r="G446" s="4" t="str">
        <x:f>IF(COUNT(O446,R446,U446,X446,AA446,AD446,AG446,AJ446)=8,O446*Guide!$E$5+R446*Guide!$E$6+U446*Guide!$E$7+X446*Guide!$E$8+AA446*Guide!$E$9+AD446*Guide!$E$10+AG446*Guide!$E$11+AJ446*Guide!$E$12,"")</x:f>
      </x:c>
      <x:c r="H446" s="4" t="str">
        <x:f>IF(COUNT(G446,F446)=2,G446-F446,"")</x:f>
      </x:c>
      <x:c r="I446" s="4" t="str">
        <x:f>IF(AND(ISNUMBER(F446),K446&gt;0),F446/K446,"")</x:f>
      </x:c>
      <x:c r="J446" s="4" t="str">
        <x:f>IF(AND(ISNUMBER(G446),L446&gt;0),G446/L446,"")</x:f>
      </x:c>
      <x:c r="K446" s="10"/>
      <x:c r="L446" s="10"/>
      <x:c r="M446" s="10" t="str">
        <x:f>IF(COUNT(L446,K446)=2,L446-K446,"")</x:f>
      </x:c>
      <x:c r="N446" s="10"/>
      <x:c r="O446" s="10"/>
      <x:c r="P446" s="10" t="str">
        <x:f>IF(COUNT(O446,N446)=2,O446-N446,"")</x:f>
      </x:c>
      <x:c r="Q446" s="10"/>
      <x:c r="R446" s="10"/>
      <x:c r="S446" s="10" t="str">
        <x:f>IF(COUNT(R446,Q446)=2,R446-Q446,"")</x:f>
      </x:c>
      <x:c r="T446" s="10"/>
      <x:c r="U446" s="10"/>
      <x:c r="V446" s="10" t="str">
        <x:f>IF(COUNT(U446,T446)=2,U446-T446,"")</x:f>
      </x:c>
      <x:c r="W446" s="10"/>
      <x:c r="X446" s="10" t="str">
        <x:f>IF(COUNT(AV446,AW446)=2,AV446+AW446,"")</x:f>
      </x:c>
      <x:c r="Y446" s="10" t="str">
        <x:f>IF(COUNT(X446,W446)=2,X446-W446,"")</x:f>
      </x:c>
      <x:c r="Z446" s="10"/>
      <x:c r="AA446" s="10" t="str">
        <x:f>IF(COUNT(AX446,AY446)=2,AX446+AY446,"")</x:f>
      </x:c>
      <x:c r="AB446" s="10" t="str">
        <x:f>IF(COUNT(AA446,Z446)=2,AA446-Z446,"")</x:f>
      </x:c>
      <x:c r="AC446" s="10"/>
      <x:c r="AD446" s="10"/>
      <x:c r="AE446" s="10" t="str">
        <x:f>IF(COUNT(AD446,AC446)=2,AD446-AC446,"")</x:f>
      </x:c>
      <x:c r="AF446" s="10"/>
      <x:c r="AG446" s="10"/>
      <x:c r="AH446" s="10" t="str">
        <x:f>IF(COUNT(AG446,AF446)=2,AG446-AF446,"")</x:f>
      </x:c>
      <x:c r="AI446" s="10"/>
      <x:c r="AJ446" s="10"/>
      <x:c r="AK446" s="10" t="str">
        <x:f>IF(COUNT(AJ446,AI446)=2,AJ446-AI446,"")</x:f>
      </x:c>
      <x:c r="AL446" s="10"/>
      <x:c r="AM446" s="10"/>
      <x:c r="AN446" s="4"/>
      <x:c r="AO446" s="4"/>
      <x:c r="AP446" s="4"/>
      <x:c r="AQ446" s="4"/>
      <x:c r="AR446" s="4"/>
      <x:c r="AS446" s="4"/>
      <x:c r="AT446" s="4"/>
      <x:c r="AU446" s="4"/>
      <x:c r="AV446" s="10"/>
      <x:c r="AW446" s="10"/>
      <x:c r="AX446" s="10"/>
      <x:c r="AY446" s="10"/>
      <x:c r="AZ446" s="10" t="n">
        <x:v>652</x:v>
      </x:c>
      <x:c r="BA446" s="10" t="n">
        <x:v>812</x:v>
      </x:c>
      <x:c r="BB446" s="4" t="n">
        <x:v>44.5</x:v>
      </x:c>
      <x:c r="BC446" s="4" t="n">
        <x:v>-3.5</x:v>
      </x:c>
      <x:c r="BD446" s="10" t="n">
        <x:v>454</x:v>
      </x:c>
      <x:c r="BE446" s="10" t="n">
        <x:v>568</x:v>
      </x:c>
      <x:c r="BF446" s="4" t="n">
        <x:v>44.4</x:v>
      </x:c>
      <x:c r="BG446" s="4" t="n">
        <x:v>-4.1</x:v>
      </x:c>
      <x:c r="BH446" s="4" t="n">
        <x:v>10.4</x:v>
      </x:c>
      <x:c r="BI446" s="4" t="n">
        <x:v>91.3</x:v>
      </x:c>
      <x:c r="BJ446" s="4" t="n">
        <x:v>101.7</x:v>
      </x:c>
      <x:c r="BK446" s="4" t="n">
        <x:v>38.7</x:v>
      </x:c>
      <x:c r="BL446" s="4" t="n">
        <x:v>61.3</x:v>
      </x:c>
      <x:c r="BM446" s="4" t="n">
        <x:v>15.35</x:v>
      </x:c>
      <x:c r="BN446" s="4" t="n">
        <x:v>14.883333333333333</x:v>
      </x:c>
      <x:c r="BO446" s="10" t="n">
        <x:v>9</x:v>
      </x:c>
      <x:c r="BP446" s="10" t="n">
        <x:v>45</x:v>
      </x:c>
      <x:c r="BQ446" s="4" t="n">
        <x:v>-1.9</x:v>
      </x:c>
      <x:c r="BR446" s="10" t="n">
        <x:v>121</x:v>
      </x:c>
      <x:c r="BS446" s="4" t="n">
        <x:v>47.1</x:v>
      </x:c>
      <x:c r="BT446" s="10" t="n">
        <x:v>54</x:v>
      </x:c>
      <x:c r="BU446" s="4" t="str">
        <x:v>DAL</x:v>
      </x:c>
      <x:c r="BV446" s="10"/>
      <x:c r="BW446" s="10"/>
      <x:c r="BX446" s="10" t="n">
        <x:v>806</x:v>
      </x:c>
      <x:c r="BY446" s="4"/>
      <x:c r="BZ446" s="4"/>
      <x:c r="CA446" s="4" t="str">
        <x:v>Alexander Petrovic</x:v>
      </x:c>
      <x:c r="CB446" s="4" t="str">
        <x:v>petroal01</x:v>
      </x:c>
    </x:row>
    <x:row r="447" ht="22" customHeight="1">
      <x:c r="A447" s="4" t="str">
        <x:v>Alexander Romanov</x:v>
      </x:c>
      <x:c r="B447" s="4" t="str">
        <x:v>alexanderromanov</x:v>
      </x:c>
      <x:c r="C447" s="10" t="n">
        <x:v>1</x:v>
      </x:c>
      <x:c r="D447" s="10" t="n">
        <x:v>0</x:v>
      </x:c>
      <x:c r="E447" s="10" t="n">
        <x:v>1</x:v>
      </x:c>
      <x:c r="F447" s="4" t="n">
        <x:f>IF(COUNT(N447,Q447,T447,W447,Z447,AC447,AF447,AI447)=8,N447*Guide!$E$5+Q447*Guide!$E$6+T447*Guide!$E$7+W447*Guide!$E$8+Z447*Guide!$E$9+AC447*Guide!$E$10+AF447*Guide!$E$11+AI447*Guide!$E$12,"")</x:f>
        <x:v>260</x:v>
      </x:c>
      <x:c r="G447" s="4" t="str">
        <x:f>IF(COUNT(O447,R447,U447,X447,AA447,AD447,AG447,AJ447)=8,O447*Guide!$E$5+R447*Guide!$E$6+U447*Guide!$E$7+X447*Guide!$E$8+AA447*Guide!$E$9+AD447*Guide!$E$10+AG447*Guide!$E$11+AJ447*Guide!$E$12,"")</x:f>
      </x:c>
      <x:c r="H447" s="4" t="str">
        <x:f>IF(COUNT(G447,F447)=2,G447-F447,"")</x:f>
      </x:c>
      <x:c r="I447" s="4" t="n">
        <x:f>IF(AND(ISNUMBER(F447),K447&gt;0),F447/K447,"")</x:f>
        <x:v>3.611111111111111</x:v>
      </x:c>
      <x:c r="J447" s="4" t="str">
        <x:f>IF(AND(ISNUMBER(G447),L447&gt;0),G447/L447,"")</x:f>
      </x:c>
      <x:c r="K447" s="10" t="n">
        <x:v>72</x:v>
      </x:c>
      <x:c r="L447" s="10"/>
      <x:c r="M447" s="10" t="str">
        <x:f>IF(COUNT(L447,K447)=2,L447-K447,"")</x:f>
      </x:c>
      <x:c r="N447" s="10" t="n">
        <x:v>5</x:v>
      </x:c>
      <x:c r="O447" s="10"/>
      <x:c r="P447" s="10" t="str">
        <x:f>IF(COUNT(O447,N447)=2,O447-N447,"")</x:f>
      </x:c>
      <x:c r="Q447" s="10" t="n">
        <x:v>18</x:v>
      </x:c>
      <x:c r="R447" s="10"/>
      <x:c r="S447" s="10" t="str">
        <x:f>IF(COUNT(R447,Q447)=2,R447-Q447,"")</x:f>
      </x:c>
      <x:c r="T447" s="10" t="n">
        <x:v>-4</x:v>
      </x:c>
      <x:c r="U447" s="10"/>
      <x:c r="V447" s="10" t="str">
        <x:f>IF(COUNT(U447,T447)=2,U447-T447,"")</x:f>
      </x:c>
      <x:c r="W447" s="10" t="n">
        <x:v>1</x:v>
      </x:c>
      <x:c r="X447" s="10" t="str">
        <x:f>IF(COUNT(AV447,AW447)=2,AV447+AW447,"")</x:f>
      </x:c>
      <x:c r="Y447" s="10" t="str">
        <x:f>IF(COUNT(X447,W447)=2,X447-W447,"")</x:f>
      </x:c>
      <x:c r="Z447" s="10" t="n">
        <x:v>1</x:v>
      </x:c>
      <x:c r="AA447" s="10" t="str">
        <x:f>IF(COUNT(AX447,AY447)=2,AX447+AY447,"")</x:f>
      </x:c>
      <x:c r="AB447" s="10" t="str">
        <x:f>IF(COUNT(AA447,Z447)=2,AA447-Z447,"")</x:f>
      </x:c>
      <x:c r="AC447" s="10" t="n">
        <x:v>107</x:v>
      </x:c>
      <x:c r="AD447" s="10"/>
      <x:c r="AE447" s="10" t="str">
        <x:f>IF(COUNT(AD447,AC447)=2,AD447-AC447,"")</x:f>
      </x:c>
      <x:c r="AF447" s="10" t="n">
        <x:v>151</x:v>
      </x:c>
      <x:c r="AG447" s="10"/>
      <x:c r="AH447" s="10" t="str">
        <x:f>IF(COUNT(AG447,AF447)=2,AG447-AF447,"")</x:f>
      </x:c>
      <x:c r="AI447" s="10" t="n">
        <x:v>162</x:v>
      </x:c>
      <x:c r="AJ447" s="10"/>
      <x:c r="AK447" s="10" t="str">
        <x:f>IF(COUNT(AJ447,AI447)=2,AJ447-AI447,"")</x:f>
      </x:c>
      <x:c r="AL447" s="10" t="n">
        <x:v>26</x:v>
      </x:c>
      <x:c r="AM447" s="10"/>
      <x:c r="AN447" s="4" t="str">
        <x:v>D</x:v>
      </x:c>
      <x:c r="AO447" s="4"/>
      <x:c r="AP447" s="4" t="str">
        <x:v>NYI</x:v>
      </x:c>
      <x:c r="AQ447" s="4"/>
      <x:c r="AR447" s="4" t="n">
        <x:v>22.14</x:v>
      </x:c>
      <x:c r="AS447" s="4"/>
      <x:c r="AT447" s="4" t="n">
        <x:v>0.12</x:v>
      </x:c>
      <x:c r="AU447" s="4"/>
      <x:c r="AV447" s="10"/>
      <x:c r="AW447" s="10"/>
      <x:c r="AX447" s="10"/>
      <x:c r="AY447" s="10"/>
      <x:c r="AZ447" s="10" t="n">
        <x:v>216</x:v>
      </x:c>
      <x:c r="BA447" s="10" t="n">
        <x:v>287</x:v>
      </x:c>
      <x:c r="BB447" s="4" t="n">
        <x:v>42.9</x:v>
      </x:c>
      <x:c r="BC447" s="4" t="n">
        <x:v>-9.4</x:v>
      </x:c>
      <x:c r="BD447" s="10" t="n">
        <x:v>159</x:v>
      </x:c>
      <x:c r="BE447" s="10" t="n">
        <x:v>213</x:v>
      </x:c>
      <x:c r="BF447" s="4" t="n">
        <x:v>42.7</x:v>
      </x:c>
      <x:c r="BG447" s="4" t="n">
        <x:v>-11.2</x:v>
      </x:c>
      <x:c r="BH447" s="4" t="n">
        <x:v>7.9</x:v>
      </x:c>
      <x:c r="BI447" s="4" t="n">
        <x:v>89.2</x:v>
      </x:c>
      <x:c r="BJ447" s="4" t="n">
        <x:v>97.1</x:v>
      </x:c>
      <x:c r="BK447" s="4" t="n">
        <x:v>58.5</x:v>
      </x:c>
      <x:c r="BL447" s="4" t="n">
        <x:v>41.5</x:v>
      </x:c>
      <x:c r="BM447" s="4" t="n">
        <x:v>19.45</x:v>
      </x:c>
      <x:c r="BN447" s="4" t="n">
        <x:v>17.266666666666666</x:v>
      </x:c>
      <x:c r="BO447" s="10" t="n">
        <x:v>4</x:v>
      </x:c>
      <x:c r="BP447" s="10" t="n">
        <x:v>18</x:v>
      </x:c>
      <x:c r="BQ447" s="4" t="n">
        <x:v>-10.1</x:v>
      </x:c>
      <x:c r="BR447" s="10" t="n">
        <x:v>38</x:v>
      </x:c>
      <x:c r="BS447" s="4" t="n">
        <x:v>44.7</x:v>
      </x:c>
      <x:c r="BT447" s="10" t="n">
        <x:v>15</x:v>
      </x:c>
      <x:c r="BU447" s="4" t="str">
        <x:v>NYI</x:v>
      </x:c>
      <x:c r="BV447" s="10" t="n">
        <x:v>461</x:v>
      </x:c>
      <x:c r="BW447" s="10"/>
      <x:c r="BX447" s="10" t="n">
        <x:v>871</x:v>
      </x:c>
      <x:c r="BY447" s="4" t="str">
        <x:v>Alexander Romanov</x:v>
      </x:c>
      <x:c r="BZ447" s="4"/>
      <x:c r="CA447" s="4" t="str">
        <x:v>Alexander Romanov</x:v>
      </x:c>
      <x:c r="CB447" s="4" t="str">
        <x:v>romanal01</x:v>
      </x:c>
    </x:row>
    <x:row r="448" ht="22" customHeight="1">
      <x:c r="A448" s="4" t="str">
        <x:v>Alexey Toropchenko</x:v>
      </x:c>
      <x:c r="B448" s="4" t="str">
        <x:v>alexeytoropchenko</x:v>
      </x:c>
      <x:c r="C448" s="10" t="n">
        <x:v>1</x:v>
      </x:c>
      <x:c r="D448" s="10" t="n">
        <x:v>0</x:v>
      </x:c>
      <x:c r="E448" s="10" t="n">
        <x:v>1</x:v>
      </x:c>
      <x:c r="F448" s="4" t="n">
        <x:f>IF(COUNT(N448,Q448,T448,W448,Z448,AC448,AF448,AI448)=8,N448*Guide!$E$5+Q448*Guide!$E$6+T448*Guide!$E$7+W448*Guide!$E$8+Z448*Guide!$E$9+AC448*Guide!$E$10+AF448*Guide!$E$11+AI448*Guide!$E$12,"")</x:f>
        <x:v>185.5</x:v>
      </x:c>
      <x:c r="G448" s="4" t="str">
        <x:f>IF(COUNT(O448,R448,U448,X448,AA448,AD448,AG448,AJ448)=8,O448*Guide!$E$5+R448*Guide!$E$6+U448*Guide!$E$7+X448*Guide!$E$8+AA448*Guide!$E$9+AD448*Guide!$E$10+AG448*Guide!$E$11+AJ448*Guide!$E$12,"")</x:f>
      </x:c>
      <x:c r="H448" s="4" t="str">
        <x:f>IF(COUNT(G448,F448)=2,G448-F448,"")</x:f>
      </x:c>
      <x:c r="I448" s="4" t="n">
        <x:f>IF(AND(ISNUMBER(F448),K448&gt;0),F448/K448,"")</x:f>
        <x:v>2.378205128205128</x:v>
      </x:c>
      <x:c r="J448" s="4" t="str">
        <x:f>IF(AND(ISNUMBER(G448),L448&gt;0),G448/L448,"")</x:f>
      </x:c>
      <x:c r="K448" s="10" t="n">
        <x:v>78</x:v>
      </x:c>
      <x:c r="L448" s="10"/>
      <x:c r="M448" s="10" t="str">
        <x:f>IF(COUNT(L448,K448)=2,L448-K448,"")</x:f>
      </x:c>
      <x:c r="N448" s="10" t="n">
        <x:v>10</x:v>
      </x:c>
      <x:c r="O448" s="10"/>
      <x:c r="P448" s="10" t="str">
        <x:f>IF(COUNT(O448,N448)=2,O448-N448,"")</x:f>
      </x:c>
      <x:c r="Q448" s="10" t="n">
        <x:v>11</x:v>
      </x:c>
      <x:c r="R448" s="10"/>
      <x:c r="S448" s="10" t="str">
        <x:f>IF(COUNT(R448,Q448)=2,R448-Q448,"")</x:f>
      </x:c>
      <x:c r="T448" s="10" t="n">
        <x:v>-5</x:v>
      </x:c>
      <x:c r="U448" s="10"/>
      <x:c r="V448" s="10" t="str">
        <x:f>IF(COUNT(U448,T448)=2,U448-T448,"")</x:f>
      </x:c>
      <x:c r="W448" s="10" t="n">
        <x:v>2</x:v>
      </x:c>
      <x:c r="X448" s="10" t="str">
        <x:f>IF(COUNT(AV448,AW448)=2,AV448+AW448,"")</x:f>
      </x:c>
      <x:c r="Y448" s="10" t="str">
        <x:f>IF(COUNT(X448,W448)=2,X448-W448,"")</x:f>
      </x:c>
      <x:c r="Z448" s="10" t="n">
        <x:v>1</x:v>
      </x:c>
      <x:c r="AA448" s="10" t="str">
        <x:f>IF(COUNT(AX448,AY448)=2,AX448+AY448,"")</x:f>
      </x:c>
      <x:c r="AB448" s="10" t="str">
        <x:f>IF(COUNT(AA448,Z448)=2,AA448-Z448,"")</x:f>
      </x:c>
      <x:c r="AC448" s="10" t="n">
        <x:v>92</x:v>
      </x:c>
      <x:c r="AD448" s="10"/>
      <x:c r="AE448" s="10" t="str">
        <x:f>IF(COUNT(AD448,AC448)=2,AD448-AC448,"")</x:f>
      </x:c>
      <x:c r="AF448" s="10" t="n">
        <x:v>196</x:v>
      </x:c>
      <x:c r="AG448" s="10"/>
      <x:c r="AH448" s="10" t="str">
        <x:f>IF(COUNT(AG448,AF448)=2,AG448-AF448,"")</x:f>
      </x:c>
      <x:c r="AI448" s="10" t="n">
        <x:v>54</x:v>
      </x:c>
      <x:c r="AJ448" s="10"/>
      <x:c r="AK448" s="10" t="str">
        <x:f>IF(COUNT(AJ448,AI448)=2,AJ448-AI448,"")</x:f>
      </x:c>
      <x:c r="AL448" s="10" t="n">
        <x:v>26</x:v>
      </x:c>
      <x:c r="AM448" s="10"/>
      <x:c r="AN448" s="4" t="str">
        <x:v>RW</x:v>
      </x:c>
      <x:c r="AO448" s="4"/>
      <x:c r="AP448" s="4" t="str">
        <x:v>STL</x:v>
      </x:c>
      <x:c r="AQ448" s="4"/>
      <x:c r="AR448" s="4" t="n">
        <x:v>12.729999999999999</x:v>
      </x:c>
      <x:c r="AS448" s="4"/>
      <x:c r="AT448" s="4" t="n">
        <x:v>0.27</x:v>
      </x:c>
      <x:c r="AU448" s="4"/>
      <x:c r="AV448" s="10"/>
      <x:c r="AW448" s="10"/>
      <x:c r="AX448" s="10"/>
      <x:c r="AY448" s="10"/>
      <x:c r="AZ448" s="10" t="n">
        <x:v>464</x:v>
      </x:c>
      <x:c r="BA448" s="10" t="n">
        <x:v>673</x:v>
      </x:c>
      <x:c r="BB448" s="4" t="n">
        <x:v>40.8</x:v>
      </x:c>
      <x:c r="BC448" s="4" t="n">
        <x:v>-8.9</x:v>
      </x:c>
      <x:c r="BD448" s="10" t="n">
        <x:v>330</x:v>
      </x:c>
      <x:c r="BE448" s="10" t="n">
        <x:v>460</x:v>
      </x:c>
      <x:c r="BF448" s="4" t="n">
        <x:v>41.8</x:v>
      </x:c>
      <x:c r="BG448" s="4" t="n">
        <x:v>-7.5</x:v>
      </x:c>
      <x:c r="BH448" s="4" t="n">
        <x:v>7.9</x:v>
      </x:c>
      <x:c r="BI448" s="4" t="n">
        <x:v>89.3</x:v>
      </x:c>
      <x:c r="BJ448" s="4" t="n">
        <x:v>97.2</x:v>
      </x:c>
      <x:c r="BK448" s="4" t="n">
        <x:v>27.2</x:v>
      </x:c>
      <x:c r="BL448" s="4" t="n">
        <x:v>72.8</x:v>
      </x:c>
      <x:c r="BM448" s="4" t="n">
        <x:v>11.983333333333333</x:v>
      </x:c>
      <x:c r="BN448" s="4" t="n">
        <x:v>10.316666666666666</x:v>
      </x:c>
      <x:c r="BO448" s="10" t="n">
        <x:v>8</x:v>
      </x:c>
      <x:c r="BP448" s="10" t="n">
        <x:v>30</x:v>
      </x:c>
      <x:c r="BQ448" s="4" t="n">
        <x:v>-6.4</x:v>
      </x:c>
      <x:c r="BR448" s="10" t="n">
        <x:v>113</x:v>
      </x:c>
      <x:c r="BS448" s="4" t="n">
        <x:v>60.2</x:v>
      </x:c>
      <x:c r="BT448" s="10" t="n">
        <x:v>65</x:v>
      </x:c>
      <x:c r="BU448" s="4" t="str">
        <x:v>STL</x:v>
      </x:c>
      <x:c r="BV448" s="10" t="n">
        <x:v>506</x:v>
      </x:c>
      <x:c r="BW448" s="10"/>
      <x:c r="BX448" s="10" t="n">
        <x:v>1027</x:v>
      </x:c>
      <x:c r="BY448" s="4" t="str">
        <x:v>Alexey Toropchenko</x:v>
      </x:c>
      <x:c r="BZ448" s="4"/>
      <x:c r="CA448" s="4" t="str">
        <x:v>Alexey Toropchenko</x:v>
      </x:c>
      <x:c r="CB448" s="4" t="str">
        <x:v>toropal01</x:v>
      </x:c>
    </x:row>
    <x:row r="449" ht="22" customHeight="1">
      <x:c r="A449" s="4" t="str">
        <x:v>Andre Lee</x:v>
      </x:c>
      <x:c r="B449" s="4" t="str">
        <x:v>andrelee</x:v>
      </x:c>
      <x:c r="C449" s="10" t="n">
        <x:v>0</x:v>
      </x:c>
      <x:c r="D449" s="10" t="n">
        <x:v>0</x:v>
      </x:c>
      <x:c r="E449" s="10" t="n">
        <x:v>1</x:v>
      </x:c>
      <x:c r="F449" s="4" t="str">
        <x:f>IF(COUNT(N449,Q449,T449,W449,Z449,AC449,AF449,AI449)=8,N449*Guide!$E$5+Q449*Guide!$E$6+T449*Guide!$E$7+W449*Guide!$E$8+Z449*Guide!$E$9+AC449*Guide!$E$10+AF449*Guide!$E$11+AI449*Guide!$E$12,"")</x:f>
      </x:c>
      <x:c r="G449" s="4" t="str">
        <x:f>IF(COUNT(O449,R449,U449,X449,AA449,AD449,AG449,AJ449)=8,O449*Guide!$E$5+R449*Guide!$E$6+U449*Guide!$E$7+X449*Guide!$E$8+AA449*Guide!$E$9+AD449*Guide!$E$10+AG449*Guide!$E$11+AJ449*Guide!$E$12,"")</x:f>
      </x:c>
      <x:c r="H449" s="4" t="str">
        <x:f>IF(COUNT(G449,F449)=2,G449-F449,"")</x:f>
      </x:c>
      <x:c r="I449" s="4" t="str">
        <x:f>IF(AND(ISNUMBER(F449),K449&gt;0),F449/K449,"")</x:f>
      </x:c>
      <x:c r="J449" s="4" t="str">
        <x:f>IF(AND(ISNUMBER(G449),L449&gt;0),G449/L449,"")</x:f>
      </x:c>
      <x:c r="K449" s="10"/>
      <x:c r="L449" s="10"/>
      <x:c r="M449" s="10" t="str">
        <x:f>IF(COUNT(L449,K449)=2,L449-K449,"")</x:f>
      </x:c>
      <x:c r="N449" s="10"/>
      <x:c r="O449" s="10"/>
      <x:c r="P449" s="10" t="str">
        <x:f>IF(COUNT(O449,N449)=2,O449-N449,"")</x:f>
      </x:c>
      <x:c r="Q449" s="10"/>
      <x:c r="R449" s="10"/>
      <x:c r="S449" s="10" t="str">
        <x:f>IF(COUNT(R449,Q449)=2,R449-Q449,"")</x:f>
      </x:c>
      <x:c r="T449" s="10"/>
      <x:c r="U449" s="10"/>
      <x:c r="V449" s="10" t="str">
        <x:f>IF(COUNT(U449,T449)=2,U449-T449,"")</x:f>
      </x:c>
      <x:c r="W449" s="10"/>
      <x:c r="X449" s="10" t="str">
        <x:f>IF(COUNT(AV449,AW449)=2,AV449+AW449,"")</x:f>
      </x:c>
      <x:c r="Y449" s="10" t="str">
        <x:f>IF(COUNT(X449,W449)=2,X449-W449,"")</x:f>
      </x:c>
      <x:c r="Z449" s="10"/>
      <x:c r="AA449" s="10" t="str">
        <x:f>IF(COUNT(AX449,AY449)=2,AX449+AY449,"")</x:f>
      </x:c>
      <x:c r="AB449" s="10" t="str">
        <x:f>IF(COUNT(AA449,Z449)=2,AA449-Z449,"")</x:f>
      </x:c>
      <x:c r="AC449" s="10"/>
      <x:c r="AD449" s="10"/>
      <x:c r="AE449" s="10" t="str">
        <x:f>IF(COUNT(AD449,AC449)=2,AD449-AC449,"")</x:f>
      </x:c>
      <x:c r="AF449" s="10"/>
      <x:c r="AG449" s="10"/>
      <x:c r="AH449" s="10" t="str">
        <x:f>IF(COUNT(AG449,AF449)=2,AG449-AF449,"")</x:f>
      </x:c>
      <x:c r="AI449" s="10"/>
      <x:c r="AJ449" s="10"/>
      <x:c r="AK449" s="10" t="str">
        <x:f>IF(COUNT(AJ449,AI449)=2,AJ449-AI449,"")</x:f>
      </x:c>
      <x:c r="AL449" s="10"/>
      <x:c r="AM449" s="10"/>
      <x:c r="AN449" s="4"/>
      <x:c r="AO449" s="4"/>
      <x:c r="AP449" s="4"/>
      <x:c r="AQ449" s="4"/>
      <x:c r="AR449" s="4"/>
      <x:c r="AS449" s="4"/>
      <x:c r="AT449" s="4"/>
      <x:c r="AU449" s="4"/>
      <x:c r="AV449" s="10"/>
      <x:c r="AW449" s="10"/>
      <x:c r="AX449" s="10"/>
      <x:c r="AY449" s="10"/>
      <x:c r="AZ449" s="10" t="n">
        <x:v>63</x:v>
      </x:c>
      <x:c r="BA449" s="10" t="n">
        <x:v>51</x:v>
      </x:c>
      <x:c r="BB449" s="4" t="n">
        <x:v>55.3</x:v>
      </x:c>
      <x:c r="BC449" s="4" t="n">
        <x:v>0.3</x:v>
      </x:c>
      <x:c r="BD449" s="10" t="n">
        <x:v>38</x:v>
      </x:c>
      <x:c r="BE449" s="10" t="n">
        <x:v>38</x:v>
      </x:c>
      <x:c r="BF449" s="4" t="n">
        <x:v>50</x:v>
      </x:c>
      <x:c r="BG449" s="4" t="n">
        <x:v>-3.1</x:v>
      </x:c>
      <x:c r="BH449" s="4" t="n">
        <x:v>8.7</x:v>
      </x:c>
      <x:c r="BI449" s="4" t="n">
        <x:v>83.3</x:v>
      </x:c>
      <x:c r="BJ449" s="4" t="n">
        <x:v>92</x:v>
      </x:c>
      <x:c r="BK449" s="4" t="n">
        <x:v>52.9</x:v>
      </x:c>
      <x:c r="BL449" s="4" t="n">
        <x:v>47.1</x:v>
      </x:c>
      <x:c r="BM449" s="4" t="n">
        <x:v>10.283333333333333</x:v>
      </x:c>
      <x:c r="BN449" s="4" t="n">
        <x:v>10.266666666666667</x:v>
      </x:c>
      <x:c r="BO449" s="10" t="n">
        <x:v>3</x:v>
      </x:c>
      <x:c r="BP449" s="10" t="n">
        <x:v>2</x:v>
      </x:c>
      <x:c r="BQ449" s="4" t="n">
        <x:v>-0.3</x:v>
      </x:c>
      <x:c r="BR449" s="10" t="n">
        <x:v>14</x:v>
      </x:c>
      <x:c r="BS449" s="4" t="n">
        <x:v>35.7</x:v>
      </x:c>
      <x:c r="BT449" s="10" t="n">
        <x:v>7</x:v>
      </x:c>
      <x:c r="BU449" s="4" t="str">
        <x:v>LAK</x:v>
      </x:c>
      <x:c r="BV449" s="10"/>
      <x:c r="BW449" s="10"/>
      <x:c r="BX449" s="10" t="n">
        <x:v>586</x:v>
      </x:c>
      <x:c r="BY449" s="4"/>
      <x:c r="BZ449" s="4"/>
      <x:c r="CA449" s="4" t="str">
        <x:v>Andre Lee</x:v>
      </x:c>
      <x:c r="CB449" s="4" t="str">
        <x:v>leean02</x:v>
      </x:c>
    </x:row>
    <x:row r="450" ht="22" customHeight="1">
      <x:c r="A450" s="4" t="str">
        <x:v>Andreas Englund</x:v>
      </x:c>
      <x:c r="B450" s="4" t="str">
        <x:v>andreasenglund</x:v>
      </x:c>
      <x:c r="C450" s="10" t="n">
        <x:v>1</x:v>
      </x:c>
      <x:c r="D450" s="10" t="n">
        <x:v>0</x:v>
      </x:c>
      <x:c r="E450" s="10" t="n">
        <x:v>1</x:v>
      </x:c>
      <x:c r="F450" s="4" t="n">
        <x:f>IF(COUNT(N450,Q450,T450,W450,Z450,AC450,AF450,AI450)=8,N450*Guide!$E$5+Q450*Guide!$E$6+T450*Guide!$E$7+W450*Guide!$E$8+Z450*Guide!$E$9+AC450*Guide!$E$10+AF450*Guide!$E$11+AI450*Guide!$E$12,"")</x:f>
        <x:v>96.5</x:v>
      </x:c>
      <x:c r="G450" s="4" t="str">
        <x:f>IF(COUNT(O450,R450,U450,X450,AA450,AD450,AG450,AJ450)=8,O450*Guide!$E$5+R450*Guide!$E$6+U450*Guide!$E$7+X450*Guide!$E$8+AA450*Guide!$E$9+AD450*Guide!$E$10+AG450*Guide!$E$11+AJ450*Guide!$E$12,"")</x:f>
      </x:c>
      <x:c r="H450" s="4" t="str">
        <x:f>IF(COUNT(G450,F450)=2,G450-F450,"")</x:f>
      </x:c>
      <x:c r="I450" s="4" t="n">
        <x:f>IF(AND(ISNUMBER(F450),K450&gt;0),F450/K450,"")</x:f>
        <x:v>1.8557692307692308</x:v>
      </x:c>
      <x:c r="J450" s="4" t="str">
        <x:f>IF(AND(ISNUMBER(G450),L450&gt;0),G450/L450,"")</x:f>
      </x:c>
      <x:c r="K450" s="10" t="n">
        <x:v>52</x:v>
      </x:c>
      <x:c r="L450" s="10"/>
      <x:c r="M450" s="10" t="str">
        <x:f>IF(COUNT(L450,K450)=2,L450-K450,"")</x:f>
      </x:c>
      <x:c r="N450" s="10" t="n">
        <x:v>1</x:v>
      </x:c>
      <x:c r="O450" s="10"/>
      <x:c r="P450" s="10" t="str">
        <x:f>IF(COUNT(O450,N450)=2,O450-N450,"")</x:f>
      </x:c>
      <x:c r="Q450" s="10" t="n">
        <x:v>7</x:v>
      </x:c>
      <x:c r="R450" s="10"/>
      <x:c r="S450" s="10" t="str">
        <x:f>IF(COUNT(R450,Q450)=2,R450-Q450,"")</x:f>
      </x:c>
      <x:c r="T450" s="10" t="n">
        <x:v>-1</x:v>
      </x:c>
      <x:c r="U450" s="10"/>
      <x:c r="V450" s="10" t="str">
        <x:f>IF(COUNT(U450,T450)=2,U450-T450,"")</x:f>
      </x:c>
      <x:c r="W450" s="10" t="n">
        <x:v>0</x:v>
      </x:c>
      <x:c r="X450" s="10" t="str">
        <x:f>IF(COUNT(AV450,AW450)=2,AV450+AW450,"")</x:f>
      </x:c>
      <x:c r="Y450" s="10" t="str">
        <x:f>IF(COUNT(X450,W450)=2,X450-W450,"")</x:f>
      </x:c>
      <x:c r="Z450" s="10" t="n">
        <x:v>0</x:v>
      </x:c>
      <x:c r="AA450" s="10" t="str">
        <x:f>IF(COUNT(AX450,AY450)=2,AX450+AY450,"")</x:f>
      </x:c>
      <x:c r="AB450" s="10" t="str">
        <x:f>IF(COUNT(AA450,Z450)=2,AA450-Z450,"")</x:f>
      </x:c>
      <x:c r="AC450" s="10" t="n">
        <x:v>28</x:v>
      </x:c>
      <x:c r="AD450" s="10"/>
      <x:c r="AE450" s="10" t="str">
        <x:f>IF(COUNT(AD450,AC450)=2,AD450-AC450,"")</x:f>
      </x:c>
      <x:c r="AF450" s="10" t="n">
        <x:v>106</x:v>
      </x:c>
      <x:c r="AG450" s="10"/>
      <x:c r="AH450" s="10" t="str">
        <x:f>IF(COUNT(AG450,AF450)=2,AG450-AF450,"")</x:f>
      </x:c>
      <x:c r="AI450" s="10" t="n">
        <x:v>52</x:v>
      </x:c>
      <x:c r="AJ450" s="10"/>
      <x:c r="AK450" s="10" t="str">
        <x:f>IF(COUNT(AJ450,AI450)=2,AJ450-AI450,"")</x:f>
      </x:c>
      <x:c r="AL450" s="10" t="n">
        <x:v>30</x:v>
      </x:c>
      <x:c r="AM450" s="10"/>
      <x:c r="AN450" s="4" t="str">
        <x:v>D</x:v>
      </x:c>
      <x:c r="AO450" s="4"/>
      <x:c r="AP450" s="4" t="str">
        <x:v>NSH</x:v>
      </x:c>
      <x:c r="AQ450" s="4"/>
      <x:c r="AR450" s="4" t="n">
        <x:v>13.45</x:v>
      </x:c>
      <x:c r="AS450" s="4"/>
      <x:c r="AT450" s="4" t="n">
        <x:v>0.14</x:v>
      </x:c>
      <x:c r="AU450" s="4"/>
      <x:c r="AV450" s="10"/>
      <x:c r="AW450" s="10"/>
      <x:c r="AX450" s="10"/>
      <x:c r="AY450" s="10"/>
      <x:c r="AZ450" s="10" t="n">
        <x:v>30</x:v>
      </x:c>
      <x:c r="BA450" s="10" t="n">
        <x:v>14</x:v>
      </x:c>
      <x:c r="BB450" s="4" t="n">
        <x:v>68.2</x:v>
      </x:c>
      <x:c r="BC450" s="4" t="n">
        <x:v>14.5</x:v>
      </x:c>
      <x:c r="BD450" s="10" t="n">
        <x:v>22</x:v>
      </x:c>
      <x:c r="BE450" s="10" t="n">
        <x:v>11</x:v>
      </x:c>
      <x:c r="BF450" s="4" t="n">
        <x:v>66.7</x:v>
      </x:c>
      <x:c r="BG450" s="4" t="n">
        <x:v>13.2</x:v>
      </x:c>
      <x:c r="BH450" s="4" t="n">
        <x:v>0</x:v>
      </x:c>
      <x:c r="BI450" s="4" t="n">
        <x:v>87.5</x:v>
      </x:c>
      <x:c r="BJ450" s="4" t="n">
        <x:v>87.5</x:v>
      </x:c>
      <x:c r="BK450" s="4" t="n">
        <x:v>42.9</x:v>
      </x:c>
      <x:c r="BL450" s="4" t="n">
        <x:v>57.1</x:v>
      </x:c>
      <x:c r="BM450" s="4" t="n">
        <x:v>8.816666666666666</x:v>
      </x:c>
      <x:c r="BN450" s="4" t="n">
        <x:v>8.8</x:v>
      </x:c>
      <x:c r="BO450" s="10" t="n">
        <x:v>0</x:v>
      </x:c>
      <x:c r="BP450" s="10" t="n">
        <x:v>2</x:v>
      </x:c>
      <x:c r="BQ450" s="4" t="n">
        <x:v>0.2</x:v>
      </x:c>
      <x:c r="BR450" s="10" t="n">
        <x:v>3</x:v>
      </x:c>
      <x:c r="BS450" s="4" t="n">
        <x:v>66.7</x:v>
      </x:c>
      <x:c r="BT450" s="10" t="n">
        <x:v>3</x:v>
      </x:c>
      <x:c r="BU450" s="4" t="str">
        <x:v>NSH</x:v>
      </x:c>
      <x:c r="BV450" s="10" t="n">
        <x:v>744</x:v>
      </x:c>
      <x:c r="BW450" s="10"/>
      <x:c r="BX450" s="10" t="n">
        <x:v>268</x:v>
      </x:c>
      <x:c r="BY450" s="4" t="str">
        <x:v>Andreas Englund</x:v>
      </x:c>
      <x:c r="BZ450" s="4"/>
      <x:c r="CA450" s="4" t="str">
        <x:v>Andreas Englund</x:v>
      </x:c>
      <x:c r="CB450" s="4" t="str">
        <x:v>engluan01</x:v>
      </x:c>
    </x:row>
    <x:row r="451" ht="22" customHeight="1">
      <x:c r="A451" s="4" t="str">
        <x:v>Andrew Agozzino</x:v>
      </x:c>
      <x:c r="B451" s="4" t="str">
        <x:v>andrewagozzino</x:v>
      </x:c>
      <x:c r="C451" s="10" t="n">
        <x:v>0</x:v>
      </x:c>
      <x:c r="D451" s="10" t="n">
        <x:v>0</x:v>
      </x:c>
      <x:c r="E451" s="10" t="n">
        <x:v>1</x:v>
      </x:c>
      <x:c r="F451" s="4" t="str">
        <x:f>IF(COUNT(N451,Q451,T451,W451,Z451,AC451,AF451,AI451)=8,N451*Guide!$E$5+Q451*Guide!$E$6+T451*Guide!$E$7+W451*Guide!$E$8+Z451*Guide!$E$9+AC451*Guide!$E$10+AF451*Guide!$E$11+AI451*Guide!$E$12,"")</x:f>
      </x:c>
      <x:c r="G451" s="4" t="str">
        <x:f>IF(COUNT(O451,R451,U451,X451,AA451,AD451,AG451,AJ451)=8,O451*Guide!$E$5+R451*Guide!$E$6+U451*Guide!$E$7+X451*Guide!$E$8+AA451*Guide!$E$9+AD451*Guide!$E$10+AG451*Guide!$E$11+AJ451*Guide!$E$12,"")</x:f>
      </x:c>
      <x:c r="H451" s="4" t="str">
        <x:f>IF(COUNT(G451,F451)=2,G451-F451,"")</x:f>
      </x:c>
      <x:c r="I451" s="4" t="str">
        <x:f>IF(AND(ISNUMBER(F451),K451&gt;0),F451/K451,"")</x:f>
      </x:c>
      <x:c r="J451" s="4" t="str">
        <x:f>IF(AND(ISNUMBER(G451),L451&gt;0),G451/L451,"")</x:f>
      </x:c>
      <x:c r="K451" s="10"/>
      <x:c r="L451" s="10"/>
      <x:c r="M451" s="10" t="str">
        <x:f>IF(COUNT(L451,K451)=2,L451-K451,"")</x:f>
      </x:c>
      <x:c r="N451" s="10"/>
      <x:c r="O451" s="10"/>
      <x:c r="P451" s="10" t="str">
        <x:f>IF(COUNT(O451,N451)=2,O451-N451,"")</x:f>
      </x:c>
      <x:c r="Q451" s="10"/>
      <x:c r="R451" s="10"/>
      <x:c r="S451" s="10" t="str">
        <x:f>IF(COUNT(R451,Q451)=2,R451-Q451,"")</x:f>
      </x:c>
      <x:c r="T451" s="10"/>
      <x:c r="U451" s="10"/>
      <x:c r="V451" s="10" t="str">
        <x:f>IF(COUNT(U451,T451)=2,U451-T451,"")</x:f>
      </x:c>
      <x:c r="W451" s="10"/>
      <x:c r="X451" s="10" t="str">
        <x:f>IF(COUNT(AV451,AW451)=2,AV451+AW451,"")</x:f>
      </x:c>
      <x:c r="Y451" s="10" t="str">
        <x:f>IF(COUNT(X451,W451)=2,X451-W451,"")</x:f>
      </x:c>
      <x:c r="Z451" s="10"/>
      <x:c r="AA451" s="10" t="str">
        <x:f>IF(COUNT(AX451,AY451)=2,AX451+AY451,"")</x:f>
      </x:c>
      <x:c r="AB451" s="10" t="str">
        <x:f>IF(COUNT(AA451,Z451)=2,AA451-Z451,"")</x:f>
      </x:c>
      <x:c r="AC451" s="10"/>
      <x:c r="AD451" s="10"/>
      <x:c r="AE451" s="10" t="str">
        <x:f>IF(COUNT(AD451,AC451)=2,AD451-AC451,"")</x:f>
      </x:c>
      <x:c r="AF451" s="10"/>
      <x:c r="AG451" s="10"/>
      <x:c r="AH451" s="10" t="str">
        <x:f>IF(COUNT(AG451,AF451)=2,AG451-AF451,"")</x:f>
      </x:c>
      <x:c r="AI451" s="10"/>
      <x:c r="AJ451" s="10"/>
      <x:c r="AK451" s="10" t="str">
        <x:f>IF(COUNT(AJ451,AI451)=2,AJ451-AI451,"")</x:f>
      </x:c>
      <x:c r="AL451" s="10"/>
      <x:c r="AM451" s="10"/>
      <x:c r="AN451" s="4"/>
      <x:c r="AO451" s="4"/>
      <x:c r="AP451" s="4"/>
      <x:c r="AQ451" s="4"/>
      <x:c r="AR451" s="4"/>
      <x:c r="AS451" s="4"/>
      <x:c r="AT451" s="4"/>
      <x:c r="AU451" s="4"/>
      <x:c r="AV451" s="10"/>
      <x:c r="AW451" s="10"/>
      <x:c r="AX451" s="10"/>
      <x:c r="AY451" s="10"/>
      <x:c r="AZ451" s="10" t="n">
        <x:v>5</x:v>
      </x:c>
      <x:c r="BA451" s="10" t="n">
        <x:v>14</x:v>
      </x:c>
      <x:c r="BB451" s="4" t="n">
        <x:v>26.3</x:v>
      </x:c>
      <x:c r="BC451" s="4" t="n">
        <x:v>-22.1</x:v>
      </x:c>
      <x:c r="BD451" s="10" t="n">
        <x:v>5</x:v>
      </x:c>
      <x:c r="BE451" s="10" t="n">
        <x:v>8</x:v>
      </x:c>
      <x:c r="BF451" s="4" t="n">
        <x:v>38.5</x:v>
      </x:c>
      <x:c r="BG451" s="4" t="n">
        <x:v>-12.5</x:v>
      </x:c>
      <x:c r="BH451" s="4" t="n">
        <x:v>0</x:v>
      </x:c>
      <x:c r="BI451" s="4" t="n">
        <x:v>100</x:v>
      </x:c>
      <x:c r="BJ451" s="4" t="n">
        <x:v>100</x:v>
      </x:c>
      <x:c r="BK451" s="4" t="n">
        <x:v>50</x:v>
      </x:c>
      <x:c r="BL451" s="4" t="n">
        <x:v>50</x:v>
      </x:c>
      <x:c r="BM451" s="4" t="n">
        <x:v>6.133333333333334</x:v>
      </x:c>
      <x:c r="BN451" s="4" t="n">
        <x:v>6.133333333333334</x:v>
      </x:c>
      <x:c r="BO451" s="10" t="n">
        <x:v>1</x:v>
      </x:c>
      <x:c r="BP451" s="10" t="n">
        <x:v>1</x:v>
      </x:c>
      <x:c r="BQ451" s="4" t="n">
        <x:v>-0.2</x:v>
      </x:c>
      <x:c r="BR451" s="10" t="n">
        <x:v>1</x:v>
      </x:c>
      <x:c r="BS451" s="4" t="n">
        <x:v>0</x:v>
      </x:c>
      <x:c r="BT451" s="10" t="n">
        <x:v>2</x:v>
      </x:c>
      <x:c r="BU451" s="4" t="str">
        <x:v>UTA</x:v>
      </x:c>
      <x:c r="BV451" s="10"/>
      <x:c r="BW451" s="10"/>
      <x:c r="BX451" s="10" t="n">
        <x:v>5</x:v>
      </x:c>
      <x:c r="BY451" s="4"/>
      <x:c r="BZ451" s="4"/>
      <x:c r="CA451" s="4" t="str">
        <x:v>Andrew Agozzino</x:v>
      </x:c>
      <x:c r="CB451" s="4" t="str">
        <x:v>agozzan01</x:v>
      </x:c>
    </x:row>
    <x:row r="452" ht="22" customHeight="1">
      <x:c r="A452" s="4" t="str">
        <x:v>Andrew Mangiapane</x:v>
      </x:c>
      <x:c r="B452" s="4" t="str">
        <x:v>andrewmangiapane</x:v>
      </x:c>
      <x:c r="C452" s="10" t="n">
        <x:v>1</x:v>
      </x:c>
      <x:c r="D452" s="10" t="n">
        <x:v>0</x:v>
      </x:c>
      <x:c r="E452" s="10" t="n">
        <x:v>1</x:v>
      </x:c>
      <x:c r="F452" s="4" t="n">
        <x:f>IF(COUNT(N452,Q452,T452,W452,Z452,AC452,AF452,AI452)=8,N452*Guide!$E$5+Q452*Guide!$E$6+T452*Guide!$E$7+W452*Guide!$E$8+Z452*Guide!$E$9+AC452*Guide!$E$10+AF452*Guide!$E$11+AI452*Guide!$E$12,"")</x:f>
        <x:v>185</x:v>
      </x:c>
      <x:c r="G452" s="4" t="str">
        <x:f>IF(COUNT(O452,R452,U452,X452,AA452,AD452,AG452,AJ452)=8,O452*Guide!$E$5+R452*Guide!$E$6+U452*Guide!$E$7+X452*Guide!$E$8+AA452*Guide!$E$9+AD452*Guide!$E$10+AG452*Guide!$E$11+AJ452*Guide!$E$12,"")</x:f>
      </x:c>
      <x:c r="H452" s="4" t="str">
        <x:f>IF(COUNT(G452,F452)=2,G452-F452,"")</x:f>
      </x:c>
      <x:c r="I452" s="4" t="n">
        <x:f>IF(AND(ISNUMBER(F452),K452&gt;0),F452/K452,"")</x:f>
        <x:v>2.371794871794872</x:v>
      </x:c>
      <x:c r="J452" s="4" t="str">
        <x:f>IF(AND(ISNUMBER(G452),L452&gt;0),G452/L452,"")</x:f>
      </x:c>
      <x:c r="K452" s="10" t="n">
        <x:v>78</x:v>
      </x:c>
      <x:c r="L452" s="10"/>
      <x:c r="M452" s="10" t="str">
        <x:f>IF(COUNT(L452,K452)=2,L452-K452,"")</x:f>
      </x:c>
      <x:c r="N452" s="10" t="n">
        <x:v>14</x:v>
      </x:c>
      <x:c r="O452" s="10"/>
      <x:c r="P452" s="10" t="str">
        <x:f>IF(COUNT(O452,N452)=2,O452-N452,"")</x:f>
      </x:c>
      <x:c r="Q452" s="10" t="n">
        <x:v>18</x:v>
      </x:c>
      <x:c r="R452" s="10"/>
      <x:c r="S452" s="10" t="str">
        <x:f>IF(COUNT(R452,Q452)=2,R452-Q452,"")</x:f>
      </x:c>
      <x:c r="T452" s="10" t="n">
        <x:v>4</x:v>
      </x:c>
      <x:c r="U452" s="10"/>
      <x:c r="V452" s="10" t="str">
        <x:f>IF(COUNT(U452,T452)=2,U452-T452,"")</x:f>
      </x:c>
      <x:c r="W452" s="10" t="n">
        <x:v>5</x:v>
      </x:c>
      <x:c r="X452" s="10" t="str">
        <x:f>IF(COUNT(AV452,AW452)=2,AV452+AW452,"")</x:f>
      </x:c>
      <x:c r="Y452" s="10" t="str">
        <x:f>IF(COUNT(X452,W452)=2,X452-W452,"")</x:f>
      </x:c>
      <x:c r="Z452" s="10" t="n">
        <x:v>0</x:v>
      </x:c>
      <x:c r="AA452" s="10" t="str">
        <x:f>IF(COUNT(AX452,AY452)=2,AX452+AY452,"")</x:f>
      </x:c>
      <x:c r="AB452" s="10" t="str">
        <x:f>IF(COUNT(AA452,Z452)=2,AA452-Z452,"")</x:f>
      </x:c>
      <x:c r="AC452" s="10" t="n">
        <x:v>100</x:v>
      </x:c>
      <x:c r="AD452" s="10"/>
      <x:c r="AE452" s="10" t="str">
        <x:f>IF(COUNT(AD452,AC452)=2,AD452-AC452,"")</x:f>
      </x:c>
      <x:c r="AF452" s="10" t="n">
        <x:v>74</x:v>
      </x:c>
      <x:c r="AG452" s="10"/>
      <x:c r="AH452" s="10" t="str">
        <x:f>IF(COUNT(AG452,AF452)=2,AG452-AF452,"")</x:f>
      </x:c>
      <x:c r="AI452" s="10" t="n">
        <x:v>30</x:v>
      </x:c>
      <x:c r="AJ452" s="10"/>
      <x:c r="AK452" s="10" t="str">
        <x:f>IF(COUNT(AJ452,AI452)=2,AJ452-AI452,"")</x:f>
      </x:c>
      <x:c r="AL452" s="10" t="n">
        <x:v>29</x:v>
      </x:c>
      <x:c r="AM452" s="10"/>
      <x:c r="AN452" s="4" t="str">
        <x:v>LW,RW</x:v>
      </x:c>
      <x:c r="AO452" s="4"/>
      <x:c r="AP452" s="4" t="str">
        <x:v>EDM</x:v>
      </x:c>
      <x:c r="AQ452" s="4"/>
      <x:c r="AR452" s="4" t="n">
        <x:v>13.530000000000001</x:v>
      </x:c>
      <x:c r="AS452" s="4"/>
      <x:c r="AT452" s="4" t="n">
        <x:v>1.22</x:v>
      </x:c>
      <x:c r="AU452" s="4"/>
      <x:c r="AV452" s="10"/>
      <x:c r="AW452" s="10"/>
      <x:c r="AX452" s="10"/>
      <x:c r="AY452" s="10"/>
      <x:c r="AZ452" s="10" t="n">
        <x:v>653</x:v>
      </x:c>
      <x:c r="BA452" s="10" t="n">
        <x:v>669</x:v>
      </x:c>
      <x:c r="BB452" s="4" t="n">
        <x:v>49.4</x:v>
      </x:c>
      <x:c r="BC452" s="4" t="n">
        <x:v>-0.7</x:v>
      </x:c>
      <x:c r="BD452" s="10" t="n">
        <x:v>456</x:v>
      </x:c>
      <x:c r="BE452" s="10" t="n">
        <x:v>479</x:v>
      </x:c>
      <x:c r="BF452" s="4" t="n">
        <x:v>48.8</x:v>
      </x:c>
      <x:c r="BG452" s="4" t="n">
        <x:v>-2.1</x:v>
      </x:c>
      <x:c r="BH452" s="4" t="n">
        <x:v>9.1</x:v>
      </x:c>
      <x:c r="BI452" s="4" t="n">
        <x:v>84.7</x:v>
      </x:c>
      <x:c r="BJ452" s="4" t="n">
        <x:v>93.8</x:v>
      </x:c>
      <x:c r="BK452" s="4" t="n">
        <x:v>50.4</x:v>
      </x:c>
      <x:c r="BL452" s="4" t="n">
        <x:v>49.6</x:v>
      </x:c>
      <x:c r="BM452" s="4" t="n">
        <x:v>12.483333333333333</x:v>
      </x:c>
      <x:c r="BN452" s="4" t="n">
        <x:v>12.033333333333333</x:v>
      </x:c>
      <x:c r="BO452" s="10" t="n">
        <x:v>8</x:v>
      </x:c>
      <x:c r="BP452" s="10" t="n">
        <x:v>36</x:v>
      </x:c>
      <x:c r="BQ452" s="4" t="n">
        <x:v>-4.4</x:v>
      </x:c>
      <x:c r="BR452" s="10" t="n">
        <x:v>131</x:v>
      </x:c>
      <x:c r="BS452" s="4" t="n">
        <x:v>44.3</x:v>
      </x:c>
      <x:c r="BT452" s="10" t="n">
        <x:v>62</x:v>
      </x:c>
      <x:c r="BU452" s="4" t="str">
        <x:v>TOT</x:v>
      </x:c>
      <x:c r="BV452" s="10" t="n">
        <x:v>349</x:v>
      </x:c>
      <x:c r="BW452" s="10"/>
      <x:c r="BX452" s="10" t="n">
        <x:v>638</x:v>
      </x:c>
      <x:c r="BY452" s="4" t="str">
        <x:v>Andrew Mangiapane</x:v>
      </x:c>
      <x:c r="BZ452" s="4"/>
      <x:c r="CA452" s="4" t="str">
        <x:v>Andrew Mangiapane</x:v>
      </x:c>
      <x:c r="CB452" s="4" t="str">
        <x:v>mangian01</x:v>
      </x:c>
    </x:row>
    <x:row r="453" ht="22" customHeight="1">
      <x:c r="A453" s="4" t="str">
        <x:v>Andrew Peeke</x:v>
      </x:c>
      <x:c r="B453" s="4" t="str">
        <x:v>andrewpeeke</x:v>
      </x:c>
      <x:c r="C453" s="10" t="n">
        <x:v>1</x:v>
      </x:c>
      <x:c r="D453" s="10" t="n">
        <x:v>0</x:v>
      </x:c>
      <x:c r="E453" s="10" t="n">
        <x:v>1</x:v>
      </x:c>
      <x:c r="F453" s="4" t="n">
        <x:f>IF(COUNT(N453,Q453,T453,W453,Z453,AC453,AF453,AI453)=8,N453*Guide!$E$5+Q453*Guide!$E$6+T453*Guide!$E$7+W453*Guide!$E$8+Z453*Guide!$E$9+AC453*Guide!$E$10+AF453*Guide!$E$11+AI453*Guide!$E$12,"")</x:f>
        <x:v>194.75</x:v>
      </x:c>
      <x:c r="G453" s="4" t="str">
        <x:f>IF(COUNT(O453,R453,U453,X453,AA453,AD453,AG453,AJ453)=8,O453*Guide!$E$5+R453*Guide!$E$6+U453*Guide!$E$7+X453*Guide!$E$8+AA453*Guide!$E$9+AD453*Guide!$E$10+AG453*Guide!$E$11+AJ453*Guide!$E$12,"")</x:f>
      </x:c>
      <x:c r="H453" s="4" t="str">
        <x:f>IF(COUNT(G453,F453)=2,G453-F453,"")</x:f>
      </x:c>
      <x:c r="I453" s="4" t="n">
        <x:f>IF(AND(ISNUMBER(F453),K453&gt;0),F453/K453,"")</x:f>
        <x:v>2.6678082191780823</x:v>
      </x:c>
      <x:c r="J453" s="4" t="str">
        <x:f>IF(AND(ISNUMBER(G453),L453&gt;0),G453/L453,"")</x:f>
      </x:c>
      <x:c r="K453" s="10" t="n">
        <x:v>73</x:v>
      </x:c>
      <x:c r="L453" s="10"/>
      <x:c r="M453" s="10" t="str">
        <x:f>IF(COUNT(L453,K453)=2,L453-K453,"")</x:f>
      </x:c>
      <x:c r="N453" s="10" t="n">
        <x:v>3</x:v>
      </x:c>
      <x:c r="O453" s="10"/>
      <x:c r="P453" s="10" t="str">
        <x:f>IF(COUNT(O453,N453)=2,O453-N453,"")</x:f>
      </x:c>
      <x:c r="Q453" s="10" t="n">
        <x:v>13</x:v>
      </x:c>
      <x:c r="R453" s="10"/>
      <x:c r="S453" s="10" t="str">
        <x:f>IF(COUNT(R453,Q453)=2,R453-Q453,"")</x:f>
      </x:c>
      <x:c r="T453" s="10" t="n">
        <x:v>-3</x:v>
      </x:c>
      <x:c r="U453" s="10"/>
      <x:c r="V453" s="10" t="str">
        <x:f>IF(COUNT(U453,T453)=2,U453-T453,"")</x:f>
      </x:c>
      <x:c r="W453" s="10" t="n">
        <x:v>0</x:v>
      </x:c>
      <x:c r="X453" s="10" t="str">
        <x:f>IF(COUNT(AV453,AW453)=2,AV453+AW453,"")</x:f>
      </x:c>
      <x:c r="Y453" s="10" t="str">
        <x:f>IF(COUNT(X453,W453)=2,X453-W453,"")</x:f>
      </x:c>
      <x:c r="Z453" s="10" t="n">
        <x:v>1</x:v>
      </x:c>
      <x:c r="AA453" s="10" t="str">
        <x:f>IF(COUNT(AX453,AY453)=2,AX453+AY453,"")</x:f>
      </x:c>
      <x:c r="AB453" s="10" t="str">
        <x:f>IF(COUNT(AA453,Z453)=2,AA453-Z453,"")</x:f>
      </x:c>
      <x:c r="AC453" s="10" t="n">
        <x:v>76</x:v>
      </x:c>
      <x:c r="AD453" s="10"/>
      <x:c r="AE453" s="10" t="str">
        <x:f>IF(COUNT(AD453,AC453)=2,AD453-AC453,"")</x:f>
      </x:c>
      <x:c r="AF453" s="10" t="n">
        <x:v>106</x:v>
      </x:c>
      <x:c r="AG453" s="10"/>
      <x:c r="AH453" s="10" t="str">
        <x:f>IF(COUNT(AG453,AF453)=2,AG453-AF453,"")</x:f>
      </x:c>
      <x:c r="AI453" s="10" t="n">
        <x:v>131</x:v>
      </x:c>
      <x:c r="AJ453" s="10"/>
      <x:c r="AK453" s="10" t="str">
        <x:f>IF(COUNT(AJ453,AI453)=2,AJ453-AI453,"")</x:f>
      </x:c>
      <x:c r="AL453" s="10" t="n">
        <x:v>27</x:v>
      </x:c>
      <x:c r="AM453" s="10"/>
      <x:c r="AN453" s="4" t="str">
        <x:v>D</x:v>
      </x:c>
      <x:c r="AO453" s="4"/>
      <x:c r="AP453" s="4" t="str">
        <x:v>BOS</x:v>
      </x:c>
      <x:c r="AQ453" s="4"/>
      <x:c r="AR453" s="4" t="n">
        <x:v>18.41</x:v>
      </x:c>
      <x:c r="AS453" s="4"/>
      <x:c r="AT453" s="4" t="n">
        <x:v>0.09</x:v>
      </x:c>
      <x:c r="AU453" s="4"/>
      <x:c r="AV453" s="10"/>
      <x:c r="AW453" s="10"/>
      <x:c r="AX453" s="10"/>
      <x:c r="AY453" s="10"/>
      <x:c r="AZ453" s="10" t="n">
        <x:v>1219</x:v>
      </x:c>
      <x:c r="BA453" s="10" t="n">
        <x:v>1352</x:v>
      </x:c>
      <x:c r="BB453" s="4" t="n">
        <x:v>47.4</x:v>
      </x:c>
      <x:c r="BC453" s="4" t="n">
        <x:v>-2.4</x:v>
      </x:c>
      <x:c r="BD453" s="10" t="n">
        <x:v>852</x:v>
      </x:c>
      <x:c r="BE453" s="10" t="n">
        <x:v>950</x:v>
      </x:c>
      <x:c r="BF453" s="4" t="n">
        <x:v>47.3</x:v>
      </x:c>
      <x:c r="BG453" s="4" t="n">
        <x:v>-2.8</x:v>
      </x:c>
      <x:c r="BH453" s="4" t="n">
        <x:v>8</x:v>
      </x:c>
      <x:c r="BI453" s="4" t="n">
        <x:v>91.2</x:v>
      </x:c>
      <x:c r="BJ453" s="4" t="n">
        <x:v>99.3</x:v>
      </x:c>
      <x:c r="BK453" s="4" t="n">
        <x:v>41.6</x:v>
      </x:c>
      <x:c r="BL453" s="4" t="n">
        <x:v>58.4</x:v>
      </x:c>
      <x:c r="BM453" s="4" t="n">
        <x:v>19.383333333333333</x:v>
      </x:c>
      <x:c r="BN453" s="4" t="n">
        <x:v>16.983333333333334</x:v>
      </x:c>
      <x:c r="BO453" s="10" t="n">
        <x:v>10</x:v>
      </x:c>
      <x:c r="BP453" s="10" t="n">
        <x:v>59</x:v>
      </x:c>
      <x:c r="BQ453" s="4" t="n">
        <x:v>-18.3</x:v>
      </x:c>
      <x:c r="BR453" s="10" t="n">
        <x:v>211</x:v>
      </x:c>
      <x:c r="BS453" s="4" t="n">
        <x:v>38.9</x:v>
      </x:c>
      <x:c r="BT453" s="10" t="n">
        <x:v>77</x:v>
      </x:c>
      <x:c r="BU453" s="4" t="str">
        <x:v>BOS</x:v>
      </x:c>
      <x:c r="BV453" s="10" t="n">
        <x:v>603</x:v>
      </x:c>
      <x:c r="BW453" s="10"/>
      <x:c r="BX453" s="10" t="n">
        <x:v>792</x:v>
      </x:c>
      <x:c r="BY453" s="4" t="str">
        <x:v>Andrew Peeke</x:v>
      </x:c>
      <x:c r="BZ453" s="4"/>
      <x:c r="CA453" s="4" t="str">
        <x:v>Andrew Peeke</x:v>
      </x:c>
      <x:c r="CB453" s="4" t="str">
        <x:v>peekean01</x:v>
      </x:c>
    </x:row>
    <x:row r="454" ht="22" customHeight="1">
      <x:c r="A454" s="4" t="str">
        <x:v>Angus Booth</x:v>
      </x:c>
      <x:c r="B454" s="4" t="str">
        <x:v>angusbooth</x:v>
      </x:c>
      <x:c r="C454" s="10" t="n">
        <x:v>0</x:v>
      </x:c>
      <x:c r="D454" s="10" t="n">
        <x:v>0</x:v>
      </x:c>
      <x:c r="E454" s="10" t="n">
        <x:v>1</x:v>
      </x:c>
      <x:c r="F454" s="4" t="str">
        <x:f>IF(COUNT(N454,Q454,T454,W454,Z454,AC454,AF454,AI454)=8,N454*Guide!$E$5+Q454*Guide!$E$6+T454*Guide!$E$7+W454*Guide!$E$8+Z454*Guide!$E$9+AC454*Guide!$E$10+AF454*Guide!$E$11+AI454*Guide!$E$12,"")</x:f>
      </x:c>
      <x:c r="G454" s="4" t="str">
        <x:f>IF(COUNT(O454,R454,U454,X454,AA454,AD454,AG454,AJ454)=8,O454*Guide!$E$5+R454*Guide!$E$6+U454*Guide!$E$7+X454*Guide!$E$8+AA454*Guide!$E$9+AD454*Guide!$E$10+AG454*Guide!$E$11+AJ454*Guide!$E$12,"")</x:f>
      </x:c>
      <x:c r="H454" s="4" t="str">
        <x:f>IF(COUNT(G454,F454)=2,G454-F454,"")</x:f>
      </x:c>
      <x:c r="I454" s="4" t="str">
        <x:f>IF(AND(ISNUMBER(F454),K454&gt;0),F454/K454,"")</x:f>
      </x:c>
      <x:c r="J454" s="4" t="str">
        <x:f>IF(AND(ISNUMBER(G454),L454&gt;0),G454/L454,"")</x:f>
      </x:c>
      <x:c r="K454" s="10"/>
      <x:c r="L454" s="10"/>
      <x:c r="M454" s="10" t="str">
        <x:f>IF(COUNT(L454,K454)=2,L454-K454,"")</x:f>
      </x:c>
      <x:c r="N454" s="10"/>
      <x:c r="O454" s="10"/>
      <x:c r="P454" s="10" t="str">
        <x:f>IF(COUNT(O454,N454)=2,O454-N454,"")</x:f>
      </x:c>
      <x:c r="Q454" s="10"/>
      <x:c r="R454" s="10"/>
      <x:c r="S454" s="10" t="str">
        <x:f>IF(COUNT(R454,Q454)=2,R454-Q454,"")</x:f>
      </x:c>
      <x:c r="T454" s="10"/>
      <x:c r="U454" s="10"/>
      <x:c r="V454" s="10" t="str">
        <x:f>IF(COUNT(U454,T454)=2,U454-T454,"")</x:f>
      </x:c>
      <x:c r="W454" s="10"/>
      <x:c r="X454" s="10" t="str">
        <x:f>IF(COUNT(AV454,AW454)=2,AV454+AW454,"")</x:f>
      </x:c>
      <x:c r="Y454" s="10" t="str">
        <x:f>IF(COUNT(X454,W454)=2,X454-W454,"")</x:f>
      </x:c>
      <x:c r="Z454" s="10"/>
      <x:c r="AA454" s="10" t="str">
        <x:f>IF(COUNT(AX454,AY454)=2,AX454+AY454,"")</x:f>
      </x:c>
      <x:c r="AB454" s="10" t="str">
        <x:f>IF(COUNT(AA454,Z454)=2,AA454-Z454,"")</x:f>
      </x:c>
      <x:c r="AC454" s="10"/>
      <x:c r="AD454" s="10"/>
      <x:c r="AE454" s="10" t="str">
        <x:f>IF(COUNT(AD454,AC454)=2,AD454-AC454,"")</x:f>
      </x:c>
      <x:c r="AF454" s="10"/>
      <x:c r="AG454" s="10"/>
      <x:c r="AH454" s="10" t="str">
        <x:f>IF(COUNT(AG454,AF454)=2,AG454-AF454,"")</x:f>
      </x:c>
      <x:c r="AI454" s="10"/>
      <x:c r="AJ454" s="10"/>
      <x:c r="AK454" s="10" t="str">
        <x:f>IF(COUNT(AJ454,AI454)=2,AJ454-AI454,"")</x:f>
      </x:c>
      <x:c r="AL454" s="10"/>
      <x:c r="AM454" s="10"/>
      <x:c r="AN454" s="4"/>
      <x:c r="AO454" s="4"/>
      <x:c r="AP454" s="4"/>
      <x:c r="AQ454" s="4"/>
      <x:c r="AR454" s="4"/>
      <x:c r="AS454" s="4"/>
      <x:c r="AT454" s="4"/>
      <x:c r="AU454" s="4"/>
      <x:c r="AV454" s="10"/>
      <x:c r="AW454" s="10"/>
      <x:c r="AX454" s="10"/>
      <x:c r="AY454" s="10"/>
      <x:c r="AZ454" s="10" t="n">
        <x:v>7</x:v>
      </x:c>
      <x:c r="BA454" s="10" t="n">
        <x:v>18</x:v>
      </x:c>
      <x:c r="BB454" s="4" t="n">
        <x:v>28</x:v>
      </x:c>
      <x:c r="BC454" s="4" t="n">
        <x:v>-10.8</x:v>
      </x:c>
      <x:c r="BD454" s="10" t="n">
        <x:v>6</x:v>
      </x:c>
      <x:c r="BE454" s="10" t="n">
        <x:v>11</x:v>
      </x:c>
      <x:c r="BF454" s="4" t="n">
        <x:v>35.3</x:v>
      </x:c>
      <x:c r="BG454" s="4" t="n">
        <x:v>-4.1</x:v>
      </x:c>
      <x:c r="BH454" s="4" t="n">
        <x:v>25</x:v>
      </x:c>
      <x:c r="BI454" s="4" t="n">
        <x:v>100</x:v>
      </x:c>
      <x:c r="BJ454" s="4" t="n">
        <x:v>125</x:v>
      </x:c>
      <x:c r="BK454" s="4" t="n">
        <x:v>11.1</x:v>
      </x:c>
      <x:c r="BL454" s="4" t="n">
        <x:v>88.9</x:v>
      </x:c>
      <x:c r="BM454" s="4" t="n">
        <x:v>12.3</x:v>
      </x:c>
      <x:c r="BN454" s="4" t="n">
        <x:v>12.3</x:v>
      </x:c>
      <x:c r="BO454" s="10" t="n">
        <x:v>0</x:v>
      </x:c>
      <x:c r="BP454" s="10" t="n">
        <x:v>1</x:v>
      </x:c>
      <x:c r="BQ454" s="4" t="n">
        <x:v>0.2</x:v>
      </x:c>
      <x:c r="BR454" s="10" t="n">
        <x:v>2</x:v>
      </x:c>
      <x:c r="BS454" s="4" t="n">
        <x:v>50</x:v>
      </x:c>
      <x:c r="BT454" s="10" t="n">
        <x:v>1</x:v>
      </x:c>
      <x:c r="BU454" s="4" t="str">
        <x:v>LAK</x:v>
      </x:c>
      <x:c r="BV454" s="10"/>
      <x:c r="BW454" s="10"/>
      <x:c r="BX454" s="10" t="n">
        <x:v>80</x:v>
      </x:c>
      <x:c r="BY454" s="4"/>
      <x:c r="BZ454" s="4"/>
      <x:c r="CA454" s="4" t="str">
        <x:v>Angus Booth</x:v>
      </x:c>
      <x:c r="CB454" s="4" t="str">
        <x:v>boothan01</x:v>
      </x:c>
    </x:row>
    <x:row r="455" ht="22" customHeight="1">
      <x:c r="A455" s="4" t="str">
        <x:v>Angus Crookshank</x:v>
      </x:c>
      <x:c r="B455" s="4" t="str">
        <x:v>anguscrookshank</x:v>
      </x:c>
      <x:c r="C455" s="10" t="n">
        <x:v>0</x:v>
      </x:c>
      <x:c r="D455" s="10" t="n">
        <x:v>0</x:v>
      </x:c>
      <x:c r="E455" s="10" t="n">
        <x:v>1</x:v>
      </x:c>
      <x:c r="F455" s="4" t="str">
        <x:f>IF(COUNT(N455,Q455,T455,W455,Z455,AC455,AF455,AI455)=8,N455*Guide!$E$5+Q455*Guide!$E$6+T455*Guide!$E$7+W455*Guide!$E$8+Z455*Guide!$E$9+AC455*Guide!$E$10+AF455*Guide!$E$11+AI455*Guide!$E$12,"")</x:f>
      </x:c>
      <x:c r="G455" s="4" t="str">
        <x:f>IF(COUNT(O455,R455,U455,X455,AA455,AD455,AG455,AJ455)=8,O455*Guide!$E$5+R455*Guide!$E$6+U455*Guide!$E$7+X455*Guide!$E$8+AA455*Guide!$E$9+AD455*Guide!$E$10+AG455*Guide!$E$11+AJ455*Guide!$E$12,"")</x:f>
      </x:c>
      <x:c r="H455" s="4" t="str">
        <x:f>IF(COUNT(G455,F455)=2,G455-F455,"")</x:f>
      </x:c>
      <x:c r="I455" s="4" t="str">
        <x:f>IF(AND(ISNUMBER(F455),K455&gt;0),F455/K455,"")</x:f>
      </x:c>
      <x:c r="J455" s="4" t="str">
        <x:f>IF(AND(ISNUMBER(G455),L455&gt;0),G455/L455,"")</x:f>
      </x:c>
      <x:c r="K455" s="10"/>
      <x:c r="L455" s="10"/>
      <x:c r="M455" s="10" t="str">
        <x:f>IF(COUNT(L455,K455)=2,L455-K455,"")</x:f>
      </x:c>
      <x:c r="N455" s="10"/>
      <x:c r="O455" s="10"/>
      <x:c r="P455" s="10" t="str">
        <x:f>IF(COUNT(O455,N455)=2,O455-N455,"")</x:f>
      </x:c>
      <x:c r="Q455" s="10"/>
      <x:c r="R455" s="10"/>
      <x:c r="S455" s="10" t="str">
        <x:f>IF(COUNT(R455,Q455)=2,R455-Q455,"")</x:f>
      </x:c>
      <x:c r="T455" s="10"/>
      <x:c r="U455" s="10"/>
      <x:c r="V455" s="10" t="str">
        <x:f>IF(COUNT(U455,T455)=2,U455-T455,"")</x:f>
      </x:c>
      <x:c r="W455" s="10"/>
      <x:c r="X455" s="10" t="str">
        <x:f>IF(COUNT(AV455,AW455)=2,AV455+AW455,"")</x:f>
      </x:c>
      <x:c r="Y455" s="10" t="str">
        <x:f>IF(COUNT(X455,W455)=2,X455-W455,"")</x:f>
      </x:c>
      <x:c r="Z455" s="10"/>
      <x:c r="AA455" s="10" t="str">
        <x:f>IF(COUNT(AX455,AY455)=2,AX455+AY455,"")</x:f>
      </x:c>
      <x:c r="AB455" s="10" t="str">
        <x:f>IF(COUNT(AA455,Z455)=2,AA455-Z455,"")</x:f>
      </x:c>
      <x:c r="AC455" s="10"/>
      <x:c r="AD455" s="10"/>
      <x:c r="AE455" s="10" t="str">
        <x:f>IF(COUNT(AD455,AC455)=2,AD455-AC455,"")</x:f>
      </x:c>
      <x:c r="AF455" s="10"/>
      <x:c r="AG455" s="10"/>
      <x:c r="AH455" s="10" t="str">
        <x:f>IF(COUNT(AG455,AF455)=2,AG455-AF455,"")</x:f>
      </x:c>
      <x:c r="AI455" s="10"/>
      <x:c r="AJ455" s="10"/>
      <x:c r="AK455" s="10" t="str">
        <x:f>IF(COUNT(AJ455,AI455)=2,AJ455-AI455,"")</x:f>
      </x:c>
      <x:c r="AL455" s="10"/>
      <x:c r="AM455" s="10"/>
      <x:c r="AN455" s="4"/>
      <x:c r="AO455" s="4"/>
      <x:c r="AP455" s="4"/>
      <x:c r="AQ455" s="4"/>
      <x:c r="AR455" s="4"/>
      <x:c r="AS455" s="4"/>
      <x:c r="AT455" s="4"/>
      <x:c r="AU455" s="4"/>
      <x:c r="AV455" s="10"/>
      <x:c r="AW455" s="10"/>
      <x:c r="AX455" s="10"/>
      <x:c r="AY455" s="10"/>
      <x:c r="AZ455" s="10" t="n">
        <x:v>51</x:v>
      </x:c>
      <x:c r="BA455" s="10" t="n">
        <x:v>78</x:v>
      </x:c>
      <x:c r="BB455" s="4" t="n">
        <x:v>39.5</x:v>
      </x:c>
      <x:c r="BC455" s="4" t="n">
        <x:v>-13.3</x:v>
      </x:c>
      <x:c r="BD455" s="10" t="n">
        <x:v>36</x:v>
      </x:c>
      <x:c r="BE455" s="10" t="n">
        <x:v>55</x:v>
      </x:c>
      <x:c r="BF455" s="4" t="n">
        <x:v>39.6</x:v>
      </x:c>
      <x:c r="BG455" s="4" t="n">
        <x:v>-11.5</x:v>
      </x:c>
      <x:c r="BH455" s="4" t="n">
        <x:v>10.5</x:v>
      </x:c>
      <x:c r="BI455" s="4" t="n">
        <x:v>97.2</x:v>
      </x:c>
      <x:c r="BJ455" s="4" t="n">
        <x:v>107.7</x:v>
      </x:c>
      <x:c r="BK455" s="4" t="n">
        <x:v>46.5</x:v>
      </x:c>
      <x:c r="BL455" s="4" t="n">
        <x:v>53.5</x:v>
      </x:c>
      <x:c r="BM455" s="4" t="n">
        <x:v>8.6</x:v>
      </x:c>
      <x:c r="BN455" s="4" t="n">
        <x:v>8.6</x:v>
      </x:c>
      <x:c r="BO455" s="10" t="n">
        <x:v>0</x:v>
      </x:c>
      <x:c r="BP455" s="10" t="n">
        <x:v>2</x:v>
      </x:c>
      <x:c r="BQ455" s="4" t="n">
        <x:v>-2.7</x:v>
      </x:c>
      <x:c r="BR455" s="10" t="n">
        <x:v>9</x:v>
      </x:c>
      <x:c r="BS455" s="4" t="n">
        <x:v>44.4</x:v>
      </x:c>
      <x:c r="BT455" s="10" t="n">
        <x:v>8</x:v>
      </x:c>
      <x:c r="BU455" s="4" t="str">
        <x:v>NJD</x:v>
      </x:c>
      <x:c r="BV455" s="10"/>
      <x:c r="BW455" s="10"/>
      <x:c r="BX455" s="10" t="n">
        <x:v>182</x:v>
      </x:c>
      <x:c r="BY455" s="4"/>
      <x:c r="BZ455" s="4"/>
      <x:c r="CA455" s="4" t="str">
        <x:v>Angus Crookshank</x:v>
      </x:c>
      <x:c r="CB455" s="4" t="str">
        <x:v>crookan01</x:v>
      </x:c>
    </x:row>
    <x:row r="456" ht="22" customHeight="1">
      <x:c r="A456" s="4" t="str">
        <x:v>Anthony Richard</x:v>
      </x:c>
      <x:c r="B456" s="4" t="str">
        <x:v>anthonyrichard</x:v>
      </x:c>
      <x:c r="C456" s="10" t="n">
        <x:v>1</x:v>
      </x:c>
      <x:c r="D456" s="10" t="n">
        <x:v>0</x:v>
      </x:c>
      <x:c r="E456" s="10" t="n">
        <x:v>1</x:v>
      </x:c>
      <x:c r="F456" s="4" t="n">
        <x:f>IF(COUNT(N456,Q456,T456,W456,Z456,AC456,AF456,AI456)=8,N456*Guide!$E$5+Q456*Guide!$E$6+T456*Guide!$E$7+W456*Guide!$E$8+Z456*Guide!$E$9+AC456*Guide!$E$10+AF456*Guide!$E$11+AI456*Guide!$E$12,"")</x:f>
        <x:v>77.25</x:v>
      </x:c>
      <x:c r="G456" s="4" t="str">
        <x:f>IF(COUNT(O456,R456,U456,X456,AA456,AD456,AG456,AJ456)=8,O456*Guide!$E$5+R456*Guide!$E$6+U456*Guide!$E$7+X456*Guide!$E$8+AA456*Guide!$E$9+AD456*Guide!$E$10+AG456*Guide!$E$11+AJ456*Guide!$E$12,"")</x:f>
      </x:c>
      <x:c r="H456" s="4" t="str">
        <x:f>IF(COUNT(G456,F456)=2,G456-F456,"")</x:f>
      </x:c>
      <x:c r="I456" s="4" t="n">
        <x:f>IF(AND(ISNUMBER(F456),K456&gt;0),F456/K456,"")</x:f>
        <x:v>2.340909090909091</x:v>
      </x:c>
      <x:c r="J456" s="4" t="str">
        <x:f>IF(AND(ISNUMBER(G456),L456&gt;0),G456/L456,"")</x:f>
      </x:c>
      <x:c r="K456" s="10" t="n">
        <x:v>33</x:v>
      </x:c>
      <x:c r="L456" s="10"/>
      <x:c r="M456" s="10" t="str">
        <x:f>IF(COUNT(L456,K456)=2,L456-K456,"")</x:f>
      </x:c>
      <x:c r="N456" s="10" t="n">
        <x:v>6</x:v>
      </x:c>
      <x:c r="O456" s="10"/>
      <x:c r="P456" s="10" t="str">
        <x:f>IF(COUNT(O456,N456)=2,O456-N456,"")</x:f>
      </x:c>
      <x:c r="Q456" s="10" t="n">
        <x:v>8</x:v>
      </x:c>
      <x:c r="R456" s="10"/>
      <x:c r="S456" s="10" t="str">
        <x:f>IF(COUNT(R456,Q456)=2,R456-Q456,"")</x:f>
      </x:c>
      <x:c r="T456" s="10" t="n">
        <x:v>0</x:v>
      </x:c>
      <x:c r="U456" s="10"/>
      <x:c r="V456" s="10" t="str">
        <x:f>IF(COUNT(U456,T456)=2,U456-T456,"")</x:f>
      </x:c>
      <x:c r="W456" s="10" t="n">
        <x:v>3</x:v>
      </x:c>
      <x:c r="X456" s="10" t="str">
        <x:f>IF(COUNT(AV456,AW456)=2,AV456+AW456,"")</x:f>
      </x:c>
      <x:c r="Y456" s="10" t="str">
        <x:f>IF(COUNT(X456,W456)=2,X456-W456,"")</x:f>
      </x:c>
      <x:c r="Z456" s="10" t="n">
        <x:v>0</x:v>
      </x:c>
      <x:c r="AA456" s="10" t="str">
        <x:f>IF(COUNT(AX456,AY456)=2,AX456+AY456,"")</x:f>
      </x:c>
      <x:c r="AB456" s="10" t="str">
        <x:f>IF(COUNT(AA456,Z456)=2,AA456-Z456,"")</x:f>
      </x:c>
      <x:c r="AC456" s="10" t="n">
        <x:v>44</x:v>
      </x:c>
      <x:c r="AD456" s="10"/>
      <x:c r="AE456" s="10" t="str">
        <x:f>IF(COUNT(AD456,AC456)=2,AD456-AC456,"")</x:f>
      </x:c>
      <x:c r="AF456" s="10" t="n">
        <x:v>16</x:v>
      </x:c>
      <x:c r="AG456" s="10"/>
      <x:c r="AH456" s="10" t="str">
        <x:f>IF(COUNT(AG456,AF456)=2,AG456-AF456,"")</x:f>
      </x:c>
      <x:c r="AI456" s="10" t="n">
        <x:v>15</x:v>
      </x:c>
      <x:c r="AJ456" s="10"/>
      <x:c r="AK456" s="10" t="str">
        <x:f>IF(COUNT(AJ456,AI456)=2,AJ456-AI456,"")</x:f>
      </x:c>
      <x:c r="AL456" s="10" t="n">
        <x:v>29</x:v>
      </x:c>
      <x:c r="AM456" s="10"/>
      <x:c r="AN456" s="4" t="str">
        <x:v>C</x:v>
      </x:c>
      <x:c r="AO456" s="4"/>
      <x:c r="AP456" s="4" t="str">
        <x:v>PHI</x:v>
      </x:c>
      <x:c r="AQ456" s="4"/>
      <x:c r="AR456" s="4" t="n">
        <x:v>12.2</x:v>
      </x:c>
      <x:c r="AS456" s="4"/>
      <x:c r="AT456" s="4" t="n">
        <x:v>1.36</x:v>
      </x:c>
      <x:c r="AU456" s="4"/>
      <x:c r="AV456" s="10"/>
      <x:c r="AW456" s="10"/>
      <x:c r="AX456" s="10"/>
      <x:c r="AY456" s="10"/>
      <x:c r="AZ456" s="10" t="n">
        <x:v>4</x:v>
      </x:c>
      <x:c r="BA456" s="10" t="n">
        <x:v>5</x:v>
      </x:c>
      <x:c r="BB456" s="4" t="n">
        <x:v>44.4</x:v>
      </x:c>
      <x:c r="BC456" s="4" t="n">
        <x:v>2.3</x:v>
      </x:c>
      <x:c r="BD456" s="10" t="n">
        <x:v>3</x:v>
      </x:c>
      <x:c r="BE456" s="10" t="n">
        <x:v>4</x:v>
      </x:c>
      <x:c r="BF456" s="4" t="n">
        <x:v>42.9</x:v>
      </x:c>
      <x:c r="BG456" s="4" t="n">
        <x:v>-1.2</x:v>
      </x:c>
      <x:c r="BH456" s="4" t="n">
        <x:v>0</x:v>
      </x:c>
      <x:c r="BI456" s="4" t="n">
        <x:v>100</x:v>
      </x:c>
      <x:c r="BJ456" s="4" t="n">
        <x:v>100</x:v>
      </x:c>
      <x:c r="BK456" s="4" t="n">
        <x:v>50</x:v>
      </x:c>
      <x:c r="BL456" s="4" t="n">
        <x:v>50</x:v>
      </x:c>
      <x:c r="BM456" s="4" t="n">
        <x:v>7.133333333333334</x:v>
      </x:c>
      <x:c r="BN456" s="4" t="n">
        <x:v>7.133333333333334</x:v>
      </x:c>
      <x:c r="BO456" s="10" t="n">
        <x:v>0</x:v>
      </x:c>
      <x:c r="BP456" s="10" t="n">
        <x:v>0</x:v>
      </x:c>
      <x:c r="BQ456" s="4" t="n">
        <x:v>-0.3</x:v>
      </x:c>
      <x:c r="BR456" s="10" t="n">
        <x:v>0</x:v>
      </x:c>
      <x:c r="BS456" s="4"/>
      <x:c r="BT456" s="10" t="n">
        <x:v>1</x:v>
      </x:c>
      <x:c r="BU456" s="4" t="str">
        <x:v>PHI</x:v>
      </x:c>
      <x:c r="BV456" s="10" t="n">
        <x:v>660</x:v>
      </x:c>
      <x:c r="BW456" s="10"/>
      <x:c r="BX456" s="10" t="n">
        <x:v>859</x:v>
      </x:c>
      <x:c r="BY456" s="4" t="str">
        <x:v>Anthony Richard</x:v>
      </x:c>
      <x:c r="BZ456" s="4"/>
      <x:c r="CA456" s="4" t="str">
        <x:v>Anthony Richard</x:v>
      </x:c>
      <x:c r="CB456" s="4" t="str">
        <x:v>richaan01</x:v>
      </x:c>
    </x:row>
    <x:row r="457" ht="22" customHeight="1">
      <x:c r="A457" s="4" t="str">
        <x:v>Anton Blidh</x:v>
      </x:c>
      <x:c r="B457" s="4" t="str">
        <x:v>antonblidh</x:v>
      </x:c>
      <x:c r="C457" s="10" t="n">
        <x:v>0</x:v>
      </x:c>
      <x:c r="D457" s="10" t="n">
        <x:v>0</x:v>
      </x:c>
      <x:c r="E457" s="10" t="n">
        <x:v>1</x:v>
      </x:c>
      <x:c r="F457" s="4" t="str">
        <x:f>IF(COUNT(N457,Q457,T457,W457,Z457,AC457,AF457,AI457)=8,N457*Guide!$E$5+Q457*Guide!$E$6+T457*Guide!$E$7+W457*Guide!$E$8+Z457*Guide!$E$9+AC457*Guide!$E$10+AF457*Guide!$E$11+AI457*Guide!$E$12,"")</x:f>
      </x:c>
      <x:c r="G457" s="4" t="str">
        <x:f>IF(COUNT(O457,R457,U457,X457,AA457,AD457,AG457,AJ457)=8,O457*Guide!$E$5+R457*Guide!$E$6+U457*Guide!$E$7+X457*Guide!$E$8+AA457*Guide!$E$9+AD457*Guide!$E$10+AG457*Guide!$E$11+AJ457*Guide!$E$12,"")</x:f>
      </x:c>
      <x:c r="H457" s="4" t="str">
        <x:f>IF(COUNT(G457,F457)=2,G457-F457,"")</x:f>
      </x:c>
      <x:c r="I457" s="4" t="str">
        <x:f>IF(AND(ISNUMBER(F457),K457&gt;0),F457/K457,"")</x:f>
      </x:c>
      <x:c r="J457" s="4" t="str">
        <x:f>IF(AND(ISNUMBER(G457),L457&gt;0),G457/L457,"")</x:f>
      </x:c>
      <x:c r="K457" s="10"/>
      <x:c r="L457" s="10"/>
      <x:c r="M457" s="10" t="str">
        <x:f>IF(COUNT(L457,K457)=2,L457-K457,"")</x:f>
      </x:c>
      <x:c r="N457" s="10"/>
      <x:c r="O457" s="10"/>
      <x:c r="P457" s="10" t="str">
        <x:f>IF(COUNT(O457,N457)=2,O457-N457,"")</x:f>
      </x:c>
      <x:c r="Q457" s="10"/>
      <x:c r="R457" s="10"/>
      <x:c r="S457" s="10" t="str">
        <x:f>IF(COUNT(R457,Q457)=2,R457-Q457,"")</x:f>
      </x:c>
      <x:c r="T457" s="10"/>
      <x:c r="U457" s="10"/>
      <x:c r="V457" s="10" t="str">
        <x:f>IF(COUNT(U457,T457)=2,U457-T457,"")</x:f>
      </x:c>
      <x:c r="W457" s="10"/>
      <x:c r="X457" s="10" t="str">
        <x:f>IF(COUNT(AV457,AW457)=2,AV457+AW457,"")</x:f>
      </x:c>
      <x:c r="Y457" s="10" t="str">
        <x:f>IF(COUNT(X457,W457)=2,X457-W457,"")</x:f>
      </x:c>
      <x:c r="Z457" s="10"/>
      <x:c r="AA457" s="10" t="str">
        <x:f>IF(COUNT(AX457,AY457)=2,AX457+AY457,"")</x:f>
      </x:c>
      <x:c r="AB457" s="10" t="str">
        <x:f>IF(COUNT(AA457,Z457)=2,AA457-Z457,"")</x:f>
      </x:c>
      <x:c r="AC457" s="10"/>
      <x:c r="AD457" s="10"/>
      <x:c r="AE457" s="10" t="str">
        <x:f>IF(COUNT(AD457,AC457)=2,AD457-AC457,"")</x:f>
      </x:c>
      <x:c r="AF457" s="10"/>
      <x:c r="AG457" s="10"/>
      <x:c r="AH457" s="10" t="str">
        <x:f>IF(COUNT(AG457,AF457)=2,AG457-AF457,"")</x:f>
      </x:c>
      <x:c r="AI457" s="10"/>
      <x:c r="AJ457" s="10"/>
      <x:c r="AK457" s="10" t="str">
        <x:f>IF(COUNT(AJ457,AI457)=2,AJ457-AI457,"")</x:f>
      </x:c>
      <x:c r="AL457" s="10"/>
      <x:c r="AM457" s="10"/>
      <x:c r="AN457" s="4"/>
      <x:c r="AO457" s="4"/>
      <x:c r="AP457" s="4"/>
      <x:c r="AQ457" s="4"/>
      <x:c r="AR457" s="4"/>
      <x:c r="AS457" s="4"/>
      <x:c r="AT457" s="4"/>
      <x:c r="AU457" s="4"/>
      <x:c r="AV457" s="10"/>
      <x:c r="AW457" s="10"/>
      <x:c r="AX457" s="10"/>
      <x:c r="AY457" s="10"/>
      <x:c r="AZ457" s="10" t="n">
        <x:v>21</x:v>
      </x:c>
      <x:c r="BA457" s="10" t="n">
        <x:v>34</x:v>
      </x:c>
      <x:c r="BB457" s="4" t="n">
        <x:v>38.2</x:v>
      </x:c>
      <x:c r="BC457" s="4" t="n">
        <x:v>-8.8</x:v>
      </x:c>
      <x:c r="BD457" s="10" t="n">
        <x:v>17</x:v>
      </x:c>
      <x:c r="BE457" s="10" t="n">
        <x:v>23</x:v>
      </x:c>
      <x:c r="BF457" s="4" t="n">
        <x:v>42.5</x:v>
      </x:c>
      <x:c r="BG457" s="4" t="n">
        <x:v>-1.8</x:v>
      </x:c>
      <x:c r="BH457" s="4" t="n">
        <x:v>10</x:v>
      </x:c>
      <x:c r="BI457" s="4" t="n">
        <x:v>100</x:v>
      </x:c>
      <x:c r="BJ457" s="4" t="n">
        <x:v>110</x:v>
      </x:c>
      <x:c r="BK457" s="4" t="n">
        <x:v>35.7</x:v>
      </x:c>
      <x:c r="BL457" s="4" t="n">
        <x:v>64.3</x:v>
      </x:c>
      <x:c r="BM457" s="4" t="n">
        <x:v>7.7</x:v>
      </x:c>
      <x:c r="BN457" s="4" t="n">
        <x:v>7.7</x:v>
      </x:c>
      <x:c r="BO457" s="10" t="n">
        <x:v>0</x:v>
      </x:c>
      <x:c r="BP457" s="10" t="n">
        <x:v>1</x:v>
      </x:c>
      <x:c r="BQ457" s="4" t="n">
        <x:v>0.1</x:v>
      </x:c>
      <x:c r="BR457" s="10" t="n">
        <x:v>5</x:v>
      </x:c>
      <x:c r="BS457" s="4" t="n">
        <x:v>80</x:v>
      </x:c>
      <x:c r="BT457" s="10" t="n">
        <x:v>4</x:v>
      </x:c>
      <x:c r="BU457" s="4" t="str">
        <x:v>NYR</x:v>
      </x:c>
      <x:c r="BV457" s="10"/>
      <x:c r="BW457" s="10"/>
      <x:c r="BX457" s="10" t="n">
        <x:v>71</x:v>
      </x:c>
      <x:c r="BY457" s="4"/>
      <x:c r="BZ457" s="4"/>
      <x:c r="CA457" s="4" t="str">
        <x:v>Anton Blidh</x:v>
      </x:c>
      <x:c r="CB457" s="4" t="str">
        <x:v>blidhan01</x:v>
      </x:c>
    </x:row>
    <x:row r="458" ht="22" customHeight="1">
      <x:c r="A458" s="4" t="str">
        <x:v>Anton Frondell</x:v>
      </x:c>
      <x:c r="B458" s="4" t="str">
        <x:v>antonfrondell</x:v>
      </x:c>
      <x:c r="C458" s="10" t="n">
        <x:v>0</x:v>
      </x:c>
      <x:c r="D458" s="10" t="n">
        <x:v>0</x:v>
      </x:c>
      <x:c r="E458" s="10" t="n">
        <x:v>1</x:v>
      </x:c>
      <x:c r="F458" s="4" t="str">
        <x:f>IF(COUNT(N458,Q458,T458,W458,Z458,AC458,AF458,AI458)=8,N458*Guide!$E$5+Q458*Guide!$E$6+T458*Guide!$E$7+W458*Guide!$E$8+Z458*Guide!$E$9+AC458*Guide!$E$10+AF458*Guide!$E$11+AI458*Guide!$E$12,"")</x:f>
      </x:c>
      <x:c r="G458" s="4" t="str">
        <x:f>IF(COUNT(O458,R458,U458,X458,AA458,AD458,AG458,AJ458)=8,O458*Guide!$E$5+R458*Guide!$E$6+U458*Guide!$E$7+X458*Guide!$E$8+AA458*Guide!$E$9+AD458*Guide!$E$10+AG458*Guide!$E$11+AJ458*Guide!$E$12,"")</x:f>
      </x:c>
      <x:c r="H458" s="4" t="str">
        <x:f>IF(COUNT(G458,F458)=2,G458-F458,"")</x:f>
      </x:c>
      <x:c r="I458" s="4" t="str">
        <x:f>IF(AND(ISNUMBER(F458),K458&gt;0),F458/K458,"")</x:f>
      </x:c>
      <x:c r="J458" s="4" t="str">
        <x:f>IF(AND(ISNUMBER(G458),L458&gt;0),G458/L458,"")</x:f>
      </x:c>
      <x:c r="K458" s="10"/>
      <x:c r="L458" s="10"/>
      <x:c r="M458" s="10" t="str">
        <x:f>IF(COUNT(L458,K458)=2,L458-K458,"")</x:f>
      </x:c>
      <x:c r="N458" s="10"/>
      <x:c r="O458" s="10"/>
      <x:c r="P458" s="10" t="str">
        <x:f>IF(COUNT(O458,N458)=2,O458-N458,"")</x:f>
      </x:c>
      <x:c r="Q458" s="10"/>
      <x:c r="R458" s="10"/>
      <x:c r="S458" s="10" t="str">
        <x:f>IF(COUNT(R458,Q458)=2,R458-Q458,"")</x:f>
      </x:c>
      <x:c r="T458" s="10"/>
      <x:c r="U458" s="10"/>
      <x:c r="V458" s="10" t="str">
        <x:f>IF(COUNT(U458,T458)=2,U458-T458,"")</x:f>
      </x:c>
      <x:c r="W458" s="10"/>
      <x:c r="X458" s="10" t="str">
        <x:f>IF(COUNT(AV458,AW458)=2,AV458+AW458,"")</x:f>
      </x:c>
      <x:c r="Y458" s="10" t="str">
        <x:f>IF(COUNT(X458,W458)=2,X458-W458,"")</x:f>
      </x:c>
      <x:c r="Z458" s="10"/>
      <x:c r="AA458" s="10" t="str">
        <x:f>IF(COUNT(AX458,AY458)=2,AX458+AY458,"")</x:f>
      </x:c>
      <x:c r="AB458" s="10" t="str">
        <x:f>IF(COUNT(AA458,Z458)=2,AA458-Z458,"")</x:f>
      </x:c>
      <x:c r="AC458" s="10"/>
      <x:c r="AD458" s="10"/>
      <x:c r="AE458" s="10" t="str">
        <x:f>IF(COUNT(AD458,AC458)=2,AD458-AC458,"")</x:f>
      </x:c>
      <x:c r="AF458" s="10"/>
      <x:c r="AG458" s="10"/>
      <x:c r="AH458" s="10" t="str">
        <x:f>IF(COUNT(AG458,AF458)=2,AG458-AF458,"")</x:f>
      </x:c>
      <x:c r="AI458" s="10"/>
      <x:c r="AJ458" s="10"/>
      <x:c r="AK458" s="10" t="str">
        <x:f>IF(COUNT(AJ458,AI458)=2,AJ458-AI458,"")</x:f>
      </x:c>
      <x:c r="AL458" s="10"/>
      <x:c r="AM458" s="10"/>
      <x:c r="AN458" s="4"/>
      <x:c r="AO458" s="4"/>
      <x:c r="AP458" s="4"/>
      <x:c r="AQ458" s="4"/>
      <x:c r="AR458" s="4"/>
      <x:c r="AS458" s="4"/>
      <x:c r="AT458" s="4"/>
      <x:c r="AU458" s="4"/>
      <x:c r="AV458" s="10"/>
      <x:c r="AW458" s="10"/>
      <x:c r="AX458" s="10"/>
      <x:c r="AY458" s="10"/>
      <x:c r="AZ458" s="10" t="n">
        <x:v>162</x:v>
      </x:c>
      <x:c r="BA458" s="10" t="n">
        <x:v>212</x:v>
      </x:c>
      <x:c r="BB458" s="4" t="n">
        <x:v>43.3</x:v>
      </x:c>
      <x:c r="BC458" s="4" t="n">
        <x:v>-0.1</x:v>
      </x:c>
      <x:c r="BD458" s="10" t="n">
        <x:v>122</x:v>
      </x:c>
      <x:c r="BE458" s="10" t="n">
        <x:v>160</x:v>
      </x:c>
      <x:c r="BF458" s="4" t="n">
        <x:v>43.3</x:v>
      </x:c>
      <x:c r="BG458" s="4" t="n">
        <x:v>0.9</x:v>
      </x:c>
      <x:c r="BH458" s="4" t="n">
        <x:v>13.3</x:v>
      </x:c>
      <x:c r="BI458" s="4" t="n">
        <x:v>89</x:v>
      </x:c>
      <x:c r="BJ458" s="4" t="n">
        <x:v>102.2</x:v>
      </x:c>
      <x:c r="BK458" s="4" t="n">
        <x:v>50.4</x:v>
      </x:c>
      <x:c r="BL458" s="4" t="n">
        <x:v>49.6</x:v>
      </x:c>
      <x:c r="BM458" s="4" t="n">
        <x:v>17.7</x:v>
      </x:c>
      <x:c r="BN458" s="4" t="n">
        <x:v>14.15</x:v>
      </x:c>
      <x:c r="BO458" s="10" t="n">
        <x:v>2</x:v>
      </x:c>
      <x:c r="BP458" s="10" t="n">
        <x:v>11</x:v>
      </x:c>
      <x:c r="BQ458" s="4" t="n">
        <x:v>-3.3</x:v>
      </x:c>
      <x:c r="BR458" s="10" t="n">
        <x:v>70</x:v>
      </x:c>
      <x:c r="BS458" s="4" t="n">
        <x:v>51.4</x:v>
      </x:c>
      <x:c r="BT458" s="10" t="n">
        <x:v>12</x:v>
      </x:c>
      <x:c r="BU458" s="4" t="str">
        <x:v>CHI</x:v>
      </x:c>
      <x:c r="BV458" s="10"/>
      <x:c r="BW458" s="10"/>
      <x:c r="BX458" s="10" t="n">
        <x:v>316</x:v>
      </x:c>
      <x:c r="BY458" s="4"/>
      <x:c r="BZ458" s="4"/>
      <x:c r="CA458" s="4" t="str">
        <x:v>Anton Frondell</x:v>
      </x:c>
      <x:c r="CB458" s="4" t="str">
        <x:v>frondan01</x:v>
      </x:c>
    </x:row>
    <x:row r="459" ht="22" customHeight="1">
      <x:c r="A459" s="4" t="str">
        <x:v>Arber Xhekaj</x:v>
      </x:c>
      <x:c r="B459" s="4" t="str">
        <x:v>arberxhekaj</x:v>
      </x:c>
      <x:c r="C459" s="10" t="n">
        <x:v>1</x:v>
      </x:c>
      <x:c r="D459" s="10" t="n">
        <x:v>0</x:v>
      </x:c>
      <x:c r="E459" s="10" t="n">
        <x:v>1</x:v>
      </x:c>
      <x:c r="F459" s="4" t="n">
        <x:f>IF(COUNT(N459,Q459,T459,W459,Z459,AC459,AF459,AI459)=8,N459*Guide!$E$5+Q459*Guide!$E$6+T459*Guide!$E$7+W459*Guide!$E$8+Z459*Guide!$E$9+AC459*Guide!$E$10+AF459*Guide!$E$11+AI459*Guide!$E$12,"")</x:f>
        <x:v>152.25</x:v>
      </x:c>
      <x:c r="G459" s="4" t="str">
        <x:f>IF(COUNT(O459,R459,U459,X459,AA459,AD459,AG459,AJ459)=8,O459*Guide!$E$5+R459*Guide!$E$6+U459*Guide!$E$7+X459*Guide!$E$8+AA459*Guide!$E$9+AD459*Guide!$E$10+AG459*Guide!$E$11+AJ459*Guide!$E$12,"")</x:f>
      </x:c>
      <x:c r="H459" s="4" t="str">
        <x:f>IF(COUNT(G459,F459)=2,G459-F459,"")</x:f>
      </x:c>
      <x:c r="I459" s="4" t="n">
        <x:f>IF(AND(ISNUMBER(F459),K459&gt;0),F459/K459,"")</x:f>
        <x:v>2.1443661971830985</x:v>
      </x:c>
      <x:c r="J459" s="4" t="str">
        <x:f>IF(AND(ISNUMBER(G459),L459&gt;0),G459/L459,"")</x:f>
      </x:c>
      <x:c r="K459" s="10" t="n">
        <x:v>71</x:v>
      </x:c>
      <x:c r="L459" s="10"/>
      <x:c r="M459" s="10" t="str">
        <x:f>IF(COUNT(L459,K459)=2,L459-K459,"")</x:f>
      </x:c>
      <x:c r="N459" s="10" t="n">
        <x:v>3</x:v>
      </x:c>
      <x:c r="O459" s="10"/>
      <x:c r="P459" s="10" t="str">
        <x:f>IF(COUNT(O459,N459)=2,O459-N459,"")</x:f>
      </x:c>
      <x:c r="Q459" s="10" t="n">
        <x:v>11</x:v>
      </x:c>
      <x:c r="R459" s="10"/>
      <x:c r="S459" s="10" t="str">
        <x:f>IF(COUNT(R459,Q459)=2,R459-Q459,"")</x:f>
      </x:c>
      <x:c r="T459" s="10" t="n">
        <x:v>-6</x:v>
      </x:c>
      <x:c r="U459" s="10"/>
      <x:c r="V459" s="10" t="str">
        <x:f>IF(COUNT(U459,T459)=2,U459-T459,"")</x:f>
      </x:c>
      <x:c r="W459" s="10" t="n">
        <x:v>1</x:v>
      </x:c>
      <x:c r="X459" s="10" t="str">
        <x:f>IF(COUNT(AV459,AW459)=2,AV459+AW459,"")</x:f>
      </x:c>
      <x:c r="Y459" s="10" t="str">
        <x:f>IF(COUNT(X459,W459)=2,X459-W459,"")</x:f>
      </x:c>
      <x:c r="Z459" s="10" t="n">
        <x:v>0</x:v>
      </x:c>
      <x:c r="AA459" s="10" t="str">
        <x:f>IF(COUNT(AX459,AY459)=2,AX459+AY459,"")</x:f>
      </x:c>
      <x:c r="AB459" s="10" t="str">
        <x:f>IF(COUNT(AA459,Z459)=2,AA459-Z459,"")</x:f>
      </x:c>
      <x:c r="AC459" s="10" t="n">
        <x:v>76</x:v>
      </x:c>
      <x:c r="AD459" s="10"/>
      <x:c r="AE459" s="10" t="str">
        <x:f>IF(COUNT(AD459,AC459)=2,AD459-AC459,"")</x:f>
      </x:c>
      <x:c r="AF459" s="10" t="n">
        <x:v>169</x:v>
      </x:c>
      <x:c r="AG459" s="10"/>
      <x:c r="AH459" s="10" t="str">
        <x:f>IF(COUNT(AG459,AF459)=2,AG459-AF459,"")</x:f>
      </x:c>
      <x:c r="AI459" s="10" t="n">
        <x:v>68</x:v>
      </x:c>
      <x:c r="AJ459" s="10"/>
      <x:c r="AK459" s="10" t="str">
        <x:f>IF(COUNT(AJ459,AI459)=2,AJ459-AI459,"")</x:f>
      </x:c>
      <x:c r="AL459" s="10" t="n">
        <x:v>25</x:v>
      </x:c>
      <x:c r="AM459" s="10"/>
      <x:c r="AN459" s="4" t="str">
        <x:v>D</x:v>
      </x:c>
      <x:c r="AO459" s="4"/>
      <x:c r="AP459" s="4" t="str">
        <x:v>MTL</x:v>
      </x:c>
      <x:c r="AQ459" s="4"/>
      <x:c r="AR459" s="4" t="n">
        <x:v>14.76</x:v>
      </x:c>
      <x:c r="AS459" s="4"/>
      <x:c r="AT459" s="4" t="n">
        <x:v>0.2</x:v>
      </x:c>
      <x:c r="AU459" s="4"/>
      <x:c r="AV459" s="10"/>
      <x:c r="AW459" s="10"/>
      <x:c r="AX459" s="10"/>
      <x:c r="AY459" s="10"/>
      <x:c r="AZ459" s="10" t="n">
        <x:v>586</x:v>
      </x:c>
      <x:c r="BA459" s="10" t="n">
        <x:v>661</x:v>
      </x:c>
      <x:c r="BB459" s="4" t="n">
        <x:v>47</x:v>
      </x:c>
      <x:c r="BC459" s="4" t="n">
        <x:v>-1.7</x:v>
      </x:c>
      <x:c r="BD459" s="10" t="n">
        <x:v>411</x:v>
      </x:c>
      <x:c r="BE459" s="10" t="n">
        <x:v>456</x:v>
      </x:c>
      <x:c r="BF459" s="4" t="n">
        <x:v>47.4</x:v>
      </x:c>
      <x:c r="BG459" s="4" t="n">
        <x:v>-2.3</x:v>
      </x:c>
      <x:c r="BH459" s="4" t="n">
        <x:v>9.4</x:v>
      </x:c>
      <x:c r="BI459" s="4" t="n">
        <x:v>89.1</x:v>
      </x:c>
      <x:c r="BJ459" s="4" t="n">
        <x:v>98.5</x:v>
      </x:c>
      <x:c r="BK459" s="4" t="n">
        <x:v>56.7</x:v>
      </x:c>
      <x:c r="BL459" s="4" t="n">
        <x:v>43.3</x:v>
      </x:c>
      <x:c r="BM459" s="4" t="n">
        <x:v>11.416666666666666</x:v>
      </x:c>
      <x:c r="BN459" s="4" t="n">
        <x:v>11.1</x:v>
      </x:c>
      <x:c r="BO459" s="10" t="n">
        <x:v>2</x:v>
      </x:c>
      <x:c r="BP459" s="10" t="n">
        <x:v>35</x:v>
      </x:c>
      <x:c r="BQ459" s="4" t="n">
        <x:v>-7</x:v>
      </x:c>
      <x:c r="BR459" s="10" t="n">
        <x:v>125</x:v>
      </x:c>
      <x:c r="BS459" s="4" t="n">
        <x:v>32</x:v>
      </x:c>
      <x:c r="BT459" s="10" t="n">
        <x:v>65</x:v>
      </x:c>
      <x:c r="BU459" s="4" t="str">
        <x:v>MTL</x:v>
      </x:c>
      <x:c r="BV459" s="10" t="n">
        <x:v>642</x:v>
      </x:c>
      <x:c r="BW459" s="10"/>
      <x:c r="BX459" s="10" t="n">
        <x:v>1086</x:v>
      </x:c>
      <x:c r="BY459" s="4" t="str">
        <x:v>Arber Xhekaj</x:v>
      </x:c>
      <x:c r="BZ459" s="4"/>
      <x:c r="CA459" s="4" t="str">
        <x:v>Arber Xhekaj</x:v>
      </x:c>
      <x:c r="CB459" s="4" t="str">
        <x:v>xhekaar01</x:v>
      </x:c>
    </x:row>
    <x:row r="460" ht="22" customHeight="1">
      <x:c r="A460" s="4" t="str">
        <x:v>Arshdeep Bains</x:v>
      </x:c>
      <x:c r="B460" s="4" t="str">
        <x:v>arshdeepbains</x:v>
      </x:c>
      <x:c r="C460" s="10" t="n">
        <x:v>0</x:v>
      </x:c>
      <x:c r="D460" s="10" t="n">
        <x:v>0</x:v>
      </x:c>
      <x:c r="E460" s="10" t="n">
        <x:v>1</x:v>
      </x:c>
      <x:c r="F460" s="4" t="str">
        <x:f>IF(COUNT(N460,Q460,T460,W460,Z460,AC460,AF460,AI460)=8,N460*Guide!$E$5+Q460*Guide!$E$6+T460*Guide!$E$7+W460*Guide!$E$8+Z460*Guide!$E$9+AC460*Guide!$E$10+AF460*Guide!$E$11+AI460*Guide!$E$12,"")</x:f>
      </x:c>
      <x:c r="G460" s="4" t="str">
        <x:f>IF(COUNT(O460,R460,U460,X460,AA460,AD460,AG460,AJ460)=8,O460*Guide!$E$5+R460*Guide!$E$6+U460*Guide!$E$7+X460*Guide!$E$8+AA460*Guide!$E$9+AD460*Guide!$E$10+AG460*Guide!$E$11+AJ460*Guide!$E$12,"")</x:f>
      </x:c>
      <x:c r="H460" s="4" t="str">
        <x:f>IF(COUNT(G460,F460)=2,G460-F460,"")</x:f>
      </x:c>
      <x:c r="I460" s="4" t="str">
        <x:f>IF(AND(ISNUMBER(F460),K460&gt;0),F460/K460,"")</x:f>
      </x:c>
      <x:c r="J460" s="4" t="str">
        <x:f>IF(AND(ISNUMBER(G460),L460&gt;0),G460/L460,"")</x:f>
      </x:c>
      <x:c r="K460" s="10"/>
      <x:c r="L460" s="10"/>
      <x:c r="M460" s="10" t="str">
        <x:f>IF(COUNT(L460,K460)=2,L460-K460,"")</x:f>
      </x:c>
      <x:c r="N460" s="10"/>
      <x:c r="O460" s="10"/>
      <x:c r="P460" s="10" t="str">
        <x:f>IF(COUNT(O460,N460)=2,O460-N460,"")</x:f>
      </x:c>
      <x:c r="Q460" s="10"/>
      <x:c r="R460" s="10"/>
      <x:c r="S460" s="10" t="str">
        <x:f>IF(COUNT(R460,Q460)=2,R460-Q460,"")</x:f>
      </x:c>
      <x:c r="T460" s="10"/>
      <x:c r="U460" s="10"/>
      <x:c r="V460" s="10" t="str">
        <x:f>IF(COUNT(U460,T460)=2,U460-T460,"")</x:f>
      </x:c>
      <x:c r="W460" s="10"/>
      <x:c r="X460" s="10" t="str">
        <x:f>IF(COUNT(AV460,AW460)=2,AV460+AW460,"")</x:f>
      </x:c>
      <x:c r="Y460" s="10" t="str">
        <x:f>IF(COUNT(X460,W460)=2,X460-W460,"")</x:f>
      </x:c>
      <x:c r="Z460" s="10"/>
      <x:c r="AA460" s="10" t="str">
        <x:f>IF(COUNT(AX460,AY460)=2,AX460+AY460,"")</x:f>
      </x:c>
      <x:c r="AB460" s="10" t="str">
        <x:f>IF(COUNT(AA460,Z460)=2,AA460-Z460,"")</x:f>
      </x:c>
      <x:c r="AC460" s="10"/>
      <x:c r="AD460" s="10"/>
      <x:c r="AE460" s="10" t="str">
        <x:f>IF(COUNT(AD460,AC460)=2,AD460-AC460,"")</x:f>
      </x:c>
      <x:c r="AF460" s="10"/>
      <x:c r="AG460" s="10"/>
      <x:c r="AH460" s="10" t="str">
        <x:f>IF(COUNT(AG460,AF460)=2,AG460-AF460,"")</x:f>
      </x:c>
      <x:c r="AI460" s="10"/>
      <x:c r="AJ460" s="10"/>
      <x:c r="AK460" s="10" t="str">
        <x:f>IF(COUNT(AJ460,AI460)=2,AJ460-AI460,"")</x:f>
      </x:c>
      <x:c r="AL460" s="10"/>
      <x:c r="AM460" s="10"/>
      <x:c r="AN460" s="4"/>
      <x:c r="AO460" s="4"/>
      <x:c r="AP460" s="4"/>
      <x:c r="AQ460" s="4"/>
      <x:c r="AR460" s="4"/>
      <x:c r="AS460" s="4"/>
      <x:c r="AT460" s="4"/>
      <x:c r="AU460" s="4"/>
      <x:c r="AV460" s="10"/>
      <x:c r="AW460" s="10"/>
      <x:c r="AX460" s="10"/>
      <x:c r="AY460" s="10"/>
      <x:c r="AZ460" s="10" t="n">
        <x:v>213</x:v>
      </x:c>
      <x:c r="BA460" s="10" t="n">
        <x:v>228</x:v>
      </x:c>
      <x:c r="BB460" s="4" t="n">
        <x:v>48.3</x:v>
      </x:c>
      <x:c r="BC460" s="4" t="n">
        <x:v>-0.9</x:v>
      </x:c>
      <x:c r="BD460" s="10" t="n">
        <x:v>151</x:v>
      </x:c>
      <x:c r="BE460" s="10" t="n">
        <x:v>164</x:v>
      </x:c>
      <x:c r="BF460" s="4" t="n">
        <x:v>47.9</x:v>
      </x:c>
      <x:c r="BG460" s="4" t="n">
        <x:v>-1.2</x:v>
      </x:c>
      <x:c r="BH460" s="4" t="n">
        <x:v>6.1</x:v>
      </x:c>
      <x:c r="BI460" s="4" t="n">
        <x:v>92.9</x:v>
      </x:c>
      <x:c r="BJ460" s="4" t="n">
        <x:v>99</x:v>
      </x:c>
      <x:c r="BK460" s="4" t="n">
        <x:v>59.8</x:v>
      </x:c>
      <x:c r="BL460" s="4" t="n">
        <x:v>40.2</x:v>
      </x:c>
      <x:c r="BM460" s="4" t="n">
        <x:v>9.2</x:v>
      </x:c>
      <x:c r="BN460" s="4" t="n">
        <x:v>8.766666666666667</x:v>
      </x:c>
      <x:c r="BO460" s="10" t="n">
        <x:v>6</x:v>
      </x:c>
      <x:c r="BP460" s="10" t="n">
        <x:v>11</x:v>
      </x:c>
      <x:c r="BQ460" s="4" t="n">
        <x:v>-0.7</x:v>
      </x:c>
      <x:c r="BR460" s="10" t="n">
        <x:v>31</x:v>
      </x:c>
      <x:c r="BS460" s="4" t="n">
        <x:v>58.1</x:v>
      </x:c>
      <x:c r="BT460" s="10" t="n">
        <x:v>28</x:v>
      </x:c>
      <x:c r="BU460" s="4" t="str">
        <x:v>VAN</x:v>
      </x:c>
      <x:c r="BV460" s="10"/>
      <x:c r="BW460" s="10"/>
      <x:c r="BX460" s="10" t="n">
        <x:v>26</x:v>
      </x:c>
      <x:c r="BY460" s="4"/>
      <x:c r="BZ460" s="4"/>
      <x:c r="CA460" s="4" t="str">
        <x:v>Arshdeep Bains</x:v>
      </x:c>
      <x:c r="CB460" s="4" t="str">
        <x:v>bainsar01</x:v>
      </x:c>
    </x:row>
    <x:row r="461" ht="22" customHeight="1">
      <x:c r="A461" s="4" t="str">
        <x:v>Arthur Kaliyev</x:v>
      </x:c>
      <x:c r="B461" s="4" t="str">
        <x:v>arthurkaliyev</x:v>
      </x:c>
      <x:c r="C461" s="10" t="n">
        <x:v>1</x:v>
      </x:c>
      <x:c r="D461" s="10" t="n">
        <x:v>0</x:v>
      </x:c>
      <x:c r="E461" s="10" t="n">
        <x:v>1</x:v>
      </x:c>
      <x:c r="F461" s="4" t="n">
        <x:f>IF(COUNT(N461,Q461,T461,W461,Z461,AC461,AF461,AI461)=8,N461*Guide!$E$5+Q461*Guide!$E$6+T461*Guide!$E$7+W461*Guide!$E$8+Z461*Guide!$E$9+AC461*Guide!$E$10+AF461*Guide!$E$11+AI461*Guide!$E$12,"")</x:f>
        <x:v>157.75</x:v>
      </x:c>
      <x:c r="G461" s="4" t="str">
        <x:f>IF(COUNT(O461,R461,U461,X461,AA461,AD461,AG461,AJ461)=8,O461*Guide!$E$5+R461*Guide!$E$6+U461*Guide!$E$7+X461*Guide!$E$8+AA461*Guide!$E$9+AD461*Guide!$E$10+AG461*Guide!$E$11+AJ461*Guide!$E$12,"")</x:f>
      </x:c>
      <x:c r="H461" s="4" t="str">
        <x:f>IF(COUNT(G461,F461)=2,G461-F461,"")</x:f>
      </x:c>
      <x:c r="I461" s="4" t="n">
        <x:f>IF(AND(ISNUMBER(F461),K461&gt;0),F461/K461,"")</x:f>
        <x:v>2.46484375</x:v>
      </x:c>
      <x:c r="J461" s="4" t="str">
        <x:f>IF(AND(ISNUMBER(G461),L461&gt;0),G461/L461,"")</x:f>
      </x:c>
      <x:c r="K461" s="10" t="n">
        <x:v>64</x:v>
      </x:c>
      <x:c r="L461" s="10"/>
      <x:c r="M461" s="10" t="str">
        <x:f>IF(COUNT(L461,K461)=2,L461-K461,"")</x:f>
      </x:c>
      <x:c r="N461" s="10" t="n">
        <x:v>14</x:v>
      </x:c>
      <x:c r="O461" s="10"/>
      <x:c r="P461" s="10" t="str">
        <x:f>IF(COUNT(O461,N461)=2,O461-N461,"")</x:f>
      </x:c>
      <x:c r="Q461" s="10" t="n">
        <x:v>14</x:v>
      </x:c>
      <x:c r="R461" s="10"/>
      <x:c r="S461" s="10" t="str">
        <x:f>IF(COUNT(R461,Q461)=2,R461-Q461,"")</x:f>
      </x:c>
      <x:c r="T461" s="10" t="n">
        <x:v>0</x:v>
      </x:c>
      <x:c r="U461" s="10"/>
      <x:c r="V461" s="10" t="str">
        <x:f>IF(COUNT(U461,T461)=2,U461-T461,"")</x:f>
      </x:c>
      <x:c r="W461" s="10" t="n">
        <x:v>8</x:v>
      </x:c>
      <x:c r="X461" s="10" t="str">
        <x:f>IF(COUNT(AV461,AW461)=2,AV461+AW461,"")</x:f>
      </x:c>
      <x:c r="Y461" s="10" t="str">
        <x:f>IF(COUNT(X461,W461)=2,X461-W461,"")</x:f>
      </x:c>
      <x:c r="Z461" s="10" t="n">
        <x:v>0</x:v>
      </x:c>
      <x:c r="AA461" s="10" t="str">
        <x:f>IF(COUNT(AX461,AY461)=2,AX461+AY461,"")</x:f>
      </x:c>
      <x:c r="AB461" s="10" t="str">
        <x:f>IF(COUNT(AA461,Z461)=2,AA461-Z461,"")</x:f>
      </x:c>
      <x:c r="AC461" s="10" t="n">
        <x:v>114</x:v>
      </x:c>
      <x:c r="AD461" s="10"/>
      <x:c r="AE461" s="10" t="str">
        <x:f>IF(COUNT(AD461,AC461)=2,AD461-AC461,"")</x:f>
      </x:c>
      <x:c r="AF461" s="10" t="n">
        <x:v>36</x:v>
      </x:c>
      <x:c r="AG461" s="10"/>
      <x:c r="AH461" s="10" t="str">
        <x:f>IF(COUNT(AG461,AF461)=2,AG461-AF461,"")</x:f>
      </x:c>
      <x:c r="AI461" s="10" t="n">
        <x:v>19</x:v>
      </x:c>
      <x:c r="AJ461" s="10"/>
      <x:c r="AK461" s="10" t="str">
        <x:f>IF(COUNT(AJ461,AI461)=2,AJ461-AI461,"")</x:f>
      </x:c>
      <x:c r="AL461" s="10" t="n">
        <x:v>24</x:v>
      </x:c>
      <x:c r="AM461" s="10"/>
      <x:c r="AN461" s="4" t="str">
        <x:v>RW</x:v>
      </x:c>
      <x:c r="AO461" s="4"/>
      <x:c r="AP461" s="4" t="str">
        <x:v>OTT</x:v>
      </x:c>
      <x:c r="AQ461" s="4"/>
      <x:c r="AR461" s="4" t="n">
        <x:v>12.559999999999999</x:v>
      </x:c>
      <x:c r="AS461" s="4"/>
      <x:c r="AT461" s="4" t="n">
        <x:v>1.53</x:v>
      </x:c>
      <x:c r="AU461" s="4"/>
      <x:c r="AV461" s="10"/>
      <x:c r="AW461" s="10"/>
      <x:c r="AX461" s="10"/>
      <x:c r="AY461" s="10"/>
      <x:c r="AZ461" s="10" t="n">
        <x:v>29</x:v>
      </x:c>
      <x:c r="BA461" s="10" t="n">
        <x:v>24</x:v>
      </x:c>
      <x:c r="BB461" s="4" t="n">
        <x:v>54.7</x:v>
      </x:c>
      <x:c r="BC461" s="4" t="n">
        <x:v>2.2</x:v>
      </x:c>
      <x:c r="BD461" s="10" t="n">
        <x:v>20</x:v>
      </x:c>
      <x:c r="BE461" s="10" t="n">
        <x:v>18</x:v>
      </x:c>
      <x:c r="BF461" s="4" t="n">
        <x:v>52.6</x:v>
      </x:c>
      <x:c r="BG461" s="4" t="n">
        <x:v>2.2</x:v>
      </x:c>
      <x:c r="BH461" s="4" t="n">
        <x:v>0</x:v>
      </x:c>
      <x:c r="BI461" s="4" t="n">
        <x:v>100</x:v>
      </x:c>
      <x:c r="BJ461" s="4" t="n">
        <x:v>100</x:v>
      </x:c>
      <x:c r="BK461" s="4" t="n">
        <x:v>50</x:v>
      </x:c>
      <x:c r="BL461" s="4" t="n">
        <x:v>50</x:v>
      </x:c>
      <x:c r="BM461" s="4" t="n">
        <x:v>10.616666666666667</x:v>
      </x:c>
      <x:c r="BN461" s="4" t="n">
        <x:v>9.45</x:v>
      </x:c>
      <x:c r="BO461" s="10" t="n">
        <x:v>0</x:v>
      </x:c>
      <x:c r="BP461" s="10" t="n">
        <x:v>2</x:v>
      </x:c>
      <x:c r="BQ461" s="4" t="n">
        <x:v>-0.3</x:v>
      </x:c>
      <x:c r="BR461" s="10" t="n">
        <x:v>8</x:v>
      </x:c>
      <x:c r="BS461" s="4" t="n">
        <x:v>50</x:v>
      </x:c>
      <x:c r="BT461" s="10" t="n">
        <x:v>2</x:v>
      </x:c>
      <x:c r="BU461" s="4" t="str">
        <x:v>OTT</x:v>
      </x:c>
      <x:c r="BV461" s="10" t="n">
        <x:v>402</x:v>
      </x:c>
      <x:c r="BW461" s="10"/>
      <x:c r="BX461" s="10" t="n">
        <x:v>490</x:v>
      </x:c>
      <x:c r="BY461" s="4" t="str">
        <x:v>Arthur Kaliyev</x:v>
      </x:c>
      <x:c r="BZ461" s="4"/>
      <x:c r="CA461" s="4" t="str">
        <x:v>Arthur Kaliyev</x:v>
      </x:c>
      <x:c r="CB461" s="4" t="str">
        <x:v>kaliyar01</x:v>
      </x:c>
    </x:row>
    <x:row r="462" ht="22" customHeight="1">
      <x:c r="A462" s="4" t="str">
        <x:v>Arttu Hyry</x:v>
      </x:c>
      <x:c r="B462" s="4" t="str">
        <x:v>arttuhyry</x:v>
      </x:c>
      <x:c r="C462" s="10" t="n">
        <x:v>0</x:v>
      </x:c>
      <x:c r="D462" s="10" t="n">
        <x:v>0</x:v>
      </x:c>
      <x:c r="E462" s="10" t="n">
        <x:v>1</x:v>
      </x:c>
      <x:c r="F462" s="4" t="str">
        <x:f>IF(COUNT(N462,Q462,T462,W462,Z462,AC462,AF462,AI462)=8,N462*Guide!$E$5+Q462*Guide!$E$6+T462*Guide!$E$7+W462*Guide!$E$8+Z462*Guide!$E$9+AC462*Guide!$E$10+AF462*Guide!$E$11+AI462*Guide!$E$12,"")</x:f>
      </x:c>
      <x:c r="G462" s="4" t="str">
        <x:f>IF(COUNT(O462,R462,U462,X462,AA462,AD462,AG462,AJ462)=8,O462*Guide!$E$5+R462*Guide!$E$6+U462*Guide!$E$7+X462*Guide!$E$8+AA462*Guide!$E$9+AD462*Guide!$E$10+AG462*Guide!$E$11+AJ462*Guide!$E$12,"")</x:f>
      </x:c>
      <x:c r="H462" s="4" t="str">
        <x:f>IF(COUNT(G462,F462)=2,G462-F462,"")</x:f>
      </x:c>
      <x:c r="I462" s="4" t="str">
        <x:f>IF(AND(ISNUMBER(F462),K462&gt;0),F462/K462,"")</x:f>
      </x:c>
      <x:c r="J462" s="4" t="str">
        <x:f>IF(AND(ISNUMBER(G462),L462&gt;0),G462/L462,"")</x:f>
      </x:c>
      <x:c r="K462" s="10"/>
      <x:c r="L462" s="10"/>
      <x:c r="M462" s="10" t="str">
        <x:f>IF(COUNT(L462,K462)=2,L462-K462,"")</x:f>
      </x:c>
      <x:c r="N462" s="10"/>
      <x:c r="O462" s="10"/>
      <x:c r="P462" s="10" t="str">
        <x:f>IF(COUNT(O462,N462)=2,O462-N462,"")</x:f>
      </x:c>
      <x:c r="Q462" s="10"/>
      <x:c r="R462" s="10"/>
      <x:c r="S462" s="10" t="str">
        <x:f>IF(COUNT(R462,Q462)=2,R462-Q462,"")</x:f>
      </x:c>
      <x:c r="T462" s="10"/>
      <x:c r="U462" s="10"/>
      <x:c r="V462" s="10" t="str">
        <x:f>IF(COUNT(U462,T462)=2,U462-T462,"")</x:f>
      </x:c>
      <x:c r="W462" s="10"/>
      <x:c r="X462" s="10" t="str">
        <x:f>IF(COUNT(AV462,AW462)=2,AV462+AW462,"")</x:f>
      </x:c>
      <x:c r="Y462" s="10" t="str">
        <x:f>IF(COUNT(X462,W462)=2,X462-W462,"")</x:f>
      </x:c>
      <x:c r="Z462" s="10"/>
      <x:c r="AA462" s="10" t="str">
        <x:f>IF(COUNT(AX462,AY462)=2,AX462+AY462,"")</x:f>
      </x:c>
      <x:c r="AB462" s="10" t="str">
        <x:f>IF(COUNT(AA462,Z462)=2,AA462-Z462,"")</x:f>
      </x:c>
      <x:c r="AC462" s="10"/>
      <x:c r="AD462" s="10"/>
      <x:c r="AE462" s="10" t="str">
        <x:f>IF(COUNT(AD462,AC462)=2,AD462-AC462,"")</x:f>
      </x:c>
      <x:c r="AF462" s="10"/>
      <x:c r="AG462" s="10"/>
      <x:c r="AH462" s="10" t="str">
        <x:f>IF(COUNT(AG462,AF462)=2,AG462-AF462,"")</x:f>
      </x:c>
      <x:c r="AI462" s="10"/>
      <x:c r="AJ462" s="10"/>
      <x:c r="AK462" s="10" t="str">
        <x:f>IF(COUNT(AJ462,AI462)=2,AJ462-AI462,"")</x:f>
      </x:c>
      <x:c r="AL462" s="10"/>
      <x:c r="AM462" s="10"/>
      <x:c r="AN462" s="4"/>
      <x:c r="AO462" s="4"/>
      <x:c r="AP462" s="4"/>
      <x:c r="AQ462" s="4"/>
      <x:c r="AR462" s="4"/>
      <x:c r="AS462" s="4"/>
      <x:c r="AT462" s="4"/>
      <x:c r="AU462" s="4"/>
      <x:c r="AV462" s="10"/>
      <x:c r="AW462" s="10"/>
      <x:c r="AX462" s="10"/>
      <x:c r="AY462" s="10"/>
      <x:c r="AZ462" s="10" t="n">
        <x:v>146</x:v>
      </x:c>
      <x:c r="BA462" s="10" t="n">
        <x:v>177</x:v>
      </x:c>
      <x:c r="BB462" s="4" t="n">
        <x:v>45.2</x:v>
      </x:c>
      <x:c r="BC462" s="4" t="n">
        <x:v>-5.7</x:v>
      </x:c>
      <x:c r="BD462" s="10" t="n">
        <x:v>110</x:v>
      </x:c>
      <x:c r="BE462" s="10" t="n">
        <x:v>126</x:v>
      </x:c>
      <x:c r="BF462" s="4" t="n">
        <x:v>46.6</x:v>
      </x:c>
      <x:c r="BG462" s="4" t="n">
        <x:v>-5</x:v>
      </x:c>
      <x:c r="BH462" s="4" t="n">
        <x:v>9.7</x:v>
      </x:c>
      <x:c r="BI462" s="4" t="n">
        <x:v>91.5</x:v>
      </x:c>
      <x:c r="BJ462" s="4" t="n">
        <x:v>101.2</x:v>
      </x:c>
      <x:c r="BK462" s="4" t="n">
        <x:v>40.7</x:v>
      </x:c>
      <x:c r="BL462" s="4" t="n">
        <x:v>59.3</x:v>
      </x:c>
      <x:c r="BM462" s="4" t="n">
        <x:v>11.783333333333333</x:v>
      </x:c>
      <x:c r="BN462" s="4" t="n">
        <x:v>9.65</x:v>
      </x:c>
      <x:c r="BO462" s="10" t="n">
        <x:v>4</x:v>
      </x:c>
      <x:c r="BP462" s="10" t="n">
        <x:v>12</x:v>
      </x:c>
      <x:c r="BQ462" s="4" t="n">
        <x:v>-2</x:v>
      </x:c>
      <x:c r="BR462" s="10" t="n">
        <x:v>42</x:v>
      </x:c>
      <x:c r="BS462" s="4" t="n">
        <x:v>59.5</x:v>
      </x:c>
      <x:c r="BT462" s="10" t="n">
        <x:v>20</x:v>
      </x:c>
      <x:c r="BU462" s="4" t="str">
        <x:v>DAL</x:v>
      </x:c>
      <x:c r="BV462" s="10"/>
      <x:c r="BW462" s="10"/>
      <x:c r="BX462" s="10" t="n">
        <x:v>446</x:v>
      </x:c>
      <x:c r="BY462" s="4"/>
      <x:c r="BZ462" s="4"/>
      <x:c r="CA462" s="4" t="str">
        <x:v>Arttu Hyry</x:v>
      </x:c>
      <x:c r="CB462" s="4" t="str">
        <x:v>hyryar01</x:v>
      </x:c>
    </x:row>
    <x:row r="463" ht="22" customHeight="1">
      <x:c r="A463" s="4" t="str">
        <x:v>Austin Watson</x:v>
      </x:c>
      <x:c r="B463" s="4" t="str">
        <x:v>austinwatson</x:v>
      </x:c>
      <x:c r="C463" s="10" t="n">
        <x:v>1</x:v>
      </x:c>
      <x:c r="D463" s="10" t="n">
        <x:v>0</x:v>
      </x:c>
      <x:c r="E463" s="10" t="n">
        <x:v>0</x:v>
      </x:c>
      <x:c r="F463" s="4" t="n">
        <x:f>IF(COUNT(N463,Q463,T463,W463,Z463,AC463,AF463,AI463)=8,N463*Guide!$E$5+Q463*Guide!$E$6+T463*Guide!$E$7+W463*Guide!$E$8+Z463*Guide!$E$9+AC463*Guide!$E$10+AF463*Guide!$E$11+AI463*Guide!$E$12,"")</x:f>
        <x:v>59</x:v>
      </x:c>
      <x:c r="G463" s="4" t="str">
        <x:f>IF(COUNT(O463,R463,U463,X463,AA463,AD463,AG463,AJ463)=8,O463*Guide!$E$5+R463*Guide!$E$6+U463*Guide!$E$7+X463*Guide!$E$8+AA463*Guide!$E$9+AD463*Guide!$E$10+AG463*Guide!$E$11+AJ463*Guide!$E$12,"")</x:f>
      </x:c>
      <x:c r="H463" s="4" t="str">
        <x:f>IF(COUNT(G463,F463)=2,G463-F463,"")</x:f>
      </x:c>
      <x:c r="I463" s="4" t="n">
        <x:f>IF(AND(ISNUMBER(F463),K463&gt;0),F463/K463,"")</x:f>
        <x:v>1.7352941176470589</x:v>
      </x:c>
      <x:c r="J463" s="4" t="str">
        <x:f>IF(AND(ISNUMBER(G463),L463&gt;0),G463/L463,"")</x:f>
      </x:c>
      <x:c r="K463" s="10" t="n">
        <x:v>34</x:v>
      </x:c>
      <x:c r="L463" s="10"/>
      <x:c r="M463" s="10" t="str">
        <x:f>IF(COUNT(L463,K463)=2,L463-K463,"")</x:f>
      </x:c>
      <x:c r="N463" s="10" t="n">
        <x:v>3</x:v>
      </x:c>
      <x:c r="O463" s="10"/>
      <x:c r="P463" s="10" t="str">
        <x:f>IF(COUNT(O463,N463)=2,O463-N463,"")</x:f>
      </x:c>
      <x:c r="Q463" s="10" t="n">
        <x:v>3</x:v>
      </x:c>
      <x:c r="R463" s="10"/>
      <x:c r="S463" s="10" t="str">
        <x:f>IF(COUNT(R463,Q463)=2,R463-Q463,"")</x:f>
      </x:c>
      <x:c r="T463" s="10" t="n">
        <x:v>-1</x:v>
      </x:c>
      <x:c r="U463" s="10"/>
      <x:c r="V463" s="10" t="str">
        <x:f>IF(COUNT(U463,T463)=2,U463-T463,"")</x:f>
      </x:c>
      <x:c r="W463" s="10" t="n">
        <x:v>0</x:v>
      </x:c>
      <x:c r="X463" s="10" t="str">
        <x:f>IF(COUNT(AV463,AW463)=2,AV463+AW463,"")</x:f>
      </x:c>
      <x:c r="Y463" s="10" t="str">
        <x:f>IF(COUNT(X463,W463)=2,X463-W463,"")</x:f>
      </x:c>
      <x:c r="Z463" s="10" t="n">
        <x:v>0</x:v>
      </x:c>
      <x:c r="AA463" s="10" t="str">
        <x:f>IF(COUNT(AX463,AY463)=2,AX463+AY463,"")</x:f>
      </x:c>
      <x:c r="AB463" s="10" t="str">
        <x:f>IF(COUNT(AA463,Z463)=2,AA463-Z463,"")</x:f>
      </x:c>
      <x:c r="AC463" s="10" t="n">
        <x:v>22</x:v>
      </x:c>
      <x:c r="AD463" s="10"/>
      <x:c r="AE463" s="10" t="str">
        <x:f>IF(COUNT(AD463,AC463)=2,AD463-AC463,"")</x:f>
      </x:c>
      <x:c r="AF463" s="10" t="n">
        <x:v>80</x:v>
      </x:c>
      <x:c r="AG463" s="10"/>
      <x:c r="AH463" s="10" t="str">
        <x:f>IF(COUNT(AG463,AF463)=2,AG463-AF463,"")</x:f>
      </x:c>
      <x:c r="AI463" s="10" t="n">
        <x:v>18</x:v>
      </x:c>
      <x:c r="AJ463" s="10"/>
      <x:c r="AK463" s="10" t="str">
        <x:f>IF(COUNT(AJ463,AI463)=2,AJ463-AI463,"")</x:f>
      </x:c>
      <x:c r="AL463" s="10" t="n">
        <x:v>34</x:v>
      </x:c>
      <x:c r="AM463" s="10"/>
      <x:c r="AN463" s="4" t="str">
        <x:v>LW</x:v>
      </x:c>
      <x:c r="AO463" s="4"/>
      <x:c r="AP463" s="4" t="str">
        <x:v>DET</x:v>
      </x:c>
      <x:c r="AQ463" s="4"/>
      <x:c r="AR463" s="4" t="n">
        <x:v>7.78</x:v>
      </x:c>
      <x:c r="AS463" s="4"/>
      <x:c r="AT463" s="4" t="n">
        <x:v>0</x:v>
      </x:c>
      <x:c r="AU463" s="4"/>
      <x:c r="AV463" s="10"/>
      <x:c r="AW463" s="10"/>
      <x:c r="AX463" s="10"/>
      <x:c r="AY463" s="10"/>
      <x:c r="AZ463" s="10"/>
      <x:c r="BA463" s="10"/>
      <x:c r="BB463" s="4"/>
      <x:c r="BC463" s="4"/>
      <x:c r="BD463" s="10"/>
      <x:c r="BE463" s="10"/>
      <x:c r="BF463" s="4"/>
      <x:c r="BG463" s="4"/>
      <x:c r="BH463" s="4"/>
      <x:c r="BI463" s="4"/>
      <x:c r="BJ463" s="4"/>
      <x:c r="BK463" s="4"/>
      <x:c r="BL463" s="4"/>
      <x:c r="BM463" s="4"/>
      <x:c r="BN463" s="4"/>
      <x:c r="BO463" s="10"/>
      <x:c r="BP463" s="10"/>
      <x:c r="BQ463" s="4"/>
      <x:c r="BR463" s="10"/>
      <x:c r="BS463" s="4"/>
      <x:c r="BT463" s="10"/>
      <x:c r="BU463" s="4"/>
      <x:c r="BV463" s="10" t="n">
        <x:v>761</x:v>
      </x:c>
      <x:c r="BW463" s="10"/>
      <x:c r="BX463" s="10"/>
      <x:c r="BY463" s="4" t="str">
        <x:v>Austin Watson</x:v>
      </x:c>
      <x:c r="BZ463" s="4"/>
      <x:c r="CA463" s="4"/>
      <x:c r="CB463" s="4"/>
    </x:row>
    <x:row r="464" ht="22" customHeight="1">
      <x:c r="A464" s="4" t="str">
        <x:v>Avery Hayes</x:v>
      </x:c>
      <x:c r="B464" s="4" t="str">
        <x:v>averyhayes</x:v>
      </x:c>
      <x:c r="C464" s="10" t="n">
        <x:v>0</x:v>
      </x:c>
      <x:c r="D464" s="10" t="n">
        <x:v>0</x:v>
      </x:c>
      <x:c r="E464" s="10" t="n">
        <x:v>1</x:v>
      </x:c>
      <x:c r="F464" s="4" t="str">
        <x:f>IF(COUNT(N464,Q464,T464,W464,Z464,AC464,AF464,AI464)=8,N464*Guide!$E$5+Q464*Guide!$E$6+T464*Guide!$E$7+W464*Guide!$E$8+Z464*Guide!$E$9+AC464*Guide!$E$10+AF464*Guide!$E$11+AI464*Guide!$E$12,"")</x:f>
      </x:c>
      <x:c r="G464" s="4" t="str">
        <x:f>IF(COUNT(O464,R464,U464,X464,AA464,AD464,AG464,AJ464)=8,O464*Guide!$E$5+R464*Guide!$E$6+U464*Guide!$E$7+X464*Guide!$E$8+AA464*Guide!$E$9+AD464*Guide!$E$10+AG464*Guide!$E$11+AJ464*Guide!$E$12,"")</x:f>
      </x:c>
      <x:c r="H464" s="4" t="str">
        <x:f>IF(COUNT(G464,F464)=2,G464-F464,"")</x:f>
      </x:c>
      <x:c r="I464" s="4" t="str">
        <x:f>IF(AND(ISNUMBER(F464),K464&gt;0),F464/K464,"")</x:f>
      </x:c>
      <x:c r="J464" s="4" t="str">
        <x:f>IF(AND(ISNUMBER(G464),L464&gt;0),G464/L464,"")</x:f>
      </x:c>
      <x:c r="K464" s="10"/>
      <x:c r="L464" s="10"/>
      <x:c r="M464" s="10" t="str">
        <x:f>IF(COUNT(L464,K464)=2,L464-K464,"")</x:f>
      </x:c>
      <x:c r="N464" s="10"/>
      <x:c r="O464" s="10"/>
      <x:c r="P464" s="10" t="str">
        <x:f>IF(COUNT(O464,N464)=2,O464-N464,"")</x:f>
      </x:c>
      <x:c r="Q464" s="10"/>
      <x:c r="R464" s="10"/>
      <x:c r="S464" s="10" t="str">
        <x:f>IF(COUNT(R464,Q464)=2,R464-Q464,"")</x:f>
      </x:c>
      <x:c r="T464" s="10"/>
      <x:c r="U464" s="10"/>
      <x:c r="V464" s="10" t="str">
        <x:f>IF(COUNT(U464,T464)=2,U464-T464,"")</x:f>
      </x:c>
      <x:c r="W464" s="10"/>
      <x:c r="X464" s="10" t="str">
        <x:f>IF(COUNT(AV464,AW464)=2,AV464+AW464,"")</x:f>
      </x:c>
      <x:c r="Y464" s="10" t="str">
        <x:f>IF(COUNT(X464,W464)=2,X464-W464,"")</x:f>
      </x:c>
      <x:c r="Z464" s="10"/>
      <x:c r="AA464" s="10" t="str">
        <x:f>IF(COUNT(AX464,AY464)=2,AX464+AY464,"")</x:f>
      </x:c>
      <x:c r="AB464" s="10" t="str">
        <x:f>IF(COUNT(AA464,Z464)=2,AA464-Z464,"")</x:f>
      </x:c>
      <x:c r="AC464" s="10"/>
      <x:c r="AD464" s="10"/>
      <x:c r="AE464" s="10" t="str">
        <x:f>IF(COUNT(AD464,AC464)=2,AD464-AC464,"")</x:f>
      </x:c>
      <x:c r="AF464" s="10"/>
      <x:c r="AG464" s="10"/>
      <x:c r="AH464" s="10" t="str">
        <x:f>IF(COUNT(AG464,AF464)=2,AG464-AF464,"")</x:f>
      </x:c>
      <x:c r="AI464" s="10"/>
      <x:c r="AJ464" s="10"/>
      <x:c r="AK464" s="10" t="str">
        <x:f>IF(COUNT(AJ464,AI464)=2,AJ464-AI464,"")</x:f>
      </x:c>
      <x:c r="AL464" s="10"/>
      <x:c r="AM464" s="10"/>
      <x:c r="AN464" s="4"/>
      <x:c r="AO464" s="4"/>
      <x:c r="AP464" s="4"/>
      <x:c r="AQ464" s="4"/>
      <x:c r="AR464" s="4"/>
      <x:c r="AS464" s="4"/>
      <x:c r="AT464" s="4"/>
      <x:c r="AU464" s="4"/>
      <x:c r="AV464" s="10"/>
      <x:c r="AW464" s="10"/>
      <x:c r="AX464" s="10"/>
      <x:c r="AY464" s="10"/>
      <x:c r="AZ464" s="10" t="n">
        <x:v>145</x:v>
      </x:c>
      <x:c r="BA464" s="10" t="n">
        <x:v>177</x:v>
      </x:c>
      <x:c r="BB464" s="4" t="n">
        <x:v>45</x:v>
      </x:c>
      <x:c r="BC464" s="4" t="n">
        <x:v>-5.2</x:v>
      </x:c>
      <x:c r="BD464" s="10" t="n">
        <x:v>104</x:v>
      </x:c>
      <x:c r="BE464" s="10" t="n">
        <x:v>125</x:v>
      </x:c>
      <x:c r="BF464" s="4" t="n">
        <x:v>45.4</x:v>
      </x:c>
      <x:c r="BG464" s="4" t="n">
        <x:v>-5.1</x:v>
      </x:c>
      <x:c r="BH464" s="4" t="n">
        <x:v>11.7</x:v>
      </x:c>
      <x:c r="BI464" s="4" t="n">
        <x:v>88</x:v>
      </x:c>
      <x:c r="BJ464" s="4" t="n">
        <x:v>99.6</x:v>
      </x:c>
      <x:c r="BK464" s="4" t="n">
        <x:v>56</x:v>
      </x:c>
      <x:c r="BL464" s="4" t="n">
        <x:v>44</x:v>
      </x:c>
      <x:c r="BM464" s="4" t="n">
        <x:v>11.166666666666666</x:v>
      </x:c>
      <x:c r="BN464" s="4" t="n">
        <x:v>0.4583333333333333</x:v>
      </x:c>
      <x:c r="BO464" s="10" t="n">
        <x:v>5</x:v>
      </x:c>
      <x:c r="BP464" s="10" t="n">
        <x:v>8</x:v>
      </x:c>
      <x:c r="BQ464" s="4" t="n">
        <x:v>-2.5</x:v>
      </x:c>
      <x:c r="BR464" s="10" t="n">
        <x:v>53</x:v>
      </x:c>
      <x:c r="BS464" s="4" t="n">
        <x:v>47.2</x:v>
      </x:c>
      <x:c r="BT464" s="10" t="n">
        <x:v>16</x:v>
      </x:c>
      <x:c r="BU464" s="4" t="str">
        <x:v>PIT</x:v>
      </x:c>
      <x:c r="BV464" s="10"/>
      <x:c r="BW464" s="10"/>
      <x:c r="BX464" s="10" t="n">
        <x:v>396</x:v>
      </x:c>
      <x:c r="BY464" s="4"/>
      <x:c r="BZ464" s="4"/>
      <x:c r="CA464" s="4" t="str">
        <x:v>Avery Hayes</x:v>
      </x:c>
      <x:c r="CB464" s="4" t="str">
        <x:v>hayesav01</x:v>
      </x:c>
    </x:row>
    <x:row r="465" ht="22" customHeight="1">
      <x:c r="A465" s="4" t="str">
        <x:v>Axel Sandin Pellikka</x:v>
      </x:c>
      <x:c r="B465" s="4" t="str">
        <x:v>axelsandinpellikka</x:v>
      </x:c>
      <x:c r="C465" s="10" t="n">
        <x:v>0</x:v>
      </x:c>
      <x:c r="D465" s="10" t="n">
        <x:v>1</x:v>
      </x:c>
      <x:c r="E465" s="10" t="n">
        <x:v>1</x:v>
      </x:c>
      <x:c r="F465" s="4" t="str">
        <x:f>IF(COUNT(N465,Q465,T465,W465,Z465,AC465,AF465,AI465)=8,N465*Guide!$E$5+Q465*Guide!$E$6+T465*Guide!$E$7+W465*Guide!$E$8+Z465*Guide!$E$9+AC465*Guide!$E$10+AF465*Guide!$E$11+AI465*Guide!$E$12,"")</x:f>
      </x:c>
      <x:c r="G465" s="4" t="n">
        <x:f>IF(COUNT(O465,R465,U465,X465,AA465,AD465,AG465,AJ465)=8,O465*Guide!$E$5+R465*Guide!$E$6+U465*Guide!$E$7+X465*Guide!$E$8+AA465*Guide!$E$9+AD465*Guide!$E$10+AG465*Guide!$E$11+AJ465*Guide!$E$12,"")</x:f>
        <x:v>118.75</x:v>
      </x:c>
      <x:c r="H465" s="4" t="str">
        <x:f>IF(COUNT(G465,F465)=2,G465-F465,"")</x:f>
      </x:c>
      <x:c r="I465" s="4" t="str">
        <x:f>IF(AND(ISNUMBER(F465),K465&gt;0),F465/K465,"")</x:f>
      </x:c>
      <x:c r="J465" s="4" t="n">
        <x:f>IF(AND(ISNUMBER(G465),L465&gt;0),G465/L465,"")</x:f>
        <x:v>1.7463235294117647</x:v>
      </x:c>
      <x:c r="K465" s="10"/>
      <x:c r="L465" s="10" t="n">
        <x:v>68</x:v>
      </x:c>
      <x:c r="M465" s="10" t="str">
        <x:f>IF(COUNT(L465,K465)=2,L465-K465,"")</x:f>
      </x:c>
      <x:c r="N465" s="10"/>
      <x:c r="O465" s="10" t="n">
        <x:v>7</x:v>
      </x:c>
      <x:c r="P465" s="10" t="str">
        <x:f>IF(COUNT(O465,N465)=2,O465-N465,"")</x:f>
      </x:c>
      <x:c r="Q465" s="10"/>
      <x:c r="R465" s="10" t="n">
        <x:v>14</x:v>
      </x:c>
      <x:c r="S465" s="10" t="str">
        <x:f>IF(COUNT(R465,Q465)=2,R465-Q465,"")</x:f>
      </x:c>
      <x:c r="T465" s="10"/>
      <x:c r="U465" s="10" t="n">
        <x:v>-20</x:v>
      </x:c>
      <x:c r="V465" s="10" t="str">
        <x:f>IF(COUNT(U465,T465)=2,U465-T465,"")</x:f>
      </x:c>
      <x:c r="W465" s="10"/>
      <x:c r="X465" s="10" t="n">
        <x:f>IF(COUNT(AV465,AW465)=2,AV465+AW465,"")</x:f>
        <x:v>7</x:v>
      </x:c>
      <x:c r="Y465" s="10" t="str">
        <x:f>IF(COUNT(X465,W465)=2,X465-W465,"")</x:f>
      </x:c>
      <x:c r="Z465" s="10"/>
      <x:c r="AA465" s="10" t="n">
        <x:f>IF(COUNT(AX465,AY465)=2,AX465+AY465,"")</x:f>
        <x:v>0</x:v>
      </x:c>
      <x:c r="AB465" s="10" t="str">
        <x:f>IF(COUNT(AA465,Z465)=2,AA465-Z465,"")</x:f>
      </x:c>
      <x:c r="AC465" s="10"/>
      <x:c r="AD465" s="10" t="n">
        <x:v>68</x:v>
      </x:c>
      <x:c r="AE465" s="10" t="str">
        <x:f>IF(COUNT(AD465,AC465)=2,AD465-AC465,"")</x:f>
      </x:c>
      <x:c r="AF465" s="10"/>
      <x:c r="AG465" s="10" t="n">
        <x:v>17</x:v>
      </x:c>
      <x:c r="AH465" s="10" t="str">
        <x:f>IF(COUNT(AG465,AF465)=2,AG465-AF465,"")</x:f>
      </x:c>
      <x:c r="AI465" s="10"/>
      <x:c r="AJ465" s="10" t="n">
        <x:v>54</x:v>
      </x:c>
      <x:c r="AK465" s="10" t="str">
        <x:f>IF(COUNT(AJ465,AI465)=2,AJ465-AI465,"")</x:f>
      </x:c>
      <x:c r="AL465" s="10"/>
      <x:c r="AM465" s="10" t="n">
        <x:v>20</x:v>
      </x:c>
      <x:c r="AN465" s="4"/>
      <x:c r="AO465" s="4" t="str">
        <x:v>D</x:v>
      </x:c>
      <x:c r="AP465" s="4"/>
      <x:c r="AQ465" s="4" t="str">
        <x:v>DET</x:v>
      </x:c>
      <x:c r="AR465" s="4"/>
      <x:c r="AS465" s="4" t="n">
        <x:v>16.216666666666665</x:v>
      </x:c>
      <x:c r="AT465" s="4"/>
      <x:c r="AU465" s="4" t="n">
        <x:v>10.3</x:v>
      </x:c>
      <x:c r="AV465" s="10" t="n">
        <x:v>1</x:v>
      </x:c>
      <x:c r="AW465" s="10" t="n">
        <x:v>6</x:v>
      </x:c>
      <x:c r="AX465" s="10" t="n">
        <x:v>0</x:v>
      </x:c>
      <x:c r="AY465" s="10" t="n">
        <x:v>0</x:v>
      </x:c>
      <x:c r="AZ465" s="10" t="n">
        <x:v>950</x:v>
      </x:c>
      <x:c r="BA465" s="10" t="n">
        <x:v>940</x:v>
      </x:c>
      <x:c r="BB465" s="4" t="n">
        <x:v>50.3</x:v>
      </x:c>
      <x:c r="BC465" s="4" t="n">
        <x:v>1.2</x:v>
      </x:c>
      <x:c r="BD465" s="10" t="n">
        <x:v>681</x:v>
      </x:c>
      <x:c r="BE465" s="10" t="n">
        <x:v>689</x:v>
      </x:c>
      <x:c r="BF465" s="4" t="n">
        <x:v>49.7</x:v>
      </x:c>
      <x:c r="BG465" s="4" t="n">
        <x:v>-0.7</x:v>
      </x:c>
      <x:c r="BH465" s="4" t="n">
        <x:v>7.7</x:v>
      </x:c>
      <x:c r="BI465" s="4" t="n">
        <x:v>87.9</x:v>
      </x:c>
      <x:c r="BJ465" s="4" t="n">
        <x:v>95.7</x:v>
      </x:c>
      <x:c r="BK465" s="4" t="n">
        <x:v>54.9</x:v>
      </x:c>
      <x:c r="BL465" s="4" t="n">
        <x:v>45.1</x:v>
      </x:c>
      <x:c r="BM465" s="4" t="n">
        <x:v>16.216666666666665</x:v>
      </x:c>
      <x:c r="BN465" s="4" t="n">
        <x:v>14.183333333333334</x:v>
      </x:c>
      <x:c r="BO465" s="10" t="n">
        <x:v>8</x:v>
      </x:c>
      <x:c r="BP465" s="10" t="n">
        <x:v>60</x:v>
      </x:c>
      <x:c r="BQ465" s="4" t="n">
        <x:v>-3.9</x:v>
      </x:c>
      <x:c r="BR465" s="10" t="n">
        <x:v>211</x:v>
      </x:c>
      <x:c r="BS465" s="4" t="n">
        <x:v>32.2</x:v>
      </x:c>
      <x:c r="BT465" s="10" t="n">
        <x:v>68</x:v>
      </x:c>
      <x:c r="BU465" s="4" t="str">
        <x:v>DET</x:v>
      </x:c>
      <x:c r="BV465" s="10"/>
      <x:c r="BW465" s="10" t="n">
        <x:v>452</x:v>
      </x:c>
      <x:c r="BX465" s="10" t="n">
        <x:v>896</x:v>
      </x:c>
      <x:c r="BY465" s="4"/>
      <x:c r="BZ465" s="4" t="str">
        <x:v>Axel Sandin Pellikka</x:v>
      </x:c>
      <x:c r="CA465" s="4" t="str">
        <x:v>Axel Sandin Pellikka</x:v>
      </x:c>
      <x:c r="CB465" s="4" t="str">
        <x:v>sandiax01</x:v>
      </x:c>
    </x:row>
    <x:row r="466" ht="22" customHeight="1">
      <x:c r="A466" s="4" t="str">
        <x:v>Aydar Suniev</x:v>
      </x:c>
      <x:c r="B466" s="4" t="str">
        <x:v>aydarsuniev</x:v>
      </x:c>
      <x:c r="C466" s="10" t="n">
        <x:v>0</x:v>
      </x:c>
      <x:c r="D466" s="10" t="n">
        <x:v>0</x:v>
      </x:c>
      <x:c r="E466" s="10" t="n">
        <x:v>1</x:v>
      </x:c>
      <x:c r="F466" s="4" t="str">
        <x:f>IF(COUNT(N466,Q466,T466,W466,Z466,AC466,AF466,AI466)=8,N466*Guide!$E$5+Q466*Guide!$E$6+T466*Guide!$E$7+W466*Guide!$E$8+Z466*Guide!$E$9+AC466*Guide!$E$10+AF466*Guide!$E$11+AI466*Guide!$E$12,"")</x:f>
      </x:c>
      <x:c r="G466" s="4" t="str">
        <x:f>IF(COUNT(O466,R466,U466,X466,AA466,AD466,AG466,AJ466)=8,O466*Guide!$E$5+R466*Guide!$E$6+U466*Guide!$E$7+X466*Guide!$E$8+AA466*Guide!$E$9+AD466*Guide!$E$10+AG466*Guide!$E$11+AJ466*Guide!$E$12,"")</x:f>
      </x:c>
      <x:c r="H466" s="4" t="str">
        <x:f>IF(COUNT(G466,F466)=2,G466-F466,"")</x:f>
      </x:c>
      <x:c r="I466" s="4" t="str">
        <x:f>IF(AND(ISNUMBER(F466),K466&gt;0),F466/K466,"")</x:f>
      </x:c>
      <x:c r="J466" s="4" t="str">
        <x:f>IF(AND(ISNUMBER(G466),L466&gt;0),G466/L466,"")</x:f>
      </x:c>
      <x:c r="K466" s="10"/>
      <x:c r="L466" s="10"/>
      <x:c r="M466" s="10" t="str">
        <x:f>IF(COUNT(L466,K466)=2,L466-K466,"")</x:f>
      </x:c>
      <x:c r="N466" s="10"/>
      <x:c r="O466" s="10"/>
      <x:c r="P466" s="10" t="str">
        <x:f>IF(COUNT(O466,N466)=2,O466-N466,"")</x:f>
      </x:c>
      <x:c r="Q466" s="10"/>
      <x:c r="R466" s="10"/>
      <x:c r="S466" s="10" t="str">
        <x:f>IF(COUNT(R466,Q466)=2,R466-Q466,"")</x:f>
      </x:c>
      <x:c r="T466" s="10"/>
      <x:c r="U466" s="10"/>
      <x:c r="V466" s="10" t="str">
        <x:f>IF(COUNT(U466,T466)=2,U466-T466,"")</x:f>
      </x:c>
      <x:c r="W466" s="10"/>
      <x:c r="X466" s="10" t="str">
        <x:f>IF(COUNT(AV466,AW466)=2,AV466+AW466,"")</x:f>
      </x:c>
      <x:c r="Y466" s="10" t="str">
        <x:f>IF(COUNT(X466,W466)=2,X466-W466,"")</x:f>
      </x:c>
      <x:c r="Z466" s="10"/>
      <x:c r="AA466" s="10" t="str">
        <x:f>IF(COUNT(AX466,AY466)=2,AX466+AY466,"")</x:f>
      </x:c>
      <x:c r="AB466" s="10" t="str">
        <x:f>IF(COUNT(AA466,Z466)=2,AA466-Z466,"")</x:f>
      </x:c>
      <x:c r="AC466" s="10"/>
      <x:c r="AD466" s="10"/>
      <x:c r="AE466" s="10" t="str">
        <x:f>IF(COUNT(AD466,AC466)=2,AD466-AC466,"")</x:f>
      </x:c>
      <x:c r="AF466" s="10"/>
      <x:c r="AG466" s="10"/>
      <x:c r="AH466" s="10" t="str">
        <x:f>IF(COUNT(AG466,AF466)=2,AG466-AF466,"")</x:f>
      </x:c>
      <x:c r="AI466" s="10"/>
      <x:c r="AJ466" s="10"/>
      <x:c r="AK466" s="10" t="str">
        <x:f>IF(COUNT(AJ466,AI466)=2,AJ466-AI466,"")</x:f>
      </x:c>
      <x:c r="AL466" s="10"/>
      <x:c r="AM466" s="10"/>
      <x:c r="AN466" s="4"/>
      <x:c r="AO466" s="4"/>
      <x:c r="AP466" s="4"/>
      <x:c r="AQ466" s="4"/>
      <x:c r="AR466" s="4"/>
      <x:c r="AS466" s="4"/>
      <x:c r="AT466" s="4"/>
      <x:c r="AU466" s="4"/>
      <x:c r="AV466" s="10"/>
      <x:c r="AW466" s="10"/>
      <x:c r="AX466" s="10"/>
      <x:c r="AY466" s="10"/>
      <x:c r="AZ466" s="10" t="n">
        <x:v>49</x:v>
      </x:c>
      <x:c r="BA466" s="10" t="n">
        <x:v>57</x:v>
      </x:c>
      <x:c r="BB466" s="4" t="n">
        <x:v>46.2</x:v>
      </x:c>
      <x:c r="BC466" s="4" t="n">
        <x:v>1.7</x:v>
      </x:c>
      <x:c r="BD466" s="10" t="n">
        <x:v>34</x:v>
      </x:c>
      <x:c r="BE466" s="10" t="n">
        <x:v>41</x:v>
      </x:c>
      <x:c r="BF466" s="4" t="n">
        <x:v>45.3</x:v>
      </x:c>
      <x:c r="BG466" s="4" t="n">
        <x:v>-0.8</x:v>
      </x:c>
      <x:c r="BH466" s="4" t="n">
        <x:v>7.4</x:v>
      </x:c>
      <x:c r="BI466" s="4" t="n">
        <x:v>92</x:v>
      </x:c>
      <x:c r="BJ466" s="4" t="n">
        <x:v>99.4</x:v>
      </x:c>
      <x:c r="BK466" s="4" t="n">
        <x:v>58.1</x:v>
      </x:c>
      <x:c r="BL466" s="4" t="n">
        <x:v>41.9</x:v>
      </x:c>
      <x:c r="BM466" s="4" t="n">
        <x:v>11.616666666666667</x:v>
      </x:c>
      <x:c r="BN466" s="4" t="n">
        <x:v>10.083333333333334</x:v>
      </x:c>
      <x:c r="BO466" s="10" t="n">
        <x:v>2</x:v>
      </x:c>
      <x:c r="BP466" s="10" t="n">
        <x:v>3</x:v>
      </x:c>
      <x:c r="BQ466" s="4" t="n">
        <x:v>0.7</x:v>
      </x:c>
      <x:c r="BR466" s="10" t="n">
        <x:v>15</x:v>
      </x:c>
      <x:c r="BS466" s="4" t="n">
        <x:v>60</x:v>
      </x:c>
      <x:c r="BT466" s="10" t="n">
        <x:v>6</x:v>
      </x:c>
      <x:c r="BU466" s="4" t="str">
        <x:v>CGY</x:v>
      </x:c>
      <x:c r="BV466" s="10"/>
      <x:c r="BW466" s="10"/>
      <x:c r="BX466" s="10" t="n">
        <x:v>996</x:v>
      </x:c>
      <x:c r="BY466" s="4"/>
      <x:c r="BZ466" s="4"/>
      <x:c r="CA466" s="4" t="str">
        <x:v>Aydar Suniev</x:v>
      </x:c>
      <x:c r="CB466" s="4" t="str">
        <x:v>sunieay01</x:v>
      </x:c>
    </x:row>
    <x:row r="467" ht="22" customHeight="1">
      <x:c r="A467" s="4" t="str">
        <x:v>Barclay Goodrow</x:v>
      </x:c>
      <x:c r="B467" s="4" t="str">
        <x:v>barclaygoodrow</x:v>
      </x:c>
      <x:c r="C467" s="10" t="n">
        <x:v>1</x:v>
      </x:c>
      <x:c r="D467" s="10" t="n">
        <x:v>0</x:v>
      </x:c>
      <x:c r="E467" s="10" t="n">
        <x:v>1</x:v>
      </x:c>
      <x:c r="F467" s="4" t="n">
        <x:f>IF(COUNT(N467,Q467,T467,W467,Z467,AC467,AF467,AI467)=8,N467*Guide!$E$5+Q467*Guide!$E$6+T467*Guide!$E$7+W467*Guide!$E$8+Z467*Guide!$E$9+AC467*Guide!$E$10+AF467*Guide!$E$11+AI467*Guide!$E$12,"")</x:f>
        <x:v>149.5</x:v>
      </x:c>
      <x:c r="G467" s="4" t="str">
        <x:f>IF(COUNT(O467,R467,U467,X467,AA467,AD467,AG467,AJ467)=8,O467*Guide!$E$5+R467*Guide!$E$6+U467*Guide!$E$7+X467*Guide!$E$8+AA467*Guide!$E$9+AD467*Guide!$E$10+AG467*Guide!$E$11+AJ467*Guide!$E$12,"")</x:f>
      </x:c>
      <x:c r="H467" s="4" t="str">
        <x:f>IF(COUNT(G467,F467)=2,G467-F467,"")</x:f>
      </x:c>
      <x:c r="I467" s="4" t="n">
        <x:f>IF(AND(ISNUMBER(F467),K467&gt;0),F467/K467,"")</x:f>
        <x:v>1.9415584415584415</x:v>
      </x:c>
      <x:c r="J467" s="4" t="str">
        <x:f>IF(AND(ISNUMBER(G467),L467&gt;0),G467/L467,"")</x:f>
      </x:c>
      <x:c r="K467" s="10" t="n">
        <x:v>77</x:v>
      </x:c>
      <x:c r="L467" s="10"/>
      <x:c r="M467" s="10" t="str">
        <x:f>IF(COUNT(L467,K467)=2,L467-K467,"")</x:f>
      </x:c>
      <x:c r="N467" s="10" t="n">
        <x:v>7</x:v>
      </x:c>
      <x:c r="O467" s="10"/>
      <x:c r="P467" s="10" t="str">
        <x:f>IF(COUNT(O467,N467)=2,O467-N467,"")</x:f>
      </x:c>
      <x:c r="Q467" s="10" t="n">
        <x:v>10</x:v>
      </x:c>
      <x:c r="R467" s="10"/>
      <x:c r="S467" s="10" t="str">
        <x:f>IF(COUNT(R467,Q467)=2,R467-Q467,"")</x:f>
      </x:c>
      <x:c r="T467" s="10" t="n">
        <x:v>-16</x:v>
      </x:c>
      <x:c r="U467" s="10"/>
      <x:c r="V467" s="10" t="str">
        <x:f>IF(COUNT(U467,T467)=2,U467-T467,"")</x:f>
      </x:c>
      <x:c r="W467" s="10" t="n">
        <x:v>2</x:v>
      </x:c>
      <x:c r="X467" s="10" t="str">
        <x:f>IF(COUNT(AV467,AW467)=2,AV467+AW467,"")</x:f>
      </x:c>
      <x:c r="Y467" s="10" t="str">
        <x:f>IF(COUNT(X467,W467)=2,X467-W467,"")</x:f>
      </x:c>
      <x:c r="Z467" s="10" t="n">
        <x:v>1</x:v>
      </x:c>
      <x:c r="AA467" s="10" t="str">
        <x:f>IF(COUNT(AX467,AY467)=2,AX467+AY467,"")</x:f>
      </x:c>
      <x:c r="AB467" s="10" t="str">
        <x:f>IF(COUNT(AA467,Z467)=2,AA467-Z467,"")</x:f>
      </x:c>
      <x:c r="AC467" s="10" t="n">
        <x:v>70</x:v>
      </x:c>
      <x:c r="AD467" s="10"/>
      <x:c r="AE467" s="10" t="str">
        <x:f>IF(COUNT(AD467,AC467)=2,AD467-AC467,"")</x:f>
      </x:c>
      <x:c r="AF467" s="10" t="n">
        <x:v>142</x:v>
      </x:c>
      <x:c r="AG467" s="10"/>
      <x:c r="AH467" s="10" t="str">
        <x:f>IF(COUNT(AG467,AF467)=2,AG467-AF467,"")</x:f>
      </x:c>
      <x:c r="AI467" s="10" t="n">
        <x:v>66</x:v>
      </x:c>
      <x:c r="AJ467" s="10"/>
      <x:c r="AK467" s="10" t="str">
        <x:f>IF(COUNT(AJ467,AI467)=2,AJ467-AI467,"")</x:f>
      </x:c>
      <x:c r="AL467" s="10" t="n">
        <x:v>32</x:v>
      </x:c>
      <x:c r="AM467" s="10"/>
      <x:c r="AN467" s="4" t="str">
        <x:v>C</x:v>
      </x:c>
      <x:c r="AO467" s="4"/>
      <x:c r="AP467" s="4" t="str">
        <x:v>SJ</x:v>
      </x:c>
      <x:c r="AQ467" s="4"/>
      <x:c r="AR467" s="4" t="n">
        <x:v>13.45</x:v>
      </x:c>
      <x:c r="AS467" s="4"/>
      <x:c r="AT467" s="4" t="n">
        <x:v>0.49</x:v>
      </x:c>
      <x:c r="AU467" s="4"/>
      <x:c r="AV467" s="10"/>
      <x:c r="AW467" s="10"/>
      <x:c r="AX467" s="10"/>
      <x:c r="AY467" s="10"/>
      <x:c r="AZ467" s="10" t="n">
        <x:v>561</x:v>
      </x:c>
      <x:c r="BA467" s="10" t="n">
        <x:v>800</x:v>
      </x:c>
      <x:c r="BB467" s="4" t="n">
        <x:v>41.2</x:v>
      </x:c>
      <x:c r="BC467" s="4" t="n">
        <x:v>-6.9</x:v>
      </x:c>
      <x:c r="BD467" s="10" t="n">
        <x:v>379</x:v>
      </x:c>
      <x:c r="BE467" s="10" t="n">
        <x:v>545</x:v>
      </x:c>
      <x:c r="BF467" s="4" t="n">
        <x:v>41</x:v>
      </x:c>
      <x:c r="BG467" s="4" t="n">
        <x:v>-6.4</x:v>
      </x:c>
      <x:c r="BH467" s="4" t="n">
        <x:v>7.6</x:v>
      </x:c>
      <x:c r="BI467" s="4" t="n">
        <x:v>90</x:v>
      </x:c>
      <x:c r="BJ467" s="4" t="n">
        <x:v>97.6</x:v>
      </x:c>
      <x:c r="BK467" s="4" t="n">
        <x:v>31.5</x:v>
      </x:c>
      <x:c r="BL467" s="4" t="n">
        <x:v>68.5</x:v>
      </x:c>
      <x:c r="BM467" s="4" t="n">
        <x:v>11.35</x:v>
      </x:c>
      <x:c r="BN467" s="4" t="n">
        <x:v>9.366666666666667</x:v>
      </x:c>
      <x:c r="BO467" s="10" t="n">
        <x:v>11</x:v>
      </x:c>
      <x:c r="BP467" s="10" t="n">
        <x:v>37</x:v>
      </x:c>
      <x:c r="BQ467" s="4" t="n">
        <x:v>-10.3</x:v>
      </x:c>
      <x:c r="BR467" s="10" t="n">
        <x:v>123</x:v>
      </x:c>
      <x:c r="BS467" s="4" t="n">
        <x:v>53.7</x:v>
      </x:c>
      <x:c r="BT467" s="10" t="n">
        <x:v>82</x:v>
      </x:c>
      <x:c r="BU467" s="4" t="str">
        <x:v>SJS</x:v>
      </x:c>
      <x:c r="BV467" s="10" t="n">
        <x:v>585</x:v>
      </x:c>
      <x:c r="BW467" s="10"/>
      <x:c r="BX467" s="10" t="n">
        <x:v>348</x:v>
      </x:c>
      <x:c r="BY467" s="4" t="str">
        <x:v>Barclay Goodrow</x:v>
      </x:c>
      <x:c r="BZ467" s="4"/>
      <x:c r="CA467" s="4" t="str">
        <x:v>Barclay Goodrow</x:v>
      </x:c>
      <x:c r="CB467" s="4" t="str">
        <x:v>goodrba01</x:v>
      </x:c>
    </x:row>
    <x:row r="468" ht="22" customHeight="1">
      <x:c r="A468" s="4" t="str">
        <x:v>Beck Malenstyn</x:v>
      </x:c>
      <x:c r="B468" s="4" t="str">
        <x:v>beckmalenstyn</x:v>
      </x:c>
      <x:c r="C468" s="10" t="n">
        <x:v>1</x:v>
      </x:c>
      <x:c r="D468" s="10" t="n">
        <x:v>0</x:v>
      </x:c>
      <x:c r="E468" s="10" t="n">
        <x:v>1</x:v>
      </x:c>
      <x:c r="F468" s="4" t="n">
        <x:f>IF(COUNT(N468,Q468,T468,W468,Z468,AC468,AF468,AI468)=8,N468*Guide!$E$5+Q468*Guide!$E$6+T468*Guide!$E$7+W468*Guide!$E$8+Z468*Guide!$E$9+AC468*Guide!$E$10+AF468*Guide!$E$11+AI468*Guide!$E$12,"")</x:f>
        <x:v>158.75</x:v>
      </x:c>
      <x:c r="G468" s="4" t="str">
        <x:f>IF(COUNT(O468,R468,U468,X468,AA468,AD468,AG468,AJ468)=8,O468*Guide!$E$5+R468*Guide!$E$6+U468*Guide!$E$7+X468*Guide!$E$8+AA468*Guide!$E$9+AD468*Guide!$E$10+AG468*Guide!$E$11+AJ468*Guide!$E$12,"")</x:f>
      </x:c>
      <x:c r="H468" s="4" t="str">
        <x:f>IF(COUNT(G468,F468)=2,G468-F468,"")</x:f>
      </x:c>
      <x:c r="I468" s="4" t="n">
        <x:f>IF(AND(ISNUMBER(F468),K468&gt;0),F468/K468,"")</x:f>
        <x:v>2.1166666666666667</x:v>
      </x:c>
      <x:c r="J468" s="4" t="str">
        <x:f>IF(AND(ISNUMBER(G468),L468&gt;0),G468/L468,"")</x:f>
      </x:c>
      <x:c r="K468" s="10" t="n">
        <x:v>75</x:v>
      </x:c>
      <x:c r="L468" s="10"/>
      <x:c r="M468" s="10" t="str">
        <x:f>IF(COUNT(L468,K468)=2,L468-K468,"")</x:f>
      </x:c>
      <x:c r="N468" s="10" t="n">
        <x:v>6</x:v>
      </x:c>
      <x:c r="O468" s="10"/>
      <x:c r="P468" s="10" t="str">
        <x:f>IF(COUNT(O468,N468)=2,O468-N468,"")</x:f>
      </x:c>
      <x:c r="Q468" s="10" t="n">
        <x:v>8</x:v>
      </x:c>
      <x:c r="R468" s="10"/>
      <x:c r="S468" s="10" t="str">
        <x:f>IF(COUNT(R468,Q468)=2,R468-Q468,"")</x:f>
      </x:c>
      <x:c r="T468" s="10" t="n">
        <x:v>-6</x:v>
      </x:c>
      <x:c r="U468" s="10"/>
      <x:c r="V468" s="10" t="str">
        <x:f>IF(COUNT(U468,T468)=2,U468-T468,"")</x:f>
      </x:c>
      <x:c r="W468" s="10" t="n">
        <x:v>0</x:v>
      </x:c>
      <x:c r="X468" s="10" t="str">
        <x:f>IF(COUNT(AV468,AW468)=2,AV468+AW468,"")</x:f>
      </x:c>
      <x:c r="Y468" s="10" t="str">
        <x:f>IF(COUNT(X468,W468)=2,X468-W468,"")</x:f>
      </x:c>
      <x:c r="Z468" s="10" t="n">
        <x:v>1</x:v>
      </x:c>
      <x:c r="AA468" s="10" t="str">
        <x:f>IF(COUNT(AX468,AY468)=2,AX468+AY468,"")</x:f>
      </x:c>
      <x:c r="AB468" s="10" t="str">
        <x:f>IF(COUNT(AA468,Z468)=2,AA468-Z468,"")</x:f>
      </x:c>
      <x:c r="AC468" s="10" t="n">
        <x:v>71</x:v>
      </x:c>
      <x:c r="AD468" s="10"/>
      <x:c r="AE468" s="10" t="str">
        <x:f>IF(COUNT(AD468,AC468)=2,AD468-AC468,"")</x:f>
      </x:c>
      <x:c r="AF468" s="10" t="n">
        <x:v>189</x:v>
      </x:c>
      <x:c r="AG468" s="10"/>
      <x:c r="AH468" s="10" t="str">
        <x:f>IF(COUNT(AG468,AF468)=2,AG468-AF468,"")</x:f>
      </x:c>
      <x:c r="AI468" s="10" t="n">
        <x:v>65</x:v>
      </x:c>
      <x:c r="AJ468" s="10"/>
      <x:c r="AK468" s="10" t="str">
        <x:f>IF(COUNT(AJ468,AI468)=2,AJ468-AI468,"")</x:f>
      </x:c>
      <x:c r="AL468" s="10" t="n">
        <x:v>27</x:v>
      </x:c>
      <x:c r="AM468" s="10"/>
      <x:c r="AN468" s="4" t="str">
        <x:v>LW</x:v>
      </x:c>
      <x:c r="AO468" s="4"/>
      <x:c r="AP468" s="4" t="str">
        <x:v>BUF</x:v>
      </x:c>
      <x:c r="AQ468" s="4"/>
      <x:c r="AR468" s="4" t="n">
        <x:v>11.229999999999999</x:v>
      </x:c>
      <x:c r="AS468" s="4"/>
      <x:c r="AT468" s="4" t="n">
        <x:v>0.04</x:v>
      </x:c>
      <x:c r="AU468" s="4"/>
      <x:c r="AV468" s="10"/>
      <x:c r="AW468" s="10"/>
      <x:c r="AX468" s="10"/>
      <x:c r="AY468" s="10"/>
      <x:c r="AZ468" s="10" t="n">
        <x:v>630</x:v>
      </x:c>
      <x:c r="BA468" s="10" t="n">
        <x:v>753</x:v>
      </x:c>
      <x:c r="BB468" s="4" t="n">
        <x:v>45.6</x:v>
      </x:c>
      <x:c r="BC468" s="4" t="n">
        <x:v>-4</x:v>
      </x:c>
      <x:c r="BD468" s="10" t="n">
        <x:v>461</x:v>
      </x:c>
      <x:c r="BE468" s="10" t="n">
        <x:v>526</x:v>
      </x:c>
      <x:c r="BF468" s="4" t="n">
        <x:v>46.7</x:v>
      </x:c>
      <x:c r="BG468" s="4" t="n">
        <x:v>-3.2</x:v>
      </x:c>
      <x:c r="BH468" s="4" t="n">
        <x:v>7.9</x:v>
      </x:c>
      <x:c r="BI468" s="4" t="n">
        <x:v>91.3</x:v>
      </x:c>
      <x:c r="BJ468" s="4" t="n">
        <x:v>99.2</x:v>
      </x:c>
      <x:c r="BK468" s="4" t="n">
        <x:v>25.6</x:v>
      </x:c>
      <x:c r="BL468" s="4" t="n">
        <x:v>74.4</x:v>
      </x:c>
      <x:c r="BM468" s="4" t="n">
        <x:v>11.25</x:v>
      </x:c>
      <x:c r="BN468" s="4" t="n">
        <x:v>9.433333333333334</x:v>
      </x:c>
      <x:c r="BO468" s="10" t="n">
        <x:v>12</x:v>
      </x:c>
      <x:c r="BP468" s="10" t="n">
        <x:v>35</x:v>
      </x:c>
      <x:c r="BQ468" s="4" t="n">
        <x:v>-4.4</x:v>
      </x:c>
      <x:c r="BR468" s="10" t="n">
        <x:v>138</x:v>
      </x:c>
      <x:c r="BS468" s="4" t="n">
        <x:v>52.2</x:v>
      </x:c>
      <x:c r="BT468" s="10" t="n">
        <x:v>81</x:v>
      </x:c>
      <x:c r="BU468" s="4" t="str">
        <x:v>BUF</x:v>
      </x:c>
      <x:c r="BV468" s="10" t="n">
        <x:v>649</x:v>
      </x:c>
      <x:c r="BW468" s="10"/>
      <x:c r="BX468" s="10" t="n">
        <x:v>633</x:v>
      </x:c>
      <x:c r="BY468" s="4" t="str">
        <x:v>Beck Malenstyn</x:v>
      </x:c>
      <x:c r="BZ468" s="4"/>
      <x:c r="CA468" s="4" t="str">
        <x:v>Beck Malenstyn</x:v>
      </x:c>
      <x:c r="CB468" s="4" t="str">
        <x:v>malenbe01</x:v>
      </x:c>
    </x:row>
    <x:row r="469" ht="22" customHeight="1">
      <x:c r="A469" s="4" t="str">
        <x:v>Beckett Sennecke</x:v>
      </x:c>
      <x:c r="B469" s="4" t="str">
        <x:v>beckettsennecke</x:v>
      </x:c>
      <x:c r="C469" s="10" t="n">
        <x:v>0</x:v>
      </x:c>
      <x:c r="D469" s="10" t="n">
        <x:v>1</x:v>
      </x:c>
      <x:c r="E469" s="10" t="n">
        <x:v>1</x:v>
      </x:c>
      <x:c r="F469" s="4" t="str">
        <x:f>IF(COUNT(N469,Q469,T469,W469,Z469,AC469,AF469,AI469)=8,N469*Guide!$E$5+Q469*Guide!$E$6+T469*Guide!$E$7+W469*Guide!$E$8+Z469*Guide!$E$9+AC469*Guide!$E$10+AF469*Guide!$E$11+AI469*Guide!$E$12,"")</x:f>
      </x:c>
      <x:c r="G469" s="4" t="n">
        <x:f>IF(COUNT(O469,R469,U469,X469,AA469,AD469,AG469,AJ469)=8,O469*Guide!$E$5+R469*Guide!$E$6+U469*Guide!$E$7+X469*Guide!$E$8+AA469*Guide!$E$9+AD469*Guide!$E$10+AG469*Guide!$E$11+AJ469*Guide!$E$12,"")</x:f>
        <x:v>298.5</x:v>
      </x:c>
      <x:c r="H469" s="4" t="str">
        <x:f>IF(COUNT(G469,F469)=2,G469-F469,"")</x:f>
      </x:c>
      <x:c r="I469" s="4" t="str">
        <x:f>IF(AND(ISNUMBER(F469),K469&gt;0),F469/K469,"")</x:f>
      </x:c>
      <x:c r="J469" s="4" t="n">
        <x:f>IF(AND(ISNUMBER(G469),L469&gt;0),G469/L469,"")</x:f>
        <x:v>3.6402439024390243</x:v>
      </x:c>
      <x:c r="K469" s="10"/>
      <x:c r="L469" s="10" t="n">
        <x:v>82</x:v>
      </x:c>
      <x:c r="M469" s="10" t="str">
        <x:f>IF(COUNT(L469,K469)=2,L469-K469,"")</x:f>
      </x:c>
      <x:c r="N469" s="10"/>
      <x:c r="O469" s="10" t="n">
        <x:v>23</x:v>
      </x:c>
      <x:c r="P469" s="10" t="str">
        <x:f>IF(COUNT(O469,N469)=2,O469-N469,"")</x:f>
      </x:c>
      <x:c r="Q469" s="10"/>
      <x:c r="R469" s="10" t="n">
        <x:v>37</x:v>
      </x:c>
      <x:c r="S469" s="10" t="str">
        <x:f>IF(COUNT(R469,Q469)=2,R469-Q469,"")</x:f>
      </x:c>
      <x:c r="T469" s="10"/>
      <x:c r="U469" s="10" t="n">
        <x:v>-12</x:v>
      </x:c>
      <x:c r="V469" s="10" t="str">
        <x:f>IF(COUNT(U469,T469)=2,U469-T469,"")</x:f>
      </x:c>
      <x:c r="W469" s="10"/>
      <x:c r="X469" s="10" t="n">
        <x:f>IF(COUNT(AV469,AW469)=2,AV469+AW469,"")</x:f>
        <x:v>13</x:v>
      </x:c>
      <x:c r="Y469" s="10" t="str">
        <x:f>IF(COUNT(X469,W469)=2,X469-W469,"")</x:f>
      </x:c>
      <x:c r="Z469" s="10"/>
      <x:c r="AA469" s="10" t="n">
        <x:f>IF(COUNT(AX469,AY469)=2,AX469+AY469,"")</x:f>
        <x:v>1</x:v>
      </x:c>
      <x:c r="AB469" s="10" t="str">
        <x:f>IF(COUNT(AA469,Z469)=2,AA469-Z469,"")</x:f>
      </x:c>
      <x:c r="AC469" s="10"/>
      <x:c r="AD469" s="10" t="n">
        <x:v>197</x:v>
      </x:c>
      <x:c r="AE469" s="10" t="str">
        <x:f>IF(COUNT(AD469,AC469)=2,AD469-AC469,"")</x:f>
      </x:c>
      <x:c r="AF469" s="10"/>
      <x:c r="AG469" s="10" t="n">
        <x:v>97</x:v>
      </x:c>
      <x:c r="AH469" s="10" t="str">
        <x:f>IF(COUNT(AG469,AF469)=2,AG469-AF469,"")</x:f>
      </x:c>
      <x:c r="AI469" s="10"/>
      <x:c r="AJ469" s="10" t="n">
        <x:v>24</x:v>
      </x:c>
      <x:c r="AK469" s="10" t="str">
        <x:f>IF(COUNT(AJ469,AI469)=2,AJ469-AI469,"")</x:f>
      </x:c>
      <x:c r="AL469" s="10"/>
      <x:c r="AM469" s="10" t="n">
        <x:v>20</x:v>
      </x:c>
      <x:c r="AN469" s="4"/>
      <x:c r="AO469" s="4" t="str">
        <x:v>F</x:v>
      </x:c>
      <x:c r="AP469" s="4"/>
      <x:c r="AQ469" s="4" t="str">
        <x:v>ANA</x:v>
      </x:c>
      <x:c r="AR469" s="4"/>
      <x:c r="AS469" s="4" t="n">
        <x:v>17.45</x:v>
      </x:c>
      <x:c r="AT469" s="4"/>
      <x:c r="AU469" s="4" t="n">
        <x:v>11.7</x:v>
      </x:c>
      <x:c r="AV469" s="10" t="n">
        <x:v>1</x:v>
      </x:c>
      <x:c r="AW469" s="10" t="n">
        <x:v>12</x:v>
      </x:c>
      <x:c r="AX469" s="10" t="n">
        <x:v>1</x:v>
      </x:c>
      <x:c r="AY469" s="10" t="n">
        <x:v>0</x:v>
      </x:c>
      <x:c r="AZ469" s="10" t="n">
        <x:v>1372</x:v>
      </x:c>
      <x:c r="BA469" s="10" t="n">
        <x:v>1245</x:v>
      </x:c>
      <x:c r="BB469" s="4" t="n">
        <x:v>52.4</x:v>
      </x:c>
      <x:c r="BC469" s="4" t="n">
        <x:v>-0.1</x:v>
      </x:c>
      <x:c r="BD469" s="10" t="n">
        <x:v>1020</x:v>
      </x:c>
      <x:c r="BE469" s="10" t="n">
        <x:v>934</x:v>
      </x:c>
      <x:c r="BF469" s="4" t="n">
        <x:v>52.2</x:v>
      </x:c>
      <x:c r="BG469" s="4" t="n">
        <x:v>-0.6</x:v>
      </x:c>
      <x:c r="BH469" s="4" t="n">
        <x:v>10.1</x:v>
      </x:c>
      <x:c r="BI469" s="4" t="n">
        <x:v>87.7</x:v>
      </x:c>
      <x:c r="BJ469" s="4" t="n">
        <x:v>97.8</x:v>
      </x:c>
      <x:c r="BK469" s="4" t="n">
        <x:v>57.2</x:v>
      </x:c>
      <x:c r="BL469" s="4" t="n">
        <x:v>42.8</x:v>
      </x:c>
      <x:c r="BM469" s="4" t="n">
        <x:v>17.45</x:v>
      </x:c>
      <x:c r="BN469" s="4" t="n">
        <x:v>15.05</x:v>
      </x:c>
      <x:c r="BO469" s="10" t="n">
        <x:v>26</x:v>
      </x:c>
      <x:c r="BP469" s="10" t="n">
        <x:v>96</x:v>
      </x:c>
      <x:c r="BQ469" s="4" t="n">
        <x:v>6.5</x:v>
      </x:c>
      <x:c r="BR469" s="10" t="n">
        <x:v>388</x:v>
      </x:c>
      <x:c r="BS469" s="4" t="n">
        <x:v>51</x:v>
      </x:c>
      <x:c r="BT469" s="10" t="n">
        <x:v>82</x:v>
      </x:c>
      <x:c r="BU469" s="4" t="str">
        <x:v>ANA</x:v>
      </x:c>
      <x:c r="BV469" s="10"/>
      <x:c r="BW469" s="10" t="n">
        <x:v>89</x:v>
      </x:c>
      <x:c r="BX469" s="10" t="n">
        <x:v>922</x:v>
      </x:c>
      <x:c r="BY469" s="4"/>
      <x:c r="BZ469" s="4" t="str">
        <x:v>Beckett Sennecke</x:v>
      </x:c>
      <x:c r="CA469" s="4" t="str">
        <x:v>Beckett Sennecke</x:v>
      </x:c>
      <x:c r="CB469" s="4" t="str">
        <x:v>sennebe01</x:v>
      </x:c>
    </x:row>
    <x:row r="470" ht="22" customHeight="1">
      <x:c r="A470" s="4" t="str">
        <x:v>Ben Chiarot</x:v>
      </x:c>
      <x:c r="B470" s="4" t="str">
        <x:v>benchiarot</x:v>
      </x:c>
      <x:c r="C470" s="10" t="n">
        <x:v>1</x:v>
      </x:c>
      <x:c r="D470" s="10" t="n">
        <x:v>0</x:v>
      </x:c>
      <x:c r="E470" s="10" t="n">
        <x:v>1</x:v>
      </x:c>
      <x:c r="F470" s="4" t="n">
        <x:f>IF(COUNT(N470,Q470,T470,W470,Z470,AC470,AF470,AI470)=8,N470*Guide!$E$5+Q470*Guide!$E$6+T470*Guide!$E$7+W470*Guide!$E$8+Z470*Guide!$E$9+AC470*Guide!$E$10+AF470*Guide!$E$11+AI470*Guide!$E$12,"")</x:f>
        <x:v>221</x:v>
      </x:c>
      <x:c r="G470" s="4" t="str">
        <x:f>IF(COUNT(O470,R470,U470,X470,AA470,AD470,AG470,AJ470)=8,O470*Guide!$E$5+R470*Guide!$E$6+U470*Guide!$E$7+X470*Guide!$E$8+AA470*Guide!$E$9+AD470*Guide!$E$10+AG470*Guide!$E$11+AJ470*Guide!$E$12,"")</x:f>
      </x:c>
      <x:c r="H470" s="4" t="str">
        <x:f>IF(COUNT(G470,F470)=2,G470-F470,"")</x:f>
      </x:c>
      <x:c r="I470" s="4" t="n">
        <x:f>IF(AND(ISNUMBER(F470),K470&gt;0),F470/K470,"")</x:f>
        <x:v>2.8333333333333335</x:v>
      </x:c>
      <x:c r="J470" s="4" t="str">
        <x:f>IF(AND(ISNUMBER(G470),L470&gt;0),G470/L470,"")</x:f>
      </x:c>
      <x:c r="K470" s="10" t="n">
        <x:v>78</x:v>
      </x:c>
      <x:c r="L470" s="10"/>
      <x:c r="M470" s="10" t="str">
        <x:f>IF(COUNT(L470,K470)=2,L470-K470,"")</x:f>
      </x:c>
      <x:c r="N470" s="10" t="n">
        <x:v>5</x:v>
      </x:c>
      <x:c r="O470" s="10"/>
      <x:c r="P470" s="10" t="str">
        <x:f>IF(COUNT(O470,N470)=2,O470-N470,"")</x:f>
      </x:c>
      <x:c r="Q470" s="10" t="n">
        <x:v>15</x:v>
      </x:c>
      <x:c r="R470" s="10"/>
      <x:c r="S470" s="10" t="str">
        <x:f>IF(COUNT(R470,Q470)=2,R470-Q470,"")</x:f>
      </x:c>
      <x:c r="T470" s="10" t="n">
        <x:v>-11</x:v>
      </x:c>
      <x:c r="U470" s="10"/>
      <x:c r="V470" s="10" t="str">
        <x:f>IF(COUNT(U470,T470)=2,U470-T470,"")</x:f>
      </x:c>
      <x:c r="W470" s="10" t="n">
        <x:v>1</x:v>
      </x:c>
      <x:c r="X470" s="10" t="str">
        <x:f>IF(COUNT(AV470,AW470)=2,AV470+AW470,"")</x:f>
      </x:c>
      <x:c r="Y470" s="10" t="str">
        <x:f>IF(COUNT(X470,W470)=2,X470-W470,"")</x:f>
      </x:c>
      <x:c r="Z470" s="10" t="n">
        <x:v>0</x:v>
      </x:c>
      <x:c r="AA470" s="10" t="str">
        <x:f>IF(COUNT(AX470,AY470)=2,AX470+AY470,"")</x:f>
      </x:c>
      <x:c r="AB470" s="10" t="str">
        <x:f>IF(COUNT(AA470,Z470)=2,AA470-Z470,"")</x:f>
      </x:c>
      <x:c r="AC470" s="10" t="n">
        <x:v>102</x:v>
      </x:c>
      <x:c r="AD470" s="10"/>
      <x:c r="AE470" s="10" t="str">
        <x:f>IF(COUNT(AD470,AC470)=2,AD470-AC470,"")</x:f>
      </x:c>
      <x:c r="AF470" s="10" t="n">
        <x:v>121</x:v>
      </x:c>
      <x:c r="AG470" s="10"/>
      <x:c r="AH470" s="10" t="str">
        <x:f>IF(COUNT(AG470,AF470)=2,AG470-AF470,"")</x:f>
      </x:c>
      <x:c r="AI470" s="10" t="n">
        <x:v>147</x:v>
      </x:c>
      <x:c r="AJ470" s="10"/>
      <x:c r="AK470" s="10" t="str">
        <x:f>IF(COUNT(AJ470,AI470)=2,AJ470-AI470,"")</x:f>
      </x:c>
      <x:c r="AL470" s="10" t="n">
        <x:v>34</x:v>
      </x:c>
      <x:c r="AM470" s="10"/>
      <x:c r="AN470" s="4" t="str">
        <x:v>D</x:v>
      </x:c>
      <x:c r="AO470" s="4"/>
      <x:c r="AP470" s="4" t="str">
        <x:v>DET</x:v>
      </x:c>
      <x:c r="AQ470" s="4"/>
      <x:c r="AR470" s="4" t="n">
        <x:v>21.13</x:v>
      </x:c>
      <x:c r="AS470" s="4"/>
      <x:c r="AT470" s="4" t="n">
        <x:v>0.15</x:v>
      </x:c>
      <x:c r="AU470" s="4"/>
      <x:c r="AV470" s="10"/>
      <x:c r="AW470" s="10"/>
      <x:c r="AX470" s="10"/>
      <x:c r="AY470" s="10"/>
      <x:c r="AZ470" s="10" t="n">
        <x:v>1435</x:v>
      </x:c>
      <x:c r="BA470" s="10" t="n">
        <x:v>1679</x:v>
      </x:c>
      <x:c r="BB470" s="4" t="n">
        <x:v>46.1</x:v>
      </x:c>
      <x:c r="BC470" s="4" t="n">
        <x:v>-4.6</x:v>
      </x:c>
      <x:c r="BD470" s="10" t="n">
        <x:v>1040</x:v>
      </x:c>
      <x:c r="BE470" s="10" t="n">
        <x:v>1211</x:v>
      </x:c>
      <x:c r="BF470" s="4" t="n">
        <x:v>46.2</x:v>
      </x:c>
      <x:c r="BG470" s="4" t="n">
        <x:v>-5.9</x:v>
      </x:c>
      <x:c r="BH470" s="4" t="n">
        <x:v>9.4</x:v>
      </x:c>
      <x:c r="BI470" s="4" t="n">
        <x:v>90.4</x:v>
      </x:c>
      <x:c r="BJ470" s="4" t="n">
        <x:v>99.8</x:v>
      </x:c>
      <x:c r="BK470" s="4" t="n">
        <x:v>47.1</x:v>
      </x:c>
      <x:c r="BL470" s="4" t="n">
        <x:v>52.9</x:v>
      </x:c>
      <x:c r="BM470" s="4" t="n">
        <x:v>20.833333333333332</x:v>
      </x:c>
      <x:c r="BN470" s="4" t="n">
        <x:v>18.95</x:v>
      </x:c>
      <x:c r="BO470" s="10" t="n">
        <x:v>25</x:v>
      </x:c>
      <x:c r="BP470" s="10" t="n">
        <x:v>74</x:v>
      </x:c>
      <x:c r="BQ470" s="4" t="n">
        <x:v>-12.5</x:v>
      </x:c>
      <x:c r="BR470" s="10" t="n">
        <x:v>260</x:v>
      </x:c>
      <x:c r="BS470" s="4" t="n">
        <x:v>39.6</x:v>
      </x:c>
      <x:c r="BT470" s="10" t="n">
        <x:v>82</x:v>
      </x:c>
      <x:c r="BU470" s="4" t="str">
        <x:v>DET</x:v>
      </x:c>
      <x:c r="BV470" s="10" t="n">
        <x:v>511</x:v>
      </x:c>
      <x:c r="BW470" s="10"/>
      <x:c r="BX470" s="10" t="n">
        <x:v>147</x:v>
      </x:c>
      <x:c r="BY470" s="4" t="str">
        <x:v>Ben Chiarot</x:v>
      </x:c>
      <x:c r="BZ470" s="4"/>
      <x:c r="CA470" s="4" t="str">
        <x:v>Ben Chiarot</x:v>
      </x:c>
      <x:c r="CB470" s="4" t="str">
        <x:v>chiarbe01</x:v>
      </x:c>
    </x:row>
    <x:row r="471" ht="22" customHeight="1">
      <x:c r="A471" s="4" t="str">
        <x:v>Ben Hutton</x:v>
      </x:c>
      <x:c r="B471" s="4" t="str">
        <x:v>benhutton</x:v>
      </x:c>
      <x:c r="C471" s="10" t="n">
        <x:v>1</x:v>
      </x:c>
      <x:c r="D471" s="10" t="n">
        <x:v>0</x:v>
      </x:c>
      <x:c r="E471" s="10" t="n">
        <x:v>1</x:v>
      </x:c>
      <x:c r="F471" s="4" t="n">
        <x:f>IF(COUNT(N471,Q471,T471,W471,Z471,AC471,AF471,AI471)=8,N471*Guide!$E$5+Q471*Guide!$E$6+T471*Guide!$E$7+W471*Guide!$E$8+Z471*Guide!$E$9+AC471*Guide!$E$10+AF471*Guide!$E$11+AI471*Guide!$E$12,"")</x:f>
        <x:v>106</x:v>
      </x:c>
      <x:c r="G471" s="4" t="str">
        <x:f>IF(COUNT(O471,R471,U471,X471,AA471,AD471,AG471,AJ471)=8,O471*Guide!$E$5+R471*Guide!$E$6+U471*Guide!$E$7+X471*Guide!$E$8+AA471*Guide!$E$9+AD471*Guide!$E$10+AG471*Guide!$E$11+AJ471*Guide!$E$12,"")</x:f>
      </x:c>
      <x:c r="H471" s="4" t="str">
        <x:f>IF(COUNT(G471,F471)=2,G471-F471,"")</x:f>
      </x:c>
      <x:c r="I471" s="4" t="n">
        <x:f>IF(AND(ISNUMBER(F471),K471&gt;0),F471/K471,"")</x:f>
        <x:v>2.4651162790697674</x:v>
      </x:c>
      <x:c r="J471" s="4" t="str">
        <x:f>IF(AND(ISNUMBER(G471),L471&gt;0),G471/L471,"")</x:f>
      </x:c>
      <x:c r="K471" s="10" t="n">
        <x:v>43</x:v>
      </x:c>
      <x:c r="L471" s="10"/>
      <x:c r="M471" s="10" t="str">
        <x:f>IF(COUNT(L471,K471)=2,L471-K471,"")</x:f>
      </x:c>
      <x:c r="N471" s="10" t="n">
        <x:v>3</x:v>
      </x:c>
      <x:c r="O471" s="10"/>
      <x:c r="P471" s="10" t="str">
        <x:f>IF(COUNT(O471,N471)=2,O471-N471,"")</x:f>
      </x:c>
      <x:c r="Q471" s="10" t="n">
        <x:v>10</x:v>
      </x:c>
      <x:c r="R471" s="10"/>
      <x:c r="S471" s="10" t="str">
        <x:f>IF(COUNT(R471,Q471)=2,R471-Q471,"")</x:f>
      </x:c>
      <x:c r="T471" s="10" t="n">
        <x:v>2</x:v>
      </x:c>
      <x:c r="U471" s="10"/>
      <x:c r="V471" s="10" t="str">
        <x:f>IF(COUNT(U471,T471)=2,U471-T471,"")</x:f>
      </x:c>
      <x:c r="W471" s="10" t="n">
        <x:v>3</x:v>
      </x:c>
      <x:c r="X471" s="10" t="str">
        <x:f>IF(COUNT(AV471,AW471)=2,AV471+AW471,"")</x:f>
      </x:c>
      <x:c r="Y471" s="10" t="str">
        <x:f>IF(COUNT(X471,W471)=2,X471-W471,"")</x:f>
      </x:c>
      <x:c r="Z471" s="10" t="n">
        <x:v>0</x:v>
      </x:c>
      <x:c r="AA471" s="10" t="str">
        <x:f>IF(COUNT(AX471,AY471)=2,AX471+AY471,"")</x:f>
      </x:c>
      <x:c r="AB471" s="10" t="str">
        <x:f>IF(COUNT(AA471,Z471)=2,AA471-Z471,"")</x:f>
      </x:c>
      <x:c r="AC471" s="10" t="n">
        <x:v>66</x:v>
      </x:c>
      <x:c r="AD471" s="10"/>
      <x:c r="AE471" s="10" t="str">
        <x:f>IF(COUNT(AD471,AC471)=2,AD471-AC471,"")</x:f>
      </x:c>
      <x:c r="AF471" s="10" t="n">
        <x:v>17</x:v>
      </x:c>
      <x:c r="AG471" s="10"/>
      <x:c r="AH471" s="10" t="str">
        <x:f>IF(COUNT(AG471,AF471)=2,AG471-AF471,"")</x:f>
      </x:c>
      <x:c r="AI471" s="10" t="n">
        <x:v>51</x:v>
      </x:c>
      <x:c r="AJ471" s="10"/>
      <x:c r="AK471" s="10" t="str">
        <x:f>IF(COUNT(AJ471,AI471)=2,AJ471-AI471,"")</x:f>
      </x:c>
      <x:c r="AL471" s="10" t="n">
        <x:v>32</x:v>
      </x:c>
      <x:c r="AM471" s="10"/>
      <x:c r="AN471" s="4" t="str">
        <x:v>D</x:v>
      </x:c>
      <x:c r="AO471" s="4"/>
      <x:c r="AP471" s="4" t="str">
        <x:v>VGK</x:v>
      </x:c>
      <x:c r="AQ471" s="4"/>
      <x:c r="AR471" s="4" t="n">
        <x:v>16.46</x:v>
      </x:c>
      <x:c r="AS471" s="4"/>
      <x:c r="AT471" s="4" t="n">
        <x:v>1.07</x:v>
      </x:c>
      <x:c r="AU471" s="4"/>
      <x:c r="AV471" s="10"/>
      <x:c r="AW471" s="10"/>
      <x:c r="AX471" s="10"/>
      <x:c r="AY471" s="10"/>
      <x:c r="AZ471" s="10" t="n">
        <x:v>741</x:v>
      </x:c>
      <x:c r="BA471" s="10" t="n">
        <x:v>724</x:v>
      </x:c>
      <x:c r="BB471" s="4" t="n">
        <x:v>50.6</x:v>
      </x:c>
      <x:c r="BC471" s="4" t="n">
        <x:v>0</x:v>
      </x:c>
      <x:c r="BD471" s="10" t="n">
        <x:v>525</x:v>
      </x:c>
      <x:c r="BE471" s="10" t="n">
        <x:v>502</x:v>
      </x:c>
      <x:c r="BF471" s="4" t="n">
        <x:v>51.1</x:v>
      </x:c>
      <x:c r="BG471" s="4" t="n">
        <x:v>0.2</x:v>
      </x:c>
      <x:c r="BH471" s="4" t="n">
        <x:v>11.5</x:v>
      </x:c>
      <x:c r="BI471" s="4" t="n">
        <x:v>88.3</x:v>
      </x:c>
      <x:c r="BJ471" s="4" t="n">
        <x:v>99.9</x:v>
      </x:c>
      <x:c r="BK471" s="4" t="n">
        <x:v>64.6</x:v>
      </x:c>
      <x:c r="BL471" s="4" t="n">
        <x:v>35.4</x:v>
      </x:c>
      <x:c r="BM471" s="4" t="n">
        <x:v>14.583333333333334</x:v>
      </x:c>
      <x:c r="BN471" s="4" t="n">
        <x:v>14.316666666666666</x:v>
      </x:c>
      <x:c r="BO471" s="10" t="n">
        <x:v>19</x:v>
      </x:c>
      <x:c r="BP471" s="10" t="n">
        <x:v>42</x:v>
      </x:c>
      <x:c r="BQ471" s="4" t="n">
        <x:v>4.7</x:v>
      </x:c>
      <x:c r="BR471" s="10" t="n">
        <x:v>148</x:v>
      </x:c>
      <x:c r="BS471" s="4" t="n">
        <x:v>48</x:v>
      </x:c>
      <x:c r="BT471" s="10" t="n">
        <x:v>55</x:v>
      </x:c>
      <x:c r="BU471" s="4" t="str">
        <x:v>VEG</x:v>
      </x:c>
      <x:c r="BV471" s="10" t="n">
        <x:v>671</x:v>
      </x:c>
      <x:c r="BW471" s="10"/>
      <x:c r="BX471" s="10" t="n">
        <x:v>444</x:v>
      </x:c>
      <x:c r="BY471" s="4" t="str">
        <x:v>Ben Hutton</x:v>
      </x:c>
      <x:c r="BZ471" s="4"/>
      <x:c r="CA471" s="4" t="str">
        <x:v>Ben Hutton</x:v>
      </x:c>
      <x:c r="CB471" s="4" t="str">
        <x:v>huttobe01</x:v>
      </x:c>
    </x:row>
    <x:row r="472" ht="22" customHeight="1">
      <x:c r="A472" s="4" t="str">
        <x:v>Ben Jones</x:v>
      </x:c>
      <x:c r="B472" s="4" t="str">
        <x:v>benjones</x:v>
      </x:c>
      <x:c r="C472" s="10" t="n">
        <x:v>1</x:v>
      </x:c>
      <x:c r="D472" s="10" t="n">
        <x:v>0</x:v>
      </x:c>
      <x:c r="E472" s="10" t="n">
        <x:v>1</x:v>
      </x:c>
      <x:c r="F472" s="4" t="n">
        <x:f>IF(COUNT(N472,Q472,T472,W472,Z472,AC472,AF472,AI472)=8,N472*Guide!$E$5+Q472*Guide!$E$6+T472*Guide!$E$7+W472*Guide!$E$8+Z472*Guide!$E$9+AC472*Guide!$E$10+AF472*Guide!$E$11+AI472*Guide!$E$12,"")</x:f>
        <x:v>72</x:v>
      </x:c>
      <x:c r="G472" s="4" t="str">
        <x:f>IF(COUNT(O472,R472,U472,X472,AA472,AD472,AG472,AJ472)=8,O472*Guide!$E$5+R472*Guide!$E$6+U472*Guide!$E$7+X472*Guide!$E$8+AA472*Guide!$E$9+AD472*Guide!$E$10+AG472*Guide!$E$11+AJ472*Guide!$E$12,"")</x:f>
      </x:c>
      <x:c r="H472" s="4" t="str">
        <x:f>IF(COUNT(G472,F472)=2,G472-F472,"")</x:f>
      </x:c>
      <x:c r="I472" s="4" t="n">
        <x:f>IF(AND(ISNUMBER(F472),K472&gt;0),F472/K472,"")</x:f>
        <x:v>1.6363636363636365</x:v>
      </x:c>
      <x:c r="J472" s="4" t="str">
        <x:f>IF(AND(ISNUMBER(G472),L472&gt;0),G472/L472,"")</x:f>
      </x:c>
      <x:c r="K472" s="10" t="n">
        <x:v>44</x:v>
      </x:c>
      <x:c r="L472" s="10"/>
      <x:c r="M472" s="10" t="str">
        <x:f>IF(COUNT(L472,K472)=2,L472-K472,"")</x:f>
      </x:c>
      <x:c r="N472" s="10" t="n">
        <x:v>4</x:v>
      </x:c>
      <x:c r="O472" s="10"/>
      <x:c r="P472" s="10" t="str">
        <x:f>IF(COUNT(O472,N472)=2,O472-N472,"")</x:f>
      </x:c>
      <x:c r="Q472" s="10" t="n">
        <x:v>5</x:v>
      </x:c>
      <x:c r="R472" s="10"/>
      <x:c r="S472" s="10" t="str">
        <x:f>IF(COUNT(R472,Q472)=2,R472-Q472,"")</x:f>
      </x:c>
      <x:c r="T472" s="10" t="n">
        <x:v>-1</x:v>
      </x:c>
      <x:c r="U472" s="10"/>
      <x:c r="V472" s="10" t="str">
        <x:f>IF(COUNT(U472,T472)=2,U472-T472,"")</x:f>
      </x:c>
      <x:c r="W472" s="10" t="n">
        <x:v>0</x:v>
      </x:c>
      <x:c r="X472" s="10" t="str">
        <x:f>IF(COUNT(AV472,AW472)=2,AV472+AW472,"")</x:f>
      </x:c>
      <x:c r="Y472" s="10" t="str">
        <x:f>IF(COUNT(X472,W472)=2,X472-W472,"")</x:f>
      </x:c>
      <x:c r="Z472" s="10" t="n">
        <x:v>0</x:v>
      </x:c>
      <x:c r="AA472" s="10" t="str">
        <x:f>IF(COUNT(AX472,AY472)=2,AX472+AY472,"")</x:f>
      </x:c>
      <x:c r="AB472" s="10" t="str">
        <x:f>IF(COUNT(AA472,Z472)=2,AA472-Z472,"")</x:f>
      </x:c>
      <x:c r="AC472" s="10" t="n">
        <x:v>41</x:v>
      </x:c>
      <x:c r="AD472" s="10"/>
      <x:c r="AE472" s="10" t="str">
        <x:f>IF(COUNT(AD472,AC472)=2,AD472-AC472,"")</x:f>
      </x:c>
      <x:c r="AF472" s="10" t="n">
        <x:v>76</x:v>
      </x:c>
      <x:c r="AG472" s="10"/>
      <x:c r="AH472" s="10" t="str">
        <x:f>IF(COUNT(AG472,AF472)=2,AG472-AF472,"")</x:f>
      </x:c>
      <x:c r="AI472" s="10" t="n">
        <x:v>17</x:v>
      </x:c>
      <x:c r="AJ472" s="10"/>
      <x:c r="AK472" s="10" t="str">
        <x:f>IF(COUNT(AJ472,AI472)=2,AJ472-AI472,"")</x:f>
      </x:c>
      <x:c r="AL472" s="10" t="n">
        <x:v>26</x:v>
      </x:c>
      <x:c r="AM472" s="10"/>
      <x:c r="AN472" s="4" t="str">
        <x:v>C</x:v>
      </x:c>
      <x:c r="AO472" s="4"/>
      <x:c r="AP472" s="4" t="str">
        <x:v>MIN</x:v>
      </x:c>
      <x:c r="AQ472" s="4"/>
      <x:c r="AR472" s="4" t="n">
        <x:v>8.509999999999998</x:v>
      </x:c>
      <x:c r="AS472" s="4"/>
      <x:c r="AT472" s="4" t="n">
        <x:v>0.04</x:v>
      </x:c>
      <x:c r="AU472" s="4"/>
      <x:c r="AV472" s="10"/>
      <x:c r="AW472" s="10"/>
      <x:c r="AX472" s="10"/>
      <x:c r="AY472" s="10"/>
      <x:c r="AZ472" s="10" t="n">
        <x:v>190</x:v>
      </x:c>
      <x:c r="BA472" s="10" t="n">
        <x:v>300</x:v>
      </x:c>
      <x:c r="BB472" s="4" t="n">
        <x:v>38.8</x:v>
      </x:c>
      <x:c r="BC472" s="4" t="n">
        <x:v>-8.9</x:v>
      </x:c>
      <x:c r="BD472" s="10" t="n">
        <x:v>139</x:v>
      </x:c>
      <x:c r="BE472" s="10" t="n">
        <x:v>215</x:v>
      </x:c>
      <x:c r="BF472" s="4" t="n">
        <x:v>39.3</x:v>
      </x:c>
      <x:c r="BG472" s="4" t="n">
        <x:v>-9.5</x:v>
      </x:c>
      <x:c r="BH472" s="4" t="n">
        <x:v>4.5</x:v>
      </x:c>
      <x:c r="BI472" s="4" t="n">
        <x:v>89.9</x:v>
      </x:c>
      <x:c r="BJ472" s="4" t="n">
        <x:v>94.3</x:v>
      </x:c>
      <x:c r="BK472" s="4" t="n">
        <x:v>23.3</x:v>
      </x:c>
      <x:c r="BL472" s="4" t="n">
        <x:v>76.7</x:v>
      </x:c>
      <x:c r="BM472" s="4" t="n">
        <x:v>8.833333333333334</x:v>
      </x:c>
      <x:c r="BN472" s="4" t="n">
        <x:v>8.5</x:v>
      </x:c>
      <x:c r="BO472" s="10" t="n">
        <x:v>1</x:v>
      </x:c>
      <x:c r="BP472" s="10" t="n">
        <x:v>9</x:v>
      </x:c>
      <x:c r="BQ472" s="4" t="n">
        <x:v>-5</x:v>
      </x:c>
      <x:c r="BR472" s="10" t="n">
        <x:v>45</x:v>
      </x:c>
      <x:c r="BS472" s="4" t="n">
        <x:v>57.8</x:v>
      </x:c>
      <x:c r="BT472" s="10" t="n">
        <x:v>28</x:v>
      </x:c>
      <x:c r="BU472" s="4" t="str">
        <x:v>MIN</x:v>
      </x:c>
      <x:c r="BV472" s="10" t="n">
        <x:v>741</x:v>
      </x:c>
      <x:c r="BW472" s="10"/>
      <x:c r="BX472" s="10" t="n">
        <x:v>473</x:v>
      </x:c>
      <x:c r="BY472" s="4" t="str">
        <x:v>Ben Jones</x:v>
      </x:c>
      <x:c r="BZ472" s="4"/>
      <x:c r="CA472" s="4" t="str">
        <x:v>Ben Jones</x:v>
      </x:c>
      <x:c r="CB472" s="4" t="str">
        <x:v>jonesbe01</x:v>
      </x:c>
    </x:row>
    <x:row r="473" ht="22" customHeight="1">
      <x:c r="A473" s="4" t="str">
        <x:v>Ben Meyers</x:v>
      </x:c>
      <x:c r="B473" s="4" t="str">
        <x:v>benmeyers</x:v>
      </x:c>
      <x:c r="C473" s="10" t="n">
        <x:v>1</x:v>
      </x:c>
      <x:c r="D473" s="10" t="n">
        <x:v>0</x:v>
      </x:c>
      <x:c r="E473" s="10" t="n">
        <x:v>1</x:v>
      </x:c>
      <x:c r="F473" s="4" t="n">
        <x:f>IF(COUNT(N473,Q473,T473,W473,Z473,AC473,AF473,AI473)=8,N473*Guide!$E$5+Q473*Guide!$E$6+T473*Guide!$E$7+W473*Guide!$E$8+Z473*Guide!$E$9+AC473*Guide!$E$10+AF473*Guide!$E$11+AI473*Guide!$E$12,"")</x:f>
        <x:v>88.75</x:v>
      </x:c>
      <x:c r="G473" s="4" t="str">
        <x:f>IF(COUNT(O473,R473,U473,X473,AA473,AD473,AG473,AJ473)=8,O473*Guide!$E$5+R473*Guide!$E$6+U473*Guide!$E$7+X473*Guide!$E$8+AA473*Guide!$E$9+AD473*Guide!$E$10+AG473*Guide!$E$11+AJ473*Guide!$E$12,"")</x:f>
      </x:c>
      <x:c r="H473" s="4" t="str">
        <x:f>IF(COUNT(G473,F473)=2,G473-F473,"")</x:f>
      </x:c>
      <x:c r="I473" s="4" t="n">
        <x:f>IF(AND(ISNUMBER(F473),K473&gt;0),F473/K473,"")</x:f>
        <x:v>1.5301724137931034</x:v>
      </x:c>
      <x:c r="J473" s="4" t="str">
        <x:f>IF(AND(ISNUMBER(G473),L473&gt;0),G473/L473,"")</x:f>
      </x:c>
      <x:c r="K473" s="10" t="n">
        <x:v>58</x:v>
      </x:c>
      <x:c r="L473" s="10"/>
      <x:c r="M473" s="10" t="str">
        <x:f>IF(COUNT(L473,K473)=2,L473-K473,"")</x:f>
      </x:c>
      <x:c r="N473" s="10" t="n">
        <x:v>7</x:v>
      </x:c>
      <x:c r="O473" s="10"/>
      <x:c r="P473" s="10" t="str">
        <x:f>IF(COUNT(O473,N473)=2,O473-N473,"")</x:f>
      </x:c>
      <x:c r="Q473" s="10" t="n">
        <x:v>7</x:v>
      </x:c>
      <x:c r="R473" s="10"/>
      <x:c r="S473" s="10" t="str">
        <x:f>IF(COUNT(R473,Q473)=2,R473-Q473,"")</x:f>
      </x:c>
      <x:c r="T473" s="10" t="n">
        <x:v>-2</x:v>
      </x:c>
      <x:c r="U473" s="10"/>
      <x:c r="V473" s="10" t="str">
        <x:f>IF(COUNT(U473,T473)=2,U473-T473,"")</x:f>
      </x:c>
      <x:c r="W473" s="10" t="n">
        <x:v>0</x:v>
      </x:c>
      <x:c r="X473" s="10" t="str">
        <x:f>IF(COUNT(AV473,AW473)=2,AV473+AW473,"")</x:f>
      </x:c>
      <x:c r="Y473" s="10" t="str">
        <x:f>IF(COUNT(X473,W473)=2,X473-W473,"")</x:f>
      </x:c>
      <x:c r="Z473" s="10" t="n">
        <x:v>0</x:v>
      </x:c>
      <x:c r="AA473" s="10" t="str">
        <x:f>IF(COUNT(AX473,AY473)=2,AX473+AY473,"")</x:f>
      </x:c>
      <x:c r="AB473" s="10" t="str">
        <x:f>IF(COUNT(AA473,Z473)=2,AA473-Z473,"")</x:f>
      </x:c>
      <x:c r="AC473" s="10" t="n">
        <x:v>46</x:v>
      </x:c>
      <x:c r="AD473" s="10"/>
      <x:c r="AE473" s="10" t="str">
        <x:f>IF(COUNT(AD473,AC473)=2,AD473-AC473,"")</x:f>
      </x:c>
      <x:c r="AF473" s="10" t="n">
        <x:v>70</x:v>
      </x:c>
      <x:c r="AG473" s="10"/>
      <x:c r="AH473" s="10" t="str">
        <x:f>IF(COUNT(AG473,AF473)=2,AG473-AF473,"")</x:f>
      </x:c>
      <x:c r="AI473" s="10" t="n">
        <x:v>17</x:v>
      </x:c>
      <x:c r="AJ473" s="10"/>
      <x:c r="AK473" s="10" t="str">
        <x:f>IF(COUNT(AJ473,AI473)=2,AJ473-AI473,"")</x:f>
      </x:c>
      <x:c r="AL473" s="10" t="n">
        <x:v>27</x:v>
      </x:c>
      <x:c r="AM473" s="10"/>
      <x:c r="AN473" s="4" t="str">
        <x:v>C</x:v>
      </x:c>
      <x:c r="AO473" s="4"/>
      <x:c r="AP473" s="4" t="str">
        <x:v>SEA</x:v>
      </x:c>
      <x:c r="AQ473" s="4"/>
      <x:c r="AR473" s="4" t="n">
        <x:v>10.23</x:v>
      </x:c>
      <x:c r="AS473" s="4"/>
      <x:c r="AT473" s="4" t="n">
        <x:v>0.03</x:v>
      </x:c>
      <x:c r="AU473" s="4"/>
      <x:c r="AV473" s="10"/>
      <x:c r="AW473" s="10"/>
      <x:c r="AX473" s="10"/>
      <x:c r="AY473" s="10"/>
      <x:c r="AZ473" s="10" t="n">
        <x:v>451</x:v>
      </x:c>
      <x:c r="BA473" s="10" t="n">
        <x:v>531</x:v>
      </x:c>
      <x:c r="BB473" s="4" t="n">
        <x:v>45.9</x:v>
      </x:c>
      <x:c r="BC473" s="4" t="n">
        <x:v>2</x:v>
      </x:c>
      <x:c r="BD473" s="10" t="n">
        <x:v>331</x:v>
      </x:c>
      <x:c r="BE473" s="10" t="n">
        <x:v>381</x:v>
      </x:c>
      <x:c r="BF473" s="4" t="n">
        <x:v>46.5</x:v>
      </x:c>
      <x:c r="BG473" s="4" t="n">
        <x:v>2.3</x:v>
      </x:c>
      <x:c r="BH473" s="4" t="n">
        <x:v>10.6</x:v>
      </x:c>
      <x:c r="BI473" s="4" t="n">
        <x:v>87.1</x:v>
      </x:c>
      <x:c r="BJ473" s="4" t="n">
        <x:v>97.7</x:v>
      </x:c>
      <x:c r="BK473" s="4" t="n">
        <x:v>20.5</x:v>
      </x:c>
      <x:c r="BL473" s="4" t="n">
        <x:v>79.5</x:v>
      </x:c>
      <x:c r="BM473" s="4" t="n">
        <x:v>11.933333333333334</x:v>
      </x:c>
      <x:c r="BN473" s="4" t="n">
        <x:v>10.266666666666667</x:v>
      </x:c>
      <x:c r="BO473" s="10" t="n">
        <x:v>11</x:v>
      </x:c>
      <x:c r="BP473" s="10" t="n">
        <x:v>29</x:v>
      </x:c>
      <x:c r="BQ473" s="4" t="n">
        <x:v>-3.7</x:v>
      </x:c>
      <x:c r="BR473" s="10" t="n">
        <x:v>115</x:v>
      </x:c>
      <x:c r="BS473" s="4" t="n">
        <x:v>53</x:v>
      </x:c>
      <x:c r="BT473" s="10" t="n">
        <x:v>52</x:v>
      </x:c>
      <x:c r="BU473" s="4" t="str">
        <x:v>SEA</x:v>
      </x:c>
      <x:c r="BV473" s="10" t="n">
        <x:v>657</x:v>
      </x:c>
      <x:c r="BW473" s="10"/>
      <x:c r="BX473" s="10" t="n">
        <x:v>691</x:v>
      </x:c>
      <x:c r="BY473" s="4" t="str">
        <x:v>Ben Meyers</x:v>
      </x:c>
      <x:c r="BZ473" s="4"/>
      <x:c r="CA473" s="4" t="str">
        <x:v>Ben Meyers</x:v>
      </x:c>
      <x:c r="CB473" s="4" t="str">
        <x:v>meyerbe01</x:v>
      </x:c>
    </x:row>
    <x:row r="474" ht="22" customHeight="1">
      <x:c r="A474" s="4" t="str">
        <x:v>Benjamin Kindel</x:v>
      </x:c>
      <x:c r="B474" s="4" t="str">
        <x:v>benjaminkindel</x:v>
      </x:c>
      <x:c r="C474" s="10" t="n">
        <x:v>0</x:v>
      </x:c>
      <x:c r="D474" s="10" t="n">
        <x:v>1</x:v>
      </x:c>
      <x:c r="E474" s="10" t="n">
        <x:v>1</x:v>
      </x:c>
      <x:c r="F474" s="4" t="str">
        <x:f>IF(COUNT(N474,Q474,T474,W474,Z474,AC474,AF474,AI474)=8,N474*Guide!$E$5+Q474*Guide!$E$6+T474*Guide!$E$7+W474*Guide!$E$8+Z474*Guide!$E$9+AC474*Guide!$E$10+AF474*Guide!$E$11+AI474*Guide!$E$12,"")</x:f>
      </x:c>
      <x:c r="G474" s="4" t="n">
        <x:f>IF(COUNT(O474,R474,U474,X474,AA474,AD474,AG474,AJ474)=8,O474*Guide!$E$5+R474*Guide!$E$6+U474*Guide!$E$7+X474*Guide!$E$8+AA474*Guide!$E$9+AD474*Guide!$E$10+AG474*Guide!$E$11+AJ474*Guide!$E$12,"")</x:f>
        <x:v>221.75</x:v>
      </x:c>
      <x:c r="H474" s="4" t="str">
        <x:f>IF(COUNT(G474,F474)=2,G474-F474,"")</x:f>
      </x:c>
      <x:c r="I474" s="4" t="str">
        <x:f>IF(AND(ISNUMBER(F474),K474&gt;0),F474/K474,"")</x:f>
      </x:c>
      <x:c r="J474" s="4" t="n">
        <x:f>IF(AND(ISNUMBER(G474),L474&gt;0),G474/L474,"")</x:f>
        <x:v>2.8798701298701297</x:v>
      </x:c>
      <x:c r="K474" s="10"/>
      <x:c r="L474" s="10" t="n">
        <x:v>77</x:v>
      </x:c>
      <x:c r="M474" s="10" t="str">
        <x:f>IF(COUNT(L474,K474)=2,L474-K474,"")</x:f>
      </x:c>
      <x:c r="N474" s="10"/>
      <x:c r="O474" s="10" t="n">
        <x:v>17</x:v>
      </x:c>
      <x:c r="P474" s="10" t="str">
        <x:f>IF(COUNT(O474,N474)=2,O474-N474,"")</x:f>
      </x:c>
      <x:c r="Q474" s="10"/>
      <x:c r="R474" s="10" t="n">
        <x:v>18</x:v>
      </x:c>
      <x:c r="S474" s="10" t="str">
        <x:f>IF(COUNT(R474,Q474)=2,R474-Q474,"")</x:f>
      </x:c>
      <x:c r="T474" s="10"/>
      <x:c r="U474" s="10" t="n">
        <x:v>-5</x:v>
      </x:c>
      <x:c r="V474" s="10" t="str">
        <x:f>IF(COUNT(U474,T474)=2,U474-T474,"")</x:f>
      </x:c>
      <x:c r="W474" s="10"/>
      <x:c r="X474" s="10" t="n">
        <x:f>IF(COUNT(AV474,AW474)=2,AV474+AW474,"")</x:f>
        <x:v>10</x:v>
      </x:c>
      <x:c r="Y474" s="10" t="str">
        <x:f>IF(COUNT(X474,W474)=2,X474-W474,"")</x:f>
      </x:c>
      <x:c r="Z474" s="10"/>
      <x:c r="AA474" s="10" t="n">
        <x:f>IF(COUNT(AX474,AY474)=2,AX474+AY474,"")</x:f>
        <x:v>2</x:v>
      </x:c>
      <x:c r="AB474" s="10" t="str">
        <x:f>IF(COUNT(AA474,Z474)=2,AA474-Z474,"")</x:f>
      </x:c>
      <x:c r="AC474" s="10"/>
      <x:c r="AD474" s="10" t="n">
        <x:v>151</x:v>
      </x:c>
      <x:c r="AE474" s="10" t="str">
        <x:f>IF(COUNT(AD474,AC474)=2,AD474-AC474,"")</x:f>
      </x:c>
      <x:c r="AF474" s="10"/>
      <x:c r="AG474" s="10" t="n">
        <x:v>30</x:v>
      </x:c>
      <x:c r="AH474" s="10" t="str">
        <x:f>IF(COUNT(AG474,AF474)=2,AG474-AF474,"")</x:f>
      </x:c>
      <x:c r="AI474" s="10"/>
      <x:c r="AJ474" s="10" t="n">
        <x:v>58</x:v>
      </x:c>
      <x:c r="AK474" s="10" t="str">
        <x:f>IF(COUNT(AJ474,AI474)=2,AJ474-AI474,"")</x:f>
      </x:c>
      <x:c r="AL474" s="10"/>
      <x:c r="AM474" s="10" t="n">
        <x:v>18</x:v>
      </x:c>
      <x:c r="AN474" s="4"/>
      <x:c r="AO474" s="4" t="str">
        <x:v>C</x:v>
      </x:c>
      <x:c r="AP474" s="4"/>
      <x:c r="AQ474" s="4" t="str">
        <x:v>PIT</x:v>
      </x:c>
      <x:c r="AR474" s="4"/>
      <x:c r="AS474" s="4" t="n">
        <x:v>15.066666666666666</x:v>
      </x:c>
      <x:c r="AT474" s="4"/>
      <x:c r="AU474" s="4" t="n">
        <x:v>11.3</x:v>
      </x:c>
      <x:c r="AV474" s="10" t="n">
        <x:v>4</x:v>
      </x:c>
      <x:c r="AW474" s="10" t="n">
        <x:v>6</x:v>
      </x:c>
      <x:c r="AX474" s="10" t="n">
        <x:v>1</x:v>
      </x:c>
      <x:c r="AY474" s="10" t="n">
        <x:v>1</x:v>
      </x:c>
      <x:c r="AZ474" s="10" t="n">
        <x:v>1017</x:v>
      </x:c>
      <x:c r="BA474" s="10" t="n">
        <x:v>892</x:v>
      </x:c>
      <x:c r="BB474" s="4" t="n">
        <x:v>53.3</x:v>
      </x:c>
      <x:c r="BC474" s="4" t="n">
        <x:v>3.4</x:v>
      </x:c>
      <x:c r="BD474" s="10" t="n">
        <x:v>727</x:v>
      </x:c>
      <x:c r="BE474" s="10" t="n">
        <x:v>632</x:v>
      </x:c>
      <x:c r="BF474" s="4" t="n">
        <x:v>53.5</x:v>
      </x:c>
      <x:c r="BG474" s="4" t="n">
        <x:v>3.1</x:v>
      </x:c>
      <x:c r="BH474" s="4" t="n">
        <x:v>8.3</x:v>
      </x:c>
      <x:c r="BI474" s="4" t="n">
        <x:v>89.1</x:v>
      </x:c>
      <x:c r="BJ474" s="4" t="n">
        <x:v>97.3</x:v>
      </x:c>
      <x:c r="BK474" s="4" t="n">
        <x:v>56.6</x:v>
      </x:c>
      <x:c r="BL474" s="4" t="n">
        <x:v>43.4</x:v>
      </x:c>
      <x:c r="BM474" s="4" t="n">
        <x:v>15.066666666666666</x:v>
      </x:c>
      <x:c r="BN474" s="4" t="n">
        <x:v>12.6</x:v>
      </x:c>
      <x:c r="BO474" s="10" t="n">
        <x:v>25</x:v>
      </x:c>
      <x:c r="BP474" s="10" t="n">
        <x:v>83</x:v>
      </x:c>
      <x:c r="BQ474" s="4" t="n">
        <x:v>9.6</x:v>
      </x:c>
      <x:c r="BR474" s="10" t="n">
        <x:v>286</x:v>
      </x:c>
      <x:c r="BS474" s="4" t="n">
        <x:v>52.8</x:v>
      </x:c>
      <x:c r="BT474" s="10" t="n">
        <x:v>77</x:v>
      </x:c>
      <x:c r="BU474" s="4" t="str">
        <x:v>PIT</x:v>
      </x:c>
      <x:c r="BV474" s="10"/>
      <x:c r="BW474" s="10" t="n">
        <x:v>267</x:v>
      </x:c>
      <x:c r="BX474" s="10" t="n">
        <x:v>520</x:v>
      </x:c>
      <x:c r="BY474" s="4"/>
      <x:c r="BZ474" s="4" t="str">
        <x:v>Benjamin Kindel</x:v>
      </x:c>
      <x:c r="CA474" s="4" t="str">
        <x:v>Benjamin Kindel</x:v>
      </x:c>
      <x:c r="CB474" s="4" t="str">
        <x:v>kindebe01</x:v>
      </x:c>
    </x:row>
    <x:row r="475" ht="22" customHeight="1">
      <x:c r="A475" s="4" t="str">
        <x:v>Benoit-Olivier Groulx</x:v>
      </x:c>
      <x:c r="B475" s="4" t="str">
        <x:v>benoitoliviergroulx</x:v>
      </x:c>
      <x:c r="C475" s="10" t="n">
        <x:v>0</x:v>
      </x:c>
      <x:c r="D475" s="10" t="n">
        <x:v>0</x:v>
      </x:c>
      <x:c r="E475" s="10" t="n">
        <x:v>1</x:v>
      </x:c>
      <x:c r="F475" s="4" t="str">
        <x:f>IF(COUNT(N475,Q475,T475,W475,Z475,AC475,AF475,AI475)=8,N475*Guide!$E$5+Q475*Guide!$E$6+T475*Guide!$E$7+W475*Guide!$E$8+Z475*Guide!$E$9+AC475*Guide!$E$10+AF475*Guide!$E$11+AI475*Guide!$E$12,"")</x:f>
      </x:c>
      <x:c r="G475" s="4" t="str">
        <x:f>IF(COUNT(O475,R475,U475,X475,AA475,AD475,AG475,AJ475)=8,O475*Guide!$E$5+R475*Guide!$E$6+U475*Guide!$E$7+X475*Guide!$E$8+AA475*Guide!$E$9+AD475*Guide!$E$10+AG475*Guide!$E$11+AJ475*Guide!$E$12,"")</x:f>
      </x:c>
      <x:c r="H475" s="4" t="str">
        <x:f>IF(COUNT(G475,F475)=2,G475-F475,"")</x:f>
      </x:c>
      <x:c r="I475" s="4" t="str">
        <x:f>IF(AND(ISNUMBER(F475),K475&gt;0),F475/K475,"")</x:f>
      </x:c>
      <x:c r="J475" s="4" t="str">
        <x:f>IF(AND(ISNUMBER(G475),L475&gt;0),G475/L475,"")</x:f>
      </x:c>
      <x:c r="K475" s="10"/>
      <x:c r="L475" s="10"/>
      <x:c r="M475" s="10" t="str">
        <x:f>IF(COUNT(L475,K475)=2,L475-K475,"")</x:f>
      </x:c>
      <x:c r="N475" s="10"/>
      <x:c r="O475" s="10"/>
      <x:c r="P475" s="10" t="str">
        <x:f>IF(COUNT(O475,N475)=2,O475-N475,"")</x:f>
      </x:c>
      <x:c r="Q475" s="10"/>
      <x:c r="R475" s="10"/>
      <x:c r="S475" s="10" t="str">
        <x:f>IF(COUNT(R475,Q475)=2,R475-Q475,"")</x:f>
      </x:c>
      <x:c r="T475" s="10"/>
      <x:c r="U475" s="10"/>
      <x:c r="V475" s="10" t="str">
        <x:f>IF(COUNT(U475,T475)=2,U475-T475,"")</x:f>
      </x:c>
      <x:c r="W475" s="10"/>
      <x:c r="X475" s="10" t="str">
        <x:f>IF(COUNT(AV475,AW475)=2,AV475+AW475,"")</x:f>
      </x:c>
      <x:c r="Y475" s="10" t="str">
        <x:f>IF(COUNT(X475,W475)=2,X475-W475,"")</x:f>
      </x:c>
      <x:c r="Z475" s="10"/>
      <x:c r="AA475" s="10" t="str">
        <x:f>IF(COUNT(AX475,AY475)=2,AX475+AY475,"")</x:f>
      </x:c>
      <x:c r="AB475" s="10" t="str">
        <x:f>IF(COUNT(AA475,Z475)=2,AA475-Z475,"")</x:f>
      </x:c>
      <x:c r="AC475" s="10"/>
      <x:c r="AD475" s="10"/>
      <x:c r="AE475" s="10" t="str">
        <x:f>IF(COUNT(AD475,AC475)=2,AD475-AC475,"")</x:f>
      </x:c>
      <x:c r="AF475" s="10"/>
      <x:c r="AG475" s="10"/>
      <x:c r="AH475" s="10" t="str">
        <x:f>IF(COUNT(AG475,AF475)=2,AG475-AF475,"")</x:f>
      </x:c>
      <x:c r="AI475" s="10"/>
      <x:c r="AJ475" s="10"/>
      <x:c r="AK475" s="10" t="str">
        <x:f>IF(COUNT(AJ475,AI475)=2,AJ475-AI475,"")</x:f>
      </x:c>
      <x:c r="AL475" s="10"/>
      <x:c r="AM475" s="10"/>
      <x:c r="AN475" s="4"/>
      <x:c r="AO475" s="4"/>
      <x:c r="AP475" s="4"/>
      <x:c r="AQ475" s="4"/>
      <x:c r="AR475" s="4"/>
      <x:c r="AS475" s="4"/>
      <x:c r="AT475" s="4"/>
      <x:c r="AU475" s="4"/>
      <x:c r="AV475" s="10"/>
      <x:c r="AW475" s="10"/>
      <x:c r="AX475" s="10"/>
      <x:c r="AY475" s="10"/>
      <x:c r="AZ475" s="10" t="n">
        <x:v>109</x:v>
      </x:c>
      <x:c r="BA475" s="10" t="n">
        <x:v>211</x:v>
      </x:c>
      <x:c r="BB475" s="4" t="n">
        <x:v>34.1</x:v>
      </x:c>
      <x:c r="BC475" s="4" t="n">
        <x:v>-9</x:v>
      </x:c>
      <x:c r="BD475" s="10" t="n">
        <x:v>79</x:v>
      </x:c>
      <x:c r="BE475" s="10" t="n">
        <x:v>159</x:v>
      </x:c>
      <x:c r="BF475" s="4" t="n">
        <x:v>33.2</x:v>
      </x:c>
      <x:c r="BG475" s="4" t="n">
        <x:v>-9.4</x:v>
      </x:c>
      <x:c r="BH475" s="4" t="n">
        <x:v>18</x:v>
      </x:c>
      <x:c r="BI475" s="4" t="n">
        <x:v>92.7</x:v>
      </x:c>
      <x:c r="BJ475" s="4" t="n">
        <x:v>110.7</x:v>
      </x:c>
      <x:c r="BK475" s="4" t="n">
        <x:v>31.6</x:v>
      </x:c>
      <x:c r="BL475" s="4" t="n">
        <x:v>68.4</x:v>
      </x:c>
      <x:c r="BM475" s="4" t="n">
        <x:v>15.7</x:v>
      </x:c>
      <x:c r="BN475" s="4" t="n">
        <x:v>12.416666666666666</x:v>
      </x:c>
      <x:c r="BO475" s="10" t="n">
        <x:v>0</x:v>
      </x:c>
      <x:c r="BP475" s="10" t="n">
        <x:v>11</x:v>
      </x:c>
      <x:c r="BQ475" s="4" t="n">
        <x:v>-5.7</x:v>
      </x:c>
      <x:c r="BR475" s="10" t="n">
        <x:v>32</x:v>
      </x:c>
      <x:c r="BS475" s="4" t="n">
        <x:v>46.9</x:v>
      </x:c>
      <x:c r="BT475" s="10" t="n">
        <x:v>13</x:v>
      </x:c>
      <x:c r="BU475" s="4" t="str">
        <x:v>TOR</x:v>
      </x:c>
      <x:c r="BV475" s="10"/>
      <x:c r="BW475" s="10"/>
      <x:c r="BX475" s="10" t="n">
        <x:v>365</x:v>
      </x:c>
      <x:c r="BY475" s="4"/>
      <x:c r="BZ475" s="4"/>
      <x:c r="CA475" s="4" t="str">
        <x:v>Benoit-Olivier Groulx</x:v>
      </x:c>
      <x:c r="CB475" s="4" t="str">
        <x:v>groulbe01</x:v>
      </x:c>
    </x:row>
    <x:row r="476" ht="22" customHeight="1">
      <x:c r="A476" s="4" t="str">
        <x:v>Berkly Catton</x:v>
      </x:c>
      <x:c r="B476" s="4" t="str">
        <x:v>berklycatton</x:v>
      </x:c>
      <x:c r="C476" s="10" t="n">
        <x:v>0</x:v>
      </x:c>
      <x:c r="D476" s="10" t="n">
        <x:v>0</x:v>
      </x:c>
      <x:c r="E476" s="10" t="n">
        <x:v>1</x:v>
      </x:c>
      <x:c r="F476" s="4" t="str">
        <x:f>IF(COUNT(N476,Q476,T476,W476,Z476,AC476,AF476,AI476)=8,N476*Guide!$E$5+Q476*Guide!$E$6+T476*Guide!$E$7+W476*Guide!$E$8+Z476*Guide!$E$9+AC476*Guide!$E$10+AF476*Guide!$E$11+AI476*Guide!$E$12,"")</x:f>
      </x:c>
      <x:c r="G476" s="4" t="str">
        <x:f>IF(COUNT(O476,R476,U476,X476,AA476,AD476,AG476,AJ476)=8,O476*Guide!$E$5+R476*Guide!$E$6+U476*Guide!$E$7+X476*Guide!$E$8+AA476*Guide!$E$9+AD476*Guide!$E$10+AG476*Guide!$E$11+AJ476*Guide!$E$12,"")</x:f>
      </x:c>
      <x:c r="H476" s="4" t="str">
        <x:f>IF(COUNT(G476,F476)=2,G476-F476,"")</x:f>
      </x:c>
      <x:c r="I476" s="4" t="str">
        <x:f>IF(AND(ISNUMBER(F476),K476&gt;0),F476/K476,"")</x:f>
      </x:c>
      <x:c r="J476" s="4" t="str">
        <x:f>IF(AND(ISNUMBER(G476),L476&gt;0),G476/L476,"")</x:f>
      </x:c>
      <x:c r="K476" s="10"/>
      <x:c r="L476" s="10"/>
      <x:c r="M476" s="10" t="str">
        <x:f>IF(COUNT(L476,K476)=2,L476-K476,"")</x:f>
      </x:c>
      <x:c r="N476" s="10"/>
      <x:c r="O476" s="10"/>
      <x:c r="P476" s="10" t="str">
        <x:f>IF(COUNT(O476,N476)=2,O476-N476,"")</x:f>
      </x:c>
      <x:c r="Q476" s="10"/>
      <x:c r="R476" s="10"/>
      <x:c r="S476" s="10" t="str">
        <x:f>IF(COUNT(R476,Q476)=2,R476-Q476,"")</x:f>
      </x:c>
      <x:c r="T476" s="10"/>
      <x:c r="U476" s="10"/>
      <x:c r="V476" s="10" t="str">
        <x:f>IF(COUNT(U476,T476)=2,U476-T476,"")</x:f>
      </x:c>
      <x:c r="W476" s="10"/>
      <x:c r="X476" s="10" t="str">
        <x:f>IF(COUNT(AV476,AW476)=2,AV476+AW476,"")</x:f>
      </x:c>
      <x:c r="Y476" s="10" t="str">
        <x:f>IF(COUNT(X476,W476)=2,X476-W476,"")</x:f>
      </x:c>
      <x:c r="Z476" s="10"/>
      <x:c r="AA476" s="10" t="str">
        <x:f>IF(COUNT(AX476,AY476)=2,AX476+AY476,"")</x:f>
      </x:c>
      <x:c r="AB476" s="10" t="str">
        <x:f>IF(COUNT(AA476,Z476)=2,AA476-Z476,"")</x:f>
      </x:c>
      <x:c r="AC476" s="10"/>
      <x:c r="AD476" s="10"/>
      <x:c r="AE476" s="10" t="str">
        <x:f>IF(COUNT(AD476,AC476)=2,AD476-AC476,"")</x:f>
      </x:c>
      <x:c r="AF476" s="10"/>
      <x:c r="AG476" s="10"/>
      <x:c r="AH476" s="10" t="str">
        <x:f>IF(COUNT(AG476,AF476)=2,AG476-AF476,"")</x:f>
      </x:c>
      <x:c r="AI476" s="10"/>
      <x:c r="AJ476" s="10"/>
      <x:c r="AK476" s="10" t="str">
        <x:f>IF(COUNT(AJ476,AI476)=2,AJ476-AI476,"")</x:f>
      </x:c>
      <x:c r="AL476" s="10"/>
      <x:c r="AM476" s="10"/>
      <x:c r="AN476" s="4"/>
      <x:c r="AO476" s="4"/>
      <x:c r="AP476" s="4"/>
      <x:c r="AQ476" s="4"/>
      <x:c r="AR476" s="4"/>
      <x:c r="AS476" s="4"/>
      <x:c r="AT476" s="4"/>
      <x:c r="AU476" s="4"/>
      <x:c r="AV476" s="10"/>
      <x:c r="AW476" s="10"/>
      <x:c r="AX476" s="10"/>
      <x:c r="AY476" s="10"/>
      <x:c r="AZ476" s="10" t="n">
        <x:v>717</x:v>
      </x:c>
      <x:c r="BA476" s="10" t="n">
        <x:v>812</x:v>
      </x:c>
      <x:c r="BB476" s="4" t="n">
        <x:v>46.9</x:v>
      </x:c>
      <x:c r="BC476" s="4" t="n">
        <x:v>2</x:v>
      </x:c>
      <x:c r="BD476" s="10" t="n">
        <x:v>541</x:v>
      </x:c>
      <x:c r="BE476" s="10" t="n">
        <x:v>577</x:v>
      </x:c>
      <x:c r="BF476" s="4" t="n">
        <x:v>48.4</x:v>
      </x:c>
      <x:c r="BG476" s="4" t="n">
        <x:v>3.7</x:v>
      </x:c>
      <x:c r="BH476" s="4" t="n">
        <x:v>8.4</x:v>
      </x:c>
      <x:c r="BI476" s="4" t="n">
        <x:v>90</x:v>
      </x:c>
      <x:c r="BJ476" s="4" t="n">
        <x:v>98.4</x:v>
      </x:c>
      <x:c r="BK476" s="4" t="n">
        <x:v>70.4</x:v>
      </x:c>
      <x:c r="BL476" s="4" t="n">
        <x:v>29.6</x:v>
      </x:c>
      <x:c r="BM476" s="4" t="n">
        <x:v>12.933333333333334</x:v>
      </x:c>
      <x:c r="BN476" s="4" t="n">
        <x:v>12.083333333333334</x:v>
      </x:c>
      <x:c r="BO476" s="10" t="n">
        <x:v>16</x:v>
      </x:c>
      <x:c r="BP476" s="10" t="n">
        <x:v>40</x:v>
      </x:c>
      <x:c r="BQ476" s="4" t="n">
        <x:v>0.2</x:v>
      </x:c>
      <x:c r="BR476" s="10" t="n">
        <x:v>161</x:v>
      </x:c>
      <x:c r="BS476" s="4" t="n">
        <x:v>48.4</x:v>
      </x:c>
      <x:c r="BT476" s="10" t="n">
        <x:v>66</x:v>
      </x:c>
      <x:c r="BU476" s="4" t="str">
        <x:v>SEA</x:v>
      </x:c>
      <x:c r="BV476" s="10"/>
      <x:c r="BW476" s="10"/>
      <x:c r="BX476" s="10" t="n">
        <x:v>138</x:v>
      </x:c>
      <x:c r="BY476" s="4"/>
      <x:c r="BZ476" s="4"/>
      <x:c r="CA476" s="4" t="str">
        <x:v>Berkly Catton</x:v>
      </x:c>
      <x:c r="CB476" s="4" t="str">
        <x:v>cattobe01</x:v>
      </x:c>
    </x:row>
    <x:row r="477" ht="22" customHeight="1">
      <x:c r="A477" s="4" t="str">
        <x:v>Bogdan Trineyev</x:v>
      </x:c>
      <x:c r="B477" s="4" t="str">
        <x:v>bogdantrineyev</x:v>
      </x:c>
      <x:c r="C477" s="10" t="n">
        <x:v>0</x:v>
      </x:c>
      <x:c r="D477" s="10" t="n">
        <x:v>0</x:v>
      </x:c>
      <x:c r="E477" s="10" t="n">
        <x:v>1</x:v>
      </x:c>
      <x:c r="F477" s="4" t="str">
        <x:f>IF(COUNT(N477,Q477,T477,W477,Z477,AC477,AF477,AI477)=8,N477*Guide!$E$5+Q477*Guide!$E$6+T477*Guide!$E$7+W477*Guide!$E$8+Z477*Guide!$E$9+AC477*Guide!$E$10+AF477*Guide!$E$11+AI477*Guide!$E$12,"")</x:f>
      </x:c>
      <x:c r="G477" s="4" t="str">
        <x:f>IF(COUNT(O477,R477,U477,X477,AA477,AD477,AG477,AJ477)=8,O477*Guide!$E$5+R477*Guide!$E$6+U477*Guide!$E$7+X477*Guide!$E$8+AA477*Guide!$E$9+AD477*Guide!$E$10+AG477*Guide!$E$11+AJ477*Guide!$E$12,"")</x:f>
      </x:c>
      <x:c r="H477" s="4" t="str">
        <x:f>IF(COUNT(G477,F477)=2,G477-F477,"")</x:f>
      </x:c>
      <x:c r="I477" s="4" t="str">
        <x:f>IF(AND(ISNUMBER(F477),K477&gt;0),F477/K477,"")</x:f>
      </x:c>
      <x:c r="J477" s="4" t="str">
        <x:f>IF(AND(ISNUMBER(G477),L477&gt;0),G477/L477,"")</x:f>
      </x:c>
      <x:c r="K477" s="10"/>
      <x:c r="L477" s="10"/>
      <x:c r="M477" s="10" t="str">
        <x:f>IF(COUNT(L477,K477)=2,L477-K477,"")</x:f>
      </x:c>
      <x:c r="N477" s="10"/>
      <x:c r="O477" s="10"/>
      <x:c r="P477" s="10" t="str">
        <x:f>IF(COUNT(O477,N477)=2,O477-N477,"")</x:f>
      </x:c>
      <x:c r="Q477" s="10"/>
      <x:c r="R477" s="10"/>
      <x:c r="S477" s="10" t="str">
        <x:f>IF(COUNT(R477,Q477)=2,R477-Q477,"")</x:f>
      </x:c>
      <x:c r="T477" s="10"/>
      <x:c r="U477" s="10"/>
      <x:c r="V477" s="10" t="str">
        <x:f>IF(COUNT(U477,T477)=2,U477-T477,"")</x:f>
      </x:c>
      <x:c r="W477" s="10"/>
      <x:c r="X477" s="10" t="str">
        <x:f>IF(COUNT(AV477,AW477)=2,AV477+AW477,"")</x:f>
      </x:c>
      <x:c r="Y477" s="10" t="str">
        <x:f>IF(COUNT(X477,W477)=2,X477-W477,"")</x:f>
      </x:c>
      <x:c r="Z477" s="10"/>
      <x:c r="AA477" s="10" t="str">
        <x:f>IF(COUNT(AX477,AY477)=2,AX477+AY477,"")</x:f>
      </x:c>
      <x:c r="AB477" s="10" t="str">
        <x:f>IF(COUNT(AA477,Z477)=2,AA477-Z477,"")</x:f>
      </x:c>
      <x:c r="AC477" s="10"/>
      <x:c r="AD477" s="10"/>
      <x:c r="AE477" s="10" t="str">
        <x:f>IF(COUNT(AD477,AC477)=2,AD477-AC477,"")</x:f>
      </x:c>
      <x:c r="AF477" s="10"/>
      <x:c r="AG477" s="10"/>
      <x:c r="AH477" s="10" t="str">
        <x:f>IF(COUNT(AG477,AF477)=2,AG477-AF477,"")</x:f>
      </x:c>
      <x:c r="AI477" s="10"/>
      <x:c r="AJ477" s="10"/>
      <x:c r="AK477" s="10" t="str">
        <x:f>IF(COUNT(AJ477,AI477)=2,AJ477-AI477,"")</x:f>
      </x:c>
      <x:c r="AL477" s="10"/>
      <x:c r="AM477" s="10"/>
      <x:c r="AN477" s="4"/>
      <x:c r="AO477" s="4"/>
      <x:c r="AP477" s="4"/>
      <x:c r="AQ477" s="4"/>
      <x:c r="AR477" s="4"/>
      <x:c r="AS477" s="4"/>
      <x:c r="AT477" s="4"/>
      <x:c r="AU477" s="4"/>
      <x:c r="AV477" s="10"/>
      <x:c r="AW477" s="10"/>
      <x:c r="AX477" s="10"/>
      <x:c r="AY477" s="10"/>
      <x:c r="AZ477" s="10" t="n">
        <x:v>23</x:v>
      </x:c>
      <x:c r="BA477" s="10" t="n">
        <x:v>14</x:v>
      </x:c>
      <x:c r="BB477" s="4" t="n">
        <x:v>62.2</x:v>
      </x:c>
      <x:c r="BC477" s="4" t="n">
        <x:v>12.6</x:v>
      </x:c>
      <x:c r="BD477" s="10" t="n">
        <x:v>19</x:v>
      </x:c>
      <x:c r="BE477" s="10" t="n">
        <x:v>10</x:v>
      </x:c>
      <x:c r="BF477" s="4" t="n">
        <x:v>65.5</x:v>
      </x:c>
      <x:c r="BG477" s="4" t="n">
        <x:v>16.6</x:v>
      </x:c>
      <x:c r="BH477" s="4" t="n">
        <x:v>0</x:v>
      </x:c>
      <x:c r="BI477" s="4" t="n">
        <x:v>100</x:v>
      </x:c>
      <x:c r="BJ477" s="4" t="n">
        <x:v>100</x:v>
      </x:c>
      <x:c r="BK477" s="4" t="n">
        <x:v>50</x:v>
      </x:c>
      <x:c r="BL477" s="4" t="n">
        <x:v>50</x:v>
      </x:c>
      <x:c r="BM477" s="4" t="n">
        <x:v>10.533333333333333</x:v>
      </x:c>
      <x:c r="BN477" s="4" t="n">
        <x:v>10.3</x:v>
      </x:c>
      <x:c r="BO477" s="10" t="n">
        <x:v>1</x:v>
      </x:c>
      <x:c r="BP477" s="10" t="n">
        <x:v>1</x:v>
      </x:c>
      <x:c r="BQ477" s="4" t="n">
        <x:v>0</x:v>
      </x:c>
      <x:c r="BR477" s="10" t="n">
        <x:v>3</x:v>
      </x:c>
      <x:c r="BS477" s="4" t="n">
        <x:v>33.3</x:v>
      </x:c>
      <x:c r="BT477" s="10" t="n">
        <x:v>2</x:v>
      </x:c>
      <x:c r="BU477" s="4" t="str">
        <x:v>WSH</x:v>
      </x:c>
      <x:c r="BV477" s="10"/>
      <x:c r="BW477" s="10"/>
      <x:c r="BX477" s="10" t="n">
        <x:v>1029</x:v>
      </x:c>
      <x:c r="BY477" s="4"/>
      <x:c r="BZ477" s="4"/>
      <x:c r="CA477" s="4" t="str">
        <x:v>Bogdan Trineyev</x:v>
      </x:c>
      <x:c r="CB477" s="4" t="str">
        <x:v>trinebo01</x:v>
      </x:c>
    </x:row>
    <x:row r="478" ht="22" customHeight="1">
      <x:c r="A478" s="4" t="str">
        <x:v>Bokondji Imama</x:v>
      </x:c>
      <x:c r="B478" s="4" t="str">
        <x:v>bokondjiimama</x:v>
      </x:c>
      <x:c r="C478" s="10" t="n">
        <x:v>0</x:v>
      </x:c>
      <x:c r="D478" s="10" t="n">
        <x:v>0</x:v>
      </x:c>
      <x:c r="E478" s="10" t="n">
        <x:v>1</x:v>
      </x:c>
      <x:c r="F478" s="4" t="str">
        <x:f>IF(COUNT(N478,Q478,T478,W478,Z478,AC478,AF478,AI478)=8,N478*Guide!$E$5+Q478*Guide!$E$6+T478*Guide!$E$7+W478*Guide!$E$8+Z478*Guide!$E$9+AC478*Guide!$E$10+AF478*Guide!$E$11+AI478*Guide!$E$12,"")</x:f>
      </x:c>
      <x:c r="G478" s="4" t="str">
        <x:f>IF(COUNT(O478,R478,U478,X478,AA478,AD478,AG478,AJ478)=8,O478*Guide!$E$5+R478*Guide!$E$6+U478*Guide!$E$7+X478*Guide!$E$8+AA478*Guide!$E$9+AD478*Guide!$E$10+AG478*Guide!$E$11+AJ478*Guide!$E$12,"")</x:f>
      </x:c>
      <x:c r="H478" s="4" t="str">
        <x:f>IF(COUNT(G478,F478)=2,G478-F478,"")</x:f>
      </x:c>
      <x:c r="I478" s="4" t="str">
        <x:f>IF(AND(ISNUMBER(F478),K478&gt;0),F478/K478,"")</x:f>
      </x:c>
      <x:c r="J478" s="4" t="str">
        <x:f>IF(AND(ISNUMBER(G478),L478&gt;0),G478/L478,"")</x:f>
      </x:c>
      <x:c r="K478" s="10"/>
      <x:c r="L478" s="10"/>
      <x:c r="M478" s="10" t="str">
        <x:f>IF(COUNT(L478,K478)=2,L478-K478,"")</x:f>
      </x:c>
      <x:c r="N478" s="10"/>
      <x:c r="O478" s="10"/>
      <x:c r="P478" s="10" t="str">
        <x:f>IF(COUNT(O478,N478)=2,O478-N478,"")</x:f>
      </x:c>
      <x:c r="Q478" s="10"/>
      <x:c r="R478" s="10"/>
      <x:c r="S478" s="10" t="str">
        <x:f>IF(COUNT(R478,Q478)=2,R478-Q478,"")</x:f>
      </x:c>
      <x:c r="T478" s="10"/>
      <x:c r="U478" s="10"/>
      <x:c r="V478" s="10" t="str">
        <x:f>IF(COUNT(U478,T478)=2,U478-T478,"")</x:f>
      </x:c>
      <x:c r="W478" s="10"/>
      <x:c r="X478" s="10" t="str">
        <x:f>IF(COUNT(AV478,AW478)=2,AV478+AW478,"")</x:f>
      </x:c>
      <x:c r="Y478" s="10" t="str">
        <x:f>IF(COUNT(X478,W478)=2,X478-W478,"")</x:f>
      </x:c>
      <x:c r="Z478" s="10"/>
      <x:c r="AA478" s="10" t="str">
        <x:f>IF(COUNT(AX478,AY478)=2,AX478+AY478,"")</x:f>
      </x:c>
      <x:c r="AB478" s="10" t="str">
        <x:f>IF(COUNT(AA478,Z478)=2,AA478-Z478,"")</x:f>
      </x:c>
      <x:c r="AC478" s="10"/>
      <x:c r="AD478" s="10"/>
      <x:c r="AE478" s="10" t="str">
        <x:f>IF(COUNT(AD478,AC478)=2,AD478-AC478,"")</x:f>
      </x:c>
      <x:c r="AF478" s="10"/>
      <x:c r="AG478" s="10"/>
      <x:c r="AH478" s="10" t="str">
        <x:f>IF(COUNT(AG478,AF478)=2,AG478-AF478,"")</x:f>
      </x:c>
      <x:c r="AI478" s="10"/>
      <x:c r="AJ478" s="10"/>
      <x:c r="AK478" s="10" t="str">
        <x:f>IF(COUNT(AJ478,AI478)=2,AJ478-AI478,"")</x:f>
      </x:c>
      <x:c r="AL478" s="10"/>
      <x:c r="AM478" s="10"/>
      <x:c r="AN478" s="4"/>
      <x:c r="AO478" s="4"/>
      <x:c r="AP478" s="4"/>
      <x:c r="AQ478" s="4"/>
      <x:c r="AR478" s="4"/>
      <x:c r="AS478" s="4"/>
      <x:c r="AT478" s="4"/>
      <x:c r="AU478" s="4"/>
      <x:c r="AV478" s="10"/>
      <x:c r="AW478" s="10"/>
      <x:c r="AX478" s="10"/>
      <x:c r="AY478" s="10"/>
      <x:c r="AZ478" s="10" t="n">
        <x:v>18</x:v>
      </x:c>
      <x:c r="BA478" s="10" t="n">
        <x:v>12</x:v>
      </x:c>
      <x:c r="BB478" s="4" t="n">
        <x:v>60</x:v>
      </x:c>
      <x:c r="BC478" s="4" t="n">
        <x:v>12.7</x:v>
      </x:c>
      <x:c r="BD478" s="10" t="n">
        <x:v>14</x:v>
      </x:c>
      <x:c r="BE478" s="10" t="n">
        <x:v>10</x:v>
      </x:c>
      <x:c r="BF478" s="4" t="n">
        <x:v>58.3</x:v>
      </x:c>
      <x:c r="BG478" s="4" t="n">
        <x:v>9.7</x:v>
      </x:c>
      <x:c r="BH478" s="4" t="n">
        <x:v>0</x:v>
      </x:c>
      <x:c r="BI478" s="4" t="n">
        <x:v>100</x:v>
      </x:c>
      <x:c r="BJ478" s="4" t="n">
        <x:v>100</x:v>
      </x:c>
      <x:c r="BK478" s="4" t="n">
        <x:v>50</x:v>
      </x:c>
      <x:c r="BL478" s="4" t="n">
        <x:v>50</x:v>
      </x:c>
      <x:c r="BM478" s="4" t="n">
        <x:v>7.65</x:v>
      </x:c>
      <x:c r="BN478" s="4" t="n">
        <x:v>7.65</x:v>
      </x:c>
      <x:c r="BO478" s="10" t="n">
        <x:v>0</x:v>
      </x:c>
      <x:c r="BP478" s="10" t="n">
        <x:v>2</x:v>
      </x:c>
      <x:c r="BQ478" s="4" t="n">
        <x:v>0.2</x:v>
      </x:c>
      <x:c r="BR478" s="10" t="n">
        <x:v>4</x:v>
      </x:c>
      <x:c r="BS478" s="4" t="n">
        <x:v>50</x:v>
      </x:c>
      <x:c r="BT478" s="10" t="n">
        <x:v>2</x:v>
      </x:c>
      <x:c r="BU478" s="4" t="str">
        <x:v>PIT</x:v>
      </x:c>
      <x:c r="BV478" s="10"/>
      <x:c r="BW478" s="10"/>
      <x:c r="BX478" s="10" t="n">
        <x:v>448</x:v>
      </x:c>
      <x:c r="BY478" s="4"/>
      <x:c r="BZ478" s="4"/>
      <x:c r="CA478" s="4" t="str">
        <x:v>Bokondji Imama</x:v>
      </x:c>
      <x:c r="CB478" s="4" t="str">
        <x:v>imamabo01</x:v>
      </x:c>
    </x:row>
    <x:row r="479" ht="22" customHeight="1">
      <x:c r="A479" s="4" t="str">
        <x:v>Boris Katchouk</x:v>
      </x:c>
      <x:c r="B479" s="4" t="str">
        <x:v>boriskatchouk</x:v>
      </x:c>
      <x:c r="C479" s="10" t="n">
        <x:v>0</x:v>
      </x:c>
      <x:c r="D479" s="10" t="n">
        <x:v>0</x:v>
      </x:c>
      <x:c r="E479" s="10" t="n">
        <x:v>1</x:v>
      </x:c>
      <x:c r="F479" s="4" t="str">
        <x:f>IF(COUNT(N479,Q479,T479,W479,Z479,AC479,AF479,AI479)=8,N479*Guide!$E$5+Q479*Guide!$E$6+T479*Guide!$E$7+W479*Guide!$E$8+Z479*Guide!$E$9+AC479*Guide!$E$10+AF479*Guide!$E$11+AI479*Guide!$E$12,"")</x:f>
      </x:c>
      <x:c r="G479" s="4" t="str">
        <x:f>IF(COUNT(O479,R479,U479,X479,AA479,AD479,AG479,AJ479)=8,O479*Guide!$E$5+R479*Guide!$E$6+U479*Guide!$E$7+X479*Guide!$E$8+AA479*Guide!$E$9+AD479*Guide!$E$10+AG479*Guide!$E$11+AJ479*Guide!$E$12,"")</x:f>
      </x:c>
      <x:c r="H479" s="4" t="str">
        <x:f>IF(COUNT(G479,F479)=2,G479-F479,"")</x:f>
      </x:c>
      <x:c r="I479" s="4" t="str">
        <x:f>IF(AND(ISNUMBER(F479),K479&gt;0),F479/K479,"")</x:f>
      </x:c>
      <x:c r="J479" s="4" t="str">
        <x:f>IF(AND(ISNUMBER(G479),L479&gt;0),G479/L479,"")</x:f>
      </x:c>
      <x:c r="K479" s="10"/>
      <x:c r="L479" s="10"/>
      <x:c r="M479" s="10" t="str">
        <x:f>IF(COUNT(L479,K479)=2,L479-K479,"")</x:f>
      </x:c>
      <x:c r="N479" s="10"/>
      <x:c r="O479" s="10"/>
      <x:c r="P479" s="10" t="str">
        <x:f>IF(COUNT(O479,N479)=2,O479-N479,"")</x:f>
      </x:c>
      <x:c r="Q479" s="10"/>
      <x:c r="R479" s="10"/>
      <x:c r="S479" s="10" t="str">
        <x:f>IF(COUNT(R479,Q479)=2,R479-Q479,"")</x:f>
      </x:c>
      <x:c r="T479" s="10"/>
      <x:c r="U479" s="10"/>
      <x:c r="V479" s="10" t="str">
        <x:f>IF(COUNT(U479,T479)=2,U479-T479,"")</x:f>
      </x:c>
      <x:c r="W479" s="10"/>
      <x:c r="X479" s="10" t="str">
        <x:f>IF(COUNT(AV479,AW479)=2,AV479+AW479,"")</x:f>
      </x:c>
      <x:c r="Y479" s="10" t="str">
        <x:f>IF(COUNT(X479,W479)=2,X479-W479,"")</x:f>
      </x:c>
      <x:c r="Z479" s="10"/>
      <x:c r="AA479" s="10" t="str">
        <x:f>IF(COUNT(AX479,AY479)=2,AX479+AY479,"")</x:f>
      </x:c>
      <x:c r="AB479" s="10" t="str">
        <x:f>IF(COUNT(AA479,Z479)=2,AA479-Z479,"")</x:f>
      </x:c>
      <x:c r="AC479" s="10"/>
      <x:c r="AD479" s="10"/>
      <x:c r="AE479" s="10" t="str">
        <x:f>IF(COUNT(AD479,AC479)=2,AD479-AC479,"")</x:f>
      </x:c>
      <x:c r="AF479" s="10"/>
      <x:c r="AG479" s="10"/>
      <x:c r="AH479" s="10" t="str">
        <x:f>IF(COUNT(AG479,AF479)=2,AG479-AF479,"")</x:f>
      </x:c>
      <x:c r="AI479" s="10"/>
      <x:c r="AJ479" s="10"/>
      <x:c r="AK479" s="10" t="str">
        <x:f>IF(COUNT(AJ479,AI479)=2,AJ479-AI479,"")</x:f>
      </x:c>
      <x:c r="AL479" s="10"/>
      <x:c r="AM479" s="10"/>
      <x:c r="AN479" s="4"/>
      <x:c r="AO479" s="4"/>
      <x:c r="AP479" s="4"/>
      <x:c r="AQ479" s="4"/>
      <x:c r="AR479" s="4"/>
      <x:c r="AS479" s="4"/>
      <x:c r="AT479" s="4"/>
      <x:c r="AU479" s="4"/>
      <x:c r="AV479" s="10"/>
      <x:c r="AW479" s="10"/>
      <x:c r="AX479" s="10"/>
      <x:c r="AY479" s="10"/>
      <x:c r="AZ479" s="10" t="n">
        <x:v>32</x:v>
      </x:c>
      <x:c r="BA479" s="10" t="n">
        <x:v>23</x:v>
      </x:c>
      <x:c r="BB479" s="4" t="n">
        <x:v>58.2</x:v>
      </x:c>
      <x:c r="BC479" s="4" t="n">
        <x:v>2.1</x:v>
      </x:c>
      <x:c r="BD479" s="10" t="n">
        <x:v>23</x:v>
      </x:c>
      <x:c r="BE479" s="10" t="n">
        <x:v>17</x:v>
      </x:c>
      <x:c r="BF479" s="4" t="n">
        <x:v>57.5</x:v>
      </x:c>
      <x:c r="BG479" s="4" t="n">
        <x:v>-2</x:v>
      </x:c>
      <x:c r="BH479" s="4" t="n">
        <x:v>7.7</x:v>
      </x:c>
      <x:c r="BI479" s="4" t="n">
        <x:v>90</x:v>
      </x:c>
      <x:c r="BJ479" s="4" t="n">
        <x:v>97.7</x:v>
      </x:c>
      <x:c r="BK479" s="4" t="n">
        <x:v>75</x:v>
      </x:c>
      <x:c r="BL479" s="4" t="n">
        <x:v>25</x:v>
      </x:c>
      <x:c r="BM479" s="4" t="n">
        <x:v>12.183333333333334</x:v>
      </x:c>
      <x:c r="BN479" s="4" t="n">
        <x:v>10.533333333333333</x:v>
      </x:c>
      <x:c r="BO479" s="10" t="n">
        <x:v>0</x:v>
      </x:c>
      <x:c r="BP479" s="10" t="n">
        <x:v>0</x:v>
      </x:c>
      <x:c r="BQ479" s="4" t="n">
        <x:v>0.5</x:v>
      </x:c>
      <x:c r="BR479" s="10" t="n">
        <x:v>1</x:v>
      </x:c>
      <x:c r="BS479" s="4" t="n">
        <x:v>0</x:v>
      </x:c>
      <x:c r="BT479" s="10" t="n">
        <x:v>3</x:v>
      </x:c>
      <x:c r="BU479" s="4" t="str">
        <x:v>TBL</x:v>
      </x:c>
      <x:c r="BV479" s="10"/>
      <x:c r="BW479" s="10"/>
      <x:c r="BX479" s="10" t="n">
        <x:v>508</x:v>
      </x:c>
      <x:c r="BY479" s="4"/>
      <x:c r="BZ479" s="4"/>
      <x:c r="CA479" s="4" t="str">
        <x:v>Boris Katchouk</x:v>
      </x:c>
      <x:c r="CB479" s="4" t="str">
        <x:v>katchbo01</x:v>
      </x:c>
    </x:row>
    <x:row r="480" ht="22" customHeight="1">
      <x:c r="A480" s="4" t="str">
        <x:v>Brad Lambert</x:v>
      </x:c>
      <x:c r="B480" s="4" t="str">
        <x:v>bradlambert</x:v>
      </x:c>
      <x:c r="C480" s="10" t="n">
        <x:v>0</x:v>
      </x:c>
      <x:c r="D480" s="10" t="n">
        <x:v>0</x:v>
      </x:c>
      <x:c r="E480" s="10" t="n">
        <x:v>1</x:v>
      </x:c>
      <x:c r="F480" s="4" t="str">
        <x:f>IF(COUNT(N480,Q480,T480,W480,Z480,AC480,AF480,AI480)=8,N480*Guide!$E$5+Q480*Guide!$E$6+T480*Guide!$E$7+W480*Guide!$E$8+Z480*Guide!$E$9+AC480*Guide!$E$10+AF480*Guide!$E$11+AI480*Guide!$E$12,"")</x:f>
      </x:c>
      <x:c r="G480" s="4" t="str">
        <x:f>IF(COUNT(O480,R480,U480,X480,AA480,AD480,AG480,AJ480)=8,O480*Guide!$E$5+R480*Guide!$E$6+U480*Guide!$E$7+X480*Guide!$E$8+AA480*Guide!$E$9+AD480*Guide!$E$10+AG480*Guide!$E$11+AJ480*Guide!$E$12,"")</x:f>
      </x:c>
      <x:c r="H480" s="4" t="str">
        <x:f>IF(COUNT(G480,F480)=2,G480-F480,"")</x:f>
      </x:c>
      <x:c r="I480" s="4" t="str">
        <x:f>IF(AND(ISNUMBER(F480),K480&gt;0),F480/K480,"")</x:f>
      </x:c>
      <x:c r="J480" s="4" t="str">
        <x:f>IF(AND(ISNUMBER(G480),L480&gt;0),G480/L480,"")</x:f>
      </x:c>
      <x:c r="K480" s="10"/>
      <x:c r="L480" s="10"/>
      <x:c r="M480" s="10" t="str">
        <x:f>IF(COUNT(L480,K480)=2,L480-K480,"")</x:f>
      </x:c>
      <x:c r="N480" s="10"/>
      <x:c r="O480" s="10"/>
      <x:c r="P480" s="10" t="str">
        <x:f>IF(COUNT(O480,N480)=2,O480-N480,"")</x:f>
      </x:c>
      <x:c r="Q480" s="10"/>
      <x:c r="R480" s="10"/>
      <x:c r="S480" s="10" t="str">
        <x:f>IF(COUNT(R480,Q480)=2,R480-Q480,"")</x:f>
      </x:c>
      <x:c r="T480" s="10"/>
      <x:c r="U480" s="10"/>
      <x:c r="V480" s="10" t="str">
        <x:f>IF(COUNT(U480,T480)=2,U480-T480,"")</x:f>
      </x:c>
      <x:c r="W480" s="10"/>
      <x:c r="X480" s="10" t="str">
        <x:f>IF(COUNT(AV480,AW480)=2,AV480+AW480,"")</x:f>
      </x:c>
      <x:c r="Y480" s="10" t="str">
        <x:f>IF(COUNT(X480,W480)=2,X480-W480,"")</x:f>
      </x:c>
      <x:c r="Z480" s="10"/>
      <x:c r="AA480" s="10" t="str">
        <x:f>IF(COUNT(AX480,AY480)=2,AX480+AY480,"")</x:f>
      </x:c>
      <x:c r="AB480" s="10" t="str">
        <x:f>IF(COUNT(AA480,Z480)=2,AA480-Z480,"")</x:f>
      </x:c>
      <x:c r="AC480" s="10"/>
      <x:c r="AD480" s="10"/>
      <x:c r="AE480" s="10" t="str">
        <x:f>IF(COUNT(AD480,AC480)=2,AD480-AC480,"")</x:f>
      </x:c>
      <x:c r="AF480" s="10"/>
      <x:c r="AG480" s="10"/>
      <x:c r="AH480" s="10" t="str">
        <x:f>IF(COUNT(AG480,AF480)=2,AG480-AF480,"")</x:f>
      </x:c>
      <x:c r="AI480" s="10"/>
      <x:c r="AJ480" s="10"/>
      <x:c r="AK480" s="10" t="str">
        <x:f>IF(COUNT(AJ480,AI480)=2,AJ480-AI480,"")</x:f>
      </x:c>
      <x:c r="AL480" s="10"/>
      <x:c r="AM480" s="10"/>
      <x:c r="AN480" s="4"/>
      <x:c r="AO480" s="4"/>
      <x:c r="AP480" s="4"/>
      <x:c r="AQ480" s="4"/>
      <x:c r="AR480" s="4"/>
      <x:c r="AS480" s="4"/>
      <x:c r="AT480" s="4"/>
      <x:c r="AU480" s="4"/>
      <x:c r="AV480" s="10"/>
      <x:c r="AW480" s="10"/>
      <x:c r="AX480" s="10"/>
      <x:c r="AY480" s="10"/>
      <x:c r="AZ480" s="10" t="n">
        <x:v>201</x:v>
      </x:c>
      <x:c r="BA480" s="10" t="n">
        <x:v>230</x:v>
      </x:c>
      <x:c r="BB480" s="4" t="n">
        <x:v>46.6</x:v>
      </x:c>
      <x:c r="BC480" s="4" t="n">
        <x:v>-2.5</x:v>
      </x:c>
      <x:c r="BD480" s="10" t="n">
        <x:v>150</x:v>
      </x:c>
      <x:c r="BE480" s="10" t="n">
        <x:v>166</x:v>
      </x:c>
      <x:c r="BF480" s="4" t="n">
        <x:v>47.5</x:v>
      </x:c>
      <x:c r="BG480" s="4" t="n">
        <x:v>-1.6</x:v>
      </x:c>
      <x:c r="BH480" s="4" t="n">
        <x:v>6.5</x:v>
      </x:c>
      <x:c r="BI480" s="4" t="n">
        <x:v>89.1</x:v>
      </x:c>
      <x:c r="BJ480" s="4" t="n">
        <x:v>95.6</x:v>
      </x:c>
      <x:c r="BK480" s="4" t="n">
        <x:v>51.9</x:v>
      </x:c>
      <x:c r="BL480" s="4" t="n">
        <x:v>48.1</x:v>
      </x:c>
      <x:c r="BM480" s="4" t="n">
        <x:v>10.8</x:v>
      </x:c>
      <x:c r="BN480" s="4" t="n">
        <x:v>9.433333333333334</x:v>
      </x:c>
      <x:c r="BO480" s="10" t="n">
        <x:v>2</x:v>
      </x:c>
      <x:c r="BP480" s="10" t="n">
        <x:v>16</x:v>
      </x:c>
      <x:c r="BQ480" s="4" t="n">
        <x:v>-0.4</x:v>
      </x:c>
      <x:c r="BR480" s="10" t="n">
        <x:v>50</x:v>
      </x:c>
      <x:c r="BS480" s="4" t="n">
        <x:v>54</x:v>
      </x:c>
      <x:c r="BT480" s="10" t="n">
        <x:v>25</x:v>
      </x:c>
      <x:c r="BU480" s="4" t="str">
        <x:v>WPG</x:v>
      </x:c>
      <x:c r="BV480" s="10"/>
      <x:c r="BW480" s="10"/>
      <x:c r="BX480" s="10" t="n">
        <x:v>568</x:v>
      </x:c>
      <x:c r="BY480" s="4"/>
      <x:c r="BZ480" s="4"/>
      <x:c r="CA480" s="4" t="str">
        <x:v>Brad Lambert</x:v>
      </x:c>
      <x:c r="CB480" s="4" t="str">
        <x:v>lambebr01</x:v>
      </x:c>
    </x:row>
    <x:row r="481" ht="22" customHeight="1">
      <x:c r="A481" s="4" t="str">
        <x:v>Braden Schneider</x:v>
      </x:c>
      <x:c r="B481" s="4" t="str">
        <x:v>bradenschneider</x:v>
      </x:c>
      <x:c r="C481" s="10" t="n">
        <x:v>1</x:v>
      </x:c>
      <x:c r="D481" s="10" t="n">
        <x:v>0</x:v>
      </x:c>
      <x:c r="E481" s="10" t="n">
        <x:v>1</x:v>
      </x:c>
      <x:c r="F481" s="4" t="n">
        <x:f>IF(COUNT(N481,Q481,T481,W481,Z481,AC481,AF481,AI481)=8,N481*Guide!$E$5+Q481*Guide!$E$6+T481*Guide!$E$7+W481*Guide!$E$8+Z481*Guide!$E$9+AC481*Guide!$E$10+AF481*Guide!$E$11+AI481*Guide!$E$12,"")</x:f>
        <x:v>227.5</x:v>
      </x:c>
      <x:c r="G481" s="4" t="str">
        <x:f>IF(COUNT(O481,R481,U481,X481,AA481,AD481,AG481,AJ481)=8,O481*Guide!$E$5+R481*Guide!$E$6+U481*Guide!$E$7+X481*Guide!$E$8+AA481*Guide!$E$9+AD481*Guide!$E$10+AG481*Guide!$E$11+AJ481*Guide!$E$12,"")</x:f>
      </x:c>
      <x:c r="H481" s="4" t="str">
        <x:f>IF(COUNT(G481,F481)=2,G481-F481,"")</x:f>
      </x:c>
      <x:c r="I481" s="4" t="n">
        <x:f>IF(AND(ISNUMBER(F481),K481&gt;0),F481/K481,"")</x:f>
        <x:v>2.8797468354430378</x:v>
      </x:c>
      <x:c r="J481" s="4" t="str">
        <x:f>IF(AND(ISNUMBER(G481),L481&gt;0),G481/L481,"")</x:f>
      </x:c>
      <x:c r="K481" s="10" t="n">
        <x:v>79</x:v>
      </x:c>
      <x:c r="L481" s="10"/>
      <x:c r="M481" s="10" t="str">
        <x:f>IF(COUNT(L481,K481)=2,L481-K481,"")</x:f>
      </x:c>
      <x:c r="N481" s="10" t="n">
        <x:v>5</x:v>
      </x:c>
      <x:c r="O481" s="10"/>
      <x:c r="P481" s="10" t="str">
        <x:f>IF(COUNT(O481,N481)=2,O481-N481,"")</x:f>
      </x:c>
      <x:c r="Q481" s="10" t="n">
        <x:v>16</x:v>
      </x:c>
      <x:c r="R481" s="10"/>
      <x:c r="S481" s="10" t="str">
        <x:f>IF(COUNT(R481,Q481)=2,R481-Q481,"")</x:f>
      </x:c>
      <x:c r="T481" s="10" t="n">
        <x:v>-3</x:v>
      </x:c>
      <x:c r="U481" s="10"/>
      <x:c r="V481" s="10" t="str">
        <x:f>IF(COUNT(U481,T481)=2,U481-T481,"")</x:f>
      </x:c>
      <x:c r="W481" s="10" t="n">
        <x:v>0</x:v>
      </x:c>
      <x:c r="X481" s="10" t="str">
        <x:f>IF(COUNT(AV481,AW481)=2,AV481+AW481,"")</x:f>
      </x:c>
      <x:c r="Y481" s="10" t="str">
        <x:f>IF(COUNT(X481,W481)=2,X481-W481,"")</x:f>
      </x:c>
      <x:c r="Z481" s="10" t="n">
        <x:v>1</x:v>
      </x:c>
      <x:c r="AA481" s="10" t="str">
        <x:f>IF(COUNT(AX481,AY481)=2,AX481+AY481,"")</x:f>
      </x:c>
      <x:c r="AB481" s="10" t="str">
        <x:f>IF(COUNT(AA481,Z481)=2,AA481-Z481,"")</x:f>
      </x:c>
      <x:c r="AC481" s="10" t="n">
        <x:v>92</x:v>
      </x:c>
      <x:c r="AD481" s="10"/>
      <x:c r="AE481" s="10" t="str">
        <x:f>IF(COUNT(AD481,AC481)=2,AD481-AC481,"")</x:f>
      </x:c>
      <x:c r="AF481" s="10" t="n">
        <x:v>135</x:v>
      </x:c>
      <x:c r="AG481" s="10"/>
      <x:c r="AH481" s="10" t="str">
        <x:f>IF(COUNT(AG481,AF481)=2,AG481-AF481,"")</x:f>
      </x:c>
      <x:c r="AI481" s="10" t="n">
        <x:v>137</x:v>
      </x:c>
      <x:c r="AJ481" s="10"/>
      <x:c r="AK481" s="10" t="str">
        <x:f>IF(COUNT(AJ481,AI481)=2,AJ481-AI481,"")</x:f>
      </x:c>
      <x:c r="AL481" s="10" t="n">
        <x:v>24</x:v>
      </x:c>
      <x:c r="AM481" s="10"/>
      <x:c r="AN481" s="4" t="str">
        <x:v>D</x:v>
      </x:c>
      <x:c r="AO481" s="4"/>
      <x:c r="AP481" s="4" t="str">
        <x:v>NYR</x:v>
      </x:c>
      <x:c r="AQ481" s="4"/>
      <x:c r="AR481" s="4" t="n">
        <x:v>17.499999999999996</x:v>
      </x:c>
      <x:c r="AS481" s="4"/>
      <x:c r="AT481" s="4" t="n">
        <x:v>0.07</x:v>
      </x:c>
      <x:c r="AU481" s="4"/>
      <x:c r="AV481" s="10"/>
      <x:c r="AW481" s="10"/>
      <x:c r="AX481" s="10"/>
      <x:c r="AY481" s="10"/>
      <x:c r="AZ481" s="10" t="n">
        <x:v>1238</x:v>
      </x:c>
      <x:c r="BA481" s="10" t="n">
        <x:v>1465</x:v>
      </x:c>
      <x:c r="BB481" s="4" t="n">
        <x:v>45.8</x:v>
      </x:c>
      <x:c r="BC481" s="4" t="n">
        <x:v>-5.1</x:v>
      </x:c>
      <x:c r="BD481" s="10" t="n">
        <x:v>868</x:v>
      </x:c>
      <x:c r="BE481" s="10" t="n">
        <x:v>1048</x:v>
      </x:c>
      <x:c r="BF481" s="4" t="n">
        <x:v>45.3</x:v>
      </x:c>
      <x:c r="BG481" s="4" t="n">
        <x:v>-4.4</x:v>
      </x:c>
      <x:c r="BH481" s="4" t="n">
        <x:v>10.8</x:v>
      </x:c>
      <x:c r="BI481" s="4" t="n">
        <x:v>90.3</x:v>
      </x:c>
      <x:c r="BJ481" s="4" t="n">
        <x:v>101.1</x:v>
      </x:c>
      <x:c r="BK481" s="4" t="n">
        <x:v>41.5</x:v>
      </x:c>
      <x:c r="BL481" s="4" t="n">
        <x:v>58.5</x:v>
      </x:c>
      <x:c r="BM481" s="4" t="n">
        <x:v>20.45</x:v>
      </x:c>
      <x:c r="BN481" s="4" t="n">
        <x:v>17.65</x:v>
      </x:c>
      <x:c r="BO481" s="10" t="n">
        <x:v>22</x:v>
      </x:c>
      <x:c r="BP481" s="10" t="n">
        <x:v>96</x:v>
      </x:c>
      <x:c r="BQ481" s="4" t="n">
        <x:v>-8.6</x:v>
      </x:c>
      <x:c r="BR481" s="10" t="n">
        <x:v>254</x:v>
      </x:c>
      <x:c r="BS481" s="4" t="n">
        <x:v>40.2</x:v>
      </x:c>
      <x:c r="BT481" s="10" t="n">
        <x:v>82</x:v>
      </x:c>
      <x:c r="BU481" s="4" t="str">
        <x:v>NYR</x:v>
      </x:c>
      <x:c r="BV481" s="10" t="n">
        <x:v>497</x:v>
      </x:c>
      <x:c r="BW481" s="10"/>
      <x:c r="BX481" s="10" t="n">
        <x:v>912</x:v>
      </x:c>
      <x:c r="BY481" s="4" t="str">
        <x:v>Braden Schneider</x:v>
      </x:c>
      <x:c r="BZ481" s="4"/>
      <x:c r="CA481" s="4" t="str">
        <x:v>Braden Schneider</x:v>
      </x:c>
      <x:c r="CB481" s="4" t="str">
        <x:v>schnebr01</x:v>
      </x:c>
    </x:row>
    <x:row r="482" ht="22" customHeight="1">
      <x:c r="A482" s="4" t="str">
        <x:v>Bradly Nadeau</x:v>
      </x:c>
      <x:c r="B482" s="4" t="str">
        <x:v>bradlynadeau</x:v>
      </x:c>
      <x:c r="C482" s="10" t="n">
        <x:v>0</x:v>
      </x:c>
      <x:c r="D482" s="10" t="n">
        <x:v>0</x:v>
      </x:c>
      <x:c r="E482" s="10" t="n">
        <x:v>1</x:v>
      </x:c>
      <x:c r="F482" s="4" t="str">
        <x:f>IF(COUNT(N482,Q482,T482,W482,Z482,AC482,AF482,AI482)=8,N482*Guide!$E$5+Q482*Guide!$E$6+T482*Guide!$E$7+W482*Guide!$E$8+Z482*Guide!$E$9+AC482*Guide!$E$10+AF482*Guide!$E$11+AI482*Guide!$E$12,"")</x:f>
      </x:c>
      <x:c r="G482" s="4" t="str">
        <x:f>IF(COUNT(O482,R482,U482,X482,AA482,AD482,AG482,AJ482)=8,O482*Guide!$E$5+R482*Guide!$E$6+U482*Guide!$E$7+X482*Guide!$E$8+AA482*Guide!$E$9+AD482*Guide!$E$10+AG482*Guide!$E$11+AJ482*Guide!$E$12,"")</x:f>
      </x:c>
      <x:c r="H482" s="4" t="str">
        <x:f>IF(COUNT(G482,F482)=2,G482-F482,"")</x:f>
      </x:c>
      <x:c r="I482" s="4" t="str">
        <x:f>IF(AND(ISNUMBER(F482),K482&gt;0),F482/K482,"")</x:f>
      </x:c>
      <x:c r="J482" s="4" t="str">
        <x:f>IF(AND(ISNUMBER(G482),L482&gt;0),G482/L482,"")</x:f>
      </x:c>
      <x:c r="K482" s="10"/>
      <x:c r="L482" s="10"/>
      <x:c r="M482" s="10" t="str">
        <x:f>IF(COUNT(L482,K482)=2,L482-K482,"")</x:f>
      </x:c>
      <x:c r="N482" s="10"/>
      <x:c r="O482" s="10"/>
      <x:c r="P482" s="10" t="str">
        <x:f>IF(COUNT(O482,N482)=2,O482-N482,"")</x:f>
      </x:c>
      <x:c r="Q482" s="10"/>
      <x:c r="R482" s="10"/>
      <x:c r="S482" s="10" t="str">
        <x:f>IF(COUNT(R482,Q482)=2,R482-Q482,"")</x:f>
      </x:c>
      <x:c r="T482" s="10"/>
      <x:c r="U482" s="10"/>
      <x:c r="V482" s="10" t="str">
        <x:f>IF(COUNT(U482,T482)=2,U482-T482,"")</x:f>
      </x:c>
      <x:c r="W482" s="10"/>
      <x:c r="X482" s="10" t="str">
        <x:f>IF(COUNT(AV482,AW482)=2,AV482+AW482,"")</x:f>
      </x:c>
      <x:c r="Y482" s="10" t="str">
        <x:f>IF(COUNT(X482,W482)=2,X482-W482,"")</x:f>
      </x:c>
      <x:c r="Z482" s="10"/>
      <x:c r="AA482" s="10" t="str">
        <x:f>IF(COUNT(AX482,AY482)=2,AX482+AY482,"")</x:f>
      </x:c>
      <x:c r="AB482" s="10" t="str">
        <x:f>IF(COUNT(AA482,Z482)=2,AA482-Z482,"")</x:f>
      </x:c>
      <x:c r="AC482" s="10"/>
      <x:c r="AD482" s="10"/>
      <x:c r="AE482" s="10" t="str">
        <x:f>IF(COUNT(AD482,AC482)=2,AD482-AC482,"")</x:f>
      </x:c>
      <x:c r="AF482" s="10"/>
      <x:c r="AG482" s="10"/>
      <x:c r="AH482" s="10" t="str">
        <x:f>IF(COUNT(AG482,AF482)=2,AG482-AF482,"")</x:f>
      </x:c>
      <x:c r="AI482" s="10"/>
      <x:c r="AJ482" s="10"/>
      <x:c r="AK482" s="10" t="str">
        <x:f>IF(COUNT(AJ482,AI482)=2,AJ482-AI482,"")</x:f>
      </x:c>
      <x:c r="AL482" s="10"/>
      <x:c r="AM482" s="10"/>
      <x:c r="AN482" s="4"/>
      <x:c r="AO482" s="4"/>
      <x:c r="AP482" s="4"/>
      <x:c r="AQ482" s="4"/>
      <x:c r="AR482" s="4"/>
      <x:c r="AS482" s="4"/>
      <x:c r="AT482" s="4"/>
      <x:c r="AU482" s="4"/>
      <x:c r="AV482" s="10"/>
      <x:c r="AW482" s="10"/>
      <x:c r="AX482" s="10"/>
      <x:c r="AY482" s="10"/>
      <x:c r="AZ482" s="10" t="n">
        <x:v>145</x:v>
      </x:c>
      <x:c r="BA482" s="10" t="n">
        <x:v>126</x:v>
      </x:c>
      <x:c r="BB482" s="4" t="n">
        <x:v>53.5</x:v>
      </x:c>
      <x:c r="BC482" s="4" t="n">
        <x:v>-0.4</x:v>
      </x:c>
      <x:c r="BD482" s="10" t="n">
        <x:v>95</x:v>
      </x:c>
      <x:c r="BE482" s="10" t="n">
        <x:v>88</x:v>
      </x:c>
      <x:c r="BF482" s="4" t="n">
        <x:v>51.9</x:v>
      </x:c>
      <x:c r="BG482" s="4" t="n">
        <x:v>-1.1</x:v>
      </x:c>
      <x:c r="BH482" s="4" t="n">
        <x:v>9.8</x:v>
      </x:c>
      <x:c r="BI482" s="4" t="n">
        <x:v>93.1</x:v>
      </x:c>
      <x:c r="BJ482" s="4" t="n">
        <x:v>102.9</x:v>
      </x:c>
      <x:c r="BK482" s="4" t="n">
        <x:v>59.5</x:v>
      </x:c>
      <x:c r="BL482" s="4" t="n">
        <x:v>40.5</x:v>
      </x:c>
      <x:c r="BM482" s="4" t="n">
        <x:v>12.966666666666667</x:v>
      </x:c>
      <x:c r="BN482" s="4" t="n">
        <x:v>11.55</x:v>
      </x:c>
      <x:c r="BO482" s="10" t="n">
        <x:v>0</x:v>
      </x:c>
      <x:c r="BP482" s="10" t="n">
        <x:v>8</x:v>
      </x:c>
      <x:c r="BQ482" s="4" t="n">
        <x:v>-2.1</x:v>
      </x:c>
      <x:c r="BR482" s="10" t="n">
        <x:v>34</x:v>
      </x:c>
      <x:c r="BS482" s="4" t="n">
        <x:v>35.3</x:v>
      </x:c>
      <x:c r="BT482" s="10" t="n">
        <x:v>12</x:v>
      </x:c>
      <x:c r="BU482" s="4" t="str">
        <x:v>CAR</x:v>
      </x:c>
      <x:c r="BV482" s="10"/>
      <x:c r="BW482" s="10"/>
      <x:c r="BX482" s="10" t="n">
        <x:v>729</x:v>
      </x:c>
      <x:c r="BY482" s="4"/>
      <x:c r="BZ482" s="4"/>
      <x:c r="CA482" s="4" t="str">
        <x:v>Bradly Nadeau</x:v>
      </x:c>
      <x:c r="CB482" s="4" t="str">
        <x:v>nadeabr01</x:v>
      </x:c>
    </x:row>
    <x:row r="483" ht="22" customHeight="1">
      <x:c r="A483" s="4" t="str">
        <x:v>Brady Martin</x:v>
      </x:c>
      <x:c r="B483" s="4" t="str">
        <x:v>bradymartin</x:v>
      </x:c>
      <x:c r="C483" s="10" t="n">
        <x:v>0</x:v>
      </x:c>
      <x:c r="D483" s="10" t="n">
        <x:v>0</x:v>
      </x:c>
      <x:c r="E483" s="10" t="n">
        <x:v>1</x:v>
      </x:c>
      <x:c r="F483" s="4" t="str">
        <x:f>IF(COUNT(N483,Q483,T483,W483,Z483,AC483,AF483,AI483)=8,N483*Guide!$E$5+Q483*Guide!$E$6+T483*Guide!$E$7+W483*Guide!$E$8+Z483*Guide!$E$9+AC483*Guide!$E$10+AF483*Guide!$E$11+AI483*Guide!$E$12,"")</x:f>
      </x:c>
      <x:c r="G483" s="4" t="str">
        <x:f>IF(COUNT(O483,R483,U483,X483,AA483,AD483,AG483,AJ483)=8,O483*Guide!$E$5+R483*Guide!$E$6+U483*Guide!$E$7+X483*Guide!$E$8+AA483*Guide!$E$9+AD483*Guide!$E$10+AG483*Guide!$E$11+AJ483*Guide!$E$12,"")</x:f>
      </x:c>
      <x:c r="H483" s="4" t="str">
        <x:f>IF(COUNT(G483,F483)=2,G483-F483,"")</x:f>
      </x:c>
      <x:c r="I483" s="4" t="str">
        <x:f>IF(AND(ISNUMBER(F483),K483&gt;0),F483/K483,"")</x:f>
      </x:c>
      <x:c r="J483" s="4" t="str">
        <x:f>IF(AND(ISNUMBER(G483),L483&gt;0),G483/L483,"")</x:f>
      </x:c>
      <x:c r="K483" s="10"/>
      <x:c r="L483" s="10"/>
      <x:c r="M483" s="10" t="str">
        <x:f>IF(COUNT(L483,K483)=2,L483-K483,"")</x:f>
      </x:c>
      <x:c r="N483" s="10"/>
      <x:c r="O483" s="10"/>
      <x:c r="P483" s="10" t="str">
        <x:f>IF(COUNT(O483,N483)=2,O483-N483,"")</x:f>
      </x:c>
      <x:c r="Q483" s="10"/>
      <x:c r="R483" s="10"/>
      <x:c r="S483" s="10" t="str">
        <x:f>IF(COUNT(R483,Q483)=2,R483-Q483,"")</x:f>
      </x:c>
      <x:c r="T483" s="10"/>
      <x:c r="U483" s="10"/>
      <x:c r="V483" s="10" t="str">
        <x:f>IF(COUNT(U483,T483)=2,U483-T483,"")</x:f>
      </x:c>
      <x:c r="W483" s="10"/>
      <x:c r="X483" s="10" t="str">
        <x:f>IF(COUNT(AV483,AW483)=2,AV483+AW483,"")</x:f>
      </x:c>
      <x:c r="Y483" s="10" t="str">
        <x:f>IF(COUNT(X483,W483)=2,X483-W483,"")</x:f>
      </x:c>
      <x:c r="Z483" s="10"/>
      <x:c r="AA483" s="10" t="str">
        <x:f>IF(COUNT(AX483,AY483)=2,AX483+AY483,"")</x:f>
      </x:c>
      <x:c r="AB483" s="10" t="str">
        <x:f>IF(COUNT(AA483,Z483)=2,AA483-Z483,"")</x:f>
      </x:c>
      <x:c r="AC483" s="10"/>
      <x:c r="AD483" s="10"/>
      <x:c r="AE483" s="10" t="str">
        <x:f>IF(COUNT(AD483,AC483)=2,AD483-AC483,"")</x:f>
      </x:c>
      <x:c r="AF483" s="10"/>
      <x:c r="AG483" s="10"/>
      <x:c r="AH483" s="10" t="str">
        <x:f>IF(COUNT(AG483,AF483)=2,AG483-AF483,"")</x:f>
      </x:c>
      <x:c r="AI483" s="10"/>
      <x:c r="AJ483" s="10"/>
      <x:c r="AK483" s="10" t="str">
        <x:f>IF(COUNT(AJ483,AI483)=2,AJ483-AI483,"")</x:f>
      </x:c>
      <x:c r="AL483" s="10"/>
      <x:c r="AM483" s="10"/>
      <x:c r="AN483" s="4"/>
      <x:c r="AO483" s="4"/>
      <x:c r="AP483" s="4"/>
      <x:c r="AQ483" s="4"/>
      <x:c r="AR483" s="4"/>
      <x:c r="AS483" s="4"/>
      <x:c r="AT483" s="4"/>
      <x:c r="AU483" s="4"/>
      <x:c r="AV483" s="10"/>
      <x:c r="AW483" s="10"/>
      <x:c r="AX483" s="10"/>
      <x:c r="AY483" s="10"/>
      <x:c r="AZ483" s="10" t="n">
        <x:v>19</x:v>
      </x:c>
      <x:c r="BA483" s="10" t="n">
        <x:v>28</x:v>
      </x:c>
      <x:c r="BB483" s="4" t="n">
        <x:v>40.4</x:v>
      </x:c>
      <x:c r="BC483" s="4" t="n">
        <x:v>-10</x:v>
      </x:c>
      <x:c r="BD483" s="10" t="n">
        <x:v>15</x:v>
      </x:c>
      <x:c r="BE483" s="10" t="n">
        <x:v>20</x:v>
      </x:c>
      <x:c r="BF483" s="4" t="n">
        <x:v>42.9</x:v>
      </x:c>
      <x:c r="BG483" s="4" t="n">
        <x:v>-7.1</x:v>
      </x:c>
      <x:c r="BH483" s="4" t="n">
        <x:v>33.3</x:v>
      </x:c>
      <x:c r="BI483" s="4" t="n">
        <x:v>88.9</x:v>
      </x:c>
      <x:c r="BJ483" s="4" t="n">
        <x:v>122.2</x:v>
      </x:c>
      <x:c r="BK483" s="4" t="n">
        <x:v>61.9</x:v>
      </x:c>
      <x:c r="BL483" s="4" t="n">
        <x:v>38.1</x:v>
      </x:c>
      <x:c r="BM483" s="4" t="n">
        <x:v>11.416666666666666</x:v>
      </x:c>
      <x:c r="BN483" s="4" t="n">
        <x:v>9.9</x:v>
      </x:c>
      <x:c r="BO483" s="10" t="n">
        <x:v>0</x:v>
      </x:c>
      <x:c r="BP483" s="10" t="n">
        <x:v>4</x:v>
      </x:c>
      <x:c r="BQ483" s="4" t="n">
        <x:v>-0.7</x:v>
      </x:c>
      <x:c r="BR483" s="10" t="n">
        <x:v>3</x:v>
      </x:c>
      <x:c r="BS483" s="4" t="n">
        <x:v>66.7</x:v>
      </x:c>
      <x:c r="BT483" s="10" t="n">
        <x:v>3</x:v>
      </x:c>
      <x:c r="BU483" s="4" t="str">
        <x:v>NSH</x:v>
      </x:c>
      <x:c r="BV483" s="10"/>
      <x:c r="BW483" s="10"/>
      <x:c r="BX483" s="10" t="n">
        <x:v>651</x:v>
      </x:c>
      <x:c r="BY483" s="4"/>
      <x:c r="BZ483" s="4"/>
      <x:c r="CA483" s="4" t="str">
        <x:v>Brady Martin</x:v>
      </x:c>
      <x:c r="CB483" s="4" t="str">
        <x:v>martibr02</x:v>
      </x:c>
    </x:row>
    <x:row r="484" ht="22" customHeight="1">
      <x:c r="A484" s="4" t="str">
        <x:v>Braeden Bowman</x:v>
      </x:c>
      <x:c r="B484" s="4" t="str">
        <x:v>braedenbowman</x:v>
      </x:c>
      <x:c r="C484" s="10" t="n">
        <x:v>0</x:v>
      </x:c>
      <x:c r="D484" s="10" t="n">
        <x:v>1</x:v>
      </x:c>
      <x:c r="E484" s="10" t="n">
        <x:v>1</x:v>
      </x:c>
      <x:c r="F484" s="4" t="str">
        <x:f>IF(COUNT(N484,Q484,T484,W484,Z484,AC484,AF484,AI484)=8,N484*Guide!$E$5+Q484*Guide!$E$6+T484*Guide!$E$7+W484*Guide!$E$8+Z484*Guide!$E$9+AC484*Guide!$E$10+AF484*Guide!$E$11+AI484*Guide!$E$12,"")</x:f>
      </x:c>
      <x:c r="G484" s="4" t="n">
        <x:f>IF(COUNT(O484,R484,U484,X484,AA484,AD484,AG484,AJ484)=8,O484*Guide!$E$5+R484*Guide!$E$6+U484*Guide!$E$7+X484*Guide!$E$8+AA484*Guide!$E$9+AD484*Guide!$E$10+AG484*Guide!$E$11+AJ484*Guide!$E$12,"")</x:f>
        <x:v>115.5</x:v>
      </x:c>
      <x:c r="H484" s="4" t="str">
        <x:f>IF(COUNT(G484,F484)=2,G484-F484,"")</x:f>
      </x:c>
      <x:c r="I484" s="4" t="str">
        <x:f>IF(AND(ISNUMBER(F484),K484&gt;0),F484/K484,"")</x:f>
      </x:c>
      <x:c r="J484" s="4" t="n">
        <x:f>IF(AND(ISNUMBER(G484),L484&gt;0),G484/L484,"")</x:f>
        <x:v>2.138888888888889</x:v>
      </x:c>
      <x:c r="K484" s="10"/>
      <x:c r="L484" s="10" t="n">
        <x:v>54</x:v>
      </x:c>
      <x:c r="M484" s="10" t="str">
        <x:f>IF(COUNT(L484,K484)=2,L484-K484,"")</x:f>
      </x:c>
      <x:c r="N484" s="10"/>
      <x:c r="O484" s="10" t="n">
        <x:v>8</x:v>
      </x:c>
      <x:c r="P484" s="10" t="str">
        <x:f>IF(COUNT(O484,N484)=2,O484-N484,"")</x:f>
      </x:c>
      <x:c r="Q484" s="10"/>
      <x:c r="R484" s="10" t="n">
        <x:v>18</x:v>
      </x:c>
      <x:c r="S484" s="10" t="str">
        <x:f>IF(COUNT(R484,Q484)=2,R484-Q484,"")</x:f>
      </x:c>
      <x:c r="T484" s="10"/>
      <x:c r="U484" s="10" t="n">
        <x:v>-16</x:v>
      </x:c>
      <x:c r="V484" s="10" t="str">
        <x:f>IF(COUNT(U484,T484)=2,U484-T484,"")</x:f>
      </x:c>
      <x:c r="W484" s="10"/>
      <x:c r="X484" s="10" t="n">
        <x:f>IF(COUNT(AV484,AW484)=2,AV484+AW484,"")</x:f>
        <x:v>4</x:v>
      </x:c>
      <x:c r="Y484" s="10" t="str">
        <x:f>IF(COUNT(X484,W484)=2,X484-W484,"")</x:f>
      </x:c>
      <x:c r="Z484" s="10"/>
      <x:c r="AA484" s="10" t="n">
        <x:f>IF(COUNT(AX484,AY484)=2,AX484+AY484,"")</x:f>
        <x:v>0</x:v>
      </x:c>
      <x:c r="AB484" s="10" t="str">
        <x:f>IF(COUNT(AA484,Z484)=2,AA484-Z484,"")</x:f>
      </x:c>
      <x:c r="AC484" s="10"/>
      <x:c r="AD484" s="10" t="n">
        <x:v>75</x:v>
      </x:c>
      <x:c r="AE484" s="10" t="str">
        <x:f>IF(COUNT(AD484,AC484)=2,AD484-AC484,"")</x:f>
      </x:c>
      <x:c r="AF484" s="10"/>
      <x:c r="AG484" s="10" t="n">
        <x:v>19</x:v>
      </x:c>
      <x:c r="AH484" s="10" t="str">
        <x:f>IF(COUNT(AG484,AF484)=2,AG484-AF484,"")</x:f>
      </x:c>
      <x:c r="AI484" s="10"/>
      <x:c r="AJ484" s="10" t="n">
        <x:v>24</x:v>
      </x:c>
      <x:c r="AK484" s="10" t="str">
        <x:f>IF(COUNT(AJ484,AI484)=2,AJ484-AI484,"")</x:f>
      </x:c>
      <x:c r="AL484" s="10"/>
      <x:c r="AM484" s="10" t="n">
        <x:v>22</x:v>
      </x:c>
      <x:c r="AN484" s="4"/>
      <x:c r="AO484" s="4" t="str">
        <x:v>F</x:v>
      </x:c>
      <x:c r="AP484" s="4"/>
      <x:c r="AQ484" s="4" t="str">
        <x:v>VEG</x:v>
      </x:c>
      <x:c r="AR484" s="4"/>
      <x:c r="AS484" s="4" t="n">
        <x:v>14.133333333333333</x:v>
      </x:c>
      <x:c r="AT484" s="4"/>
      <x:c r="AU484" s="4" t="n">
        <x:v>10.7</x:v>
      </x:c>
      <x:c r="AV484" s="10" t="n">
        <x:v>2</x:v>
      </x:c>
      <x:c r="AW484" s="10" t="n">
        <x:v>2</x:v>
      </x:c>
      <x:c r="AX484" s="10" t="n">
        <x:v>0</x:v>
      </x:c>
      <x:c r="AY484" s="10" t="n">
        <x:v>0</x:v>
      </x:c>
      <x:c r="AZ484" s="10" t="n">
        <x:v>645</x:v>
      </x:c>
      <x:c r="BA484" s="10" t="n">
        <x:v>644</x:v>
      </x:c>
      <x:c r="BB484" s="4" t="n">
        <x:v>50</x:v>
      </x:c>
      <x:c r="BC484" s="4" t="n">
        <x:v>-2.4</x:v>
      </x:c>
      <x:c r="BD484" s="10" t="n">
        <x:v>469</x:v>
      </x:c>
      <x:c r="BE484" s="10" t="n">
        <x:v>470</x:v>
      </x:c>
      <x:c r="BF484" s="4" t="n">
        <x:v>49.9</x:v>
      </x:c>
      <x:c r="BG484" s="4" t="n">
        <x:v>-2.8</x:v>
      </x:c>
      <x:c r="BH484" s="4" t="n">
        <x:v>10.9</x:v>
      </x:c>
      <x:c r="BI484" s="4" t="n">
        <x:v>82.2</x:v>
      </x:c>
      <x:c r="BJ484" s="4" t="n">
        <x:v>93</x:v>
      </x:c>
      <x:c r="BK484" s="4" t="n">
        <x:v>60.4</x:v>
      </x:c>
      <x:c r="BL484" s="4" t="n">
        <x:v>39.6</x:v>
      </x:c>
      <x:c r="BM484" s="4" t="n">
        <x:v>14.133333333333333</x:v>
      </x:c>
      <x:c r="BN484" s="4" t="n">
        <x:v>12.833333333333334</x:v>
      </x:c>
      <x:c r="BO484" s="10" t="n">
        <x:v>16</x:v>
      </x:c>
      <x:c r="BP484" s="10" t="n">
        <x:v>22</x:v>
      </x:c>
      <x:c r="BQ484" s="4" t="n">
        <x:v>3.6</x:v>
      </x:c>
      <x:c r="BR484" s="10" t="n">
        <x:v>149</x:v>
      </x:c>
      <x:c r="BS484" s="4" t="n">
        <x:v>50.3</x:v>
      </x:c>
      <x:c r="BT484" s="10" t="n">
        <x:v>54</x:v>
      </x:c>
      <x:c r="BU484" s="4" t="str">
        <x:v>VEG</x:v>
      </x:c>
      <x:c r="BV484" s="10"/>
      <x:c r="BW484" s="10" t="n">
        <x:v>372</x:v>
      </x:c>
      <x:c r="BX484" s="10" t="n">
        <x:v>87</x:v>
      </x:c>
      <x:c r="BY484" s="4"/>
      <x:c r="BZ484" s="4" t="str">
        <x:v>Braeden Bowman</x:v>
      </x:c>
      <x:c r="CA484" s="4" t="str">
        <x:v>Braeden Bowman</x:v>
      </x:c>
      <x:c r="CB484" s="4" t="str">
        <x:v>bowmabr01</x:v>
      </x:c>
    </x:row>
    <x:row r="485" ht="22" customHeight="1">
      <x:c r="A485" s="4" t="str">
        <x:v>Braeden Cootes</x:v>
      </x:c>
      <x:c r="B485" s="4" t="str">
        <x:v>braedencootes</x:v>
      </x:c>
      <x:c r="C485" s="10" t="n">
        <x:v>0</x:v>
      </x:c>
      <x:c r="D485" s="10" t="n">
        <x:v>0</x:v>
      </x:c>
      <x:c r="E485" s="10" t="n">
        <x:v>1</x:v>
      </x:c>
      <x:c r="F485" s="4" t="str">
        <x:f>IF(COUNT(N485,Q485,T485,W485,Z485,AC485,AF485,AI485)=8,N485*Guide!$E$5+Q485*Guide!$E$6+T485*Guide!$E$7+W485*Guide!$E$8+Z485*Guide!$E$9+AC485*Guide!$E$10+AF485*Guide!$E$11+AI485*Guide!$E$12,"")</x:f>
      </x:c>
      <x:c r="G485" s="4" t="str">
        <x:f>IF(COUNT(O485,R485,U485,X485,AA485,AD485,AG485,AJ485)=8,O485*Guide!$E$5+R485*Guide!$E$6+U485*Guide!$E$7+X485*Guide!$E$8+AA485*Guide!$E$9+AD485*Guide!$E$10+AG485*Guide!$E$11+AJ485*Guide!$E$12,"")</x:f>
      </x:c>
      <x:c r="H485" s="4" t="str">
        <x:f>IF(COUNT(G485,F485)=2,G485-F485,"")</x:f>
      </x:c>
      <x:c r="I485" s="4" t="str">
        <x:f>IF(AND(ISNUMBER(F485),K485&gt;0),F485/K485,"")</x:f>
      </x:c>
      <x:c r="J485" s="4" t="str">
        <x:f>IF(AND(ISNUMBER(G485),L485&gt;0),G485/L485,"")</x:f>
      </x:c>
      <x:c r="K485" s="10"/>
      <x:c r="L485" s="10"/>
      <x:c r="M485" s="10" t="str">
        <x:f>IF(COUNT(L485,K485)=2,L485-K485,"")</x:f>
      </x:c>
      <x:c r="N485" s="10"/>
      <x:c r="O485" s="10"/>
      <x:c r="P485" s="10" t="str">
        <x:f>IF(COUNT(O485,N485)=2,O485-N485,"")</x:f>
      </x:c>
      <x:c r="Q485" s="10"/>
      <x:c r="R485" s="10"/>
      <x:c r="S485" s="10" t="str">
        <x:f>IF(COUNT(R485,Q485)=2,R485-Q485,"")</x:f>
      </x:c>
      <x:c r="T485" s="10"/>
      <x:c r="U485" s="10"/>
      <x:c r="V485" s="10" t="str">
        <x:f>IF(COUNT(U485,T485)=2,U485-T485,"")</x:f>
      </x:c>
      <x:c r="W485" s="10"/>
      <x:c r="X485" s="10" t="str">
        <x:f>IF(COUNT(AV485,AW485)=2,AV485+AW485,"")</x:f>
      </x:c>
      <x:c r="Y485" s="10" t="str">
        <x:f>IF(COUNT(X485,W485)=2,X485-W485,"")</x:f>
      </x:c>
      <x:c r="Z485" s="10"/>
      <x:c r="AA485" s="10" t="str">
        <x:f>IF(COUNT(AX485,AY485)=2,AX485+AY485,"")</x:f>
      </x:c>
      <x:c r="AB485" s="10" t="str">
        <x:f>IF(COUNT(AA485,Z485)=2,AA485-Z485,"")</x:f>
      </x:c>
      <x:c r="AC485" s="10"/>
      <x:c r="AD485" s="10"/>
      <x:c r="AE485" s="10" t="str">
        <x:f>IF(COUNT(AD485,AC485)=2,AD485-AC485,"")</x:f>
      </x:c>
      <x:c r="AF485" s="10"/>
      <x:c r="AG485" s="10"/>
      <x:c r="AH485" s="10" t="str">
        <x:f>IF(COUNT(AG485,AF485)=2,AG485-AF485,"")</x:f>
      </x:c>
      <x:c r="AI485" s="10"/>
      <x:c r="AJ485" s="10"/>
      <x:c r="AK485" s="10" t="str">
        <x:f>IF(COUNT(AJ485,AI485)=2,AJ485-AI485,"")</x:f>
      </x:c>
      <x:c r="AL485" s="10"/>
      <x:c r="AM485" s="10"/>
      <x:c r="AN485" s="4"/>
      <x:c r="AO485" s="4"/>
      <x:c r="AP485" s="4"/>
      <x:c r="AQ485" s="4"/>
      <x:c r="AR485" s="4"/>
      <x:c r="AS485" s="4"/>
      <x:c r="AT485" s="4"/>
      <x:c r="AU485" s="4"/>
      <x:c r="AV485" s="10"/>
      <x:c r="AW485" s="10"/>
      <x:c r="AX485" s="10"/>
      <x:c r="AY485" s="10"/>
      <x:c r="AZ485" s="10" t="n">
        <x:v>16</x:v>
      </x:c>
      <x:c r="BA485" s="10" t="n">
        <x:v>41</x:v>
      </x:c>
      <x:c r="BB485" s="4" t="n">
        <x:v>28.1</x:v>
      </x:c>
      <x:c r="BC485" s="4" t="n">
        <x:v>-22.4</x:v>
      </x:c>
      <x:c r="BD485" s="10" t="n">
        <x:v>12</x:v>
      </x:c>
      <x:c r="BE485" s="10" t="n">
        <x:v>28</x:v>
      </x:c>
      <x:c r="BF485" s="4" t="n">
        <x:v>30</x:v>
      </x:c>
      <x:c r="BG485" s="4" t="n">
        <x:v>-19.1</x:v>
      </x:c>
      <x:c r="BH485" s="4" t="n">
        <x:v>0</x:v>
      </x:c>
      <x:c r="BI485" s="4" t="n">
        <x:v>88.9</x:v>
      </x:c>
      <x:c r="BJ485" s="4" t="n">
        <x:v>88.9</x:v>
      </x:c>
      <x:c r="BK485" s="4" t="n">
        <x:v>58.3</x:v>
      </x:c>
      <x:c r="BL485" s="4" t="n">
        <x:v>41.7</x:v>
      </x:c>
      <x:c r="BM485" s="4" t="n">
        <x:v>10.783333333333333</x:v>
      </x:c>
      <x:c r="BN485" s="4" t="n">
        <x:v>9.633333333333333</x:v>
      </x:c>
      <x:c r="BO485" s="10" t="n">
        <x:v>0</x:v>
      </x:c>
      <x:c r="BP485" s="10" t="n">
        <x:v>4</x:v>
      </x:c>
      <x:c r="BQ485" s="4" t="n">
        <x:v>-1.8</x:v>
      </x:c>
      <x:c r="BR485" s="10" t="n">
        <x:v>0</x:v>
      </x:c>
      <x:c r="BS485" s="4"/>
      <x:c r="BT485" s="10" t="n">
        <x:v>3</x:v>
      </x:c>
      <x:c r="BU485" s="4" t="str">
        <x:v>VAN</x:v>
      </x:c>
      <x:c r="BV485" s="10"/>
      <x:c r="BW485" s="10"/>
      <x:c r="BX485" s="10" t="n">
        <x:v>172</x:v>
      </x:c>
      <x:c r="BY485" s="4"/>
      <x:c r="BZ485" s="4"/>
      <x:c r="CA485" s="4" t="str">
        <x:v>Braeden Cootes</x:v>
      </x:c>
      <x:c r="CB485" s="4" t="str">
        <x:v>cootebr01</x:v>
      </x:c>
    </x:row>
    <x:row r="486" ht="22" customHeight="1">
      <x:c r="A486" s="4" t="str">
        <x:v>Brandon Carlo</x:v>
      </x:c>
      <x:c r="B486" s="4" t="str">
        <x:v>brandoncarlo</x:v>
      </x:c>
      <x:c r="C486" s="10" t="n">
        <x:v>1</x:v>
      </x:c>
      <x:c r="D486" s="10" t="n">
        <x:v>0</x:v>
      </x:c>
      <x:c r="E486" s="10" t="n">
        <x:v>1</x:v>
      </x:c>
      <x:c r="F486" s="4" t="n">
        <x:f>IF(COUNT(N486,Q486,T486,W486,Z486,AC486,AF486,AI486)=8,N486*Guide!$E$5+Q486*Guide!$E$6+T486*Guide!$E$7+W486*Guide!$E$8+Z486*Guide!$E$9+AC486*Guide!$E$10+AF486*Guide!$E$11+AI486*Guide!$E$12,"")</x:f>
        <x:v>203.5</x:v>
      </x:c>
      <x:c r="G486" s="4" t="str">
        <x:f>IF(COUNT(O486,R486,U486,X486,AA486,AD486,AG486,AJ486)=8,O486*Guide!$E$5+R486*Guide!$E$6+U486*Guide!$E$7+X486*Guide!$E$8+AA486*Guide!$E$9+AD486*Guide!$E$10+AG486*Guide!$E$11+AJ486*Guide!$E$12,"")</x:f>
      </x:c>
      <x:c r="H486" s="4" t="str">
        <x:f>IF(COUNT(G486,F486)=2,G486-F486,"")</x:f>
      </x:c>
      <x:c r="I486" s="4" t="n">
        <x:f>IF(AND(ISNUMBER(F486),K486&gt;0),F486/K486,"")</x:f>
        <x:v>2.54375</x:v>
      </x:c>
      <x:c r="J486" s="4" t="str">
        <x:f>IF(AND(ISNUMBER(G486),L486&gt;0),G486/L486,"")</x:f>
      </x:c>
      <x:c r="K486" s="10" t="n">
        <x:v>80</x:v>
      </x:c>
      <x:c r="L486" s="10"/>
      <x:c r="M486" s="10" t="str">
        <x:f>IF(COUNT(L486,K486)=2,L486-K486,"")</x:f>
      </x:c>
      <x:c r="N486" s="10" t="n">
        <x:v>3</x:v>
      </x:c>
      <x:c r="O486" s="10"/>
      <x:c r="P486" s="10" t="str">
        <x:f>IF(COUNT(O486,N486)=2,O486-N486,"")</x:f>
      </x:c>
      <x:c r="Q486" s="10" t="n">
        <x:v>12</x:v>
      </x:c>
      <x:c r="R486" s="10"/>
      <x:c r="S486" s="10" t="str">
        <x:f>IF(COUNT(R486,Q486)=2,R486-Q486,"")</x:f>
      </x:c>
      <x:c r="T486" s="10" t="n">
        <x:v>6</x:v>
      </x:c>
      <x:c r="U486" s="10"/>
      <x:c r="V486" s="10" t="str">
        <x:f>IF(COUNT(U486,T486)=2,U486-T486,"")</x:f>
      </x:c>
      <x:c r="W486" s="10" t="n">
        <x:v>0</x:v>
      </x:c>
      <x:c r="X486" s="10" t="str">
        <x:f>IF(COUNT(AV486,AW486)=2,AV486+AW486,"")</x:f>
      </x:c>
      <x:c r="Y486" s="10" t="str">
        <x:f>IF(COUNT(X486,W486)=2,X486-W486,"")</x:f>
      </x:c>
      <x:c r="Z486" s="10" t="n">
        <x:v>1</x:v>
      </x:c>
      <x:c r="AA486" s="10" t="str">
        <x:f>IF(COUNT(AX486,AY486)=2,AX486+AY486,"")</x:f>
      </x:c>
      <x:c r="AB486" s="10" t="str">
        <x:f>IF(COUNT(AA486,Z486)=2,AA486-Z486,"")</x:f>
      </x:c>
      <x:c r="AC486" s="10" t="n">
        <x:v>77</x:v>
      </x:c>
      <x:c r="AD486" s="10"/>
      <x:c r="AE486" s="10" t="str">
        <x:f>IF(COUNT(AD486,AC486)=2,AD486-AC486,"")</x:f>
      </x:c>
      <x:c r="AF486" s="10" t="n">
        <x:v>92</x:v>
      </x:c>
      <x:c r="AG486" s="10"/>
      <x:c r="AH486" s="10" t="str">
        <x:f>IF(COUNT(AG486,AF486)=2,AG486-AF486,"")</x:f>
      </x:c>
      <x:c r="AI486" s="10" t="n">
        <x:v>139</x:v>
      </x:c>
      <x:c r="AJ486" s="10"/>
      <x:c r="AK486" s="10" t="str">
        <x:f>IF(COUNT(AJ486,AI486)=2,AJ486-AI486,"")</x:f>
      </x:c>
      <x:c r="AL486" s="10" t="n">
        <x:v>29</x:v>
      </x:c>
      <x:c r="AM486" s="10"/>
      <x:c r="AN486" s="4" t="str">
        <x:v>D</x:v>
      </x:c>
      <x:c r="AO486" s="4"/>
      <x:c r="AP486" s="4" t="str">
        <x:v>TOR</x:v>
      </x:c>
      <x:c r="AQ486" s="4"/>
      <x:c r="AR486" s="4" t="n">
        <x:v>19.11</x:v>
      </x:c>
      <x:c r="AS486" s="4"/>
      <x:c r="AT486" s="4" t="n">
        <x:v>0.06</x:v>
      </x:c>
      <x:c r="AU486" s="4"/>
      <x:c r="AV486" s="10"/>
      <x:c r="AW486" s="10"/>
      <x:c r="AX486" s="10"/>
      <x:c r="AY486" s="10"/>
      <x:c r="AZ486" s="10" t="n">
        <x:v>796</x:v>
      </x:c>
      <x:c r="BA486" s="10" t="n">
        <x:v>1052</x:v>
      </x:c>
      <x:c r="BB486" s="4" t="n">
        <x:v>43.1</x:v>
      </x:c>
      <x:c r="BC486" s="4" t="n">
        <x:v>-2.2</x:v>
      </x:c>
      <x:c r="BD486" s="10" t="n">
        <x:v>599</x:v>
      </x:c>
      <x:c r="BE486" s="10" t="n">
        <x:v>757</x:v>
      </x:c>
      <x:c r="BF486" s="4" t="n">
        <x:v>44.2</x:v>
      </x:c>
      <x:c r="BG486" s="4" t="n">
        <x:v>-1.4</x:v>
      </x:c>
      <x:c r="BH486" s="4" t="n">
        <x:v>12.3</x:v>
      </x:c>
      <x:c r="BI486" s="4" t="n">
        <x:v>90.8</x:v>
      </x:c>
      <x:c r="BJ486" s="4" t="n">
        <x:v>103.1</x:v>
      </x:c>
      <x:c r="BK486" s="4" t="n">
        <x:v>40.8</x:v>
      </x:c>
      <x:c r="BL486" s="4" t="n">
        <x:v>59.2</x:v>
      </x:c>
      <x:c r="BM486" s="4" t="n">
        <x:v>19.366666666666667</x:v>
      </x:c>
      <x:c r="BN486" s="4" t="n">
        <x:v>16.483333333333334</x:v>
      </x:c>
      <x:c r="BO486" s="10" t="n">
        <x:v>7</x:v>
      </x:c>
      <x:c r="BP486" s="10" t="n">
        <x:v>53</x:v>
      </x:c>
      <x:c r="BQ486" s="4" t="n">
        <x:v>-13.8</x:v>
      </x:c>
      <x:c r="BR486" s="10" t="n">
        <x:v>142</x:v>
      </x:c>
      <x:c r="BS486" s="4" t="n">
        <x:v>46.5</x:v>
      </x:c>
      <x:c r="BT486" s="10" t="n">
        <x:v>55</x:v>
      </x:c>
      <x:c r="BU486" s="4" t="str">
        <x:v>TOR</x:v>
      </x:c>
      <x:c r="BV486" s="10" t="n">
        <x:v>623</x:v>
      </x:c>
      <x:c r="BW486" s="10"/>
      <x:c r="BX486" s="10" t="n">
        <x:v>126</x:v>
      </x:c>
      <x:c r="BY486" s="4" t="str">
        <x:v>Brandon Carlo</x:v>
      </x:c>
      <x:c r="BZ486" s="4"/>
      <x:c r="CA486" s="4" t="str">
        <x:v>Brandon Carlo</x:v>
      </x:c>
      <x:c r="CB486" s="4" t="str">
        <x:v>carlobr01</x:v>
      </x:c>
    </x:row>
    <x:row r="487" ht="22" customHeight="1">
      <x:c r="A487" s="4" t="str">
        <x:v>Brandon Duhaime</x:v>
      </x:c>
      <x:c r="B487" s="4" t="str">
        <x:v>brandonduhaime</x:v>
      </x:c>
      <x:c r="C487" s="10" t="n">
        <x:v>1</x:v>
      </x:c>
      <x:c r="D487" s="10" t="n">
        <x:v>0</x:v>
      </x:c>
      <x:c r="E487" s="10" t="n">
        <x:v>1</x:v>
      </x:c>
      <x:c r="F487" s="4" t="n">
        <x:f>IF(COUNT(N487,Q487,T487,W487,Z487,AC487,AF487,AI487)=8,N487*Guide!$E$5+Q487*Guide!$E$6+T487*Guide!$E$7+W487*Guide!$E$8+Z487*Guide!$E$9+AC487*Guide!$E$10+AF487*Guide!$E$11+AI487*Guide!$E$12,"")</x:f>
        <x:v>184.75</x:v>
      </x:c>
      <x:c r="G487" s="4" t="str">
        <x:f>IF(COUNT(O487,R487,U487,X487,AA487,AD487,AG487,AJ487)=8,O487*Guide!$E$5+R487*Guide!$E$6+U487*Guide!$E$7+X487*Guide!$E$8+AA487*Guide!$E$9+AD487*Guide!$E$10+AG487*Guide!$E$11+AJ487*Guide!$E$12,"")</x:f>
      </x:c>
      <x:c r="H487" s="4" t="str">
        <x:f>IF(COUNT(G487,F487)=2,G487-F487,"")</x:f>
      </x:c>
      <x:c r="I487" s="4" t="n">
        <x:f>IF(AND(ISNUMBER(F487),K487&gt;0),F487/K487,"")</x:f>
        <x:v>2.2808641975308643</x:v>
      </x:c>
      <x:c r="J487" s="4" t="str">
        <x:f>IF(AND(ISNUMBER(G487),L487&gt;0),G487/L487,"")</x:f>
      </x:c>
      <x:c r="K487" s="10" t="n">
        <x:v>81</x:v>
      </x:c>
      <x:c r="L487" s="10"/>
      <x:c r="M487" s="10" t="str">
        <x:f>IF(COUNT(L487,K487)=2,L487-K487,"")</x:f>
      </x:c>
      <x:c r="N487" s="10" t="n">
        <x:v>11</x:v>
      </x:c>
      <x:c r="O487" s="10"/>
      <x:c r="P487" s="10" t="str">
        <x:f>IF(COUNT(O487,N487)=2,O487-N487,"")</x:f>
      </x:c>
      <x:c r="Q487" s="10" t="n">
        <x:v>9</x:v>
      </x:c>
      <x:c r="R487" s="10"/>
      <x:c r="S487" s="10" t="str">
        <x:f>IF(COUNT(R487,Q487)=2,R487-Q487,"")</x:f>
      </x:c>
      <x:c r="T487" s="10" t="n">
        <x:v>0</x:v>
      </x:c>
      <x:c r="U487" s="10"/>
      <x:c r="V487" s="10" t="str">
        <x:f>IF(COUNT(U487,T487)=2,U487-T487,"")</x:f>
      </x:c>
      <x:c r="W487" s="10" t="n">
        <x:v>1</x:v>
      </x:c>
      <x:c r="X487" s="10" t="str">
        <x:f>IF(COUNT(AV487,AW487)=2,AV487+AW487,"")</x:f>
      </x:c>
      <x:c r="Y487" s="10" t="str">
        <x:f>IF(COUNT(X487,W487)=2,X487-W487,"")</x:f>
      </x:c>
      <x:c r="Z487" s="10" t="n">
        <x:v>1</x:v>
      </x:c>
      <x:c r="AA487" s="10" t="str">
        <x:f>IF(COUNT(AX487,AY487)=2,AX487+AY487,"")</x:f>
      </x:c>
      <x:c r="AB487" s="10" t="str">
        <x:f>IF(COUNT(AA487,Z487)=2,AA487-Z487,"")</x:f>
      </x:c>
      <x:c r="AC487" s="10" t="n">
        <x:v>100</x:v>
      </x:c>
      <x:c r="AD487" s="10"/>
      <x:c r="AE487" s="10" t="str">
        <x:f>IF(COUNT(AD487,AC487)=2,AD487-AC487,"")</x:f>
      </x:c>
      <x:c r="AF487" s="10" t="n">
        <x:v>183</x:v>
      </x:c>
      <x:c r="AG487" s="10"/>
      <x:c r="AH487" s="10" t="str">
        <x:f>IF(COUNT(AG487,AF487)=2,AG487-AF487,"")</x:f>
      </x:c>
      <x:c r="AI487" s="10" t="n">
        <x:v>52</x:v>
      </x:c>
      <x:c r="AJ487" s="10"/>
      <x:c r="AK487" s="10" t="str">
        <x:f>IF(COUNT(AJ487,AI487)=2,AJ487-AI487,"")</x:f>
      </x:c>
      <x:c r="AL487" s="10" t="n">
        <x:v>28</x:v>
      </x:c>
      <x:c r="AM487" s="10"/>
      <x:c r="AN487" s="4" t="str">
        <x:v>RW</x:v>
      </x:c>
      <x:c r="AO487" s="4"/>
      <x:c r="AP487" s="4" t="str">
        <x:v>WSH</x:v>
      </x:c>
      <x:c r="AQ487" s="4"/>
      <x:c r="AR487" s="4" t="n">
        <x:v>12.9</x:v>
      </x:c>
      <x:c r="AS487" s="4"/>
      <x:c r="AT487" s="4" t="n">
        <x:v>0.16</x:v>
      </x:c>
      <x:c r="AU487" s="4"/>
      <x:c r="AV487" s="10"/>
      <x:c r="AW487" s="10"/>
      <x:c r="AX487" s="10"/>
      <x:c r="AY487" s="10"/>
      <x:c r="AZ487" s="10" t="n">
        <x:v>673</x:v>
      </x:c>
      <x:c r="BA487" s="10" t="n">
        <x:v>810</x:v>
      </x:c>
      <x:c r="BB487" s="4" t="n">
        <x:v>45.4</x:v>
      </x:c>
      <x:c r="BC487" s="4" t="n">
        <x:v>-5.1</x:v>
      </x:c>
      <x:c r="BD487" s="10" t="n">
        <x:v>472</x:v>
      </x:c>
      <x:c r="BE487" s="10" t="n">
        <x:v>540</x:v>
      </x:c>
      <x:c r="BF487" s="4" t="n">
        <x:v>46.6</x:v>
      </x:c>
      <x:c r="BG487" s="4" t="n">
        <x:v>-4.6</x:v>
      </x:c>
      <x:c r="BH487" s="4" t="n">
        <x:v>6.8</x:v>
      </x:c>
      <x:c r="BI487" s="4" t="n">
        <x:v>93</x:v>
      </x:c>
      <x:c r="BJ487" s="4" t="n">
        <x:v>99.9</x:v>
      </x:c>
      <x:c r="BK487" s="4" t="n">
        <x:v>21.7</x:v>
      </x:c>
      <x:c r="BL487" s="4" t="n">
        <x:v>78.3</x:v>
      </x:c>
      <x:c r="BM487" s="4" t="n">
        <x:v>11.066666666666666</x:v>
      </x:c>
      <x:c r="BN487" s="4" t="n">
        <x:v>9.9</x:v>
      </x:c>
      <x:c r="BO487" s="10" t="n">
        <x:v>7</x:v>
      </x:c>
      <x:c r="BP487" s="10" t="n">
        <x:v>29</x:v>
      </x:c>
      <x:c r="BQ487" s="4" t="n">
        <x:v>-3.5</x:v>
      </x:c>
      <x:c r="BR487" s="10" t="n">
        <x:v>145</x:v>
      </x:c>
      <x:c r="BS487" s="4" t="n">
        <x:v>44.1</x:v>
      </x:c>
      <x:c r="BT487" s="10" t="n">
        <x:v>82</x:v>
      </x:c>
      <x:c r="BU487" s="4" t="str">
        <x:v>WSH</x:v>
      </x:c>
      <x:c r="BV487" s="10" t="n">
        <x:v>515</x:v>
      </x:c>
      <x:c r="BW487" s="10"/>
      <x:c r="BX487" s="10" t="n">
        <x:v>246</x:v>
      </x:c>
      <x:c r="BY487" s="4" t="str">
        <x:v>Brandon Duhaime</x:v>
      </x:c>
      <x:c r="BZ487" s="4"/>
      <x:c r="CA487" s="4" t="str">
        <x:v>Brandon Duhaime</x:v>
      </x:c>
      <x:c r="CB487" s="4" t="str">
        <x:v>duhaibr01</x:v>
      </x:c>
    </x:row>
    <x:row r="488" ht="22" customHeight="1">
      <x:c r="A488" s="4" t="str">
        <x:v>Brandon Saad</x:v>
      </x:c>
      <x:c r="B488" s="4" t="str">
        <x:v>brandonsaad</x:v>
      </x:c>
      <x:c r="C488" s="10" t="n">
        <x:v>1</x:v>
      </x:c>
      <x:c r="D488" s="10" t="n">
        <x:v>0</x:v>
      </x:c>
      <x:c r="E488" s="10" t="n">
        <x:v>1</x:v>
      </x:c>
      <x:c r="F488" s="4" t="n">
        <x:f>IF(COUNT(N488,Q488,T488,W488,Z488,AC488,AF488,AI488)=8,N488*Guide!$E$5+Q488*Guide!$E$6+T488*Guide!$E$7+W488*Guide!$E$8+Z488*Guide!$E$9+AC488*Guide!$E$10+AF488*Guide!$E$11+AI488*Guide!$E$12,"")</x:f>
        <x:v>173</x:v>
      </x:c>
      <x:c r="G488" s="4" t="str">
        <x:f>IF(COUNT(O488,R488,U488,X488,AA488,AD488,AG488,AJ488)=8,O488*Guide!$E$5+R488*Guide!$E$6+U488*Guide!$E$7+X488*Guide!$E$8+AA488*Guide!$E$9+AD488*Guide!$E$10+AG488*Guide!$E$11+AJ488*Guide!$E$12,"")</x:f>
      </x:c>
      <x:c r="H488" s="4" t="str">
        <x:f>IF(COUNT(G488,F488)=2,G488-F488,"")</x:f>
      </x:c>
      <x:c r="I488" s="4" t="n">
        <x:f>IF(AND(ISNUMBER(F488),K488&gt;0),F488/K488,"")</x:f>
        <x:v>2.3066666666666666</x:v>
      </x:c>
      <x:c r="J488" s="4" t="str">
        <x:f>IF(AND(ISNUMBER(G488),L488&gt;0),G488/L488,"")</x:f>
      </x:c>
      <x:c r="K488" s="10" t="n">
        <x:v>75</x:v>
      </x:c>
      <x:c r="L488" s="10"/>
      <x:c r="M488" s="10" t="str">
        <x:f>IF(COUNT(L488,K488)=2,L488-K488,"")</x:f>
      </x:c>
      <x:c r="N488" s="10" t="n">
        <x:v>17</x:v>
      </x:c>
      <x:c r="O488" s="10"/>
      <x:c r="P488" s="10" t="str">
        <x:f>IF(COUNT(O488,N488)=2,O488-N488,"")</x:f>
      </x:c>
      <x:c r="Q488" s="10" t="n">
        <x:v>16</x:v>
      </x:c>
      <x:c r="R488" s="10"/>
      <x:c r="S488" s="10" t="str">
        <x:f>IF(COUNT(R488,Q488)=2,R488-Q488,"")</x:f>
      </x:c>
      <x:c r="T488" s="10" t="n">
        <x:v>1</x:v>
      </x:c>
      <x:c r="U488" s="10"/>
      <x:c r="V488" s="10" t="str">
        <x:f>IF(COUNT(U488,T488)=2,U488-T488,"")</x:f>
      </x:c>
      <x:c r="W488" s="10" t="n">
        <x:v>3</x:v>
      </x:c>
      <x:c r="X488" s="10" t="str">
        <x:f>IF(COUNT(AV488,AW488)=2,AV488+AW488,"")</x:f>
      </x:c>
      <x:c r="Y488" s="10" t="str">
        <x:f>IF(COUNT(X488,W488)=2,X488-W488,"")</x:f>
      </x:c>
      <x:c r="Z488" s="10" t="n">
        <x:v>1</x:v>
      </x:c>
      <x:c r="AA488" s="10" t="str">
        <x:f>IF(COUNT(AX488,AY488)=2,AX488+AY488,"")</x:f>
      </x:c>
      <x:c r="AB488" s="10" t="str">
        <x:f>IF(COUNT(AA488,Z488)=2,AA488-Z488,"")</x:f>
      </x:c>
      <x:c r="AC488" s="10" t="n">
        <x:v>115</x:v>
      </x:c>
      <x:c r="AD488" s="10"/>
      <x:c r="AE488" s="10" t="str">
        <x:f>IF(COUNT(AD488,AC488)=2,AD488-AC488,"")</x:f>
      </x:c>
      <x:c r="AF488" s="10" t="n">
        <x:v>16</x:v>
      </x:c>
      <x:c r="AG488" s="10"/>
      <x:c r="AH488" s="10" t="str">
        <x:f>IF(COUNT(AG488,AF488)=2,AG488-AF488,"")</x:f>
      </x:c>
      <x:c r="AI488" s="10" t="n">
        <x:v>23</x:v>
      </x:c>
      <x:c r="AJ488" s="10"/>
      <x:c r="AK488" s="10" t="str">
        <x:f>IF(COUNT(AJ488,AI488)=2,AJ488-AI488,"")</x:f>
      </x:c>
      <x:c r="AL488" s="10" t="n">
        <x:v>33</x:v>
      </x:c>
      <x:c r="AM488" s="10"/>
      <x:c r="AN488" s="4" t="str">
        <x:v>LW</x:v>
      </x:c>
      <x:c r="AO488" s="4"/>
      <x:c r="AP488" s="4" t="str">
        <x:v>VGK</x:v>
      </x:c>
      <x:c r="AQ488" s="4"/>
      <x:c r="AR488" s="4" t="n">
        <x:v>14.69</x:v>
      </x:c>
      <x:c r="AS488" s="4"/>
      <x:c r="AT488" s="4" t="n">
        <x:v>0.84</x:v>
      </x:c>
      <x:c r="AU488" s="4"/>
      <x:c r="AV488" s="10"/>
      <x:c r="AW488" s="10"/>
      <x:c r="AX488" s="10"/>
      <x:c r="AY488" s="10"/>
      <x:c r="AZ488" s="10" t="n">
        <x:v>617</x:v>
      </x:c>
      <x:c r="BA488" s="10" t="n">
        <x:v>586</x:v>
      </x:c>
      <x:c r="BB488" s="4" t="n">
        <x:v>51.3</x:v>
      </x:c>
      <x:c r="BC488" s="4" t="n">
        <x:v>0.2</x:v>
      </x:c>
      <x:c r="BD488" s="10" t="n">
        <x:v>448</x:v>
      </x:c>
      <x:c r="BE488" s="10" t="n">
        <x:v>412</x:v>
      </x:c>
      <x:c r="BF488" s="4" t="n">
        <x:v>52.1</x:v>
      </x:c>
      <x:c r="BG488" s="4" t="n">
        <x:v>0.3</x:v>
      </x:c>
      <x:c r="BH488" s="4" t="n">
        <x:v>6.3</x:v>
      </x:c>
      <x:c r="BI488" s="4" t="n">
        <x:v>89.7</x:v>
      </x:c>
      <x:c r="BJ488" s="4" t="n">
        <x:v>95.9</x:v>
      </x:c>
      <x:c r="BK488" s="4" t="n">
        <x:v>52.9</x:v>
      </x:c>
      <x:c r="BL488" s="4" t="n">
        <x:v>47.1</x:v>
      </x:c>
      <x:c r="BM488" s="4" t="n">
        <x:v>13.383333333333333</x:v>
      </x:c>
      <x:c r="BN488" s="4" t="n">
        <x:v>12.45</x:v>
      </x:c>
      <x:c r="BO488" s="10" t="n">
        <x:v>11</x:v>
      </x:c>
      <x:c r="BP488" s="10" t="n">
        <x:v>30</x:v>
      </x:c>
      <x:c r="BQ488" s="4" t="n">
        <x:v>5.2</x:v>
      </x:c>
      <x:c r="BR488" s="10" t="n">
        <x:v>146</x:v>
      </x:c>
      <x:c r="BS488" s="4" t="n">
        <x:v>53.4</x:v>
      </x:c>
      <x:c r="BT488" s="10" t="n">
        <x:v>49</x:v>
      </x:c>
      <x:c r="BU488" s="4" t="str">
        <x:v>VEG</x:v>
      </x:c>
      <x:c r="BV488" s="10" t="n">
        <x:v>337</x:v>
      </x:c>
      <x:c r="BW488" s="10"/>
      <x:c r="BX488" s="10" t="n">
        <x:v>887</x:v>
      </x:c>
      <x:c r="BY488" s="4" t="str">
        <x:v>Brandon Saad</x:v>
      </x:c>
      <x:c r="BZ488" s="4"/>
      <x:c r="CA488" s="4" t="str">
        <x:v>Brandon Saad</x:v>
      </x:c>
      <x:c r="CB488" s="4" t="str">
        <x:v>saadbr01</x:v>
      </x:c>
    </x:row>
    <x:row r="489" ht="22" customHeight="1">
      <x:c r="A489" s="4" t="str">
        <x:v>Brandon Tanev</x:v>
      </x:c>
      <x:c r="B489" s="4" t="str">
        <x:v>brandontanev</x:v>
      </x:c>
      <x:c r="C489" s="10" t="n">
        <x:v>1</x:v>
      </x:c>
      <x:c r="D489" s="10" t="n">
        <x:v>0</x:v>
      </x:c>
      <x:c r="E489" s="10" t="n">
        <x:v>1</x:v>
      </x:c>
      <x:c r="F489" s="4" t="n">
        <x:f>IF(COUNT(N489,Q489,T489,W489,Z489,AC489,AF489,AI489)=8,N489*Guide!$E$5+Q489*Guide!$E$6+T489*Guide!$E$7+W489*Guide!$E$8+Z489*Guide!$E$9+AC489*Guide!$E$10+AF489*Guide!$E$11+AI489*Guide!$E$12,"")</x:f>
        <x:v>204</x:v>
      </x:c>
      <x:c r="G489" s="4" t="str">
        <x:f>IF(COUNT(O489,R489,U489,X489,AA489,AD489,AG489,AJ489)=8,O489*Guide!$E$5+R489*Guide!$E$6+U489*Guide!$E$7+X489*Guide!$E$8+AA489*Guide!$E$9+AD489*Guide!$E$10+AG489*Guide!$E$11+AJ489*Guide!$E$12,"")</x:f>
      </x:c>
      <x:c r="H489" s="4" t="str">
        <x:f>IF(COUNT(G489,F489)=2,G489-F489,"")</x:f>
      </x:c>
      <x:c r="I489" s="4" t="n">
        <x:f>IF(AND(ISNUMBER(F489),K489&gt;0),F489/K489,"")</x:f>
        <x:v>2.6493506493506493</x:v>
      </x:c>
      <x:c r="J489" s="4" t="str">
        <x:f>IF(AND(ISNUMBER(G489),L489&gt;0),G489/L489,"")</x:f>
      </x:c>
      <x:c r="K489" s="10" t="n">
        <x:v>77</x:v>
      </x:c>
      <x:c r="L489" s="10"/>
      <x:c r="M489" s="10" t="str">
        <x:f>IF(COUNT(L489,K489)=2,L489-K489,"")</x:f>
      </x:c>
      <x:c r="N489" s="10" t="n">
        <x:v>11</x:v>
      </x:c>
      <x:c r="O489" s="10"/>
      <x:c r="P489" s="10" t="str">
        <x:f>IF(COUNT(O489,N489)=2,O489-N489,"")</x:f>
      </x:c>
      <x:c r="Q489" s="10" t="n">
        <x:v>12</x:v>
      </x:c>
      <x:c r="R489" s="10"/>
      <x:c r="S489" s="10" t="str">
        <x:f>IF(COUNT(R489,Q489)=2,R489-Q489,"")</x:f>
      </x:c>
      <x:c r="T489" s="10" t="n">
        <x:v>-2</x:v>
      </x:c>
      <x:c r="U489" s="10"/>
      <x:c r="V489" s="10" t="str">
        <x:f>IF(COUNT(U489,T489)=2,U489-T489,"")</x:f>
      </x:c>
      <x:c r="W489" s="10" t="n">
        <x:v>0</x:v>
      </x:c>
      <x:c r="X489" s="10" t="str">
        <x:f>IF(COUNT(AV489,AW489)=2,AV489+AW489,"")</x:f>
      </x:c>
      <x:c r="Y489" s="10" t="str">
        <x:f>IF(COUNT(X489,W489)=2,X489-W489,"")</x:f>
      </x:c>
      <x:c r="Z489" s="10" t="n">
        <x:v>1</x:v>
      </x:c>
      <x:c r="AA489" s="10" t="str">
        <x:f>IF(COUNT(AX489,AY489)=2,AX489+AY489,"")</x:f>
      </x:c>
      <x:c r="AB489" s="10" t="str">
        <x:f>IF(COUNT(AA489,Z489)=2,AA489-Z489,"")</x:f>
      </x:c>
      <x:c r="AC489" s="10" t="n">
        <x:v>90</x:v>
      </x:c>
      <x:c r="AD489" s="10"/>
      <x:c r="AE489" s="10" t="str">
        <x:f>IF(COUNT(AD489,AC489)=2,AD489-AC489,"")</x:f>
      </x:c>
      <x:c r="AF489" s="10" t="n">
        <x:v>159</x:v>
      </x:c>
      <x:c r="AG489" s="10"/>
      <x:c r="AH489" s="10" t="str">
        <x:f>IF(COUNT(AG489,AF489)=2,AG489-AF489,"")</x:f>
      </x:c>
      <x:c r="AI489" s="10" t="n">
        <x:v>81</x:v>
      </x:c>
      <x:c r="AJ489" s="10"/>
      <x:c r="AK489" s="10" t="str">
        <x:f>IF(COUNT(AJ489,AI489)=2,AJ489-AI489,"")</x:f>
      </x:c>
      <x:c r="AL489" s="10" t="n">
        <x:v>34</x:v>
      </x:c>
      <x:c r="AM489" s="10"/>
      <x:c r="AN489" s="4" t="str">
        <x:v>LW,RW</x:v>
      </x:c>
      <x:c r="AO489" s="4"/>
      <x:c r="AP489" s="4" t="str">
        <x:v>UTA</x:v>
      </x:c>
      <x:c r="AQ489" s="4"/>
      <x:c r="AR489" s="4" t="n">
        <x:v>13.24</x:v>
      </x:c>
      <x:c r="AS489" s="4"/>
      <x:c r="AT489" s="4" t="n">
        <x:v>0.12</x:v>
      </x:c>
      <x:c r="AU489" s="4"/>
      <x:c r="AV489" s="10"/>
      <x:c r="AW489" s="10"/>
      <x:c r="AX489" s="10"/>
      <x:c r="AY489" s="10"/>
      <x:c r="AZ489" s="10" t="n">
        <x:v>437</x:v>
      </x:c>
      <x:c r="BA489" s="10" t="n">
        <x:v>485</x:v>
      </x:c>
      <x:c r="BB489" s="4" t="n">
        <x:v>47.4</x:v>
      </x:c>
      <x:c r="BC489" s="4" t="n">
        <x:v>-6.7</x:v>
      </x:c>
      <x:c r="BD489" s="10" t="n">
        <x:v>310</x:v>
      </x:c>
      <x:c r="BE489" s="10" t="n">
        <x:v>333</x:v>
      </x:c>
      <x:c r="BF489" s="4" t="n">
        <x:v>48.2</x:v>
      </x:c>
      <x:c r="BG489" s="4" t="n">
        <x:v>-6</x:v>
      </x:c>
      <x:c r="BH489" s="4" t="n">
        <x:v>4.8</x:v>
      </x:c>
      <x:c r="BI489" s="4" t="n">
        <x:v>89.1</x:v>
      </x:c>
      <x:c r="BJ489" s="4" t="n">
        <x:v>94</x:v>
      </x:c>
      <x:c r="BK489" s="4" t="n">
        <x:v>39.9</x:v>
      </x:c>
      <x:c r="BL489" s="4" t="n">
        <x:v>60.1</x:v>
      </x:c>
      <x:c r="BM489" s="4" t="n">
        <x:v>9.366666666666667</x:v>
      </x:c>
      <x:c r="BN489" s="4" t="n">
        <x:v>9.183333333333334</x:v>
      </x:c>
      <x:c r="BO489" s="10" t="n">
        <x:v>7</x:v>
      </x:c>
      <x:c r="BP489" s="10" t="n">
        <x:v>35</x:v>
      </x:c>
      <x:c r="BQ489" s="4" t="n">
        <x:v>-6.4</x:v>
      </x:c>
      <x:c r="BR489" s="10" t="n">
        <x:v>86</x:v>
      </x:c>
      <x:c r="BS489" s="4" t="n">
        <x:v>48.8</x:v>
      </x:c>
      <x:c r="BT489" s="10" t="n">
        <x:v>56</x:v>
      </x:c>
      <x:c r="BU489" s="4" t="str">
        <x:v>UTA</x:v>
      </x:c>
      <x:c r="BV489" s="10" t="n">
        <x:v>470</x:v>
      </x:c>
      <x:c r="BW489" s="10"/>
      <x:c r="BX489" s="10" t="n">
        <x:v>1002</x:v>
      </x:c>
      <x:c r="BY489" s="4" t="str">
        <x:v>Brandon Tanev</x:v>
      </x:c>
      <x:c r="BZ489" s="4"/>
      <x:c r="CA489" s="4" t="str">
        <x:v>Brandon Tanev</x:v>
      </x:c>
      <x:c r="CB489" s="4" t="str">
        <x:v>tanevbr01</x:v>
      </x:c>
    </x:row>
    <x:row r="490" ht="22" customHeight="1">
      <x:c r="A490" s="4" t="str">
        <x:v>Brayden McNabb</x:v>
      </x:c>
      <x:c r="B490" s="4" t="str">
        <x:v>braydenmcnabb</x:v>
      </x:c>
      <x:c r="C490" s="10" t="n">
        <x:v>1</x:v>
      </x:c>
      <x:c r="D490" s="10" t="n">
        <x:v>0</x:v>
      </x:c>
      <x:c r="E490" s="10" t="n">
        <x:v>1</x:v>
      </x:c>
      <x:c r="F490" s="4" t="n">
        <x:f>IF(COUNT(N490,Q490,T490,W490,Z490,AC490,AF490,AI490)=8,N490*Guide!$E$5+Q490*Guide!$E$6+T490*Guide!$E$7+W490*Guide!$E$8+Z490*Guide!$E$9+AC490*Guide!$E$10+AF490*Guide!$E$11+AI490*Guide!$E$12,"")</x:f>
        <x:v>271</x:v>
      </x:c>
      <x:c r="G490" s="4" t="str">
        <x:f>IF(COUNT(O490,R490,U490,X490,AA490,AD490,AG490,AJ490)=8,O490*Guide!$E$5+R490*Guide!$E$6+U490*Guide!$E$7+X490*Guide!$E$8+AA490*Guide!$E$9+AD490*Guide!$E$10+AG490*Guide!$E$11+AJ490*Guide!$E$12,"")</x:f>
      </x:c>
      <x:c r="H490" s="4" t="str">
        <x:f>IF(COUNT(G490,F490)=2,G490-F490,"")</x:f>
      </x:c>
      <x:c r="I490" s="4" t="n">
        <x:f>IF(AND(ISNUMBER(F490),K490&gt;0),F490/K490,"")</x:f>
        <x:v>3.3048780487804876</x:v>
      </x:c>
      <x:c r="J490" s="4" t="str">
        <x:f>IF(AND(ISNUMBER(G490),L490&gt;0),G490/L490,"")</x:f>
      </x:c>
      <x:c r="K490" s="10" t="n">
        <x:v>82</x:v>
      </x:c>
      <x:c r="L490" s="10"/>
      <x:c r="M490" s="10" t="str">
        <x:f>IF(COUNT(L490,K490)=2,L490-K490,"")</x:f>
      </x:c>
      <x:c r="N490" s="10" t="n">
        <x:v>4</x:v>
      </x:c>
      <x:c r="O490" s="10"/>
      <x:c r="P490" s="10" t="str">
        <x:f>IF(COUNT(O490,N490)=2,O490-N490,"")</x:f>
      </x:c>
      <x:c r="Q490" s="10" t="n">
        <x:v>17</x:v>
      </x:c>
      <x:c r="R490" s="10"/>
      <x:c r="S490" s="10" t="str">
        <x:f>IF(COUNT(R490,Q490)=2,R490-Q490,"")</x:f>
      </x:c>
      <x:c r="T490" s="10" t="n">
        <x:v>18</x:v>
      </x:c>
      <x:c r="U490" s="10"/>
      <x:c r="V490" s="10" t="str">
        <x:f>IF(COUNT(U490,T490)=2,U490-T490,"")</x:f>
      </x:c>
      <x:c r="W490" s="10" t="n">
        <x:v>0</x:v>
      </x:c>
      <x:c r="X490" s="10" t="str">
        <x:f>IF(COUNT(AV490,AW490)=2,AV490+AW490,"")</x:f>
      </x:c>
      <x:c r="Y490" s="10" t="str">
        <x:f>IF(COUNT(X490,W490)=2,X490-W490,"")</x:f>
      </x:c>
      <x:c r="Z490" s="10" t="n">
        <x:v>1</x:v>
      </x:c>
      <x:c r="AA490" s="10" t="str">
        <x:f>IF(COUNT(AX490,AY490)=2,AX490+AY490,"")</x:f>
      </x:c>
      <x:c r="AB490" s="10" t="str">
        <x:f>IF(COUNT(AA490,Z490)=2,AA490-Z490,"")</x:f>
      </x:c>
      <x:c r="AC490" s="10" t="n">
        <x:v>87</x:v>
      </x:c>
      <x:c r="AD490" s="10"/>
      <x:c r="AE490" s="10" t="str">
        <x:f>IF(COUNT(AD490,AC490)=2,AD490-AC490,"")</x:f>
      </x:c>
      <x:c r="AF490" s="10" t="n">
        <x:v>126</x:v>
      </x:c>
      <x:c r="AG490" s="10"/>
      <x:c r="AH490" s="10" t="str">
        <x:f>IF(COUNT(AG490,AF490)=2,AG490-AF490,"")</x:f>
      </x:c>
      <x:c r="AI490" s="10" t="n">
        <x:v>173</x:v>
      </x:c>
      <x:c r="AJ490" s="10"/>
      <x:c r="AK490" s="10" t="str">
        <x:f>IF(COUNT(AJ490,AI490)=2,AJ490-AI490,"")</x:f>
      </x:c>
      <x:c r="AL490" s="10" t="n">
        <x:v>35</x:v>
      </x:c>
      <x:c r="AM490" s="10"/>
      <x:c r="AN490" s="4" t="str">
        <x:v>D</x:v>
      </x:c>
      <x:c r="AO490" s="4"/>
      <x:c r="AP490" s="4" t="str">
        <x:v>VGK</x:v>
      </x:c>
      <x:c r="AQ490" s="4"/>
      <x:c r="AR490" s="4" t="n">
        <x:v>20.05</x:v>
      </x:c>
      <x:c r="AS490" s="4"/>
      <x:c r="AT490" s="4" t="n">
        <x:v>0.04</x:v>
      </x:c>
      <x:c r="AU490" s="4"/>
      <x:c r="AV490" s="10"/>
      <x:c r="AW490" s="10"/>
      <x:c r="AX490" s="10"/>
      <x:c r="AY490" s="10"/>
      <x:c r="AZ490" s="10" t="n">
        <x:v>1120</x:v>
      </x:c>
      <x:c r="BA490" s="10" t="n">
        <x:v>1045</x:v>
      </x:c>
      <x:c r="BB490" s="4" t="n">
        <x:v>51.7</x:v>
      </x:c>
      <x:c r="BC490" s="4" t="n">
        <x:v>-1.5</x:v>
      </x:c>
      <x:c r="BD490" s="10" t="n">
        <x:v>813</x:v>
      </x:c>
      <x:c r="BE490" s="10" t="n">
        <x:v>711</x:v>
      </x:c>
      <x:c r="BF490" s="4" t="n">
        <x:v>53.3</x:v>
      </x:c>
      <x:c r="BG490" s="4" t="n">
        <x:v>0.1</x:v>
      </x:c>
      <x:c r="BH490" s="4" t="n">
        <x:v>9.2</x:v>
      </x:c>
      <x:c r="BI490" s="4" t="n">
        <x:v>89.1</x:v>
      </x:c>
      <x:c r="BJ490" s="4" t="n">
        <x:v>98.3</x:v>
      </x:c>
      <x:c r="BK490" s="4" t="n">
        <x:v>48.6</x:v>
      </x:c>
      <x:c r="BL490" s="4" t="n">
        <x:v>51.4</x:v>
      </x:c>
      <x:c r="BM490" s="4" t="n">
        <x:v>20.516666666666666</x:v>
      </x:c>
      <x:c r="BN490" s="4" t="n">
        <x:v>18.016666666666666</x:v>
      </x:c>
      <x:c r="BO490" s="10" t="n">
        <x:v>16</x:v>
      </x:c>
      <x:c r="BP490" s="10" t="n">
        <x:v>50</x:v>
      </x:c>
      <x:c r="BQ490" s="4" t="n">
        <x:v>8.4</x:v>
      </x:c>
      <x:c r="BR490" s="10" t="n">
        <x:v>208</x:v>
      </x:c>
      <x:c r="BS490" s="4" t="n">
        <x:v>38.9</x:v>
      </x:c>
      <x:c r="BT490" s="10" t="n">
        <x:v>63</x:v>
      </x:c>
      <x:c r="BU490" s="4" t="str">
        <x:v>VEG</x:v>
      </x:c>
      <x:c r="BV490" s="10" t="n">
        <x:v>493</x:v>
      </x:c>
      <x:c r="BW490" s="10"/>
      <x:c r="BX490" s="10" t="n">
        <x:v>681</x:v>
      </x:c>
      <x:c r="BY490" s="4" t="str">
        <x:v>Brayden McNabb</x:v>
      </x:c>
      <x:c r="BZ490" s="4"/>
      <x:c r="CA490" s="4" t="str">
        <x:v>Brayden McNabb</x:v>
      </x:c>
      <x:c r="CB490" s="4" t="str">
        <x:v>mcnabbr01</x:v>
      </x:c>
    </x:row>
    <x:row r="491" ht="22" customHeight="1">
      <x:c r="A491" s="4" t="str">
        <x:v>Brayden Pachal</x:v>
      </x:c>
      <x:c r="B491" s="4" t="str">
        <x:v>braydenpachal</x:v>
      </x:c>
      <x:c r="C491" s="10" t="n">
        <x:v>1</x:v>
      </x:c>
      <x:c r="D491" s="10" t="n">
        <x:v>0</x:v>
      </x:c>
      <x:c r="E491" s="10" t="n">
        <x:v>1</x:v>
      </x:c>
      <x:c r="F491" s="4" t="n">
        <x:f>IF(COUNT(N491,Q491,T491,W491,Z491,AC491,AF491,AI491)=8,N491*Guide!$E$5+Q491*Guide!$E$6+T491*Guide!$E$7+W491*Guide!$E$8+Z491*Guide!$E$9+AC491*Guide!$E$10+AF491*Guide!$E$11+AI491*Guide!$E$12,"")</x:f>
        <x:v>156.5</x:v>
      </x:c>
      <x:c r="G491" s="4" t="str">
        <x:f>IF(COUNT(O491,R491,U491,X491,AA491,AD491,AG491,AJ491)=8,O491*Guide!$E$5+R491*Guide!$E$6+U491*Guide!$E$7+X491*Guide!$E$8+AA491*Guide!$E$9+AD491*Guide!$E$10+AG491*Guide!$E$11+AJ491*Guide!$E$12,"")</x:f>
      </x:c>
      <x:c r="H491" s="4" t="str">
        <x:f>IF(COUNT(G491,F491)=2,G491-F491,"")</x:f>
      </x:c>
      <x:c r="I491" s="4" t="n">
        <x:f>IF(AND(ISNUMBER(F491),K491&gt;0),F491/K491,"")</x:f>
        <x:v>2.143835616438356</x:v>
      </x:c>
      <x:c r="J491" s="4" t="str">
        <x:f>IF(AND(ISNUMBER(G491),L491&gt;0),G491/L491,"")</x:f>
      </x:c>
      <x:c r="K491" s="10" t="n">
        <x:v>73</x:v>
      </x:c>
      <x:c r="L491" s="10"/>
      <x:c r="M491" s="10" t="str">
        <x:f>IF(COUNT(L491,K491)=2,L491-K491,"")</x:f>
      </x:c>
      <x:c r="N491" s="10" t="n">
        <x:v>3</x:v>
      </x:c>
      <x:c r="O491" s="10"/>
      <x:c r="P491" s="10" t="str">
        <x:f>IF(COUNT(O491,N491)=2,O491-N491,"")</x:f>
      </x:c>
      <x:c r="Q491" s="10" t="n">
        <x:v>10</x:v>
      </x:c>
      <x:c r="R491" s="10"/>
      <x:c r="S491" s="10" t="str">
        <x:f>IF(COUNT(R491,Q491)=2,R491-Q491,"")</x:f>
      </x:c>
      <x:c r="T491" s="10" t="n">
        <x:v>-2</x:v>
      </x:c>
      <x:c r="U491" s="10"/>
      <x:c r="V491" s="10" t="str">
        <x:f>IF(COUNT(U491,T491)=2,U491-T491,"")</x:f>
      </x:c>
      <x:c r="W491" s="10" t="n">
        <x:v>0</x:v>
      </x:c>
      <x:c r="X491" s="10" t="str">
        <x:f>IF(COUNT(AV491,AW491)=2,AV491+AW491,"")</x:f>
      </x:c>
      <x:c r="Y491" s="10" t="str">
        <x:f>IF(COUNT(X491,W491)=2,X491-W491,"")</x:f>
      </x:c>
      <x:c r="Z491" s="10" t="n">
        <x:v>1</x:v>
      </x:c>
      <x:c r="AA491" s="10" t="str">
        <x:f>IF(COUNT(AX491,AY491)=2,AX491+AY491,"")</x:f>
      </x:c>
      <x:c r="AB491" s="10" t="str">
        <x:f>IF(COUNT(AA491,Z491)=2,AA491-Z491,"")</x:f>
      </x:c>
      <x:c r="AC491" s="10" t="n">
        <x:v>67</x:v>
      </x:c>
      <x:c r="AD491" s="10"/>
      <x:c r="AE491" s="10" t="str">
        <x:f>IF(COUNT(AD491,AC491)=2,AD491-AC491,"")</x:f>
      </x:c>
      <x:c r="AF491" s="10" t="n">
        <x:v>141</x:v>
      </x:c>
      <x:c r="AG491" s="10"/>
      <x:c r="AH491" s="10" t="str">
        <x:f>IF(COUNT(AG491,AF491)=2,AG491-AF491,"")</x:f>
      </x:c>
      <x:c r="AI491" s="10" t="n">
        <x:v>82</x:v>
      </x:c>
      <x:c r="AJ491" s="10"/>
      <x:c r="AK491" s="10" t="str">
        <x:f>IF(COUNT(AJ491,AI491)=2,AJ491-AI491,"")</x:f>
      </x:c>
      <x:c r="AL491" s="10" t="n">
        <x:v>26</x:v>
      </x:c>
      <x:c r="AM491" s="10"/>
      <x:c r="AN491" s="4" t="str">
        <x:v>D</x:v>
      </x:c>
      <x:c r="AO491" s="4"/>
      <x:c r="AP491" s="4" t="str">
        <x:v>CGY</x:v>
      </x:c>
      <x:c r="AQ491" s="4"/>
      <x:c r="AR491" s="4" t="n">
        <x:v>14.309999999999999</x:v>
      </x:c>
      <x:c r="AS491" s="4"/>
      <x:c r="AT491" s="4" t="n">
        <x:v>0.04</x:v>
      </x:c>
      <x:c r="AU491" s="4"/>
      <x:c r="AV491" s="10"/>
      <x:c r="AW491" s="10"/>
      <x:c r="AX491" s="10"/>
      <x:c r="AY491" s="10"/>
      <x:c r="AZ491" s="10" t="n">
        <x:v>498</x:v>
      </x:c>
      <x:c r="BA491" s="10" t="n">
        <x:v>521</x:v>
      </x:c>
      <x:c r="BB491" s="4" t="n">
        <x:v>48.9</x:v>
      </x:c>
      <x:c r="BC491" s="4" t="n">
        <x:v>0.4</x:v>
      </x:c>
      <x:c r="BD491" s="10" t="n">
        <x:v>358</x:v>
      </x:c>
      <x:c r="BE491" s="10" t="n">
        <x:v>363</x:v>
      </x:c>
      <x:c r="BF491" s="4" t="n">
        <x:v>49.7</x:v>
      </x:c>
      <x:c r="BG491" s="4" t="n">
        <x:v>1.5</x:v>
      </x:c>
      <x:c r="BH491" s="4" t="n">
        <x:v>8.5</x:v>
      </x:c>
      <x:c r="BI491" s="4" t="n">
        <x:v>90</x:v>
      </x:c>
      <x:c r="BJ491" s="4" t="n">
        <x:v>98.4</x:v>
      </x:c>
      <x:c r="BK491" s="4" t="n">
        <x:v>56</x:v>
      </x:c>
      <x:c r="BL491" s="4" t="n">
        <x:v>44</x:v>
      </x:c>
      <x:c r="BM491" s="4" t="n">
        <x:v>13.883333333333333</x:v>
      </x:c>
      <x:c r="BN491" s="4" t="n">
        <x:v>13.133333333333333</x:v>
      </x:c>
      <x:c r="BO491" s="10" t="n">
        <x:v>7</x:v>
      </x:c>
      <x:c r="BP491" s="10" t="n">
        <x:v>31</x:v>
      </x:c>
      <x:c r="BQ491" s="4" t="n">
        <x:v>1.8</x:v>
      </x:c>
      <x:c r="BR491" s="10" t="n">
        <x:v>85</x:v>
      </x:c>
      <x:c r="BS491" s="4" t="n">
        <x:v>32.9</x:v>
      </x:c>
      <x:c r="BT491" s="10" t="n">
        <x:v>39</x:v>
      </x:c>
      <x:c r="BU491" s="4" t="str">
        <x:v>CGY</x:v>
      </x:c>
      <x:c r="BV491" s="10" t="n">
        <x:v>662</x:v>
      </x:c>
      <x:c r="BW491" s="10"/>
      <x:c r="BX491" s="10" t="n">
        <x:v>773</x:v>
      </x:c>
      <x:c r="BY491" s="4" t="str">
        <x:v>Brayden Pachal</x:v>
      </x:c>
      <x:c r="BZ491" s="4"/>
      <x:c r="CA491" s="4" t="str">
        <x:v>Brayden Pachal</x:v>
      </x:c>
      <x:c r="CB491" s="4" t="str">
        <x:v>pachabr01</x:v>
      </x:c>
    </x:row>
    <x:row r="492" ht="22" customHeight="1">
      <x:c r="A492" s="4" t="str">
        <x:v>Brayden Yager</x:v>
      </x:c>
      <x:c r="B492" s="4" t="str">
        <x:v>braydenyager</x:v>
      </x:c>
      <x:c r="C492" s="10" t="n">
        <x:v>0</x:v>
      </x:c>
      <x:c r="D492" s="10" t="n">
        <x:v>0</x:v>
      </x:c>
      <x:c r="E492" s="10" t="n">
        <x:v>1</x:v>
      </x:c>
      <x:c r="F492" s="4" t="str">
        <x:f>IF(COUNT(N492,Q492,T492,W492,Z492,AC492,AF492,AI492)=8,N492*Guide!$E$5+Q492*Guide!$E$6+T492*Guide!$E$7+W492*Guide!$E$8+Z492*Guide!$E$9+AC492*Guide!$E$10+AF492*Guide!$E$11+AI492*Guide!$E$12,"")</x:f>
      </x:c>
      <x:c r="G492" s="4" t="str">
        <x:f>IF(COUNT(O492,R492,U492,X492,AA492,AD492,AG492,AJ492)=8,O492*Guide!$E$5+R492*Guide!$E$6+U492*Guide!$E$7+X492*Guide!$E$8+AA492*Guide!$E$9+AD492*Guide!$E$10+AG492*Guide!$E$11+AJ492*Guide!$E$12,"")</x:f>
      </x:c>
      <x:c r="H492" s="4" t="str">
        <x:f>IF(COUNT(G492,F492)=2,G492-F492,"")</x:f>
      </x:c>
      <x:c r="I492" s="4" t="str">
        <x:f>IF(AND(ISNUMBER(F492),K492&gt;0),F492/K492,"")</x:f>
      </x:c>
      <x:c r="J492" s="4" t="str">
        <x:f>IF(AND(ISNUMBER(G492),L492&gt;0),G492/L492,"")</x:f>
      </x:c>
      <x:c r="K492" s="10"/>
      <x:c r="L492" s="10"/>
      <x:c r="M492" s="10" t="str">
        <x:f>IF(COUNT(L492,K492)=2,L492-K492,"")</x:f>
      </x:c>
      <x:c r="N492" s="10"/>
      <x:c r="O492" s="10"/>
      <x:c r="P492" s="10" t="str">
        <x:f>IF(COUNT(O492,N492)=2,O492-N492,"")</x:f>
      </x:c>
      <x:c r="Q492" s="10"/>
      <x:c r="R492" s="10"/>
      <x:c r="S492" s="10" t="str">
        <x:f>IF(COUNT(R492,Q492)=2,R492-Q492,"")</x:f>
      </x:c>
      <x:c r="T492" s="10"/>
      <x:c r="U492" s="10"/>
      <x:c r="V492" s="10" t="str">
        <x:f>IF(COUNT(U492,T492)=2,U492-T492,"")</x:f>
      </x:c>
      <x:c r="W492" s="10"/>
      <x:c r="X492" s="10" t="str">
        <x:f>IF(COUNT(AV492,AW492)=2,AV492+AW492,"")</x:f>
      </x:c>
      <x:c r="Y492" s="10" t="str">
        <x:f>IF(COUNT(X492,W492)=2,X492-W492,"")</x:f>
      </x:c>
      <x:c r="Z492" s="10"/>
      <x:c r="AA492" s="10" t="str">
        <x:f>IF(COUNT(AX492,AY492)=2,AX492+AY492,"")</x:f>
      </x:c>
      <x:c r="AB492" s="10" t="str">
        <x:f>IF(COUNT(AA492,Z492)=2,AA492-Z492,"")</x:f>
      </x:c>
      <x:c r="AC492" s="10"/>
      <x:c r="AD492" s="10"/>
      <x:c r="AE492" s="10" t="str">
        <x:f>IF(COUNT(AD492,AC492)=2,AD492-AC492,"")</x:f>
      </x:c>
      <x:c r="AF492" s="10"/>
      <x:c r="AG492" s="10"/>
      <x:c r="AH492" s="10" t="str">
        <x:f>IF(COUNT(AG492,AF492)=2,AG492-AF492,"")</x:f>
      </x:c>
      <x:c r="AI492" s="10"/>
      <x:c r="AJ492" s="10"/>
      <x:c r="AK492" s="10" t="str">
        <x:f>IF(COUNT(AJ492,AI492)=2,AJ492-AI492,"")</x:f>
      </x:c>
      <x:c r="AL492" s="10"/>
      <x:c r="AM492" s="10"/>
      <x:c r="AN492" s="4"/>
      <x:c r="AO492" s="4"/>
      <x:c r="AP492" s="4"/>
      <x:c r="AQ492" s="4"/>
      <x:c r="AR492" s="4"/>
      <x:c r="AS492" s="4"/>
      <x:c r="AT492" s="4"/>
      <x:c r="AU492" s="4"/>
      <x:c r="AV492" s="10"/>
      <x:c r="AW492" s="10"/>
      <x:c r="AX492" s="10"/>
      <x:c r="AY492" s="10"/>
      <x:c r="AZ492" s="10" t="n">
        <x:v>21</x:v>
      </x:c>
      <x:c r="BA492" s="10" t="n">
        <x:v>27</x:v>
      </x:c>
      <x:c r="BB492" s="4" t="n">
        <x:v>43.8</x:v>
      </x:c>
      <x:c r="BC492" s="4" t="n">
        <x:v>-0.3</x:v>
      </x:c>
      <x:c r="BD492" s="10" t="n">
        <x:v>18</x:v>
      </x:c>
      <x:c r="BE492" s="10" t="n">
        <x:v>20</x:v>
      </x:c>
      <x:c r="BF492" s="4" t="n">
        <x:v>47.4</x:v>
      </x:c>
      <x:c r="BG492" s="4" t="n">
        <x:v>5.6</x:v>
      </x:c>
      <x:c r="BH492" s="4" t="n">
        <x:v>11.1</x:v>
      </x:c>
      <x:c r="BI492" s="4" t="n">
        <x:v>93.3</x:v>
      </x:c>
      <x:c r="BJ492" s="4" t="n">
        <x:v>104.4</x:v>
      </x:c>
      <x:c r="BK492" s="4" t="n">
        <x:v>55.6</x:v>
      </x:c>
      <x:c r="BL492" s="4" t="n">
        <x:v>44.4</x:v>
      </x:c>
      <x:c r="BM492" s="4" t="n">
        <x:v>10.983333333333333</x:v>
      </x:c>
      <x:c r="BN492" s="4" t="n">
        <x:v>9.166666666666666</x:v>
      </x:c>
      <x:c r="BO492" s="10" t="n">
        <x:v>0</x:v>
      </x:c>
      <x:c r="BP492" s="10" t="n">
        <x:v>1</x:v>
      </x:c>
      <x:c r="BQ492" s="4" t="n">
        <x:v>-0.3</x:v>
      </x:c>
      <x:c r="BR492" s="10" t="n">
        <x:v>4</x:v>
      </x:c>
      <x:c r="BS492" s="4" t="n">
        <x:v>50</x:v>
      </x:c>
      <x:c r="BT492" s="10" t="n">
        <x:v>3</x:v>
      </x:c>
      <x:c r="BU492" s="4" t="str">
        <x:v>WPG</x:v>
      </x:c>
      <x:c r="BV492" s="10"/>
      <x:c r="BW492" s="10"/>
      <x:c r="BX492" s="10" t="n">
        <x:v>1088</x:v>
      </x:c>
      <x:c r="BY492" s="4"/>
      <x:c r="BZ492" s="4"/>
      <x:c r="CA492" s="4" t="str">
        <x:v>Brayden Yager</x:v>
      </x:c>
      <x:c r="CB492" s="4" t="str">
        <x:v>yagerbr01</x:v>
      </x:c>
    </x:row>
    <x:row r="493" ht="22" customHeight="1">
      <x:c r="A493" s="4" t="str">
        <x:v>Brendan Brisson</x:v>
      </x:c>
      <x:c r="B493" s="4" t="str">
        <x:v>brendanbrisson</x:v>
      </x:c>
      <x:c r="C493" s="10" t="n">
        <x:v>1</x:v>
      </x:c>
      <x:c r="D493" s="10" t="n">
        <x:v>0</x:v>
      </x:c>
      <x:c r="E493" s="10" t="n">
        <x:v>1</x:v>
      </x:c>
      <x:c r="F493" s="4" t="n">
        <x:f>IF(COUNT(N493,Q493,T493,W493,Z493,AC493,AF493,AI493)=8,N493*Guide!$E$5+Q493*Guide!$E$6+T493*Guide!$E$7+W493*Guide!$E$8+Z493*Guide!$E$9+AC493*Guide!$E$10+AF493*Guide!$E$11+AI493*Guide!$E$12,"")</x:f>
        <x:v>70.25</x:v>
      </x:c>
      <x:c r="G493" s="4" t="str">
        <x:f>IF(COUNT(O493,R493,U493,X493,AA493,AD493,AG493,AJ493)=8,O493*Guide!$E$5+R493*Guide!$E$6+U493*Guide!$E$7+X493*Guide!$E$8+AA493*Guide!$E$9+AD493*Guide!$E$10+AG493*Guide!$E$11+AJ493*Guide!$E$12,"")</x:f>
      </x:c>
      <x:c r="H493" s="4" t="str">
        <x:f>IF(COUNT(G493,F493)=2,G493-F493,"")</x:f>
      </x:c>
      <x:c r="I493" s="4" t="n">
        <x:f>IF(AND(ISNUMBER(F493),K493&gt;0),F493/K493,"")</x:f>
        <x:v>2.341666666666667</x:v>
      </x:c>
      <x:c r="J493" s="4" t="str">
        <x:f>IF(AND(ISNUMBER(G493),L493&gt;0),G493/L493,"")</x:f>
      </x:c>
      <x:c r="K493" s="10" t="n">
        <x:v>30</x:v>
      </x:c>
      <x:c r="L493" s="10"/>
      <x:c r="M493" s="10" t="str">
        <x:f>IF(COUNT(L493,K493)=2,L493-K493,"")</x:f>
      </x:c>
      <x:c r="N493" s="10" t="n">
        <x:v>5</x:v>
      </x:c>
      <x:c r="O493" s="10"/>
      <x:c r="P493" s="10" t="str">
        <x:f>IF(COUNT(O493,N493)=2,O493-N493,"")</x:f>
      </x:c>
      <x:c r="Q493" s="10" t="n">
        <x:v>8</x:v>
      </x:c>
      <x:c r="R493" s="10"/>
      <x:c r="S493" s="10" t="str">
        <x:f>IF(COUNT(R493,Q493)=2,R493-Q493,"")</x:f>
      </x:c>
      <x:c r="T493" s="10" t="n">
        <x:v>-1</x:v>
      </x:c>
      <x:c r="U493" s="10"/>
      <x:c r="V493" s="10" t="str">
        <x:f>IF(COUNT(U493,T493)=2,U493-T493,"")</x:f>
      </x:c>
      <x:c r="W493" s="10" t="n">
        <x:v>2</x:v>
      </x:c>
      <x:c r="X493" s="10" t="str">
        <x:f>IF(COUNT(AV493,AW493)=2,AV493+AW493,"")</x:f>
      </x:c>
      <x:c r="Y493" s="10" t="str">
        <x:f>IF(COUNT(X493,W493)=2,X493-W493,"")</x:f>
      </x:c>
      <x:c r="Z493" s="10" t="n">
        <x:v>0</x:v>
      </x:c>
      <x:c r="AA493" s="10" t="str">
        <x:f>IF(COUNT(AX493,AY493)=2,AX493+AY493,"")</x:f>
      </x:c>
      <x:c r="AB493" s="10" t="str">
        <x:f>IF(COUNT(AA493,Z493)=2,AA493-Z493,"")</x:f>
      </x:c>
      <x:c r="AC493" s="10" t="n">
        <x:v>43</x:v>
      </x:c>
      <x:c r="AD493" s="10"/>
      <x:c r="AE493" s="10" t="str">
        <x:f>IF(COUNT(AD493,AC493)=2,AD493-AC493,"")</x:f>
      </x:c>
      <x:c r="AF493" s="10" t="n">
        <x:v>25</x:v>
      </x:c>
      <x:c r="AG493" s="10"/>
      <x:c r="AH493" s="10" t="str">
        <x:f>IF(COUNT(AG493,AF493)=2,AG493-AF493,"")</x:f>
      </x:c>
      <x:c r="AI493" s="10" t="n">
        <x:v>11</x:v>
      </x:c>
      <x:c r="AJ493" s="10"/>
      <x:c r="AK493" s="10" t="str">
        <x:f>IF(COUNT(AJ493,AI493)=2,AJ493-AI493,"")</x:f>
      </x:c>
      <x:c r="AL493" s="10" t="n">
        <x:v>24</x:v>
      </x:c>
      <x:c r="AM493" s="10"/>
      <x:c r="AN493" s="4" t="str">
        <x:v>C</x:v>
      </x:c>
      <x:c r="AO493" s="4"/>
      <x:c r="AP493" s="4" t="str">
        <x:v>VGK</x:v>
      </x:c>
      <x:c r="AQ493" s="4"/>
      <x:c r="AR493" s="4" t="n">
        <x:v>12.889999999999999</x:v>
      </x:c>
      <x:c r="AS493" s="4"/>
      <x:c r="AT493" s="4" t="n">
        <x:v>0.93</x:v>
      </x:c>
      <x:c r="AU493" s="4"/>
      <x:c r="AV493" s="10"/>
      <x:c r="AW493" s="10"/>
      <x:c r="AX493" s="10"/>
      <x:c r="AY493" s="10"/>
      <x:c r="AZ493" s="10" t="n">
        <x:v>25</x:v>
      </x:c>
      <x:c r="BA493" s="10" t="n">
        <x:v>20</x:v>
      </x:c>
      <x:c r="BB493" s="4" t="n">
        <x:v>55.6</x:v>
      </x:c>
      <x:c r="BC493" s="4" t="n">
        <x:v>-1.2</x:v>
      </x:c>
      <x:c r="BD493" s="10" t="n">
        <x:v>19</x:v>
      </x:c>
      <x:c r="BE493" s="10" t="n">
        <x:v>10</x:v>
      </x:c>
      <x:c r="BF493" s="4" t="n">
        <x:v>65.5</x:v>
      </x:c>
      <x:c r="BG493" s="4" t="n">
        <x:v>9.3</x:v>
      </x:c>
      <x:c r="BH493" s="4" t="n">
        <x:v>7.7</x:v>
      </x:c>
      <x:c r="BI493" s="4" t="n">
        <x:v>80</x:v>
      </x:c>
      <x:c r="BJ493" s="4" t="n">
        <x:v>87.7</x:v>
      </x:c>
      <x:c r="BK493" s="4" t="n">
        <x:v>42.9</x:v>
      </x:c>
      <x:c r="BL493" s="4" t="n">
        <x:v>57.1</x:v>
      </x:c>
      <x:c r="BM493" s="4" t="n">
        <x:v>10.583333333333334</x:v>
      </x:c>
      <x:c r="BN493" s="4" t="n">
        <x:v>9.666666666666666</x:v>
      </x:c>
      <x:c r="BO493" s="10" t="n">
        <x:v>1</x:v>
      </x:c>
      <x:c r="BP493" s="10" t="n">
        <x:v>1</x:v>
      </x:c>
      <x:c r="BQ493" s="4" t="n">
        <x:v>0</x:v>
      </x:c>
      <x:c r="BR493" s="10" t="n">
        <x:v>3</x:v>
      </x:c>
      <x:c r="BS493" s="4" t="n">
        <x:v>66.7</x:v>
      </x:c>
      <x:c r="BT493" s="10" t="n">
        <x:v>3</x:v>
      </x:c>
      <x:c r="BU493" s="4" t="str">
        <x:v>NYR</x:v>
      </x:c>
      <x:c r="BV493" s="10" t="n">
        <x:v>684</x:v>
      </x:c>
      <x:c r="BW493" s="10"/>
      <x:c r="BX493" s="10" t="n">
        <x:v>96</x:v>
      </x:c>
      <x:c r="BY493" s="4" t="str">
        <x:v>Brendan Brisson</x:v>
      </x:c>
      <x:c r="BZ493" s="4"/>
      <x:c r="CA493" s="4" t="str">
        <x:v>Brendan Brisson</x:v>
      </x:c>
      <x:c r="CB493" s="4" t="str">
        <x:v>brissbr01</x:v>
      </x:c>
    </x:row>
    <x:row r="494" ht="22" customHeight="1">
      <x:c r="A494" s="4" t="str">
        <x:v>Brendan Gaunce</x:v>
      </x:c>
      <x:c r="B494" s="4" t="str">
        <x:v>brendangaunce</x:v>
      </x:c>
      <x:c r="C494" s="10" t="n">
        <x:v>0</x:v>
      </x:c>
      <x:c r="D494" s="10" t="n">
        <x:v>0</x:v>
      </x:c>
      <x:c r="E494" s="10" t="n">
        <x:v>1</x:v>
      </x:c>
      <x:c r="F494" s="4" t="str">
        <x:f>IF(COUNT(N494,Q494,T494,W494,Z494,AC494,AF494,AI494)=8,N494*Guide!$E$5+Q494*Guide!$E$6+T494*Guide!$E$7+W494*Guide!$E$8+Z494*Guide!$E$9+AC494*Guide!$E$10+AF494*Guide!$E$11+AI494*Guide!$E$12,"")</x:f>
      </x:c>
      <x:c r="G494" s="4" t="str">
        <x:f>IF(COUNT(O494,R494,U494,X494,AA494,AD494,AG494,AJ494)=8,O494*Guide!$E$5+R494*Guide!$E$6+U494*Guide!$E$7+X494*Guide!$E$8+AA494*Guide!$E$9+AD494*Guide!$E$10+AG494*Guide!$E$11+AJ494*Guide!$E$12,"")</x:f>
      </x:c>
      <x:c r="H494" s="4" t="str">
        <x:f>IF(COUNT(G494,F494)=2,G494-F494,"")</x:f>
      </x:c>
      <x:c r="I494" s="4" t="str">
        <x:f>IF(AND(ISNUMBER(F494),K494&gt;0),F494/K494,"")</x:f>
      </x:c>
      <x:c r="J494" s="4" t="str">
        <x:f>IF(AND(ISNUMBER(G494),L494&gt;0),G494/L494,"")</x:f>
      </x:c>
      <x:c r="K494" s="10"/>
      <x:c r="L494" s="10"/>
      <x:c r="M494" s="10" t="str">
        <x:f>IF(COUNT(L494,K494)=2,L494-K494,"")</x:f>
      </x:c>
      <x:c r="N494" s="10"/>
      <x:c r="O494" s="10"/>
      <x:c r="P494" s="10" t="str">
        <x:f>IF(COUNT(O494,N494)=2,O494-N494,"")</x:f>
      </x:c>
      <x:c r="Q494" s="10"/>
      <x:c r="R494" s="10"/>
      <x:c r="S494" s="10" t="str">
        <x:f>IF(COUNT(R494,Q494)=2,R494-Q494,"")</x:f>
      </x:c>
      <x:c r="T494" s="10"/>
      <x:c r="U494" s="10"/>
      <x:c r="V494" s="10" t="str">
        <x:f>IF(COUNT(U494,T494)=2,U494-T494,"")</x:f>
      </x:c>
      <x:c r="W494" s="10"/>
      <x:c r="X494" s="10" t="str">
        <x:f>IF(COUNT(AV494,AW494)=2,AV494+AW494,"")</x:f>
      </x:c>
      <x:c r="Y494" s="10" t="str">
        <x:f>IF(COUNT(X494,W494)=2,X494-W494,"")</x:f>
      </x:c>
      <x:c r="Z494" s="10"/>
      <x:c r="AA494" s="10" t="str">
        <x:f>IF(COUNT(AX494,AY494)=2,AX494+AY494,"")</x:f>
      </x:c>
      <x:c r="AB494" s="10" t="str">
        <x:f>IF(COUNT(AA494,Z494)=2,AA494-Z494,"")</x:f>
      </x:c>
      <x:c r="AC494" s="10"/>
      <x:c r="AD494" s="10"/>
      <x:c r="AE494" s="10" t="str">
        <x:f>IF(COUNT(AD494,AC494)=2,AD494-AC494,"")</x:f>
      </x:c>
      <x:c r="AF494" s="10"/>
      <x:c r="AG494" s="10"/>
      <x:c r="AH494" s="10" t="str">
        <x:f>IF(COUNT(AG494,AF494)=2,AG494-AF494,"")</x:f>
      </x:c>
      <x:c r="AI494" s="10"/>
      <x:c r="AJ494" s="10"/>
      <x:c r="AK494" s="10" t="str">
        <x:f>IF(COUNT(AJ494,AI494)=2,AJ494-AI494,"")</x:f>
      </x:c>
      <x:c r="AL494" s="10"/>
      <x:c r="AM494" s="10"/>
      <x:c r="AN494" s="4"/>
      <x:c r="AO494" s="4"/>
      <x:c r="AP494" s="4"/>
      <x:c r="AQ494" s="4"/>
      <x:c r="AR494" s="4"/>
      <x:c r="AS494" s="4"/>
      <x:c r="AT494" s="4"/>
      <x:c r="AU494" s="4"/>
      <x:c r="AV494" s="10"/>
      <x:c r="AW494" s="10"/>
      <x:c r="AX494" s="10"/>
      <x:c r="AY494" s="10"/>
      <x:c r="AZ494" s="10" t="n">
        <x:v>242</x:v>
      </x:c>
      <x:c r="BA494" s="10" t="n">
        <x:v>251</x:v>
      </x:c>
      <x:c r="BB494" s="4" t="n">
        <x:v>49.1</x:v>
      </x:c>
      <x:c r="BC494" s="4" t="n">
        <x:v>-1.6</x:v>
      </x:c>
      <x:c r="BD494" s="10" t="n">
        <x:v>161</x:v>
      </x:c>
      <x:c r="BE494" s="10" t="n">
        <x:v>173</x:v>
      </x:c>
      <x:c r="BF494" s="4" t="n">
        <x:v>48.2</x:v>
      </x:c>
      <x:c r="BG494" s="4" t="n">
        <x:v>-2.2</x:v>
      </x:c>
      <x:c r="BH494" s="4" t="n">
        <x:v>9.4</x:v>
      </x:c>
      <x:c r="BI494" s="4" t="n">
        <x:v>89.3</x:v>
      </x:c>
      <x:c r="BJ494" s="4" t="n">
        <x:v>98.7</x:v>
      </x:c>
      <x:c r="BK494" s="4" t="n">
        <x:v>28.9</x:v>
      </x:c>
      <x:c r="BL494" s="4" t="n">
        <x:v>71.1</x:v>
      </x:c>
      <x:c r="BM494" s="4" t="n">
        <x:v>11.9</x:v>
      </x:c>
      <x:c r="BN494" s="4" t="n">
        <x:v>10.166666666666666</x:v>
      </x:c>
      <x:c r="BO494" s="10" t="n">
        <x:v>6</x:v>
      </x:c>
      <x:c r="BP494" s="10" t="n">
        <x:v>7</x:v>
      </x:c>
      <x:c r="BQ494" s="4" t="n">
        <x:v>-2.1</x:v>
      </x:c>
      <x:c r="BR494" s="10" t="n">
        <x:v>61</x:v>
      </x:c>
      <x:c r="BS494" s="4" t="n">
        <x:v>47.5</x:v>
      </x:c>
      <x:c r="BT494" s="10" t="n">
        <x:v>25</x:v>
      </x:c>
      <x:c r="BU494" s="4" t="str">
        <x:v>CBJ</x:v>
      </x:c>
      <x:c r="BV494" s="10"/>
      <x:c r="BW494" s="10"/>
      <x:c r="BX494" s="10" t="n">
        <x:v>328</x:v>
      </x:c>
      <x:c r="BY494" s="4"/>
      <x:c r="BZ494" s="4"/>
      <x:c r="CA494" s="4" t="str">
        <x:v>Brendan Gaunce</x:v>
      </x:c>
      <x:c r="CB494" s="4" t="str">
        <x:v>gauncbr01</x:v>
      </x:c>
    </x:row>
    <x:row r="495" ht="22" customHeight="1">
      <x:c r="A495" s="4" t="str">
        <x:v>Brendan Smith</x:v>
      </x:c>
      <x:c r="B495" s="4" t="str">
        <x:v>brendansmith</x:v>
      </x:c>
      <x:c r="C495" s="10" t="n">
        <x:v>1</x:v>
      </x:c>
      <x:c r="D495" s="10" t="n">
        <x:v>0</x:v>
      </x:c>
      <x:c r="E495" s="10" t="n">
        <x:v>1</x:v>
      </x:c>
      <x:c r="F495" s="4" t="n">
        <x:f>IF(COUNT(N495,Q495,T495,W495,Z495,AC495,AF495,AI495)=8,N495*Guide!$E$5+Q495*Guide!$E$6+T495*Guide!$E$7+W495*Guide!$E$8+Z495*Guide!$E$9+AC495*Guide!$E$10+AF495*Guide!$E$11+AI495*Guide!$E$12,"")</x:f>
        <x:v>86.5</x:v>
      </x:c>
      <x:c r="G495" s="4" t="str">
        <x:f>IF(COUNT(O495,R495,U495,X495,AA495,AD495,AG495,AJ495)=8,O495*Guide!$E$5+R495*Guide!$E$6+U495*Guide!$E$7+X495*Guide!$E$8+AA495*Guide!$E$9+AD495*Guide!$E$10+AG495*Guide!$E$11+AJ495*Guide!$E$12,"")</x:f>
      </x:c>
      <x:c r="H495" s="4" t="str">
        <x:f>IF(COUNT(G495,F495)=2,G495-F495,"")</x:f>
      </x:c>
      <x:c r="I495" s="4" t="n">
        <x:f>IF(AND(ISNUMBER(F495),K495&gt;0),F495/K495,"")</x:f>
        <x:v>1.73</x:v>
      </x:c>
      <x:c r="J495" s="4" t="str">
        <x:f>IF(AND(ISNUMBER(G495),L495&gt;0),G495/L495,"")</x:f>
      </x:c>
      <x:c r="K495" s="10" t="n">
        <x:v>50</x:v>
      </x:c>
      <x:c r="L495" s="10"/>
      <x:c r="M495" s="10" t="str">
        <x:f>IF(COUNT(L495,K495)=2,L495-K495,"")</x:f>
      </x:c>
      <x:c r="N495" s="10" t="n">
        <x:v>2</x:v>
      </x:c>
      <x:c r="O495" s="10"/>
      <x:c r="P495" s="10" t="str">
        <x:f>IF(COUNT(O495,N495)=2,O495-N495,"")</x:f>
      </x:c>
      <x:c r="Q495" s="10" t="n">
        <x:v>6</x:v>
      </x:c>
      <x:c r="R495" s="10"/>
      <x:c r="S495" s="10" t="str">
        <x:f>IF(COUNT(R495,Q495)=2,R495-Q495,"")</x:f>
      </x:c>
      <x:c r="T495" s="10" t="n">
        <x:v>-3</x:v>
      </x:c>
      <x:c r="U495" s="10"/>
      <x:c r="V495" s="10" t="str">
        <x:f>IF(COUNT(U495,T495)=2,U495-T495,"")</x:f>
      </x:c>
      <x:c r="W495" s="10" t="n">
        <x:v>0</x:v>
      </x:c>
      <x:c r="X495" s="10" t="str">
        <x:f>IF(COUNT(AV495,AW495)=2,AV495+AW495,"")</x:f>
      </x:c>
      <x:c r="Y495" s="10" t="str">
        <x:f>IF(COUNT(X495,W495)=2,X495-W495,"")</x:f>
      </x:c>
      <x:c r="Z495" s="10" t="n">
        <x:v>0</x:v>
      </x:c>
      <x:c r="AA495" s="10" t="str">
        <x:f>IF(COUNT(AX495,AY495)=2,AX495+AY495,"")</x:f>
      </x:c>
      <x:c r="AB495" s="10" t="str">
        <x:f>IF(COUNT(AA495,Z495)=2,AA495-Z495,"")</x:f>
      </x:c>
      <x:c r="AC495" s="10" t="n">
        <x:v>43</x:v>
      </x:c>
      <x:c r="AD495" s="10"/>
      <x:c r="AE495" s="10" t="str">
        <x:f>IF(COUNT(AD495,AC495)=2,AD495-AC495,"")</x:f>
      </x:c>
      <x:c r="AF495" s="10" t="n">
        <x:v>61</x:v>
      </x:c>
      <x:c r="AG495" s="10"/>
      <x:c r="AH495" s="10" t="str">
        <x:f>IF(COUNT(AG495,AF495)=2,AG495-AF495,"")</x:f>
      </x:c>
      <x:c r="AI495" s="10" t="n">
        <x:v>50</x:v>
      </x:c>
      <x:c r="AJ495" s="10"/>
      <x:c r="AK495" s="10" t="str">
        <x:f>IF(COUNT(AJ495,AI495)=2,AJ495-AI495,"")</x:f>
      </x:c>
      <x:c r="AL495" s="10" t="n">
        <x:v>36</x:v>
      </x:c>
      <x:c r="AM495" s="10"/>
      <x:c r="AN495" s="4" t="str">
        <x:v>D</x:v>
      </x:c>
      <x:c r="AO495" s="4"/>
      <x:c r="AP495" s="4" t="str">
        <x:v>CBJ</x:v>
      </x:c>
      <x:c r="AQ495" s="4"/>
      <x:c r="AR495" s="4" t="n">
        <x:v>13.77</x:v>
      </x:c>
      <x:c r="AS495" s="4"/>
      <x:c r="AT495" s="4" t="n">
        <x:v>0.07</x:v>
      </x:c>
      <x:c r="AU495" s="4"/>
      <x:c r="AV495" s="10"/>
      <x:c r="AW495" s="10"/>
      <x:c r="AX495" s="10"/>
      <x:c r="AY495" s="10"/>
      <x:c r="AZ495" s="10" t="n">
        <x:v>121</x:v>
      </x:c>
      <x:c r="BA495" s="10" t="n">
        <x:v>153</x:v>
      </x:c>
      <x:c r="BB495" s="4" t="n">
        <x:v>44.2</x:v>
      </x:c>
      <x:c r="BC495" s="4" t="n">
        <x:v>-6.7</x:v>
      </x:c>
      <x:c r="BD495" s="10" t="n">
        <x:v>80</x:v>
      </x:c>
      <x:c r="BE495" s="10" t="n">
        <x:v>109</x:v>
      </x:c>
      <x:c r="BF495" s="4" t="n">
        <x:v>42.3</x:v>
      </x:c>
      <x:c r="BG495" s="4" t="n">
        <x:v>-7.2</x:v>
      </x:c>
      <x:c r="BH495" s="4" t="n">
        <x:v>8.9</x:v>
      </x:c>
      <x:c r="BI495" s="4" t="n">
        <x:v>92</x:v>
      </x:c>
      <x:c r="BJ495" s="4" t="n">
        <x:v>100.9</x:v>
      </x:c>
      <x:c r="BK495" s="4" t="n">
        <x:v>55.1</x:v>
      </x:c>
      <x:c r="BL495" s="4" t="n">
        <x:v>44.9</x:v>
      </x:c>
      <x:c r="BM495" s="4" t="n">
        <x:v>11.083333333333334</x:v>
      </x:c>
      <x:c r="BN495" s="4" t="n">
        <x:v>10.4</x:v>
      </x:c>
      <x:c r="BO495" s="10" t="n">
        <x:v>5</x:v>
      </x:c>
      <x:c r="BP495" s="10" t="n">
        <x:v>15</x:v>
      </x:c>
      <x:c r="BQ495" s="4" t="n">
        <x:v>-2.2</x:v>
      </x:c>
      <x:c r="BR495" s="10" t="n">
        <x:v>21</x:v>
      </x:c>
      <x:c r="BS495" s="4" t="n">
        <x:v>47.6</x:v>
      </x:c>
      <x:c r="BT495" s="10" t="n">
        <x:v>15</x:v>
      </x:c>
      <x:c r="BU495" s="4" t="str">
        <x:v>CBJ</x:v>
      </x:c>
      <x:c r="BV495" s="10" t="n">
        <x:v>745</x:v>
      </x:c>
      <x:c r="BW495" s="10"/>
      <x:c r="BX495" s="10" t="n">
        <x:v>945</x:v>
      </x:c>
      <x:c r="BY495" s="4" t="str">
        <x:v>Brendan Smith</x:v>
      </x:c>
      <x:c r="BZ495" s="4"/>
      <x:c r="CA495" s="4" t="str">
        <x:v>Brendan Smith</x:v>
      </x:c>
      <x:c r="CB495" s="4" t="str">
        <x:v>smithbr05</x:v>
      </x:c>
    </x:row>
    <x:row r="496" ht="22" customHeight="1">
      <x:c r="A496" s="4" t="str">
        <x:v>Brenden Dillon</x:v>
      </x:c>
      <x:c r="B496" s="4" t="str">
        <x:v>brendendillon</x:v>
      </x:c>
      <x:c r="C496" s="10" t="n">
        <x:v>1</x:v>
      </x:c>
      <x:c r="D496" s="10" t="n">
        <x:v>0</x:v>
      </x:c>
      <x:c r="E496" s="10" t="n">
        <x:v>1</x:v>
      </x:c>
      <x:c r="F496" s="4" t="n">
        <x:f>IF(COUNT(N496,Q496,T496,W496,Z496,AC496,AF496,AI496)=8,N496*Guide!$E$5+Q496*Guide!$E$6+T496*Guide!$E$7+W496*Guide!$E$8+Z496*Guide!$E$9+AC496*Guide!$E$10+AF496*Guide!$E$11+AI496*Guide!$E$12,"")</x:f>
        <x:v>210.25</x:v>
      </x:c>
      <x:c r="G496" s="4" t="str">
        <x:f>IF(COUNT(O496,R496,U496,X496,AA496,AD496,AG496,AJ496)=8,O496*Guide!$E$5+R496*Guide!$E$6+U496*Guide!$E$7+X496*Guide!$E$8+AA496*Guide!$E$9+AD496*Guide!$E$10+AG496*Guide!$E$11+AJ496*Guide!$E$12,"")</x:f>
      </x:c>
      <x:c r="H496" s="4" t="str">
        <x:f>IF(COUNT(G496,F496)=2,G496-F496,"")</x:f>
      </x:c>
      <x:c r="I496" s="4" t="n">
        <x:f>IF(AND(ISNUMBER(F496),K496&gt;0),F496/K496,"")</x:f>
        <x:v>2.628125</x:v>
      </x:c>
      <x:c r="J496" s="4" t="str">
        <x:f>IF(AND(ISNUMBER(G496),L496&gt;0),G496/L496,"")</x:f>
      </x:c>
      <x:c r="K496" s="10" t="n">
        <x:v>80</x:v>
      </x:c>
      <x:c r="L496" s="10"/>
      <x:c r="M496" s="10" t="str">
        <x:f>IF(COUNT(L496,K496)=2,L496-K496,"")</x:f>
      </x:c>
      <x:c r="N496" s="10" t="n">
        <x:v>3</x:v>
      </x:c>
      <x:c r="O496" s="10"/>
      <x:c r="P496" s="10" t="str">
        <x:f>IF(COUNT(O496,N496)=2,O496-N496,"")</x:f>
      </x:c>
      <x:c r="Q496" s="10" t="n">
        <x:v>17</x:v>
      </x:c>
      <x:c r="R496" s="10"/>
      <x:c r="S496" s="10" t="str">
        <x:f>IF(COUNT(R496,Q496)=2,R496-Q496,"")</x:f>
      </x:c>
      <x:c r="T496" s="10" t="n">
        <x:v>5</x:v>
      </x:c>
      <x:c r="U496" s="10"/>
      <x:c r="V496" s="10" t="str">
        <x:f>IF(COUNT(U496,T496)=2,U496-T496,"")</x:f>
      </x:c>
      <x:c r="W496" s="10" t="n">
        <x:v>1</x:v>
      </x:c>
      <x:c r="X496" s="10" t="str">
        <x:f>IF(COUNT(AV496,AW496)=2,AV496+AW496,"")</x:f>
      </x:c>
      <x:c r="Y496" s="10" t="str">
        <x:f>IF(COUNT(X496,W496)=2,X496-W496,"")</x:f>
      </x:c>
      <x:c r="Z496" s="10" t="n">
        <x:v>1</x:v>
      </x:c>
      <x:c r="AA496" s="10" t="str">
        <x:f>IF(COUNT(AX496,AY496)=2,AX496+AY496,"")</x:f>
      </x:c>
      <x:c r="AB496" s="10" t="str">
        <x:f>IF(COUNT(AA496,Z496)=2,AA496-Z496,"")</x:f>
      </x:c>
      <x:c r="AC496" s="10" t="n">
        <x:v>60</x:v>
      </x:c>
      <x:c r="AD496" s="10"/>
      <x:c r="AE496" s="10" t="str">
        <x:f>IF(COUNT(AD496,AC496)=2,AD496-AC496,"")</x:f>
      </x:c>
      <x:c r="AF496" s="10" t="n">
        <x:v>178</x:v>
      </x:c>
      <x:c r="AG496" s="10"/>
      <x:c r="AH496" s="10" t="str">
        <x:f>IF(COUNT(AG496,AF496)=2,AG496-AF496,"")</x:f>
      </x:c>
      <x:c r="AI496" s="10" t="n">
        <x:v>105</x:v>
      </x:c>
      <x:c r="AJ496" s="10"/>
      <x:c r="AK496" s="10" t="str">
        <x:f>IF(COUNT(AJ496,AI496)=2,AJ496-AI496,"")</x:f>
      </x:c>
      <x:c r="AL496" s="10" t="n">
        <x:v>35</x:v>
      </x:c>
      <x:c r="AM496" s="10"/>
      <x:c r="AN496" s="4" t="str">
        <x:v>D</x:v>
      </x:c>
      <x:c r="AO496" s="4"/>
      <x:c r="AP496" s="4" t="str">
        <x:v>NJ</x:v>
      </x:c>
      <x:c r="AQ496" s="4"/>
      <x:c r="AR496" s="4" t="n">
        <x:v>18.57</x:v>
      </x:c>
      <x:c r="AS496" s="4"/>
      <x:c r="AT496" s="4" t="n">
        <x:v>0.12</x:v>
      </x:c>
      <x:c r="AU496" s="4"/>
      <x:c r="AV496" s="10"/>
      <x:c r="AW496" s="10"/>
      <x:c r="AX496" s="10"/>
      <x:c r="AY496" s="10"/>
      <x:c r="AZ496" s="10" t="n">
        <x:v>1203</x:v>
      </x:c>
      <x:c r="BA496" s="10" t="n">
        <x:v>1211</x:v>
      </x:c>
      <x:c r="BB496" s="4" t="n">
        <x:v>49.8</x:v>
      </x:c>
      <x:c r="BC496" s="4" t="n">
        <x:v>-2.7</x:v>
      </x:c>
      <x:c r="BD496" s="10" t="n">
        <x:v>868</x:v>
      </x:c>
      <x:c r="BE496" s="10" t="n">
        <x:v>870</x:v>
      </x:c>
      <x:c r="BF496" s="4" t="n">
        <x:v>49.9</x:v>
      </x:c>
      <x:c r="BG496" s="4" t="n">
        <x:v>-2.4</x:v>
      </x:c>
      <x:c r="BH496" s="4" t="n">
        <x:v>8.7</x:v>
      </x:c>
      <x:c r="BI496" s="4" t="n">
        <x:v>88.1</x:v>
      </x:c>
      <x:c r="BJ496" s="4" t="n">
        <x:v>96.8</x:v>
      </x:c>
      <x:c r="BK496" s="4" t="n">
        <x:v>49.6</x:v>
      </x:c>
      <x:c r="BL496" s="4" t="n">
        <x:v>50.4</x:v>
      </x:c>
      <x:c r="BM496" s="4" t="n">
        <x:v>0.75</x:v>
      </x:c>
      <x:c r="BN496" s="4" t="n">
        <x:v>15.683333333333334</x:v>
      </x:c>
      <x:c r="BO496" s="10" t="n">
        <x:v>10</x:v>
      </x:c>
      <x:c r="BP496" s="10" t="n">
        <x:v>56</x:v>
      </x:c>
      <x:c r="BQ496" s="4" t="n">
        <x:v>-3.4</x:v>
      </x:c>
      <x:c r="BR496" s="10" t="n">
        <x:v>129</x:v>
      </x:c>
      <x:c r="BS496" s="4" t="n">
        <x:v>42.6</x:v>
      </x:c>
      <x:c r="BT496" s="10" t="n">
        <x:v>82</x:v>
      </x:c>
      <x:c r="BU496" s="4" t="str">
        <x:v>NJD</x:v>
      </x:c>
      <x:c r="BV496" s="10" t="n">
        <x:v>512</x:v>
      </x:c>
      <x:c r="BW496" s="10"/>
      <x:c r="BX496" s="10" t="n">
        <x:v>220</x:v>
      </x:c>
      <x:c r="BY496" s="4" t="str">
        <x:v>Brenden Dillon</x:v>
      </x:c>
      <x:c r="BZ496" s="4"/>
      <x:c r="CA496" s="4" t="str">
        <x:v>Brenden Dillon</x:v>
      </x:c>
      <x:c r="CB496" s="4" t="str">
        <x:v>dillobr01</x:v>
      </x:c>
    </x:row>
    <x:row r="497" ht="22" customHeight="1">
      <x:c r="A497" s="4" t="str">
        <x:v>Brennan Othmann</x:v>
      </x:c>
      <x:c r="B497" s="4" t="str">
        <x:v>brennanothmann</x:v>
      </x:c>
      <x:c r="C497" s="10" t="n">
        <x:v>1</x:v>
      </x:c>
      <x:c r="D497" s="10" t="n">
        <x:v>0</x:v>
      </x:c>
      <x:c r="E497" s="10" t="n">
        <x:v>1</x:v>
      </x:c>
      <x:c r="F497" s="4" t="n">
        <x:f>IF(COUNT(N497,Q497,T497,W497,Z497,AC497,AF497,AI497)=8,N497*Guide!$E$5+Q497*Guide!$E$6+T497*Guide!$E$7+W497*Guide!$E$8+Z497*Guide!$E$9+AC497*Guide!$E$10+AF497*Guide!$E$11+AI497*Guide!$E$12,"")</x:f>
        <x:v>132</x:v>
      </x:c>
      <x:c r="G497" s="4" t="str">
        <x:f>IF(COUNT(O497,R497,U497,X497,AA497,AD497,AG497,AJ497)=8,O497*Guide!$E$5+R497*Guide!$E$6+U497*Guide!$E$7+X497*Guide!$E$8+AA497*Guide!$E$9+AD497*Guide!$E$10+AG497*Guide!$E$11+AJ497*Guide!$E$12,"")</x:f>
      </x:c>
      <x:c r="H497" s="4" t="str">
        <x:f>IF(COUNT(G497,F497)=2,G497-F497,"")</x:f>
      </x:c>
      <x:c r="I497" s="4" t="n">
        <x:f>IF(AND(ISNUMBER(F497),K497&gt;0),F497/K497,"")</x:f>
        <x:v>2.0307692307692307</x:v>
      </x:c>
      <x:c r="J497" s="4" t="str">
        <x:f>IF(AND(ISNUMBER(G497),L497&gt;0),G497/L497,"")</x:f>
      </x:c>
      <x:c r="K497" s="10" t="n">
        <x:v>65</x:v>
      </x:c>
      <x:c r="L497" s="10"/>
      <x:c r="M497" s="10" t="str">
        <x:f>IF(COUNT(L497,K497)=2,L497-K497,"")</x:f>
      </x:c>
      <x:c r="N497" s="10" t="n">
        <x:v>8</x:v>
      </x:c>
      <x:c r="O497" s="10"/>
      <x:c r="P497" s="10" t="str">
        <x:f>IF(COUNT(O497,N497)=2,O497-N497,"")</x:f>
      </x:c>
      <x:c r="Q497" s="10" t="n">
        <x:v>11</x:v>
      </x:c>
      <x:c r="R497" s="10"/>
      <x:c r="S497" s="10" t="str">
        <x:f>IF(COUNT(R497,Q497)=2,R497-Q497,"")</x:f>
      </x:c>
      <x:c r="T497" s="10" t="n">
        <x:v>0</x:v>
      </x:c>
      <x:c r="U497" s="10"/>
      <x:c r="V497" s="10" t="str">
        <x:f>IF(COUNT(U497,T497)=2,U497-T497,"")</x:f>
      </x:c>
      <x:c r="W497" s="10" t="n">
        <x:v>2</x:v>
      </x:c>
      <x:c r="X497" s="10" t="str">
        <x:f>IF(COUNT(AV497,AW497)=2,AV497+AW497,"")</x:f>
      </x:c>
      <x:c r="Y497" s="10" t="str">
        <x:f>IF(COUNT(X497,W497)=2,X497-W497,"")</x:f>
      </x:c>
      <x:c r="Z497" s="10" t="n">
        <x:v>0</x:v>
      </x:c>
      <x:c r="AA497" s="10" t="str">
        <x:f>IF(COUNT(AX497,AY497)=2,AX497+AY497,"")</x:f>
      </x:c>
      <x:c r="AB497" s="10" t="str">
        <x:f>IF(COUNT(AA497,Z497)=2,AA497-Z497,"")</x:f>
      </x:c>
      <x:c r="AC497" s="10" t="n">
        <x:v>73</x:v>
      </x:c>
      <x:c r="AD497" s="10"/>
      <x:c r="AE497" s="10" t="str">
        <x:f>IF(COUNT(AD497,AC497)=2,AD497-AC497,"")</x:f>
      </x:c>
      <x:c r="AF497" s="10" t="n">
        <x:v>118</x:v>
      </x:c>
      <x:c r="AG497" s="10"/>
      <x:c r="AH497" s="10" t="str">
        <x:f>IF(COUNT(AG497,AF497)=2,AG497-AF497,"")</x:f>
      </x:c>
      <x:c r="AI497" s="10" t="n">
        <x:v>23</x:v>
      </x:c>
      <x:c r="AJ497" s="10"/>
      <x:c r="AK497" s="10" t="str">
        <x:f>IF(COUNT(AJ497,AI497)=2,AJ497-AI497,"")</x:f>
      </x:c>
      <x:c r="AL497" s="10" t="n">
        <x:v>23</x:v>
      </x:c>
      <x:c r="AM497" s="10"/>
      <x:c r="AN497" s="4" t="str">
        <x:v>LW</x:v>
      </x:c>
      <x:c r="AO497" s="4"/>
      <x:c r="AP497" s="4" t="str">
        <x:v>NYR</x:v>
      </x:c>
      <x:c r="AQ497" s="4"/>
      <x:c r="AR497" s="4" t="n">
        <x:v>10.4</x:v>
      </x:c>
      <x:c r="AS497" s="4"/>
      <x:c r="AT497" s="4" t="n">
        <x:v>0.33</x:v>
      </x:c>
      <x:c r="AU497" s="4"/>
      <x:c r="AV497" s="10"/>
      <x:c r="AW497" s="10"/>
      <x:c r="AX497" s="10"/>
      <x:c r="AY497" s="10"/>
      <x:c r="AZ497" s="10" t="n">
        <x:v>154</x:v>
      </x:c>
      <x:c r="BA497" s="10" t="n">
        <x:v>220</x:v>
      </x:c>
      <x:c r="BB497" s="4" t="n">
        <x:v>41.2</x:v>
      </x:c>
      <x:c r="BC497" s="4" t="n">
        <x:v>-8.6</x:v>
      </x:c>
      <x:c r="BD497" s="10" t="n">
        <x:v>99</x:v>
      </x:c>
      <x:c r="BE497" s="10" t="n">
        <x:v>152</x:v>
      </x:c>
      <x:c r="BF497" s="4" t="n">
        <x:v>39.4</x:v>
      </x:c>
      <x:c r="BG497" s="4" t="n">
        <x:v>-8.6</x:v>
      </x:c>
      <x:c r="BH497" s="4" t="n">
        <x:v>11.3</x:v>
      </x:c>
      <x:c r="BI497" s="4" t="n">
        <x:v>85.3</x:v>
      </x:c>
      <x:c r="BJ497" s="4" t="n">
        <x:v>96.6</x:v>
      </x:c>
      <x:c r="BK497" s="4" t="n">
        <x:v>43.9</x:v>
      </x:c>
      <x:c r="BL497" s="4" t="n">
        <x:v>56.1</x:v>
      </x:c>
      <x:c r="BM497" s="4" t="n">
        <x:v>10</x:v>
      </x:c>
      <x:c r="BN497" s="4" t="n">
        <x:v>9.7</x:v>
      </x:c>
      <x:c r="BO497" s="10" t="n">
        <x:v>2</x:v>
      </x:c>
      <x:c r="BP497" s="10" t="n">
        <x:v>5</x:v>
      </x:c>
      <x:c r="BQ497" s="4" t="n">
        <x:v>-3</x:v>
      </x:c>
      <x:c r="BR497" s="10" t="n">
        <x:v>30</x:v>
      </x:c>
      <x:c r="BS497" s="4" t="n">
        <x:v>50</x:v>
      </x:c>
      <x:c r="BT497" s="10" t="n">
        <x:v>19</x:v>
      </x:c>
      <x:c r="BU497" s="4" t="str">
        <x:v>TOT</x:v>
      </x:c>
      <x:c r="BV497" s="10" t="n">
        <x:v>553</x:v>
      </x:c>
      <x:c r="BW497" s="10"/>
      <x:c r="BX497" s="10" t="n">
        <x:v>769</x:v>
      </x:c>
      <x:c r="BY497" s="4" t="str">
        <x:v>Brennan Othmann</x:v>
      </x:c>
      <x:c r="BZ497" s="4"/>
      <x:c r="CA497" s="4" t="str">
        <x:v>Brennan Othmann</x:v>
      </x:c>
      <x:c r="CB497" s="4" t="str">
        <x:v>othmabr01</x:v>
      </x:c>
    </x:row>
    <x:row r="498" ht="22" customHeight="1">
      <x:c r="A498" s="4" t="str">
        <x:v>Brett Berard</x:v>
      </x:c>
      <x:c r="B498" s="4" t="str">
        <x:v>brettberard</x:v>
      </x:c>
      <x:c r="C498" s="10" t="n">
        <x:v>1</x:v>
      </x:c>
      <x:c r="D498" s="10" t="n">
        <x:v>0</x:v>
      </x:c>
      <x:c r="E498" s="10" t="n">
        <x:v>1</x:v>
      </x:c>
      <x:c r="F498" s="4" t="n">
        <x:f>IF(COUNT(N498,Q498,T498,W498,Z498,AC498,AF498,AI498)=8,N498*Guide!$E$5+Q498*Guide!$E$6+T498*Guide!$E$7+W498*Guide!$E$8+Z498*Guide!$E$9+AC498*Guide!$E$10+AF498*Guide!$E$11+AI498*Guide!$E$12,"")</x:f>
        <x:v>114.75</x:v>
      </x:c>
      <x:c r="G498" s="4" t="str">
        <x:f>IF(COUNT(O498,R498,U498,X498,AA498,AD498,AG498,AJ498)=8,O498*Guide!$E$5+R498*Guide!$E$6+U498*Guide!$E$7+X498*Guide!$E$8+AA498*Guide!$E$9+AD498*Guide!$E$10+AG498*Guide!$E$11+AJ498*Guide!$E$12,"")</x:f>
      </x:c>
      <x:c r="H498" s="4" t="str">
        <x:f>IF(COUNT(G498,F498)=2,G498-F498,"")</x:f>
      </x:c>
      <x:c r="I498" s="4" t="n">
        <x:f>IF(AND(ISNUMBER(F498),K498&gt;0),F498/K498,"")</x:f>
        <x:v>2.3418367346938775</x:v>
      </x:c>
      <x:c r="J498" s="4" t="str">
        <x:f>IF(AND(ISNUMBER(G498),L498&gt;0),G498/L498,"")</x:f>
      </x:c>
      <x:c r="K498" s="10" t="n">
        <x:v>49</x:v>
      </x:c>
      <x:c r="L498" s="10"/>
      <x:c r="M498" s="10" t="str">
        <x:f>IF(COUNT(L498,K498)=2,L498-K498,"")</x:f>
      </x:c>
      <x:c r="N498" s="10" t="n">
        <x:v>9</x:v>
      </x:c>
      <x:c r="O498" s="10"/>
      <x:c r="P498" s="10" t="str">
        <x:f>IF(COUNT(O498,N498)=2,O498-N498,"")</x:f>
      </x:c>
      <x:c r="Q498" s="10" t="n">
        <x:v>8</x:v>
      </x:c>
      <x:c r="R498" s="10"/>
      <x:c r="S498" s="10" t="str">
        <x:f>IF(COUNT(R498,Q498)=2,R498-Q498,"")</x:f>
      </x:c>
      <x:c r="T498" s="10" t="n">
        <x:v>-3</x:v>
      </x:c>
      <x:c r="U498" s="10"/>
      <x:c r="V498" s="10" t="str">
        <x:f>IF(COUNT(U498,T498)=2,U498-T498,"")</x:f>
      </x:c>
      <x:c r="W498" s="10" t="n">
        <x:v>0</x:v>
      </x:c>
      <x:c r="X498" s="10" t="str">
        <x:f>IF(COUNT(AV498,AW498)=2,AV498+AW498,"")</x:f>
      </x:c>
      <x:c r="Y498" s="10" t="str">
        <x:f>IF(COUNT(X498,W498)=2,X498-W498,"")</x:f>
      </x:c>
      <x:c r="Z498" s="10" t="n">
        <x:v>0</x:v>
      </x:c>
      <x:c r="AA498" s="10" t="str">
        <x:f>IF(COUNT(AX498,AY498)=2,AX498+AY498,"")</x:f>
      </x:c>
      <x:c r="AB498" s="10" t="str">
        <x:f>IF(COUNT(AA498,Z498)=2,AA498-Z498,"")</x:f>
      </x:c>
      <x:c r="AC498" s="10" t="n">
        <x:v>76</x:v>
      </x:c>
      <x:c r="AD498" s="10"/>
      <x:c r="AE498" s="10" t="str">
        <x:f>IF(COUNT(AD498,AC498)=2,AD498-AC498,"")</x:f>
      </x:c>
      <x:c r="AF498" s="10" t="n">
        <x:v>74</x:v>
      </x:c>
      <x:c r="AG498" s="10"/>
      <x:c r="AH498" s="10" t="str">
        <x:f>IF(COUNT(AG498,AF498)=2,AG498-AF498,"")</x:f>
      </x:c>
      <x:c r="AI498" s="10" t="n">
        <x:v>27</x:v>
      </x:c>
      <x:c r="AJ498" s="10"/>
      <x:c r="AK498" s="10" t="str">
        <x:f>IF(COUNT(AJ498,AI498)=2,AJ498-AI498,"")</x:f>
      </x:c>
      <x:c r="AL498" s="10" t="n">
        <x:v>23</x:v>
      </x:c>
      <x:c r="AM498" s="10"/>
      <x:c r="AN498" s="4" t="str">
        <x:v>LW</x:v>
      </x:c>
      <x:c r="AO498" s="4"/>
      <x:c r="AP498" s="4" t="str">
        <x:v>NYR</x:v>
      </x:c>
      <x:c r="AQ498" s="4"/>
      <x:c r="AR498" s="4" t="n">
        <x:v>11.16</x:v>
      </x:c>
      <x:c r="AS498" s="4"/>
      <x:c r="AT498" s="4" t="n">
        <x:v>0.2</x:v>
      </x:c>
      <x:c r="AU498" s="4"/>
      <x:c r="AV498" s="10"/>
      <x:c r="AW498" s="10"/>
      <x:c r="AX498" s="10"/>
      <x:c r="AY498" s="10"/>
      <x:c r="AZ498" s="10" t="n">
        <x:v>117</x:v>
      </x:c>
      <x:c r="BA498" s="10" t="n">
        <x:v>144</x:v>
      </x:c>
      <x:c r="BB498" s="4" t="n">
        <x:v>44.8</x:v>
      </x:c>
      <x:c r="BC498" s="4" t="n">
        <x:v>-4.6</x:v>
      </x:c>
      <x:c r="BD498" s="10" t="n">
        <x:v>81</x:v>
      </x:c>
      <x:c r="BE498" s="10" t="n">
        <x:v>92</x:v>
      </x:c>
      <x:c r="BF498" s="4" t="n">
        <x:v>46.8</x:v>
      </x:c>
      <x:c r="BG498" s="4" t="n">
        <x:v>-2.1</x:v>
      </x:c>
      <x:c r="BH498" s="4" t="n">
        <x:v>4.5</x:v>
      </x:c>
      <x:c r="BI498" s="4" t="n">
        <x:v>95.3</x:v>
      </x:c>
      <x:c r="BJ498" s="4" t="n">
        <x:v>99.9</x:v>
      </x:c>
      <x:c r="BK498" s="4" t="n">
        <x:v>37.5</x:v>
      </x:c>
      <x:c r="BL498" s="4" t="n">
        <x:v>62.5</x:v>
      </x:c>
      <x:c r="BM498" s="4" t="n">
        <x:v>10.55</x:v>
      </x:c>
      <x:c r="BN498" s="4" t="n">
        <x:v>10.533333333333333</x:v>
      </x:c>
      <x:c r="BO498" s="10" t="n">
        <x:v>1</x:v>
      </x:c>
      <x:c r="BP498" s="10" t="n">
        <x:v>9</x:v>
      </x:c>
      <x:c r="BQ498" s="4" t="n">
        <x:v>-0.5</x:v>
      </x:c>
      <x:c r="BR498" s="10" t="n">
        <x:v>35</x:v>
      </x:c>
      <x:c r="BS498" s="4" t="n">
        <x:v>28.6</x:v>
      </x:c>
      <x:c r="BT498" s="10" t="n">
        <x:v>13</x:v>
      </x:c>
      <x:c r="BU498" s="4" t="str">
        <x:v>NYR</x:v>
      </x:c>
      <x:c r="BV498" s="10" t="n">
        <x:v>594</x:v>
      </x:c>
      <x:c r="BW498" s="10"/>
      <x:c r="BX498" s="10" t="n">
        <x:v>51</x:v>
      </x:c>
      <x:c r="BY498" s="4" t="str">
        <x:v>Brett Berard</x:v>
      </x:c>
      <x:c r="BZ498" s="4"/>
      <x:c r="CA498" s="4" t="str">
        <x:v>Brett Berard</x:v>
      </x:c>
      <x:c r="CB498" s="4" t="str">
        <x:v>berarbr02</x:v>
      </x:c>
    </x:row>
    <x:row r="499" ht="22" customHeight="1">
      <x:c r="A499" s="4" t="str">
        <x:v>Brett Kulak</x:v>
      </x:c>
      <x:c r="B499" s="4" t="str">
        <x:v>brettkulak</x:v>
      </x:c>
      <x:c r="C499" s="10" t="n">
        <x:v>1</x:v>
      </x:c>
      <x:c r="D499" s="10" t="n">
        <x:v>0</x:v>
      </x:c>
      <x:c r="E499" s="10" t="n">
        <x:v>1</x:v>
      </x:c>
      <x:c r="F499" s="4" t="n">
        <x:f>IF(COUNT(N499,Q499,T499,W499,Z499,AC499,AF499,AI499)=8,N499*Guide!$E$5+Q499*Guide!$E$6+T499*Guide!$E$7+W499*Guide!$E$8+Z499*Guide!$E$9+AC499*Guide!$E$10+AF499*Guide!$E$11+AI499*Guide!$E$12,"")</x:f>
        <x:v>212.25</x:v>
      </x:c>
      <x:c r="G499" s="4" t="str">
        <x:f>IF(COUNT(O499,R499,U499,X499,AA499,AD499,AG499,AJ499)=8,O499*Guide!$E$5+R499*Guide!$E$6+U499*Guide!$E$7+X499*Guide!$E$8+AA499*Guide!$E$9+AD499*Guide!$E$10+AG499*Guide!$E$11+AJ499*Guide!$E$12,"")</x:f>
      </x:c>
      <x:c r="H499" s="4" t="str">
        <x:f>IF(COUNT(G499,F499)=2,G499-F499,"")</x:f>
      </x:c>
      <x:c r="I499" s="4" t="n">
        <x:f>IF(AND(ISNUMBER(F499),K499&gt;0),F499/K499,"")</x:f>
        <x:v>2.6203703703703702</x:v>
      </x:c>
      <x:c r="J499" s="4" t="str">
        <x:f>IF(AND(ISNUMBER(G499),L499&gt;0),G499/L499,"")</x:f>
      </x:c>
      <x:c r="K499" s="10" t="n">
        <x:v>81</x:v>
      </x:c>
      <x:c r="L499" s="10"/>
      <x:c r="M499" s="10" t="str">
        <x:f>IF(COUNT(L499,K499)=2,L499-K499,"")</x:f>
      </x:c>
      <x:c r="N499" s="10" t="n">
        <x:v>5</x:v>
      </x:c>
      <x:c r="O499" s="10"/>
      <x:c r="P499" s="10" t="str">
        <x:f>IF(COUNT(O499,N499)=2,O499-N499,"")</x:f>
      </x:c>
      <x:c r="Q499" s="10" t="n">
        <x:v>18</x:v>
      </x:c>
      <x:c r="R499" s="10"/>
      <x:c r="S499" s="10" t="str">
        <x:f>IF(COUNT(R499,Q499)=2,R499-Q499,"")</x:f>
      </x:c>
      <x:c r="T499" s="10" t="n">
        <x:v>10</x:v>
      </x:c>
      <x:c r="U499" s="10"/>
      <x:c r="V499" s="10" t="str">
        <x:f>IF(COUNT(U499,T499)=2,U499-T499,"")</x:f>
      </x:c>
      <x:c r="W499" s="10" t="n">
        <x:v>1</x:v>
      </x:c>
      <x:c r="X499" s="10" t="str">
        <x:f>IF(COUNT(AV499,AW499)=2,AV499+AW499,"")</x:f>
      </x:c>
      <x:c r="Y499" s="10" t="str">
        <x:f>IF(COUNT(X499,W499)=2,X499-W499,"")</x:f>
      </x:c>
      <x:c r="Z499" s="10" t="n">
        <x:v>1</x:v>
      </x:c>
      <x:c r="AA499" s="10" t="str">
        <x:f>IF(COUNT(AX499,AY499)=2,AX499+AY499,"")</x:f>
      </x:c>
      <x:c r="AB499" s="10" t="str">
        <x:f>IF(COUNT(AA499,Z499)=2,AA499-Z499,"")</x:f>
      </x:c>
      <x:c r="AC499" s="10" t="n">
        <x:v>120</x:v>
      </x:c>
      <x:c r="AD499" s="10"/>
      <x:c r="AE499" s="10" t="str">
        <x:f>IF(COUNT(AD499,AC499)=2,AD499-AC499,"")</x:f>
      </x:c>
      <x:c r="AF499" s="10" t="n">
        <x:v>41</x:v>
      </x:c>
      <x:c r="AG499" s="10"/>
      <x:c r="AH499" s="10" t="str">
        <x:f>IF(COUNT(AG499,AF499)=2,AG499-AF499,"")</x:f>
      </x:c>
      <x:c r="AI499" s="10" t="n">
        <x:v>112</x:v>
      </x:c>
      <x:c r="AJ499" s="10"/>
      <x:c r="AK499" s="10" t="str">
        <x:f>IF(COUNT(AJ499,AI499)=2,AJ499-AI499,"")</x:f>
      </x:c>
      <x:c r="AL499" s="10" t="n">
        <x:v>32</x:v>
      </x:c>
      <x:c r="AM499" s="10"/>
      <x:c r="AN499" s="4" t="str">
        <x:v>D</x:v>
      </x:c>
      <x:c r="AO499" s="4"/>
      <x:c r="AP499" s="4" t="str">
        <x:v>EDM</x:v>
      </x:c>
      <x:c r="AQ499" s="4"/>
      <x:c r="AR499" s="4" t="n">
        <x:v>19.8</x:v>
      </x:c>
      <x:c r="AS499" s="4"/>
      <x:c r="AT499" s="4" t="n">
        <x:v>0.16</x:v>
      </x:c>
      <x:c r="AU499" s="4"/>
      <x:c r="AV499" s="10"/>
      <x:c r="AW499" s="10"/>
      <x:c r="AX499" s="10"/>
      <x:c r="AY499" s="10"/>
      <x:c r="AZ499" s="10" t="n">
        <x:v>1300</x:v>
      </x:c>
      <x:c r="BA499" s="10" t="n">
        <x:v>1363</x:v>
      </x:c>
      <x:c r="BB499" s="4" t="n">
        <x:v>48.8</x:v>
      </x:c>
      <x:c r="BC499" s="4" t="n">
        <x:v>-7</x:v>
      </x:c>
      <x:c r="BD499" s="10" t="n">
        <x:v>936</x:v>
      </x:c>
      <x:c r="BE499" s="10" t="n">
        <x:v>974</x:v>
      </x:c>
      <x:c r="BF499" s="4" t="n">
        <x:v>49</x:v>
      </x:c>
      <x:c r="BG499" s="4" t="n">
        <x:v>-6.6</x:v>
      </x:c>
      <x:c r="BH499" s="4" t="n">
        <x:v>8.3</x:v>
      </x:c>
      <x:c r="BI499" s="4" t="n">
        <x:v>90.4</x:v>
      </x:c>
      <x:c r="BJ499" s="4" t="n">
        <x:v>98.7</x:v>
      </x:c>
      <x:c r="BK499" s="4" t="n">
        <x:v>49.9</x:v>
      </x:c>
      <x:c r="BL499" s="4" t="n">
        <x:v>50.1</x:v>
      </x:c>
      <x:c r="BM499" s="4" t="n">
        <x:v>18.966666666666665</x:v>
      </x:c>
      <x:c r="BN499" s="4" t="n">
        <x:v>17.483333333333334</x:v>
      </x:c>
      <x:c r="BO499" s="10" t="n">
        <x:v>14</x:v>
      </x:c>
      <x:c r="BP499" s="10" t="n">
        <x:v>64</x:v>
      </x:c>
      <x:c r="BQ499" s="4" t="n">
        <x:v>-3.6</x:v>
      </x:c>
      <x:c r="BR499" s="10" t="n">
        <x:v>222</x:v>
      </x:c>
      <x:c r="BS499" s="4" t="n">
        <x:v>42.8</x:v>
      </x:c>
      <x:c r="BT499" s="10" t="n">
        <x:v>83</x:v>
      </x:c>
      <x:c r="BU499" s="4" t="str">
        <x:v>TOT</x:v>
      </x:c>
      <x:c r="BV499" s="10" t="n">
        <x:v>467</x:v>
      </x:c>
      <x:c r="BW499" s="10"/>
      <x:c r="BX499" s="10" t="n">
        <x:v>545</x:v>
      </x:c>
      <x:c r="BY499" s="4" t="str">
        <x:v>Brett Kulak</x:v>
      </x:c>
      <x:c r="BZ499" s="4"/>
      <x:c r="CA499" s="4" t="str">
        <x:v>Brett Kulak</x:v>
      </x:c>
      <x:c r="CB499" s="4" t="str">
        <x:v>kulakbr01</x:v>
      </x:c>
    </x:row>
    <x:row r="500" ht="22" customHeight="1">
      <x:c r="A500" s="4" t="str">
        <x:v>Brett Leason</x:v>
      </x:c>
      <x:c r="B500" s="4" t="str">
        <x:v>brettleason</x:v>
      </x:c>
      <x:c r="C500" s="10" t="n">
        <x:v>1</x:v>
      </x:c>
      <x:c r="D500" s="10" t="n">
        <x:v>0</x:v>
      </x:c>
      <x:c r="E500" s="10" t="n">
        <x:v>1</x:v>
      </x:c>
      <x:c r="F500" s="4" t="n">
        <x:f>IF(COUNT(N500,Q500,T500,W500,Z500,AC500,AF500,AI500)=8,N500*Guide!$E$5+Q500*Guide!$E$6+T500*Guide!$E$7+W500*Guide!$E$8+Z500*Guide!$E$9+AC500*Guide!$E$10+AF500*Guide!$E$11+AI500*Guide!$E$12,"")</x:f>
        <x:v>148.5</x:v>
      </x:c>
      <x:c r="G500" s="4" t="str">
        <x:f>IF(COUNT(O500,R500,U500,X500,AA500,AD500,AG500,AJ500)=8,O500*Guide!$E$5+R500*Guide!$E$6+U500*Guide!$E$7+X500*Guide!$E$8+AA500*Guide!$E$9+AD500*Guide!$E$10+AG500*Guide!$E$11+AJ500*Guide!$E$12,"")</x:f>
      </x:c>
      <x:c r="H500" s="4" t="str">
        <x:f>IF(COUNT(G500,F500)=2,G500-F500,"")</x:f>
      </x:c>
      <x:c r="I500" s="4" t="n">
        <x:f>IF(AND(ISNUMBER(F500),K500&gt;0),F500/K500,"")</x:f>
        <x:v>2.25</x:v>
      </x:c>
      <x:c r="J500" s="4" t="str">
        <x:f>IF(AND(ISNUMBER(G500),L500&gt;0),G500/L500,"")</x:f>
      </x:c>
      <x:c r="K500" s="10" t="n">
        <x:v>66</x:v>
      </x:c>
      <x:c r="L500" s="10"/>
      <x:c r="M500" s="10" t="str">
        <x:f>IF(COUNT(L500,K500)=2,L500-K500,"")</x:f>
      </x:c>
      <x:c r="N500" s="10" t="n">
        <x:v>10</x:v>
      </x:c>
      <x:c r="O500" s="10"/>
      <x:c r="P500" s="10" t="str">
        <x:f>IF(COUNT(O500,N500)=2,O500-N500,"")</x:f>
      </x:c>
      <x:c r="Q500" s="10" t="n">
        <x:v>12</x:v>
      </x:c>
      <x:c r="R500" s="10"/>
      <x:c r="S500" s="10" t="str">
        <x:f>IF(COUNT(R500,Q500)=2,R500-Q500,"")</x:f>
      </x:c>
      <x:c r="T500" s="10" t="n">
        <x:v>-7</x:v>
      </x:c>
      <x:c r="U500" s="10"/>
      <x:c r="V500" s="10" t="str">
        <x:f>IF(COUNT(U500,T500)=2,U500-T500,"")</x:f>
      </x:c>
      <x:c r="W500" s="10" t="n">
        <x:v>4</x:v>
      </x:c>
      <x:c r="X500" s="10" t="str">
        <x:f>IF(COUNT(AV500,AW500)=2,AV500+AW500,"")</x:f>
      </x:c>
      <x:c r="Y500" s="10" t="str">
        <x:f>IF(COUNT(X500,W500)=2,X500-W500,"")</x:f>
      </x:c>
      <x:c r="Z500" s="10" t="n">
        <x:v>1</x:v>
      </x:c>
      <x:c r="AA500" s="10" t="str">
        <x:f>IF(COUNT(AX500,AY500)=2,AX500+AY500,"")</x:f>
      </x:c>
      <x:c r="AB500" s="10" t="str">
        <x:f>IF(COUNT(AA500,Z500)=2,AA500-Z500,"")</x:f>
      </x:c>
      <x:c r="AC500" s="10" t="n">
        <x:v>82</x:v>
      </x:c>
      <x:c r="AD500" s="10"/>
      <x:c r="AE500" s="10" t="str">
        <x:f>IF(COUNT(AD500,AC500)=2,AD500-AC500,"")</x:f>
      </x:c>
      <x:c r="AF500" s="10" t="n">
        <x:v>67</x:v>
      </x:c>
      <x:c r="AG500" s="10"/>
      <x:c r="AH500" s="10" t="str">
        <x:f>IF(COUNT(AG500,AF500)=2,AG500-AF500,"")</x:f>
      </x:c>
      <x:c r="AI500" s="10" t="n">
        <x:v>47</x:v>
      </x:c>
      <x:c r="AJ500" s="10"/>
      <x:c r="AK500" s="10" t="str">
        <x:f>IF(COUNT(AJ500,AI500)=2,AJ500-AI500,"")</x:f>
      </x:c>
      <x:c r="AL500" s="10" t="n">
        <x:v>26</x:v>
      </x:c>
      <x:c r="AM500" s="10"/>
      <x:c r="AN500" s="4" t="str">
        <x:v>RW</x:v>
      </x:c>
      <x:c r="AO500" s="4"/>
      <x:c r="AP500" s="4" t="str">
        <x:v>ANA</x:v>
      </x:c>
      <x:c r="AQ500" s="4"/>
      <x:c r="AR500" s="4" t="n">
        <x:v>13.129999999999999</x:v>
      </x:c>
      <x:c r="AS500" s="4"/>
      <x:c r="AT500" s="4" t="n">
        <x:v>0.65</x:v>
      </x:c>
      <x:c r="AU500" s="4"/>
      <x:c r="AV500" s="10"/>
      <x:c r="AW500" s="10"/>
      <x:c r="AX500" s="10"/>
      <x:c r="AY500" s="10"/>
      <x:c r="AZ500" s="10" t="n">
        <x:v>44</x:v>
      </x:c>
      <x:c r="BA500" s="10" t="n">
        <x:v>28</x:v>
      </x:c>
      <x:c r="BB500" s="4" t="n">
        <x:v>61.1</x:v>
      </x:c>
      <x:c r="BC500" s="4" t="n">
        <x:v>9.5</x:v>
      </x:c>
      <x:c r="BD500" s="10" t="n">
        <x:v>33</x:v>
      </x:c>
      <x:c r="BE500" s="10" t="n">
        <x:v>23</x:v>
      </x:c>
      <x:c r="BF500" s="4" t="n">
        <x:v>58.9</x:v>
      </x:c>
      <x:c r="BG500" s="4" t="n">
        <x:v>5.6</x:v>
      </x:c>
      <x:c r="BH500" s="4" t="n">
        <x:v>0</x:v>
      </x:c>
      <x:c r="BI500" s="4" t="n">
        <x:v>88.2</x:v>
      </x:c>
      <x:c r="BJ500" s="4" t="n">
        <x:v>88.2</x:v>
      </x:c>
      <x:c r="BK500" s="4" t="n">
        <x:v>40.6</x:v>
      </x:c>
      <x:c r="BL500" s="4" t="n">
        <x:v>59.4</x:v>
      </x:c>
      <x:c r="BM500" s="4" t="n">
        <x:v>8.583333333333334</x:v>
      </x:c>
      <x:c r="BN500" s="4" t="n">
        <x:v>8.25</x:v>
      </x:c>
      <x:c r="BO500" s="10" t="n">
        <x:v>0</x:v>
      </x:c>
      <x:c r="BP500" s="10" t="n">
        <x:v>1</x:v>
      </x:c>
      <x:c r="BQ500" s="4" t="n">
        <x:v>-0.2</x:v>
      </x:c>
      <x:c r="BR500" s="10" t="n">
        <x:v>4</x:v>
      </x:c>
      <x:c r="BS500" s="4" t="n">
        <x:v>25</x:v>
      </x:c>
      <x:c r="BT500" s="10" t="n">
        <x:v>6</x:v>
      </x:c>
      <x:c r="BU500" s="4" t="str">
        <x:v>WSH</x:v>
      </x:c>
      <x:c r="BV500" s="10" t="n">
        <x:v>486</x:v>
      </x:c>
      <x:c r="BW500" s="10"/>
      <x:c r="BX500" s="10" t="n">
        <x:v>583</x:v>
      </x:c>
      <x:c r="BY500" s="4" t="str">
        <x:v>Brett Leason</x:v>
      </x:c>
      <x:c r="BZ500" s="4"/>
      <x:c r="CA500" s="4" t="str">
        <x:v>Brett Leason</x:v>
      </x:c>
      <x:c r="CB500" s="4" t="str">
        <x:v>leasobr01</x:v>
      </x:c>
    </x:row>
    <x:row r="501" ht="22" customHeight="1">
      <x:c r="A501" s="4" t="str">
        <x:v>Brett Pesce</x:v>
      </x:c>
      <x:c r="B501" s="4" t="str">
        <x:v>brettpesce</x:v>
      </x:c>
      <x:c r="C501" s="10" t="n">
        <x:v>1</x:v>
      </x:c>
      <x:c r="D501" s="10" t="n">
        <x:v>0</x:v>
      </x:c>
      <x:c r="E501" s="10" t="n">
        <x:v>1</x:v>
      </x:c>
      <x:c r="F501" s="4" t="n">
        <x:f>IF(COUNT(N501,Q501,T501,W501,Z501,AC501,AF501,AI501)=8,N501*Guide!$E$5+Q501*Guide!$E$6+T501*Guide!$E$7+W501*Guide!$E$8+Z501*Guide!$E$9+AC501*Guide!$E$10+AF501*Guide!$E$11+AI501*Guide!$E$12,"")</x:f>
        <x:v>204.25</x:v>
      </x:c>
      <x:c r="G501" s="4" t="str">
        <x:f>IF(COUNT(O501,R501,U501,X501,AA501,AD501,AG501,AJ501)=8,O501*Guide!$E$5+R501*Guide!$E$6+U501*Guide!$E$7+X501*Guide!$E$8+AA501*Guide!$E$9+AD501*Guide!$E$10+AG501*Guide!$E$11+AJ501*Guide!$E$12,"")</x:f>
      </x:c>
      <x:c r="H501" s="4" t="str">
        <x:f>IF(COUNT(G501,F501)=2,G501-F501,"")</x:f>
      </x:c>
      <x:c r="I501" s="4" t="n">
        <x:f>IF(AND(ISNUMBER(F501),K501&gt;0),F501/K501,"")</x:f>
        <x:v>2.6875</x:v>
      </x:c>
      <x:c r="J501" s="4" t="str">
        <x:f>IF(AND(ISNUMBER(G501),L501&gt;0),G501/L501,"")</x:f>
      </x:c>
      <x:c r="K501" s="10" t="n">
        <x:v>76</x:v>
      </x:c>
      <x:c r="L501" s="10"/>
      <x:c r="M501" s="10" t="str">
        <x:f>IF(COUNT(L501,K501)=2,L501-K501,"")</x:f>
      </x:c>
      <x:c r="N501" s="10" t="n">
        <x:v>4</x:v>
      </x:c>
      <x:c r="O501" s="10"/>
      <x:c r="P501" s="10" t="str">
        <x:f>IF(COUNT(O501,N501)=2,O501-N501,"")</x:f>
      </x:c>
      <x:c r="Q501" s="10" t="n">
        <x:v>18</x:v>
      </x:c>
      <x:c r="R501" s="10"/>
      <x:c r="S501" s="10" t="str">
        <x:f>IF(COUNT(R501,Q501)=2,R501-Q501,"")</x:f>
      </x:c>
      <x:c r="T501" s="10" t="n">
        <x:v>4</x:v>
      </x:c>
      <x:c r="U501" s="10"/>
      <x:c r="V501" s="10" t="str">
        <x:f>IF(COUNT(U501,T501)=2,U501-T501,"")</x:f>
      </x:c>
      <x:c r="W501" s="10" t="n">
        <x:v>1</x:v>
      </x:c>
      <x:c r="X501" s="10" t="str">
        <x:f>IF(COUNT(AV501,AW501)=2,AV501+AW501,"")</x:f>
      </x:c>
      <x:c r="Y501" s="10" t="str">
        <x:f>IF(COUNT(X501,W501)=2,X501-W501,"")</x:f>
      </x:c>
      <x:c r="Z501" s="10" t="n">
        <x:v>1</x:v>
      </x:c>
      <x:c r="AA501" s="10" t="str">
        <x:f>IF(COUNT(AX501,AY501)=2,AX501+AY501,"")</x:f>
      </x:c>
      <x:c r="AB501" s="10" t="str">
        <x:f>IF(COUNT(AA501,Z501)=2,AA501-Z501,"")</x:f>
      </x:c>
      <x:c r="AC501" s="10" t="n">
        <x:v>102</x:v>
      </x:c>
      <x:c r="AD501" s="10"/>
      <x:c r="AE501" s="10" t="str">
        <x:f>IF(COUNT(AD501,AC501)=2,AD501-AC501,"")</x:f>
      </x:c>
      <x:c r="AF501" s="10" t="n">
        <x:v>25</x:v>
      </x:c>
      <x:c r="AG501" s="10"/>
      <x:c r="AH501" s="10" t="str">
        <x:f>IF(COUNT(AG501,AF501)=2,AG501-AF501,"")</x:f>
      </x:c>
      <x:c r="AI501" s="10" t="n">
        <x:v>126</x:v>
      </x:c>
      <x:c r="AJ501" s="10"/>
      <x:c r="AK501" s="10" t="str">
        <x:f>IF(COUNT(AJ501,AI501)=2,AJ501-AI501,"")</x:f>
      </x:c>
      <x:c r="AL501" s="10" t="n">
        <x:v>31</x:v>
      </x:c>
      <x:c r="AM501" s="10"/>
      <x:c r="AN501" s="4" t="str">
        <x:v>D</x:v>
      </x:c>
      <x:c r="AO501" s="4"/>
      <x:c r="AP501" s="4" t="str">
        <x:v>NJ</x:v>
      </x:c>
      <x:c r="AQ501" s="4"/>
      <x:c r="AR501" s="4" t="n">
        <x:v>21.22</x:v>
      </x:c>
      <x:c r="AS501" s="4"/>
      <x:c r="AT501" s="4" t="n">
        <x:v>0.18</x:v>
      </x:c>
      <x:c r="AU501" s="4"/>
      <x:c r="AV501" s="10"/>
      <x:c r="AW501" s="10"/>
      <x:c r="AX501" s="10"/>
      <x:c r="AY501" s="10"/>
      <x:c r="AZ501" s="10" t="n">
        <x:v>630</x:v>
      </x:c>
      <x:c r="BA501" s="10" t="n">
        <x:v>612</x:v>
      </x:c>
      <x:c r="BB501" s="4" t="n">
        <x:v>50.7</x:v>
      </x:c>
      <x:c r="BC501" s="4" t="n">
        <x:v>-0.9</x:v>
      </x:c>
      <x:c r="BD501" s="10" t="n">
        <x:v>462</x:v>
      </x:c>
      <x:c r="BE501" s="10" t="n">
        <x:v>445</x:v>
      </x:c>
      <x:c r="BF501" s="4" t="n">
        <x:v>50.9</x:v>
      </x:c>
      <x:c r="BG501" s="4" t="n">
        <x:v>-0.7</x:v>
      </x:c>
      <x:c r="BH501" s="4" t="n">
        <x:v>5.8</x:v>
      </x:c>
      <x:c r="BI501" s="4" t="n">
        <x:v>89.8</x:v>
      </x:c>
      <x:c r="BJ501" s="4" t="n">
        <x:v>95.6</x:v>
      </x:c>
      <x:c r="BK501" s="4" t="n">
        <x:v>53.6</x:v>
      </x:c>
      <x:c r="BL501" s="4" t="n">
        <x:v>46.4</x:v>
      </x:c>
      <x:c r="BM501" s="4" t="n">
        <x:v>20.3</x:v>
      </x:c>
      <x:c r="BN501" s="4" t="n">
        <x:v>17.716666666666665</x:v>
      </x:c>
      <x:c r="BO501" s="10" t="n">
        <x:v>16</x:v>
      </x:c>
      <x:c r="BP501" s="10" t="n">
        <x:v>23</x:v>
      </x:c>
      <x:c r="BQ501" s="4" t="n">
        <x:v>-1.1</x:v>
      </x:c>
      <x:c r="BR501" s="10" t="n">
        <x:v>87</x:v>
      </x:c>
      <x:c r="BS501" s="4" t="n">
        <x:v>51.7</x:v>
      </x:c>
      <x:c r="BT501" s="10" t="n">
        <x:v>37</x:v>
      </x:c>
      <x:c r="BU501" s="4" t="str">
        <x:v>NJD</x:v>
      </x:c>
      <x:c r="BV501" s="10" t="n">
        <x:v>481</x:v>
      </x:c>
      <x:c r="BW501" s="10"/>
      <x:c r="BX501" s="10" t="n">
        <x:v>804</x:v>
      </x:c>
      <x:c r="BY501" s="4" t="str">
        <x:v>Brett Pesce</x:v>
      </x:c>
      <x:c r="BZ501" s="4"/>
      <x:c r="CA501" s="4" t="str">
        <x:v>Brett Pesce</x:v>
      </x:c>
      <x:c r="CB501" s="4" t="str">
        <x:v>pescebr01</x:v>
      </x:c>
    </x:row>
    <x:row r="502" ht="22" customHeight="1">
      <x:c r="A502" s="4" t="str">
        <x:v>Brian Dumoulin</x:v>
      </x:c>
      <x:c r="B502" s="4" t="str">
        <x:v>briandumoulin</x:v>
      </x:c>
      <x:c r="C502" s="10" t="n">
        <x:v>1</x:v>
      </x:c>
      <x:c r="D502" s="10" t="n">
        <x:v>0</x:v>
      </x:c>
      <x:c r="E502" s="10" t="n">
        <x:v>1</x:v>
      </x:c>
      <x:c r="F502" s="4" t="n">
        <x:f>IF(COUNT(N502,Q502,T502,W502,Z502,AC502,AF502,AI502)=8,N502*Guide!$E$5+Q502*Guide!$E$6+T502*Guide!$E$7+W502*Guide!$E$8+Z502*Guide!$E$9+AC502*Guide!$E$10+AF502*Guide!$E$11+AI502*Guide!$E$12,"")</x:f>
        <x:v>170.75</x:v>
      </x:c>
      <x:c r="G502" s="4" t="str">
        <x:f>IF(COUNT(O502,R502,U502,X502,AA502,AD502,AG502,AJ502)=8,O502*Guide!$E$5+R502*Guide!$E$6+U502*Guide!$E$7+X502*Guide!$E$8+AA502*Guide!$E$9+AD502*Guide!$E$10+AG502*Guide!$E$11+AJ502*Guide!$E$12,"")</x:f>
      </x:c>
      <x:c r="H502" s="4" t="str">
        <x:f>IF(COUNT(G502,F502)=2,G502-F502,"")</x:f>
      </x:c>
      <x:c r="I502" s="4" t="n">
        <x:f>IF(AND(ISNUMBER(F502),K502&gt;0),F502/K502,"")</x:f>
        <x:v>2.161392405063291</x:v>
      </x:c>
      <x:c r="J502" s="4" t="str">
        <x:f>IF(AND(ISNUMBER(G502),L502&gt;0),G502/L502,"")</x:f>
      </x:c>
      <x:c r="K502" s="10" t="n">
        <x:v>79</x:v>
      </x:c>
      <x:c r="L502" s="10"/>
      <x:c r="M502" s="10" t="str">
        <x:f>IF(COUNT(L502,K502)=2,L502-K502,"")</x:f>
      </x:c>
      <x:c r="N502" s="10" t="n">
        <x:v>4</x:v>
      </x:c>
      <x:c r="O502" s="10"/>
      <x:c r="P502" s="10" t="str">
        <x:f>IF(COUNT(O502,N502)=2,O502-N502,"")</x:f>
      </x:c>
      <x:c r="Q502" s="10" t="n">
        <x:v>16</x:v>
      </x:c>
      <x:c r="R502" s="10"/>
      <x:c r="S502" s="10" t="str">
        <x:f>IF(COUNT(R502,Q502)=2,R502-Q502,"")</x:f>
      </x:c>
      <x:c r="T502" s="10" t="n">
        <x:v>-5</x:v>
      </x:c>
      <x:c r="U502" s="10"/>
      <x:c r="V502" s="10" t="str">
        <x:f>IF(COUNT(U502,T502)=2,U502-T502,"")</x:f>
      </x:c>
      <x:c r="W502" s="10" t="n">
        <x:v>0</x:v>
      </x:c>
      <x:c r="X502" s="10" t="str">
        <x:f>IF(COUNT(AV502,AW502)=2,AV502+AW502,"")</x:f>
      </x:c>
      <x:c r="Y502" s="10" t="str">
        <x:f>IF(COUNT(X502,W502)=2,X502-W502,"")</x:f>
      </x:c>
      <x:c r="Z502" s="10" t="n">
        <x:v>0</x:v>
      </x:c>
      <x:c r="AA502" s="10" t="str">
        <x:f>IF(COUNT(AX502,AY502)=2,AX502+AY502,"")</x:f>
      </x:c>
      <x:c r="AB502" s="10" t="str">
        <x:f>IF(COUNT(AA502,Z502)=2,AA502-Z502,"")</x:f>
      </x:c>
      <x:c r="AC502" s="10" t="n">
        <x:v>65</x:v>
      </x:c>
      <x:c r="AD502" s="10"/>
      <x:c r="AE502" s="10" t="str">
        <x:f>IF(COUNT(AD502,AC502)=2,AD502-AC502,"")</x:f>
      </x:c>
      <x:c r="AF502" s="10" t="n">
        <x:v>70</x:v>
      </x:c>
      <x:c r="AG502" s="10"/>
      <x:c r="AH502" s="10" t="str">
        <x:f>IF(COUNT(AG502,AF502)=2,AG502-AF502,"")</x:f>
      </x:c>
      <x:c r="AI502" s="10" t="n">
        <x:v>104</x:v>
      </x:c>
      <x:c r="AJ502" s="10"/>
      <x:c r="AK502" s="10" t="str">
        <x:f>IF(COUNT(AJ502,AI502)=2,AJ502-AI502,"")</x:f>
      </x:c>
      <x:c r="AL502" s="10" t="n">
        <x:v>34</x:v>
      </x:c>
      <x:c r="AM502" s="10"/>
      <x:c r="AN502" s="4" t="str">
        <x:v>D</x:v>
      </x:c>
      <x:c r="AO502" s="4"/>
      <x:c r="AP502" s="4" t="str">
        <x:v>LA</x:v>
      </x:c>
      <x:c r="AQ502" s="4"/>
      <x:c r="AR502" s="4" t="n">
        <x:v>19.22</x:v>
      </x:c>
      <x:c r="AS502" s="4"/>
      <x:c r="AT502" s="4" t="n">
        <x:v>0.06</x:v>
      </x:c>
      <x:c r="AU502" s="4"/>
      <x:c r="AV502" s="10"/>
      <x:c r="AW502" s="10"/>
      <x:c r="AX502" s="10"/>
      <x:c r="AY502" s="10"/>
      <x:c r="AZ502" s="10" t="n">
        <x:v>1275</x:v>
      </x:c>
      <x:c r="BA502" s="10" t="n">
        <x:v>1230</x:v>
      </x:c>
      <x:c r="BB502" s="4" t="n">
        <x:v>50.9</x:v>
      </x:c>
      <x:c r="BC502" s="4" t="n">
        <x:v>-1.3</x:v>
      </x:c>
      <x:c r="BD502" s="10" t="n">
        <x:v>879</x:v>
      </x:c>
      <x:c r="BE502" s="10" t="n">
        <x:v>858</x:v>
      </x:c>
      <x:c r="BF502" s="4" t="n">
        <x:v>50.6</x:v>
      </x:c>
      <x:c r="BG502" s="4" t="n">
        <x:v>-1.4</x:v>
      </x:c>
      <x:c r="BH502" s="4" t="n">
        <x:v>7.4</x:v>
      </x:c>
      <x:c r="BI502" s="4" t="n">
        <x:v>91.8</x:v>
      </x:c>
      <x:c r="BJ502" s="4" t="n">
        <x:v>99.2</x:v>
      </x:c>
      <x:c r="BK502" s="4" t="n">
        <x:v>44.8</x:v>
      </x:c>
      <x:c r="BL502" s="4" t="n">
        <x:v>55.2</x:v>
      </x:c>
      <x:c r="BM502" s="4" t="n">
        <x:v>17.75</x:v>
      </x:c>
      <x:c r="BN502" s="4" t="n">
        <x:v>16.3</x:v>
      </x:c>
      <x:c r="BO502" s="10" t="n">
        <x:v>21</x:v>
      </x:c>
      <x:c r="BP502" s="10" t="n">
        <x:v>94</x:v>
      </x:c>
      <x:c r="BQ502" s="4" t="n">
        <x:v>-0.2</x:v>
      </x:c>
      <x:c r="BR502" s="10" t="n">
        <x:v>171</x:v>
      </x:c>
      <x:c r="BS502" s="4" t="n">
        <x:v>35.7</x:v>
      </x:c>
      <x:c r="BT502" s="10" t="n">
        <x:v>82</x:v>
      </x:c>
      <x:c r="BU502" s="4" t="str">
        <x:v>LAK</x:v>
      </x:c>
      <x:c r="BV502" s="10" t="n">
        <x:v>524</x:v>
      </x:c>
      <x:c r="BW502" s="10"/>
      <x:c r="BX502" s="10" t="n">
        <x:v>249</x:v>
      </x:c>
      <x:c r="BY502" s="4" t="str">
        <x:v>Brian Dumoulin</x:v>
      </x:c>
      <x:c r="BZ502" s="4"/>
      <x:c r="CA502" s="4" t="str">
        <x:v>Brian Dumoulin</x:v>
      </x:c>
      <x:c r="CB502" s="4" t="str">
        <x:v>dumoubr01</x:v>
      </x:c>
    </x:row>
    <x:row r="503" ht="22" customHeight="1">
      <x:c r="A503" s="4" t="str">
        <x:v>Brian Halonen</x:v>
      </x:c>
      <x:c r="B503" s="4" t="str">
        <x:v>brianhalonen</x:v>
      </x:c>
      <x:c r="C503" s="10" t="n">
        <x:v>0</x:v>
      </x:c>
      <x:c r="D503" s="10" t="n">
        <x:v>0</x:v>
      </x:c>
      <x:c r="E503" s="10" t="n">
        <x:v>1</x:v>
      </x:c>
      <x:c r="F503" s="4" t="str">
        <x:f>IF(COUNT(N503,Q503,T503,W503,Z503,AC503,AF503,AI503)=8,N503*Guide!$E$5+Q503*Guide!$E$6+T503*Guide!$E$7+W503*Guide!$E$8+Z503*Guide!$E$9+AC503*Guide!$E$10+AF503*Guide!$E$11+AI503*Guide!$E$12,"")</x:f>
      </x:c>
      <x:c r="G503" s="4" t="str">
        <x:f>IF(COUNT(O503,R503,U503,X503,AA503,AD503,AG503,AJ503)=8,O503*Guide!$E$5+R503*Guide!$E$6+U503*Guide!$E$7+X503*Guide!$E$8+AA503*Guide!$E$9+AD503*Guide!$E$10+AG503*Guide!$E$11+AJ503*Guide!$E$12,"")</x:f>
      </x:c>
      <x:c r="H503" s="4" t="str">
        <x:f>IF(COUNT(G503,F503)=2,G503-F503,"")</x:f>
      </x:c>
      <x:c r="I503" s="4" t="str">
        <x:f>IF(AND(ISNUMBER(F503),K503&gt;0),F503/K503,"")</x:f>
      </x:c>
      <x:c r="J503" s="4" t="str">
        <x:f>IF(AND(ISNUMBER(G503),L503&gt;0),G503/L503,"")</x:f>
      </x:c>
      <x:c r="K503" s="10"/>
      <x:c r="L503" s="10"/>
      <x:c r="M503" s="10" t="str">
        <x:f>IF(COUNT(L503,K503)=2,L503-K503,"")</x:f>
      </x:c>
      <x:c r="N503" s="10"/>
      <x:c r="O503" s="10"/>
      <x:c r="P503" s="10" t="str">
        <x:f>IF(COUNT(O503,N503)=2,O503-N503,"")</x:f>
      </x:c>
      <x:c r="Q503" s="10"/>
      <x:c r="R503" s="10"/>
      <x:c r="S503" s="10" t="str">
        <x:f>IF(COUNT(R503,Q503)=2,R503-Q503,"")</x:f>
      </x:c>
      <x:c r="T503" s="10"/>
      <x:c r="U503" s="10"/>
      <x:c r="V503" s="10" t="str">
        <x:f>IF(COUNT(U503,T503)=2,U503-T503,"")</x:f>
      </x:c>
      <x:c r="W503" s="10"/>
      <x:c r="X503" s="10" t="str">
        <x:f>IF(COUNT(AV503,AW503)=2,AV503+AW503,"")</x:f>
      </x:c>
      <x:c r="Y503" s="10" t="str">
        <x:f>IF(COUNT(X503,W503)=2,X503-W503,"")</x:f>
      </x:c>
      <x:c r="Z503" s="10"/>
      <x:c r="AA503" s="10" t="str">
        <x:f>IF(COUNT(AX503,AY503)=2,AX503+AY503,"")</x:f>
      </x:c>
      <x:c r="AB503" s="10" t="str">
        <x:f>IF(COUNT(AA503,Z503)=2,AA503-Z503,"")</x:f>
      </x:c>
      <x:c r="AC503" s="10"/>
      <x:c r="AD503" s="10"/>
      <x:c r="AE503" s="10" t="str">
        <x:f>IF(COUNT(AD503,AC503)=2,AD503-AC503,"")</x:f>
      </x:c>
      <x:c r="AF503" s="10"/>
      <x:c r="AG503" s="10"/>
      <x:c r="AH503" s="10" t="str">
        <x:f>IF(COUNT(AG503,AF503)=2,AG503-AF503,"")</x:f>
      </x:c>
      <x:c r="AI503" s="10"/>
      <x:c r="AJ503" s="10"/>
      <x:c r="AK503" s="10" t="str">
        <x:f>IF(COUNT(AJ503,AI503)=2,AJ503-AI503,"")</x:f>
      </x:c>
      <x:c r="AL503" s="10"/>
      <x:c r="AM503" s="10"/>
      <x:c r="AN503" s="4"/>
      <x:c r="AO503" s="4"/>
      <x:c r="AP503" s="4"/>
      <x:c r="AQ503" s="4"/>
      <x:c r="AR503" s="4"/>
      <x:c r="AS503" s="4"/>
      <x:c r="AT503" s="4"/>
      <x:c r="AU503" s="4"/>
      <x:c r="AV503" s="10"/>
      <x:c r="AW503" s="10"/>
      <x:c r="AX503" s="10"/>
      <x:c r="AY503" s="10"/>
      <x:c r="AZ503" s="10" t="n">
        <x:v>76</x:v>
      </x:c>
      <x:c r="BA503" s="10" t="n">
        <x:v>105</x:v>
      </x:c>
      <x:c r="BB503" s="4" t="n">
        <x:v>42</x:v>
      </x:c>
      <x:c r="BC503" s="4" t="n">
        <x:v>-9</x:v>
      </x:c>
      <x:c r="BD503" s="10" t="n">
        <x:v>52</x:v>
      </x:c>
      <x:c r="BE503" s="10" t="n">
        <x:v>64</x:v>
      </x:c>
      <x:c r="BF503" s="4" t="n">
        <x:v>44.8</x:v>
      </x:c>
      <x:c r="BG503" s="4" t="n">
        <x:v>-7.4</x:v>
      </x:c>
      <x:c r="BH503" s="4" t="n">
        <x:v>10.3</x:v>
      </x:c>
      <x:c r="BI503" s="4" t="n">
        <x:v>89.5</x:v>
      </x:c>
      <x:c r="BJ503" s="4" t="n">
        <x:v>99.8</x:v>
      </x:c>
      <x:c r="BK503" s="4" t="n">
        <x:v>50</x:v>
      </x:c>
      <x:c r="BL503" s="4" t="n">
        <x:v>50</x:v>
      </x:c>
      <x:c r="BM503" s="4" t="n">
        <x:v>7.616666666666667</x:v>
      </x:c>
      <x:c r="BN503" s="4" t="n">
        <x:v>7.6</x:v>
      </x:c>
      <x:c r="BO503" s="10" t="n">
        <x:v>3</x:v>
      </x:c>
      <x:c r="BP503" s="10" t="n">
        <x:v>5</x:v>
      </x:c>
      <x:c r="BQ503" s="4" t="n">
        <x:v>-1.9</x:v>
      </x:c>
      <x:c r="BR503" s="10" t="n">
        <x:v>19</x:v>
      </x:c>
      <x:c r="BS503" s="4" t="n">
        <x:v>36.8</x:v>
      </x:c>
      <x:c r="BT503" s="10" t="n">
        <x:v>15</x:v>
      </x:c>
      <x:c r="BU503" s="4" t="str">
        <x:v>NJD</x:v>
      </x:c>
      <x:c r="BV503" s="10"/>
      <x:c r="BW503" s="10"/>
      <x:c r="BX503" s="10" t="n">
        <x:v>382</x:v>
      </x:c>
      <x:c r="BY503" s="4"/>
      <x:c r="BZ503" s="4"/>
      <x:c r="CA503" s="4" t="str">
        <x:v>Brian Halonen</x:v>
      </x:c>
      <x:c r="CB503" s="4" t="str">
        <x:v>halonbr01</x:v>
      </x:c>
    </x:row>
    <x:row r="504" ht="22" customHeight="1">
      <x:c r="A504" s="4" t="str">
        <x:v>Cale Fleury</x:v>
      </x:c>
      <x:c r="B504" s="4" t="str">
        <x:v>calefleury</x:v>
      </x:c>
      <x:c r="C504" s="10" t="n">
        <x:v>1</x:v>
      </x:c>
      <x:c r="D504" s="10" t="n">
        <x:v>0</x:v>
      </x:c>
      <x:c r="E504" s="10" t="n">
        <x:v>1</x:v>
      </x:c>
      <x:c r="F504" s="4" t="n">
        <x:f>IF(COUNT(N504,Q504,T504,W504,Z504,AC504,AF504,AI504)=8,N504*Guide!$E$5+Q504*Guide!$E$6+T504*Guide!$E$7+W504*Guide!$E$8+Z504*Guide!$E$9+AC504*Guide!$E$10+AF504*Guide!$E$11+AI504*Guide!$E$12,"")</x:f>
        <x:v>70.25</x:v>
      </x:c>
      <x:c r="G504" s="4" t="str">
        <x:f>IF(COUNT(O504,R504,U504,X504,AA504,AD504,AG504,AJ504)=8,O504*Guide!$E$5+R504*Guide!$E$6+U504*Guide!$E$7+X504*Guide!$E$8+AA504*Guide!$E$9+AD504*Guide!$E$10+AG504*Guide!$E$11+AJ504*Guide!$E$12,"")</x:f>
      </x:c>
      <x:c r="H504" s="4" t="str">
        <x:f>IF(COUNT(G504,F504)=2,G504-F504,"")</x:f>
      </x:c>
      <x:c r="I504" s="4" t="n">
        <x:f>IF(AND(ISNUMBER(F504),K504&gt;0),F504/K504,"")</x:f>
        <x:v>1.9513888888888888</x:v>
      </x:c>
      <x:c r="J504" s="4" t="str">
        <x:f>IF(AND(ISNUMBER(G504),L504&gt;0),G504/L504,"")</x:f>
      </x:c>
      <x:c r="K504" s="10" t="n">
        <x:v>36</x:v>
      </x:c>
      <x:c r="L504" s="10"/>
      <x:c r="M504" s="10" t="str">
        <x:f>IF(COUNT(L504,K504)=2,L504-K504,"")</x:f>
      </x:c>
      <x:c r="N504" s="10" t="n">
        <x:v>1</x:v>
      </x:c>
      <x:c r="O504" s="10"/>
      <x:c r="P504" s="10" t="str">
        <x:f>IF(COUNT(O504,N504)=2,O504-N504,"")</x:f>
      </x:c>
      <x:c r="Q504" s="10" t="n">
        <x:v>5</x:v>
      </x:c>
      <x:c r="R504" s="10"/>
      <x:c r="S504" s="10" t="str">
        <x:f>IF(COUNT(R504,Q504)=2,R504-Q504,"")</x:f>
      </x:c>
      <x:c r="T504" s="10" t="n">
        <x:v>1</x:v>
      </x:c>
      <x:c r="U504" s="10"/>
      <x:c r="V504" s="10" t="str">
        <x:f>IF(COUNT(U504,T504)=2,U504-T504,"")</x:f>
      </x:c>
      <x:c r="W504" s="10" t="n">
        <x:v>0</x:v>
      </x:c>
      <x:c r="X504" s="10" t="str">
        <x:f>IF(COUNT(AV504,AW504)=2,AV504+AW504,"")</x:f>
      </x:c>
      <x:c r="Y504" s="10" t="str">
        <x:f>IF(COUNT(X504,W504)=2,X504-W504,"")</x:f>
      </x:c>
      <x:c r="Z504" s="10" t="n">
        <x:v>0</x:v>
      </x:c>
      <x:c r="AA504" s="10" t="str">
        <x:f>IF(COUNT(AX504,AY504)=2,AX504+AY504,"")</x:f>
      </x:c>
      <x:c r="AB504" s="10" t="str">
        <x:f>IF(COUNT(AA504,Z504)=2,AA504-Z504,"")</x:f>
      </x:c>
      <x:c r="AC504" s="10" t="n">
        <x:v>33</x:v>
      </x:c>
      <x:c r="AD504" s="10"/>
      <x:c r="AE504" s="10" t="str">
        <x:f>IF(COUNT(AD504,AC504)=2,AD504-AC504,"")</x:f>
      </x:c>
      <x:c r="AF504" s="10" t="n">
        <x:v>51</x:v>
      </x:c>
      <x:c r="AG504" s="10"/>
      <x:c r="AH504" s="10" t="str">
        <x:f>IF(COUNT(AG504,AF504)=2,AG504-AF504,"")</x:f>
      </x:c>
      <x:c r="AI504" s="10" t="n">
        <x:v>39</x:v>
      </x:c>
      <x:c r="AJ504" s="10"/>
      <x:c r="AK504" s="10" t="str">
        <x:f>IF(COUNT(AJ504,AI504)=2,AJ504-AI504,"")</x:f>
      </x:c>
      <x:c r="AL504" s="10" t="n">
        <x:v>27</x:v>
      </x:c>
      <x:c r="AM504" s="10"/>
      <x:c r="AN504" s="4" t="str">
        <x:v>D</x:v>
      </x:c>
      <x:c r="AO504" s="4"/>
      <x:c r="AP504" s="4" t="str">
        <x:v>SEA</x:v>
      </x:c>
      <x:c r="AQ504" s="4"/>
      <x:c r="AR504" s="4" t="n">
        <x:v>11.95</x:v>
      </x:c>
      <x:c r="AS504" s="4"/>
      <x:c r="AT504" s="4" t="n">
        <x:v>0</x:v>
      </x:c>
      <x:c r="AU504" s="4"/>
      <x:c r="AV504" s="10"/>
      <x:c r="AW504" s="10"/>
      <x:c r="AX504" s="10"/>
      <x:c r="AY504" s="10"/>
      <x:c r="AZ504" s="10" t="n">
        <x:v>263</x:v>
      </x:c>
      <x:c r="BA504" s="10" t="n">
        <x:v>372</x:v>
      </x:c>
      <x:c r="BB504" s="4" t="n">
        <x:v>41.4</x:v>
      </x:c>
      <x:c r="BC504" s="4" t="n">
        <x:v>-0.8</x:v>
      </x:c>
      <x:c r="BD504" s="10" t="n">
        <x:v>203</x:v>
      </x:c>
      <x:c r="BE504" s="10" t="n">
        <x:v>254</x:v>
      </x:c>
      <x:c r="BF504" s="4" t="n">
        <x:v>44.4</x:v>
      </x:c>
      <x:c r="BG504" s="4" t="n">
        <x:v>2</x:v>
      </x:c>
      <x:c r="BH504" s="4" t="n">
        <x:v>10</x:v>
      </x:c>
      <x:c r="BI504" s="4" t="n">
        <x:v>92.8</x:v>
      </x:c>
      <x:c r="BJ504" s="4" t="n">
        <x:v>102.8</x:v>
      </x:c>
      <x:c r="BK504" s="4" t="n">
        <x:v>34.7</x:v>
      </x:c>
      <x:c r="BL504" s="4" t="n">
        <x:v>65.3</x:v>
      </x:c>
      <x:c r="BM504" s="4" t="n">
        <x:v>16.3</x:v>
      </x:c>
      <x:c r="BN504" s="4" t="n">
        <x:v>15.383333333333333</x:v>
      </x:c>
      <x:c r="BO504" s="10" t="n">
        <x:v>4</x:v>
      </x:c>
      <x:c r="BP504" s="10" t="n">
        <x:v>20</x:v>
      </x:c>
      <x:c r="BQ504" s="4" t="n">
        <x:v>-1.9</x:v>
      </x:c>
      <x:c r="BR504" s="10" t="n">
        <x:v>53</x:v>
      </x:c>
      <x:c r="BS504" s="4" t="n">
        <x:v>41.5</x:v>
      </x:c>
      <x:c r="BT504" s="10" t="n">
        <x:v>23</x:v>
      </x:c>
      <x:c r="BU504" s="4" t="str">
        <x:v>SEA</x:v>
      </x:c>
      <x:c r="BV504" s="10" t="n">
        <x:v>760</x:v>
      </x:c>
      <x:c r="BW504" s="10"/>
      <x:c r="BX504" s="10" t="n">
        <x:v>295</x:v>
      </x:c>
      <x:c r="BY504" s="4" t="str">
        <x:v>Cale Fleury</x:v>
      </x:c>
      <x:c r="BZ504" s="4"/>
      <x:c r="CA504" s="4" t="str">
        <x:v>Cale Fleury</x:v>
      </x:c>
      <x:c r="CB504" s="4" t="str">
        <x:v>fleurca01</x:v>
      </x:c>
    </x:row>
    <x:row r="505" ht="22" customHeight="1">
      <x:c r="A505" s="4" t="str">
        <x:v>Caleb Jones</x:v>
      </x:c>
      <x:c r="B505" s="4" t="str">
        <x:v>calebjones</x:v>
      </x:c>
      <x:c r="C505" s="10" t="n">
        <x:v>1</x:v>
      </x:c>
      <x:c r="D505" s="10" t="n">
        <x:v>0</x:v>
      </x:c>
      <x:c r="E505" s="10" t="n">
        <x:v>1</x:v>
      </x:c>
      <x:c r="F505" s="4" t="n">
        <x:f>IF(COUNT(N505,Q505,T505,W505,Z505,AC505,AF505,AI505)=8,N505*Guide!$E$5+Q505*Guide!$E$6+T505*Guide!$E$7+W505*Guide!$E$8+Z505*Guide!$E$9+AC505*Guide!$E$10+AF505*Guide!$E$11+AI505*Guide!$E$12,"")</x:f>
        <x:v>102.75</x:v>
      </x:c>
      <x:c r="G505" s="4" t="str">
        <x:f>IF(COUNT(O505,R505,U505,X505,AA505,AD505,AG505,AJ505)=8,O505*Guide!$E$5+R505*Guide!$E$6+U505*Guide!$E$7+X505*Guide!$E$8+AA505*Guide!$E$9+AD505*Guide!$E$10+AG505*Guide!$E$11+AJ505*Guide!$E$12,"")</x:f>
      </x:c>
      <x:c r="H505" s="4" t="str">
        <x:f>IF(COUNT(G505,F505)=2,G505-F505,"")</x:f>
      </x:c>
      <x:c r="I505" s="4" t="n">
        <x:f>IF(AND(ISNUMBER(F505),K505&gt;0),F505/K505,"")</x:f>
        <x:v>1.8348214285714286</x:v>
      </x:c>
      <x:c r="J505" s="4" t="str">
        <x:f>IF(AND(ISNUMBER(G505),L505&gt;0),G505/L505,"")</x:f>
      </x:c>
      <x:c r="K505" s="10" t="n">
        <x:v>56</x:v>
      </x:c>
      <x:c r="L505" s="10"/>
      <x:c r="M505" s="10" t="str">
        <x:f>IF(COUNT(L505,K505)=2,L505-K505,"")</x:f>
      </x:c>
      <x:c r="N505" s="10" t="n">
        <x:v>2</x:v>
      </x:c>
      <x:c r="O505" s="10"/>
      <x:c r="P505" s="10" t="str">
        <x:f>IF(COUNT(O505,N505)=2,O505-N505,"")</x:f>
      </x:c>
      <x:c r="Q505" s="10" t="n">
        <x:v>9</x:v>
      </x:c>
      <x:c r="R505" s="10"/>
      <x:c r="S505" s="10" t="str">
        <x:f>IF(COUNT(R505,Q505)=2,R505-Q505,"")</x:f>
      </x:c>
      <x:c r="T505" s="10" t="n">
        <x:v>0</x:v>
      </x:c>
      <x:c r="U505" s="10"/>
      <x:c r="V505" s="10" t="str">
        <x:f>IF(COUNT(U505,T505)=2,U505-T505,"")</x:f>
      </x:c>
      <x:c r="W505" s="10" t="n">
        <x:v>1</x:v>
      </x:c>
      <x:c r="X505" s="10" t="str">
        <x:f>IF(COUNT(AV505,AW505)=2,AV505+AW505,"")</x:f>
      </x:c>
      <x:c r="Y505" s="10" t="str">
        <x:f>IF(COUNT(X505,W505)=2,X505-W505,"")</x:f>
      </x:c>
      <x:c r="Z505" s="10" t="n">
        <x:v>0</x:v>
      </x:c>
      <x:c r="AA505" s="10" t="str">
        <x:f>IF(COUNT(AX505,AY505)=2,AX505+AY505,"")</x:f>
      </x:c>
      <x:c r="AB505" s="10" t="str">
        <x:f>IF(COUNT(AA505,Z505)=2,AA505-Z505,"")</x:f>
      </x:c>
      <x:c r="AC505" s="10" t="n">
        <x:v>43</x:v>
      </x:c>
      <x:c r="AD505" s="10"/>
      <x:c r="AE505" s="10" t="str">
        <x:f>IF(COUNT(AD505,AC505)=2,AD505-AC505,"")</x:f>
      </x:c>
      <x:c r="AF505" s="10" t="n">
        <x:v>56</x:v>
      </x:c>
      <x:c r="AG505" s="10"/>
      <x:c r="AH505" s="10" t="str">
        <x:f>IF(COUNT(AG505,AF505)=2,AG505-AF505,"")</x:f>
      </x:c>
      <x:c r="AI505" s="10" t="n">
        <x:v>56</x:v>
      </x:c>
      <x:c r="AJ505" s="10"/>
      <x:c r="AK505" s="10" t="str">
        <x:f>IF(COUNT(AJ505,AI505)=2,AJ505-AI505,"")</x:f>
      </x:c>
      <x:c r="AL505" s="10" t="n">
        <x:v>28</x:v>
      </x:c>
      <x:c r="AM505" s="10"/>
      <x:c r="AN505" s="4" t="str">
        <x:v>D</x:v>
      </x:c>
      <x:c r="AO505" s="4"/>
      <x:c r="AP505" s="4" t="str">
        <x:v>PIT</x:v>
      </x:c>
      <x:c r="AQ505" s="4"/>
      <x:c r="AR505" s="4" t="n">
        <x:v>12.819999999999999</x:v>
      </x:c>
      <x:c r="AS505" s="4"/>
      <x:c r="AT505" s="4" t="n">
        <x:v>0.35</x:v>
      </x:c>
      <x:c r="AU505" s="4"/>
      <x:c r="AV505" s="10"/>
      <x:c r="AW505" s="10"/>
      <x:c r="AX505" s="10"/>
      <x:c r="AY505" s="10"/>
      <x:c r="AZ505" s="10" t="n">
        <x:v>92</x:v>
      </x:c>
      <x:c r="BA505" s="10" t="n">
        <x:v>130</x:v>
      </x:c>
      <x:c r="BB505" s="4" t="n">
        <x:v>41.4</x:v>
      </x:c>
      <x:c r="BC505" s="4" t="n">
        <x:v>-4.1</x:v>
      </x:c>
      <x:c r="BD505" s="10" t="n">
        <x:v>63</x:v>
      </x:c>
      <x:c r="BE505" s="10" t="n">
        <x:v>83</x:v>
      </x:c>
      <x:c r="BF505" s="4" t="n">
        <x:v>43.2</x:v>
      </x:c>
      <x:c r="BG505" s="4" t="n">
        <x:v>-3.7</x:v>
      </x:c>
      <x:c r="BH505" s="4" t="n">
        <x:v>9.8</x:v>
      </x:c>
      <x:c r="BI505" s="4" t="n">
        <x:v>93.9</x:v>
      </x:c>
      <x:c r="BJ505" s="4" t="n">
        <x:v>103.6</x:v>
      </x:c>
      <x:c r="BK505" s="4" t="n">
        <x:v>32.8</x:v>
      </x:c>
      <x:c r="BL505" s="4" t="n">
        <x:v>67.2</x:v>
      </x:c>
      <x:c r="BM505" s="4" t="n">
        <x:v>17.166666666666668</x:v>
      </x:c>
      <x:c r="BN505" s="4" t="n">
        <x:v>15.5</x:v>
      </x:c>
      <x:c r="BO505" s="10" t="n">
        <x:v>1</x:v>
      </x:c>
      <x:c r="BP505" s="10" t="n">
        <x:v>4</x:v>
      </x:c>
      <x:c r="BQ505" s="4" t="n">
        <x:v>-0.7</x:v>
      </x:c>
      <x:c r="BR505" s="10" t="n">
        <x:v>17</x:v>
      </x:c>
      <x:c r="BS505" s="4" t="n">
        <x:v>29.4</x:v>
      </x:c>
      <x:c r="BT505" s="10" t="n">
        <x:v>7</x:v>
      </x:c>
      <x:c r="BU505" s="4" t="str">
        <x:v>PIT</x:v>
      </x:c>
      <x:c r="BV505" s="10" t="n">
        <x:v>711</x:v>
      </x:c>
      <x:c r="BW505" s="10"/>
      <x:c r="BX505" s="10" t="n">
        <x:v>474</x:v>
      </x:c>
      <x:c r="BY505" s="4" t="str">
        <x:v>Caleb Jones</x:v>
      </x:c>
      <x:c r="BZ505" s="4"/>
      <x:c r="CA505" s="4" t="str">
        <x:v>Caleb Jones</x:v>
      </x:c>
      <x:c r="CB505" s="4" t="str">
        <x:v>jonesca01</x:v>
      </x:c>
    </x:row>
    <x:row r="506" ht="22" customHeight="1">
      <x:c r="A506" s="4" t="str">
        <x:v>Calle Jarnkrok</x:v>
      </x:c>
      <x:c r="B506" s="4" t="str">
        <x:v>callejarnkrok</x:v>
      </x:c>
      <x:c r="C506" s="10" t="n">
        <x:v>1</x:v>
      </x:c>
      <x:c r="D506" s="10" t="n">
        <x:v>0</x:v>
      </x:c>
      <x:c r="E506" s="10" t="n">
        <x:v>1</x:v>
      </x:c>
      <x:c r="F506" s="4" t="n">
        <x:f>IF(COUNT(N506,Q506,T506,W506,Z506,AC506,AF506,AI506)=8,N506*Guide!$E$5+Q506*Guide!$E$6+T506*Guide!$E$7+W506*Guide!$E$8+Z506*Guide!$E$9+AC506*Guide!$E$10+AF506*Guide!$E$11+AI506*Guide!$E$12,"")</x:f>
        <x:v>164</x:v>
      </x:c>
      <x:c r="G506" s="4" t="str">
        <x:f>IF(COUNT(O506,R506,U506,X506,AA506,AD506,AG506,AJ506)=8,O506*Guide!$E$5+R506*Guide!$E$6+U506*Guide!$E$7+X506*Guide!$E$8+AA506*Guide!$E$9+AD506*Guide!$E$10+AG506*Guide!$E$11+AJ506*Guide!$E$12,"")</x:f>
      </x:c>
      <x:c r="H506" s="4" t="str">
        <x:f>IF(COUNT(G506,F506)=2,G506-F506,"")</x:f>
      </x:c>
      <x:c r="I506" s="4" t="n">
        <x:f>IF(AND(ISNUMBER(F506),K506&gt;0),F506/K506,"")</x:f>
        <x:v>2.1025641025641026</x:v>
      </x:c>
      <x:c r="J506" s="4" t="str">
        <x:f>IF(AND(ISNUMBER(G506),L506&gt;0),G506/L506,"")</x:f>
      </x:c>
      <x:c r="K506" s="10" t="n">
        <x:v>78</x:v>
      </x:c>
      <x:c r="L506" s="10"/>
      <x:c r="M506" s="10" t="str">
        <x:f>IF(COUNT(L506,K506)=2,L506-K506,"")</x:f>
      </x:c>
      <x:c r="N506" s="10" t="n">
        <x:v>12</x:v>
      </x:c>
      <x:c r="O506" s="10"/>
      <x:c r="P506" s="10" t="str">
        <x:f>IF(COUNT(O506,N506)=2,O506-N506,"")</x:f>
      </x:c>
      <x:c r="Q506" s="10" t="n">
        <x:v>17</x:v>
      </x:c>
      <x:c r="R506" s="10"/>
      <x:c r="S506" s="10" t="str">
        <x:f>IF(COUNT(R506,Q506)=2,R506-Q506,"")</x:f>
      </x:c>
      <x:c r="T506" s="10" t="n">
        <x:v>2</x:v>
      </x:c>
      <x:c r="U506" s="10"/>
      <x:c r="V506" s="10" t="str">
        <x:f>IF(COUNT(U506,T506)=2,U506-T506,"")</x:f>
      </x:c>
      <x:c r="W506" s="10" t="n">
        <x:v>2</x:v>
      </x:c>
      <x:c r="X506" s="10" t="str">
        <x:f>IF(COUNT(AV506,AW506)=2,AV506+AW506,"")</x:f>
      </x:c>
      <x:c r="Y506" s="10" t="str">
        <x:f>IF(COUNT(X506,W506)=2,X506-W506,"")</x:f>
      </x:c>
      <x:c r="Z506" s="10" t="n">
        <x:v>1</x:v>
      </x:c>
      <x:c r="AA506" s="10" t="str">
        <x:f>IF(COUNT(AX506,AY506)=2,AX506+AY506,"")</x:f>
      </x:c>
      <x:c r="AB506" s="10" t="str">
        <x:f>IF(COUNT(AA506,Z506)=2,AA506-Z506,"")</x:f>
      </x:c>
      <x:c r="AC506" s="10" t="n">
        <x:v>79</x:v>
      </x:c>
      <x:c r="AD506" s="10"/>
      <x:c r="AE506" s="10" t="str">
        <x:f>IF(COUNT(AD506,AC506)=2,AD506-AC506,"")</x:f>
      </x:c>
      <x:c r="AF506" s="10" t="n">
        <x:v>60</x:v>
      </x:c>
      <x:c r="AG506" s="10"/>
      <x:c r="AH506" s="10" t="str">
        <x:f>IF(COUNT(AG506,AF506)=2,AG506-AF506,"")</x:f>
      </x:c>
      <x:c r="AI506" s="10" t="n">
        <x:v>31</x:v>
      </x:c>
      <x:c r="AJ506" s="10"/>
      <x:c r="AK506" s="10" t="str">
        <x:f>IF(COUNT(AJ506,AI506)=2,AJ506-AI506,"")</x:f>
      </x:c>
      <x:c r="AL506" s="10" t="n">
        <x:v>34</x:v>
      </x:c>
      <x:c r="AM506" s="10"/>
      <x:c r="AN506" s="4" t="str">
        <x:v>C</x:v>
      </x:c>
      <x:c r="AO506" s="4"/>
      <x:c r="AP506" s="4" t="str">
        <x:v>TOR</x:v>
      </x:c>
      <x:c r="AQ506" s="4"/>
      <x:c r="AR506" s="4" t="n">
        <x:v>13.239999999999998</x:v>
      </x:c>
      <x:c r="AS506" s="4"/>
      <x:c r="AT506" s="4" t="n">
        <x:v>0.41</x:v>
      </x:c>
      <x:c r="AU506" s="4"/>
      <x:c r="AV506" s="10"/>
      <x:c r="AW506" s="10"/>
      <x:c r="AX506" s="10"/>
      <x:c r="AY506" s="10"/>
      <x:c r="AZ506" s="10" t="n">
        <x:v>378</x:v>
      </x:c>
      <x:c r="BA506" s="10" t="n">
        <x:v>554</x:v>
      </x:c>
      <x:c r="BB506" s="4" t="n">
        <x:v>40.6</x:v>
      </x:c>
      <x:c r="BC506" s="4" t="n">
        <x:v>-4.6</x:v>
      </x:c>
      <x:c r="BD506" s="10" t="n">
        <x:v>281</x:v>
      </x:c>
      <x:c r="BE506" s="10" t="n">
        <x:v>393</x:v>
      </x:c>
      <x:c r="BF506" s="4" t="n">
        <x:v>41.7</x:v>
      </x:c>
      <x:c r="BG506" s="4" t="n">
        <x:v>-3.5</x:v>
      </x:c>
      <x:c r="BH506" s="4" t="n">
        <x:v>7.3</x:v>
      </x:c>
      <x:c r="BI506" s="4" t="n">
        <x:v>88</x:v>
      </x:c>
      <x:c r="BJ506" s="4" t="n">
        <x:v>95.2</x:v>
      </x:c>
      <x:c r="BK506" s="4" t="n">
        <x:v>26.1</x:v>
      </x:c>
      <x:c r="BL506" s="4" t="n">
        <x:v>73.9</x:v>
      </x:c>
      <x:c r="BM506" s="4" t="n">
        <x:v>11.833333333333334</x:v>
      </x:c>
      <x:c r="BN506" s="4" t="n">
        <x:v>9.416666666666666</x:v>
      </x:c>
      <x:c r="BO506" s="10" t="n">
        <x:v>4</x:v>
      </x:c>
      <x:c r="BP506" s="10" t="n">
        <x:v>19</x:v>
      </x:c>
      <x:c r="BQ506" s="4" t="n">
        <x:v>-9.1</x:v>
      </x:c>
      <x:c r="BR506" s="10" t="n">
        <x:v>79</x:v>
      </x:c>
      <x:c r="BS506" s="4" t="n">
        <x:v>57</x:v>
      </x:c>
      <x:c r="BT506" s="10" t="n">
        <x:v>56</x:v>
      </x:c>
      <x:c r="BU506" s="4" t="str">
        <x:v>TOR</x:v>
      </x:c>
      <x:c r="BV506" s="10" t="n">
        <x:v>391</x:v>
      </x:c>
      <x:c r="BW506" s="10"/>
      <x:c r="BX506" s="10" t="n">
        <x:v>457</x:v>
      </x:c>
      <x:c r="BY506" s="4" t="str">
        <x:v>Calle Jarnkrok</x:v>
      </x:c>
      <x:c r="BZ506" s="4"/>
      <x:c r="CA506" s="4" t="str">
        <x:v>Calle Järnkrok</x:v>
      </x:c>
      <x:c r="CB506" s="4" t="str">
        <x:v>jarnkca01</x:v>
      </x:c>
    </x:row>
    <x:row r="507" ht="22" customHeight="1">
      <x:c r="A507" s="4" t="str">
        <x:v>Calum Ritchie</x:v>
      </x:c>
      <x:c r="B507" s="4" t="str">
        <x:v>calumritchie</x:v>
      </x:c>
      <x:c r="C507" s="10" t="n">
        <x:v>0</x:v>
      </x:c>
      <x:c r="D507" s="10" t="n">
        <x:v>1</x:v>
      </x:c>
      <x:c r="E507" s="10" t="n">
        <x:v>1</x:v>
      </x:c>
      <x:c r="F507" s="4" t="str">
        <x:f>IF(COUNT(N507,Q507,T507,W507,Z507,AC507,AF507,AI507)=8,N507*Guide!$E$5+Q507*Guide!$E$6+T507*Guide!$E$7+W507*Guide!$E$8+Z507*Guide!$E$9+AC507*Guide!$E$10+AF507*Guide!$E$11+AI507*Guide!$E$12,"")</x:f>
      </x:c>
      <x:c r="G507" s="4" t="n">
        <x:f>IF(COUNT(O507,R507,U507,X507,AA507,AD507,AG507,AJ507)=8,O507*Guide!$E$5+R507*Guide!$E$6+U507*Guide!$E$7+X507*Guide!$E$8+AA507*Guide!$E$9+AD507*Guide!$E$10+AG507*Guide!$E$11+AJ507*Guide!$E$12,"")</x:f>
        <x:v>149.5</x:v>
      </x:c>
      <x:c r="H507" s="4" t="str">
        <x:f>IF(COUNT(G507,F507)=2,G507-F507,"")</x:f>
      </x:c>
      <x:c r="I507" s="4" t="str">
        <x:f>IF(AND(ISNUMBER(F507),K507&gt;0),F507/K507,"")</x:f>
      </x:c>
      <x:c r="J507" s="4" t="n">
        <x:f>IF(AND(ISNUMBER(G507),L507&gt;0),G507/L507,"")</x:f>
        <x:v>2.3</x:v>
      </x:c>
      <x:c r="K507" s="10"/>
      <x:c r="L507" s="10" t="n">
        <x:v>65</x:v>
      </x:c>
      <x:c r="M507" s="10" t="str">
        <x:f>IF(COUNT(L507,K507)=2,L507-K507,"")</x:f>
      </x:c>
      <x:c r="N507" s="10"/>
      <x:c r="O507" s="10" t="n">
        <x:v>13</x:v>
      </x:c>
      <x:c r="P507" s="10" t="str">
        <x:f>IF(COUNT(O507,N507)=2,O507-N507,"")</x:f>
      </x:c>
      <x:c r="Q507" s="10"/>
      <x:c r="R507" s="10" t="n">
        <x:v>17</x:v>
      </x:c>
      <x:c r="S507" s="10" t="str">
        <x:f>IF(COUNT(R507,Q507)=2,R507-Q507,"")</x:f>
      </x:c>
      <x:c r="T507" s="10"/>
      <x:c r="U507" s="10" t="n">
        <x:v>-14</x:v>
      </x:c>
      <x:c r="V507" s="10" t="str">
        <x:f>IF(COUNT(U507,T507)=2,U507-T507,"")</x:f>
      </x:c>
      <x:c r="W507" s="10"/>
      <x:c r="X507" s="10" t="n">
        <x:f>IF(COUNT(AV507,AW507)=2,AV507+AW507,"")</x:f>
        <x:v>11</x:v>
      </x:c>
      <x:c r="Y507" s="10" t="str">
        <x:f>IF(COUNT(X507,W507)=2,X507-W507,"")</x:f>
      </x:c>
      <x:c r="Z507" s="10"/>
      <x:c r="AA507" s="10" t="n">
        <x:f>IF(COUNT(AX507,AY507)=2,AX507+AY507,"")</x:f>
        <x:v>0</x:v>
      </x:c>
      <x:c r="AB507" s="10" t="str">
        <x:f>IF(COUNT(AA507,Z507)=2,AA507-Z507,"")</x:f>
      </x:c>
      <x:c r="AC507" s="10"/>
      <x:c r="AD507" s="10" t="n">
        <x:v>79</x:v>
      </x:c>
      <x:c r="AE507" s="10" t="str">
        <x:f>IF(COUNT(AD507,AC507)=2,AD507-AC507,"")</x:f>
      </x:c>
      <x:c r="AF507" s="10"/>
      <x:c r="AG507" s="10" t="n">
        <x:v>17</x:v>
      </x:c>
      <x:c r="AH507" s="10" t="str">
        <x:f>IF(COUNT(AG507,AF507)=2,AG507-AF507,"")</x:f>
      </x:c>
      <x:c r="AI507" s="10"/>
      <x:c r="AJ507" s="10" t="n">
        <x:v>34</x:v>
      </x:c>
      <x:c r="AK507" s="10" t="str">
        <x:f>IF(COUNT(AJ507,AI507)=2,AJ507-AI507,"")</x:f>
      </x:c>
      <x:c r="AL507" s="10"/>
      <x:c r="AM507" s="10" t="n">
        <x:v>21</x:v>
      </x:c>
      <x:c r="AN507" s="4"/>
      <x:c r="AO507" s="4" t="str">
        <x:v>C</x:v>
      </x:c>
      <x:c r="AP507" s="4"/>
      <x:c r="AQ507" s="4" t="str">
        <x:v>NYI</x:v>
      </x:c>
      <x:c r="AR507" s="4"/>
      <x:c r="AS507" s="4" t="n">
        <x:v>13.466666666666667</x:v>
      </x:c>
      <x:c r="AT507" s="4"/>
      <x:c r="AU507" s="4" t="n">
        <x:v>16.5</x:v>
      </x:c>
      <x:c r="AV507" s="10" t="n">
        <x:v>5</x:v>
      </x:c>
      <x:c r="AW507" s="10" t="n">
        <x:v>6</x:v>
      </x:c>
      <x:c r="AX507" s="10" t="n">
        <x:v>0</x:v>
      </x:c>
      <x:c r="AY507" s="10" t="n">
        <x:v>0</x:v>
      </x:c>
      <x:c r="AZ507" s="10" t="n">
        <x:v>676</x:v>
      </x:c>
      <x:c r="BA507" s="10" t="n">
        <x:v>747</x:v>
      </x:c>
      <x:c r="BB507" s="4" t="n">
        <x:v>47.5</x:v>
      </x:c>
      <x:c r="BC507" s="4" t="n">
        <x:v>-2.5</x:v>
      </x:c>
      <x:c r="BD507" s="10" t="n">
        <x:v>500</x:v>
      </x:c>
      <x:c r="BE507" s="10" t="n">
        <x:v>544</x:v>
      </x:c>
      <x:c r="BF507" s="4" t="n">
        <x:v>47.9</x:v>
      </x:c>
      <x:c r="BG507" s="4" t="n">
        <x:v>-2.2</x:v>
      </x:c>
      <x:c r="BH507" s="4" t="n">
        <x:v>7.2</x:v>
      </x:c>
      <x:c r="BI507" s="4" t="n">
        <x:v>89.7</x:v>
      </x:c>
      <x:c r="BJ507" s="4" t="n">
        <x:v>96.9</x:v>
      </x:c>
      <x:c r="BK507" s="4" t="n">
        <x:v>62.6</x:v>
      </x:c>
      <x:c r="BL507" s="4" t="n">
        <x:v>37.4</x:v>
      </x:c>
      <x:c r="BM507" s="4" t="n">
        <x:v>13.466666666666667</x:v>
      </x:c>
      <x:c r="BN507" s="4" t="n">
        <x:v>11.4</x:v>
      </x:c>
      <x:c r="BO507" s="10" t="n">
        <x:v>9</x:v>
      </x:c>
      <x:c r="BP507" s="10" t="n">
        <x:v>54</x:v>
      </x:c>
      <x:c r="BQ507" s="4" t="n">
        <x:v>-4.2</x:v>
      </x:c>
      <x:c r="BR507" s="10" t="n">
        <x:v>139</x:v>
      </x:c>
      <x:c r="BS507" s="4" t="n">
        <x:v>57.6</x:v>
      </x:c>
      <x:c r="BT507" s="10" t="n">
        <x:v>65</x:v>
      </x:c>
      <x:c r="BU507" s="4" t="str">
        <x:v>NYI</x:v>
      </x:c>
      <x:c r="BV507" s="10"/>
      <x:c r="BW507" s="10" t="n">
        <x:v>332</x:v>
      </x:c>
      <x:c r="BX507" s="10" t="n">
        <x:v>864</x:v>
      </x:c>
      <x:c r="BY507" s="4"/>
      <x:c r="BZ507" s="4" t="str">
        <x:v>Calum Ritchie</x:v>
      </x:c>
      <x:c r="CA507" s="4" t="str">
        <x:v>Calum Ritchie</x:v>
      </x:c>
      <x:c r="CB507" s="4" t="str">
        <x:v>ritchca01</x:v>
      </x:c>
    </x:row>
    <x:row r="508" ht="22" customHeight="1">
      <x:c r="A508" s="4" t="str">
        <x:v>Calvin de Haan</x:v>
      </x:c>
      <x:c r="B508" s="4" t="str">
        <x:v>calvindehaan</x:v>
      </x:c>
      <x:c r="C508" s="10" t="n">
        <x:v>1</x:v>
      </x:c>
      <x:c r="D508" s="10" t="n">
        <x:v>0</x:v>
      </x:c>
      <x:c r="E508" s="10" t="n">
        <x:v>0</x:v>
      </x:c>
      <x:c r="F508" s="4" t="n">
        <x:f>IF(COUNT(N508,Q508,T508,W508,Z508,AC508,AF508,AI508)=8,N508*Guide!$E$5+Q508*Guide!$E$6+T508*Guide!$E$7+W508*Guide!$E$8+Z508*Guide!$E$9+AC508*Guide!$E$10+AF508*Guide!$E$11+AI508*Guide!$E$12,"")</x:f>
        <x:v>130.75</x:v>
      </x:c>
      <x:c r="G508" s="4" t="str">
        <x:f>IF(COUNT(O508,R508,U508,X508,AA508,AD508,AG508,AJ508)=8,O508*Guide!$E$5+R508*Guide!$E$6+U508*Guide!$E$7+X508*Guide!$E$8+AA508*Guide!$E$9+AD508*Guide!$E$10+AG508*Guide!$E$11+AJ508*Guide!$E$12,"")</x:f>
      </x:c>
      <x:c r="H508" s="4" t="str">
        <x:f>IF(COUNT(G508,F508)=2,G508-F508,"")</x:f>
      </x:c>
      <x:c r="I508" s="4" t="n">
        <x:f>IF(AND(ISNUMBER(F508),K508&gt;0),F508/K508,"")</x:f>
        <x:v>2.2543103448275863</x:v>
      </x:c>
      <x:c r="J508" s="4" t="str">
        <x:f>IF(AND(ISNUMBER(G508),L508&gt;0),G508/L508,"")</x:f>
      </x:c>
      <x:c r="K508" s="10" t="n">
        <x:v>58</x:v>
      </x:c>
      <x:c r="L508" s="10"/>
      <x:c r="M508" s="10" t="str">
        <x:f>IF(COUNT(L508,K508)=2,L508-K508,"")</x:f>
      </x:c>
      <x:c r="N508" s="10" t="n">
        <x:v>2</x:v>
      </x:c>
      <x:c r="O508" s="10"/>
      <x:c r="P508" s="10" t="str">
        <x:f>IF(COUNT(O508,N508)=2,O508-N508,"")</x:f>
      </x:c>
      <x:c r="Q508" s="10" t="n">
        <x:v>10</x:v>
      </x:c>
      <x:c r="R508" s="10"/>
      <x:c r="S508" s="10" t="str">
        <x:f>IF(COUNT(R508,Q508)=2,R508-Q508,"")</x:f>
      </x:c>
      <x:c r="T508" s="10" t="n">
        <x:v>4</x:v>
      </x:c>
      <x:c r="U508" s="10"/>
      <x:c r="V508" s="10" t="str">
        <x:f>IF(COUNT(U508,T508)=2,U508-T508,"")</x:f>
      </x:c>
      <x:c r="W508" s="10" t="n">
        <x:v>1</x:v>
      </x:c>
      <x:c r="X508" s="10" t="str">
        <x:f>IF(COUNT(AV508,AW508)=2,AV508+AW508,"")</x:f>
      </x:c>
      <x:c r="Y508" s="10" t="str">
        <x:f>IF(COUNT(X508,W508)=2,X508-W508,"")</x:f>
      </x:c>
      <x:c r="Z508" s="10" t="n">
        <x:v>0</x:v>
      </x:c>
      <x:c r="AA508" s="10" t="str">
        <x:f>IF(COUNT(AX508,AY508)=2,AX508+AY508,"")</x:f>
      </x:c>
      <x:c r="AB508" s="10" t="str">
        <x:f>IF(COUNT(AA508,Z508)=2,AA508-Z508,"")</x:f>
      </x:c>
      <x:c r="AC508" s="10" t="n">
        <x:v>60</x:v>
      </x:c>
      <x:c r="AD508" s="10"/>
      <x:c r="AE508" s="10" t="str">
        <x:f>IF(COUNT(AD508,AC508)=2,AD508-AC508,"")</x:f>
      </x:c>
      <x:c r="AF508" s="10" t="n">
        <x:v>81</x:v>
      </x:c>
      <x:c r="AG508" s="10"/>
      <x:c r="AH508" s="10" t="str">
        <x:f>IF(COUNT(AG508,AF508)=2,AG508-AF508,"")</x:f>
      </x:c>
      <x:c r="AI508" s="10" t="n">
        <x:v>70</x:v>
      </x:c>
      <x:c r="AJ508" s="10"/>
      <x:c r="AK508" s="10" t="str">
        <x:f>IF(COUNT(AJ508,AI508)=2,AJ508-AI508,"")</x:f>
      </x:c>
      <x:c r="AL508" s="10" t="n">
        <x:v>34</x:v>
      </x:c>
      <x:c r="AM508" s="10"/>
      <x:c r="AN508" s="4" t="str">
        <x:v>D</x:v>
      </x:c>
      <x:c r="AO508" s="4"/>
      <x:c r="AP508" s="4" t="str">
        <x:v>NYR</x:v>
      </x:c>
      <x:c r="AQ508" s="4"/>
      <x:c r="AR508" s="4" t="n">
        <x:v>15.370000000000001</x:v>
      </x:c>
      <x:c r="AS508" s="4"/>
      <x:c r="AT508" s="4" t="n">
        <x:v>0.15</x:v>
      </x:c>
      <x:c r="AU508" s="4"/>
      <x:c r="AV508" s="10"/>
      <x:c r="AW508" s="10"/>
      <x:c r="AX508" s="10"/>
      <x:c r="AY508" s="10"/>
      <x:c r="AZ508" s="10"/>
      <x:c r="BA508" s="10"/>
      <x:c r="BB508" s="4"/>
      <x:c r="BC508" s="4"/>
      <x:c r="BD508" s="10"/>
      <x:c r="BE508" s="10"/>
      <x:c r="BF508" s="4"/>
      <x:c r="BG508" s="4"/>
      <x:c r="BH508" s="4"/>
      <x:c r="BI508" s="4"/>
      <x:c r="BJ508" s="4"/>
      <x:c r="BK508" s="4"/>
      <x:c r="BL508" s="4"/>
      <x:c r="BM508" s="4"/>
      <x:c r="BN508" s="4"/>
      <x:c r="BO508" s="10"/>
      <x:c r="BP508" s="10"/>
      <x:c r="BQ508" s="4"/>
      <x:c r="BR508" s="10"/>
      <x:c r="BS508" s="4"/>
      <x:c r="BT508" s="10"/>
      <x:c r="BU508" s="4"/>
      <x:c r="BV508" s="10" t="n">
        <x:v>690</x:v>
      </x:c>
      <x:c r="BW508" s="10"/>
      <x:c r="BX508" s="10"/>
      <x:c r="BY508" s="4" t="str">
        <x:v>Calvin de Haan</x:v>
      </x:c>
      <x:c r="BZ508" s="4"/>
      <x:c r="CA508" s="4"/>
      <x:c r="CB508" s="4"/>
    </x:row>
    <x:row r="509" ht="22" customHeight="1">
      <x:c r="A509" s="4" t="str">
        <x:v>Cam Atkinson</x:v>
      </x:c>
      <x:c r="B509" s="4" t="str">
        <x:v>camatkinson</x:v>
      </x:c>
      <x:c r="C509" s="10" t="n">
        <x:v>1</x:v>
      </x:c>
      <x:c r="D509" s="10" t="n">
        <x:v>0</x:v>
      </x:c>
      <x:c r="E509" s="10" t="n">
        <x:v>0</x:v>
      </x:c>
      <x:c r="F509" s="4" t="n">
        <x:f>IF(COUNT(N509,Q509,T509,W509,Z509,AC509,AF509,AI509)=8,N509*Guide!$E$5+Q509*Guide!$E$6+T509*Guide!$E$7+W509*Guide!$E$8+Z509*Guide!$E$9+AC509*Guide!$E$10+AF509*Guide!$E$11+AI509*Guide!$E$12,"")</x:f>
        <x:v>87.5</x:v>
      </x:c>
      <x:c r="G509" s="4" t="str">
        <x:f>IF(COUNT(O509,R509,U509,X509,AA509,AD509,AG509,AJ509)=8,O509*Guide!$E$5+R509*Guide!$E$6+U509*Guide!$E$7+X509*Guide!$E$8+AA509*Guide!$E$9+AD509*Guide!$E$10+AG509*Guide!$E$11+AJ509*Guide!$E$12,"")</x:f>
      </x:c>
      <x:c r="H509" s="4" t="str">
        <x:f>IF(COUNT(G509,F509)=2,G509-F509,"")</x:f>
      </x:c>
      <x:c r="I509" s="4" t="n">
        <x:f>IF(AND(ISNUMBER(F509),K509&gt;0),F509/K509,"")</x:f>
        <x:v>1.6203703703703705</x:v>
      </x:c>
      <x:c r="J509" s="4" t="str">
        <x:f>IF(AND(ISNUMBER(G509),L509&gt;0),G509/L509,"")</x:f>
      </x:c>
      <x:c r="K509" s="10" t="n">
        <x:v>54</x:v>
      </x:c>
      <x:c r="L509" s="10"/>
      <x:c r="M509" s="10" t="str">
        <x:f>IF(COUNT(L509,K509)=2,L509-K509,"")</x:f>
      </x:c>
      <x:c r="N509" s="10" t="n">
        <x:v>7</x:v>
      </x:c>
      <x:c r="O509" s="10"/>
      <x:c r="P509" s="10" t="str">
        <x:f>IF(COUNT(O509,N509)=2,O509-N509,"")</x:f>
      </x:c>
      <x:c r="Q509" s="10" t="n">
        <x:v>8</x:v>
      </x:c>
      <x:c r="R509" s="10"/>
      <x:c r="S509" s="10" t="str">
        <x:f>IF(COUNT(R509,Q509)=2,R509-Q509,"")</x:f>
      </x:c>
      <x:c r="T509" s="10" t="n">
        <x:v>-3</x:v>
      </x:c>
      <x:c r="U509" s="10"/>
      <x:c r="V509" s="10" t="str">
        <x:f>IF(COUNT(U509,T509)=2,U509-T509,"")</x:f>
      </x:c>
      <x:c r="W509" s="10" t="n">
        <x:v>2</x:v>
      </x:c>
      <x:c r="X509" s="10" t="str">
        <x:f>IF(COUNT(AV509,AW509)=2,AV509+AW509,"")</x:f>
      </x:c>
      <x:c r="Y509" s="10" t="str">
        <x:f>IF(COUNT(X509,W509)=2,X509-W509,"")</x:f>
      </x:c>
      <x:c r="Z509" s="10" t="n">
        <x:v>0</x:v>
      </x:c>
      <x:c r="AA509" s="10" t="str">
        <x:f>IF(COUNT(AX509,AY509)=2,AX509+AY509,"")</x:f>
      </x:c>
      <x:c r="AB509" s="10" t="str">
        <x:f>IF(COUNT(AA509,Z509)=2,AA509-Z509,"")</x:f>
      </x:c>
      <x:c r="AC509" s="10" t="n">
        <x:v>67</x:v>
      </x:c>
      <x:c r="AD509" s="10"/>
      <x:c r="AE509" s="10" t="str">
        <x:f>IF(COUNT(AD509,AC509)=2,AD509-AC509,"")</x:f>
      </x:c>
      <x:c r="AF509" s="10" t="n">
        <x:v>22</x:v>
      </x:c>
      <x:c r="AG509" s="10"/>
      <x:c r="AH509" s="10" t="str">
        <x:f>IF(COUNT(AG509,AF509)=2,AG509-AF509,"")</x:f>
      </x:c>
      <x:c r="AI509" s="10" t="n">
        <x:v>19</x:v>
      </x:c>
      <x:c r="AJ509" s="10"/>
      <x:c r="AK509" s="10" t="str">
        <x:f>IF(COUNT(AJ509,AI509)=2,AJ509-AI509,"")</x:f>
      </x:c>
      <x:c r="AL509" s="10" t="n">
        <x:v>36</x:v>
      </x:c>
      <x:c r="AM509" s="10"/>
      <x:c r="AN509" s="4" t="str">
        <x:v>RW</x:v>
      </x:c>
      <x:c r="AO509" s="4"/>
      <x:c r="AP509" s="4" t="str">
        <x:v>TB</x:v>
      </x:c>
      <x:c r="AQ509" s="4"/>
      <x:c r="AR509" s="4" t="n">
        <x:v>9.819999999999999</x:v>
      </x:c>
      <x:c r="AS509" s="4"/>
      <x:c r="AT509" s="4" t="n">
        <x:v>0.79</x:v>
      </x:c>
      <x:c r="AU509" s="4"/>
      <x:c r="AV509" s="10"/>
      <x:c r="AW509" s="10"/>
      <x:c r="AX509" s="10"/>
      <x:c r="AY509" s="10"/>
      <x:c r="AZ509" s="10"/>
      <x:c r="BA509" s="10"/>
      <x:c r="BB509" s="4"/>
      <x:c r="BC509" s="4"/>
      <x:c r="BD509" s="10"/>
      <x:c r="BE509" s="10"/>
      <x:c r="BF509" s="4"/>
      <x:c r="BG509" s="4"/>
      <x:c r="BH509" s="4"/>
      <x:c r="BI509" s="4"/>
      <x:c r="BJ509" s="4"/>
      <x:c r="BK509" s="4"/>
      <x:c r="BL509" s="4"/>
      <x:c r="BM509" s="4"/>
      <x:c r="BN509" s="4"/>
      <x:c r="BO509" s="10"/>
      <x:c r="BP509" s="10"/>
      <x:c r="BQ509" s="4"/>
      <x:c r="BR509" s="10"/>
      <x:c r="BS509" s="4"/>
      <x:c r="BT509" s="10"/>
      <x:c r="BU509" s="4"/>
      <x:c r="BV509" s="10" t="n">
        <x:v>638</x:v>
      </x:c>
      <x:c r="BW509" s="10"/>
      <x:c r="BX509" s="10"/>
      <x:c r="BY509" s="4" t="str">
        <x:v>Cam Atkinson</x:v>
      </x:c>
      <x:c r="BZ509" s="4"/>
      <x:c r="CA509" s="4"/>
      <x:c r="CB509" s="4"/>
    </x:row>
    <x:row r="510" ht="22" customHeight="1">
      <x:c r="A510" s="4" t="str">
        <x:v>Cameron Crotty</x:v>
      </x:c>
      <x:c r="B510" s="4" t="str">
        <x:v>cameroncrotty</x:v>
      </x:c>
      <x:c r="C510" s="10" t="n">
        <x:v>0</x:v>
      </x:c>
      <x:c r="D510" s="10" t="n">
        <x:v>0</x:v>
      </x:c>
      <x:c r="E510" s="10" t="n">
        <x:v>1</x:v>
      </x:c>
      <x:c r="F510" s="4" t="str">
        <x:f>IF(COUNT(N510,Q510,T510,W510,Z510,AC510,AF510,AI510)=8,N510*Guide!$E$5+Q510*Guide!$E$6+T510*Guide!$E$7+W510*Guide!$E$8+Z510*Guide!$E$9+AC510*Guide!$E$10+AF510*Guide!$E$11+AI510*Guide!$E$12,"")</x:f>
      </x:c>
      <x:c r="G510" s="4" t="str">
        <x:f>IF(COUNT(O510,R510,U510,X510,AA510,AD510,AG510,AJ510)=8,O510*Guide!$E$5+R510*Guide!$E$6+U510*Guide!$E$7+X510*Guide!$E$8+AA510*Guide!$E$9+AD510*Guide!$E$10+AG510*Guide!$E$11+AJ510*Guide!$E$12,"")</x:f>
      </x:c>
      <x:c r="H510" s="4" t="str">
        <x:f>IF(COUNT(G510,F510)=2,G510-F510,"")</x:f>
      </x:c>
      <x:c r="I510" s="4" t="str">
        <x:f>IF(AND(ISNUMBER(F510),K510&gt;0),F510/K510,"")</x:f>
      </x:c>
      <x:c r="J510" s="4" t="str">
        <x:f>IF(AND(ISNUMBER(G510),L510&gt;0),G510/L510,"")</x:f>
      </x:c>
      <x:c r="K510" s="10"/>
      <x:c r="L510" s="10"/>
      <x:c r="M510" s="10" t="str">
        <x:f>IF(COUNT(L510,K510)=2,L510-K510,"")</x:f>
      </x:c>
      <x:c r="N510" s="10"/>
      <x:c r="O510" s="10"/>
      <x:c r="P510" s="10" t="str">
        <x:f>IF(COUNT(O510,N510)=2,O510-N510,"")</x:f>
      </x:c>
      <x:c r="Q510" s="10"/>
      <x:c r="R510" s="10"/>
      <x:c r="S510" s="10" t="str">
        <x:f>IF(COUNT(R510,Q510)=2,R510-Q510,"")</x:f>
      </x:c>
      <x:c r="T510" s="10"/>
      <x:c r="U510" s="10"/>
      <x:c r="V510" s="10" t="str">
        <x:f>IF(COUNT(U510,T510)=2,U510-T510,"")</x:f>
      </x:c>
      <x:c r="W510" s="10"/>
      <x:c r="X510" s="10" t="str">
        <x:f>IF(COUNT(AV510,AW510)=2,AV510+AW510,"")</x:f>
      </x:c>
      <x:c r="Y510" s="10" t="str">
        <x:f>IF(COUNT(X510,W510)=2,X510-W510,"")</x:f>
      </x:c>
      <x:c r="Z510" s="10"/>
      <x:c r="AA510" s="10" t="str">
        <x:f>IF(COUNT(AX510,AY510)=2,AX510+AY510,"")</x:f>
      </x:c>
      <x:c r="AB510" s="10" t="str">
        <x:f>IF(COUNT(AA510,Z510)=2,AA510-Z510,"")</x:f>
      </x:c>
      <x:c r="AC510" s="10"/>
      <x:c r="AD510" s="10"/>
      <x:c r="AE510" s="10" t="str">
        <x:f>IF(COUNT(AD510,AC510)=2,AD510-AC510,"")</x:f>
      </x:c>
      <x:c r="AF510" s="10"/>
      <x:c r="AG510" s="10"/>
      <x:c r="AH510" s="10" t="str">
        <x:f>IF(COUNT(AG510,AF510)=2,AG510-AF510,"")</x:f>
      </x:c>
      <x:c r="AI510" s="10"/>
      <x:c r="AJ510" s="10"/>
      <x:c r="AK510" s="10" t="str">
        <x:f>IF(COUNT(AJ510,AI510)=2,AJ510-AI510,"")</x:f>
      </x:c>
      <x:c r="AL510" s="10"/>
      <x:c r="AM510" s="10"/>
      <x:c r="AN510" s="4"/>
      <x:c r="AO510" s="4"/>
      <x:c r="AP510" s="4"/>
      <x:c r="AQ510" s="4"/>
      <x:c r="AR510" s="4"/>
      <x:c r="AS510" s="4"/>
      <x:c r="AT510" s="4"/>
      <x:c r="AU510" s="4"/>
      <x:c r="AV510" s="10"/>
      <x:c r="AW510" s="10"/>
      <x:c r="AX510" s="10"/>
      <x:c r="AY510" s="10"/>
      <x:c r="AZ510" s="10" t="n">
        <x:v>64</x:v>
      </x:c>
      <x:c r="BA510" s="10" t="n">
        <x:v>67</x:v>
      </x:c>
      <x:c r="BB510" s="4" t="n">
        <x:v>48.9</x:v>
      </x:c>
      <x:c r="BC510" s="4" t="n">
        <x:v>-4</x:v>
      </x:c>
      <x:c r="BD510" s="10" t="n">
        <x:v>51</x:v>
      </x:c>
      <x:c r="BE510" s="10" t="n">
        <x:v>55</x:v>
      </x:c>
      <x:c r="BF510" s="4" t="n">
        <x:v>48.1</x:v>
      </x:c>
      <x:c r="BG510" s="4" t="n">
        <x:v>-6.5</x:v>
      </x:c>
      <x:c r="BH510" s="4" t="n">
        <x:v>11.4</x:v>
      </x:c>
      <x:c r="BI510" s="4" t="n">
        <x:v>87.1</x:v>
      </x:c>
      <x:c r="BJ510" s="4" t="n">
        <x:v>98.5</x:v>
      </x:c>
      <x:c r="BK510" s="4" t="n">
        <x:v>40.6</x:v>
      </x:c>
      <x:c r="BL510" s="4" t="n">
        <x:v>59.4</x:v>
      </x:c>
      <x:c r="BM510" s="4" t="n">
        <x:v>14.916666666666666</x:v>
      </x:c>
      <x:c r="BN510" s="4" t="n">
        <x:v>13.55</x:v>
      </x:c>
      <x:c r="BO510" s="10" t="n">
        <x:v>2</x:v>
      </x:c>
      <x:c r="BP510" s="10" t="n">
        <x:v>3</x:v>
      </x:c>
      <x:c r="BQ510" s="4" t="n">
        <x:v>1.1</x:v>
      </x:c>
      <x:c r="BR510" s="10" t="n">
        <x:v>9</x:v>
      </x:c>
      <x:c r="BS510" s="4" t="n">
        <x:v>55.6</x:v>
      </x:c>
      <x:c r="BT510" s="10" t="n">
        <x:v>6</x:v>
      </x:c>
      <x:c r="BU510" s="4" t="str">
        <x:v>OTT</x:v>
      </x:c>
      <x:c r="BV510" s="10"/>
      <x:c r="BW510" s="10"/>
      <x:c r="BX510" s="10" t="n">
        <x:v>184</x:v>
      </x:c>
      <x:c r="BY510" s="4"/>
      <x:c r="BZ510" s="4"/>
      <x:c r="CA510" s="4" t="str">
        <x:v>Cameron Crotty</x:v>
      </x:c>
      <x:c r="CB510" s="4" t="str">
        <x:v>crottca01</x:v>
      </x:c>
    </x:row>
    <x:row r="511" ht="22" customHeight="1">
      <x:c r="A511" s="4" t="str">
        <x:v>Cameron Hughes</x:v>
      </x:c>
      <x:c r="B511" s="4" t="str">
        <x:v>cameronhughes</x:v>
      </x:c>
      <x:c r="C511" s="10" t="n">
        <x:v>0</x:v>
      </x:c>
      <x:c r="D511" s="10" t="n">
        <x:v>0</x:v>
      </x:c>
      <x:c r="E511" s="10" t="n">
        <x:v>1</x:v>
      </x:c>
      <x:c r="F511" s="4" t="str">
        <x:f>IF(COUNT(N511,Q511,T511,W511,Z511,AC511,AF511,AI511)=8,N511*Guide!$E$5+Q511*Guide!$E$6+T511*Guide!$E$7+W511*Guide!$E$8+Z511*Guide!$E$9+AC511*Guide!$E$10+AF511*Guide!$E$11+AI511*Guide!$E$12,"")</x:f>
      </x:c>
      <x:c r="G511" s="4" t="str">
        <x:f>IF(COUNT(O511,R511,U511,X511,AA511,AD511,AG511,AJ511)=8,O511*Guide!$E$5+R511*Guide!$E$6+U511*Guide!$E$7+X511*Guide!$E$8+AA511*Guide!$E$9+AD511*Guide!$E$10+AG511*Guide!$E$11+AJ511*Guide!$E$12,"")</x:f>
      </x:c>
      <x:c r="H511" s="4" t="str">
        <x:f>IF(COUNT(G511,F511)=2,G511-F511,"")</x:f>
      </x:c>
      <x:c r="I511" s="4" t="str">
        <x:f>IF(AND(ISNUMBER(F511),K511&gt;0),F511/K511,"")</x:f>
      </x:c>
      <x:c r="J511" s="4" t="str">
        <x:f>IF(AND(ISNUMBER(G511),L511&gt;0),G511/L511,"")</x:f>
      </x:c>
      <x:c r="K511" s="10"/>
      <x:c r="L511" s="10"/>
      <x:c r="M511" s="10" t="str">
        <x:f>IF(COUNT(L511,K511)=2,L511-K511,"")</x:f>
      </x:c>
      <x:c r="N511" s="10"/>
      <x:c r="O511" s="10"/>
      <x:c r="P511" s="10" t="str">
        <x:f>IF(COUNT(O511,N511)=2,O511-N511,"")</x:f>
      </x:c>
      <x:c r="Q511" s="10"/>
      <x:c r="R511" s="10"/>
      <x:c r="S511" s="10" t="str">
        <x:f>IF(COUNT(R511,Q511)=2,R511-Q511,"")</x:f>
      </x:c>
      <x:c r="T511" s="10"/>
      <x:c r="U511" s="10"/>
      <x:c r="V511" s="10" t="str">
        <x:f>IF(COUNT(U511,T511)=2,U511-T511,"")</x:f>
      </x:c>
      <x:c r="W511" s="10"/>
      <x:c r="X511" s="10" t="str">
        <x:f>IF(COUNT(AV511,AW511)=2,AV511+AW511,"")</x:f>
      </x:c>
      <x:c r="Y511" s="10" t="str">
        <x:f>IF(COUNT(X511,W511)=2,X511-W511,"")</x:f>
      </x:c>
      <x:c r="Z511" s="10"/>
      <x:c r="AA511" s="10" t="str">
        <x:f>IF(COUNT(AX511,AY511)=2,AX511+AY511,"")</x:f>
      </x:c>
      <x:c r="AB511" s="10" t="str">
        <x:f>IF(COUNT(AA511,Z511)=2,AA511-Z511,"")</x:f>
      </x:c>
      <x:c r="AC511" s="10"/>
      <x:c r="AD511" s="10"/>
      <x:c r="AE511" s="10" t="str">
        <x:f>IF(COUNT(AD511,AC511)=2,AD511-AC511,"")</x:f>
      </x:c>
      <x:c r="AF511" s="10"/>
      <x:c r="AG511" s="10"/>
      <x:c r="AH511" s="10" t="str">
        <x:f>IF(COUNT(AG511,AF511)=2,AG511-AF511,"")</x:f>
      </x:c>
      <x:c r="AI511" s="10"/>
      <x:c r="AJ511" s="10"/>
      <x:c r="AK511" s="10" t="str">
        <x:f>IF(COUNT(AJ511,AI511)=2,AJ511-AI511,"")</x:f>
      </x:c>
      <x:c r="AL511" s="10"/>
      <x:c r="AM511" s="10"/>
      <x:c r="AN511" s="4"/>
      <x:c r="AO511" s="4"/>
      <x:c r="AP511" s="4"/>
      <x:c r="AQ511" s="4"/>
      <x:c r="AR511" s="4"/>
      <x:c r="AS511" s="4"/>
      <x:c r="AT511" s="4"/>
      <x:c r="AU511" s="4"/>
      <x:c r="AV511" s="10"/>
      <x:c r="AW511" s="10"/>
      <x:c r="AX511" s="10"/>
      <x:c r="AY511" s="10"/>
      <x:c r="AZ511" s="10" t="n">
        <x:v>11</x:v>
      </x:c>
      <x:c r="BA511" s="10" t="n">
        <x:v>23</x:v>
      </x:c>
      <x:c r="BB511" s="4" t="n">
        <x:v>32.4</x:v>
      </x:c>
      <x:c r="BC511" s="4" t="n">
        <x:v>-11.5</x:v>
      </x:c>
      <x:c r="BD511" s="10" t="n">
        <x:v>8</x:v>
      </x:c>
      <x:c r="BE511" s="10" t="n">
        <x:v>15</x:v>
      </x:c>
      <x:c r="BF511" s="4" t="n">
        <x:v>34.8</x:v>
      </x:c>
      <x:c r="BG511" s="4" t="n">
        <x:v>-10</x:v>
      </x:c>
      <x:c r="BH511" s="4" t="n">
        <x:v>40</x:v>
      </x:c>
      <x:c r="BI511" s="4" t="n">
        <x:v>100</x:v>
      </x:c>
      <x:c r="BJ511" s="4" t="n">
        <x:v>140</x:v>
      </x:c>
      <x:c r="BK511" s="4" t="n">
        <x:v>22.2</x:v>
      </x:c>
      <x:c r="BL511" s="4" t="n">
        <x:v>77.8</x:v>
      </x:c>
      <x:c r="BM511" s="4" t="n">
        <x:v>7.316666666666666</x:v>
      </x:c>
      <x:c r="BN511" s="4" t="n">
        <x:v>7.316666666666666</x:v>
      </x:c>
      <x:c r="BO511" s="10" t="n">
        <x:v>0</x:v>
      </x:c>
      <x:c r="BP511" s="10" t="n">
        <x:v>1</x:v>
      </x:c>
      <x:c r="BQ511" s="4" t="n">
        <x:v>0.2</x:v>
      </x:c>
      <x:c r="BR511" s="10" t="n">
        <x:v>2</x:v>
      </x:c>
      <x:c r="BS511" s="4" t="n">
        <x:v>100</x:v>
      </x:c>
      <x:c r="BT511" s="10" t="n">
        <x:v>3</x:v>
      </x:c>
      <x:c r="BU511" s="4" t="str">
        <x:v>DAL</x:v>
      </x:c>
      <x:c r="BV511" s="10"/>
      <x:c r="BW511" s="10"/>
      <x:c r="BX511" s="10" t="n">
        <x:v>433</x:v>
      </x:c>
      <x:c r="BY511" s="4"/>
      <x:c r="BZ511" s="4"/>
      <x:c r="CA511" s="4" t="str">
        <x:v>Cameron Hughes</x:v>
      </x:c>
      <x:c r="CB511" s="4" t="str">
        <x:v>hugheca01</x:v>
      </x:c>
    </x:row>
    <x:row r="512" ht="22" customHeight="1">
      <x:c r="A512" s="4" t="str">
        <x:v>Carl Grundstrom</x:v>
      </x:c>
      <x:c r="B512" s="4" t="str">
        <x:v>carlgrundstrom</x:v>
      </x:c>
      <x:c r="C512" s="10" t="n">
        <x:v>1</x:v>
      </x:c>
      <x:c r="D512" s="10" t="n">
        <x:v>0</x:v>
      </x:c>
      <x:c r="E512" s="10" t="n">
        <x:v>1</x:v>
      </x:c>
      <x:c r="F512" s="4" t="n">
        <x:f>IF(COUNT(N512,Q512,T512,W512,Z512,AC512,AF512,AI512)=8,N512*Guide!$E$5+Q512*Guide!$E$6+T512*Guide!$E$7+W512*Guide!$E$8+Z512*Guide!$E$9+AC512*Guide!$E$10+AF512*Guide!$E$11+AI512*Guide!$E$12,"")</x:f>
        <x:v>143.75</x:v>
      </x:c>
      <x:c r="G512" s="4" t="str">
        <x:f>IF(COUNT(O512,R512,U512,X512,AA512,AD512,AG512,AJ512)=8,O512*Guide!$E$5+R512*Guide!$E$6+U512*Guide!$E$7+X512*Guide!$E$8+AA512*Guide!$E$9+AD512*Guide!$E$10+AG512*Guide!$E$11+AJ512*Guide!$E$12,"")</x:f>
      </x:c>
      <x:c r="H512" s="4" t="str">
        <x:f>IF(COUNT(G512,F512)=2,G512-F512,"")</x:f>
      </x:c>
      <x:c r="I512" s="4" t="n">
        <x:f>IF(AND(ISNUMBER(F512),K512&gt;0),F512/K512,"")</x:f>
        <x:v>2.1455223880597014</x:v>
      </x:c>
      <x:c r="J512" s="4" t="str">
        <x:f>IF(AND(ISNUMBER(G512),L512&gt;0),G512/L512,"")</x:f>
      </x:c>
      <x:c r="K512" s="10" t="n">
        <x:v>67</x:v>
      </x:c>
      <x:c r="L512" s="10"/>
      <x:c r="M512" s="10" t="str">
        <x:f>IF(COUNT(L512,K512)=2,L512-K512,"")</x:f>
      </x:c>
      <x:c r="N512" s="10" t="n">
        <x:v>8</x:v>
      </x:c>
      <x:c r="O512" s="10"/>
      <x:c r="P512" s="10" t="str">
        <x:f>IF(COUNT(O512,N512)=2,O512-N512,"")</x:f>
      </x:c>
      <x:c r="Q512" s="10" t="n">
        <x:v>9</x:v>
      </x:c>
      <x:c r="R512" s="10"/>
      <x:c r="S512" s="10" t="str">
        <x:f>IF(COUNT(R512,Q512)=2,R512-Q512,"")</x:f>
      </x:c>
      <x:c r="T512" s="10" t="n">
        <x:v>-3</x:v>
      </x:c>
      <x:c r="U512" s="10"/>
      <x:c r="V512" s="10" t="str">
        <x:f>IF(COUNT(U512,T512)=2,U512-T512,"")</x:f>
      </x:c>
      <x:c r="W512" s="10" t="n">
        <x:v>1</x:v>
      </x:c>
      <x:c r="X512" s="10" t="str">
        <x:f>IF(COUNT(AV512,AW512)=2,AV512+AW512,"")</x:f>
      </x:c>
      <x:c r="Y512" s="10" t="str">
        <x:f>IF(COUNT(X512,W512)=2,X512-W512,"")</x:f>
      </x:c>
      <x:c r="Z512" s="10" t="n">
        <x:v>0</x:v>
      </x:c>
      <x:c r="AA512" s="10" t="str">
        <x:f>IF(COUNT(AX512,AY512)=2,AX512+AY512,"")</x:f>
      </x:c>
      <x:c r="AB512" s="10" t="str">
        <x:f>IF(COUNT(AA512,Z512)=2,AA512-Z512,"")</x:f>
      </x:c>
      <x:c r="AC512" s="10" t="n">
        <x:v>97</x:v>
      </x:c>
      <x:c r="AD512" s="10"/>
      <x:c r="AE512" s="10" t="str">
        <x:f>IF(COUNT(AD512,AC512)=2,AD512-AC512,"")</x:f>
      </x:c>
      <x:c r="AF512" s="10" t="n">
        <x:v>187</x:v>
      </x:c>
      <x:c r="AG512" s="10"/>
      <x:c r="AH512" s="10" t="str">
        <x:f>IF(COUNT(AG512,AF512)=2,AG512-AF512,"")</x:f>
      </x:c>
      <x:c r="AI512" s="10" t="n">
        <x:v>21</x:v>
      </x:c>
      <x:c r="AJ512" s="10"/>
      <x:c r="AK512" s="10" t="str">
        <x:f>IF(COUNT(AJ512,AI512)=2,AJ512-AI512,"")</x:f>
      </x:c>
      <x:c r="AL512" s="10" t="n">
        <x:v>28</x:v>
      </x:c>
      <x:c r="AM512" s="10"/>
      <x:c r="AN512" s="4" t="str">
        <x:v>RW</x:v>
      </x:c>
      <x:c r="AO512" s="4"/>
      <x:c r="AP512" s="4" t="str">
        <x:v>SJ</x:v>
      </x:c>
      <x:c r="AQ512" s="4"/>
      <x:c r="AR512" s="4" t="n">
        <x:v>9.94</x:v>
      </x:c>
      <x:c r="AS512" s="4"/>
      <x:c r="AT512" s="4" t="n">
        <x:v>0.19</x:v>
      </x:c>
      <x:c r="AU512" s="4"/>
      <x:c r="AV512" s="10"/>
      <x:c r="AW512" s="10"/>
      <x:c r="AX512" s="10"/>
      <x:c r="AY512" s="10"/>
      <x:c r="AZ512" s="10" t="n">
        <x:v>403</x:v>
      </x:c>
      <x:c r="BA512" s="10" t="n">
        <x:v>470</x:v>
      </x:c>
      <x:c r="BB512" s="4" t="n">
        <x:v>46.2</x:v>
      </x:c>
      <x:c r="BC512" s="4" t="n">
        <x:v>-3.5</x:v>
      </x:c>
      <x:c r="BD512" s="10" t="n">
        <x:v>279</x:v>
      </x:c>
      <x:c r="BE512" s="10" t="n">
        <x:v>329</x:v>
      </x:c>
      <x:c r="BF512" s="4" t="n">
        <x:v>45.9</x:v>
      </x:c>
      <x:c r="BG512" s="4" t="n">
        <x:v>-4.2</x:v>
      </x:c>
      <x:c r="BH512" s="4" t="n">
        <x:v>12.7</x:v>
      </x:c>
      <x:c r="BI512" s="4" t="n">
        <x:v>91.9</x:v>
      </x:c>
      <x:c r="BJ512" s="4" t="n">
        <x:v>104.5</x:v>
      </x:c>
      <x:c r="BK512" s="4" t="n">
        <x:v>46.8</x:v>
      </x:c>
      <x:c r="BL512" s="4" t="n">
        <x:v>53.2</x:v>
      </x:c>
      <x:c r="BM512" s="4" t="n">
        <x:v>11.85</x:v>
      </x:c>
      <x:c r="BN512" s="4" t="n">
        <x:v>11.083333333333334</x:v>
      </x:c>
      <x:c r="BO512" s="10" t="n">
        <x:v>7</x:v>
      </x:c>
      <x:c r="BP512" s="10" t="n">
        <x:v>21</x:v>
      </x:c>
      <x:c r="BQ512" s="4" t="n">
        <x:v>0.4</x:v>
      </x:c>
      <x:c r="BR512" s="10" t="n">
        <x:v>111</x:v>
      </x:c>
      <x:c r="BS512" s="4" t="n">
        <x:v>50.5</x:v>
      </x:c>
      <x:c r="BT512" s="10" t="n">
        <x:v>47</x:v>
      </x:c>
      <x:c r="BU512" s="4" t="str">
        <x:v>PHI</x:v>
      </x:c>
      <x:c r="BV512" s="10" t="n">
        <x:v>591</x:v>
      </x:c>
      <x:c r="BW512" s="10"/>
      <x:c r="BX512" s="10" t="n">
        <x:v>366</x:v>
      </x:c>
      <x:c r="BY512" s="4" t="str">
        <x:v>Carl Grundstrom</x:v>
      </x:c>
      <x:c r="BZ512" s="4"/>
      <x:c r="CA512" s="4" t="str">
        <x:v>Carl Grundström</x:v>
      </x:c>
      <x:c r="CB512" s="4" t="str">
        <x:v>grundca01</x:v>
      </x:c>
    </x:row>
    <x:row r="513" ht="22" customHeight="1">
      <x:c r="A513" s="4" t="str">
        <x:v>Carson Lambos</x:v>
      </x:c>
      <x:c r="B513" s="4" t="str">
        <x:v>carsonlambos</x:v>
      </x:c>
      <x:c r="C513" s="10" t="n">
        <x:v>0</x:v>
      </x:c>
      <x:c r="D513" s="10" t="n">
        <x:v>0</x:v>
      </x:c>
      <x:c r="E513" s="10" t="n">
        <x:v>1</x:v>
      </x:c>
      <x:c r="F513" s="4" t="str">
        <x:f>IF(COUNT(N513,Q513,T513,W513,Z513,AC513,AF513,AI513)=8,N513*Guide!$E$5+Q513*Guide!$E$6+T513*Guide!$E$7+W513*Guide!$E$8+Z513*Guide!$E$9+AC513*Guide!$E$10+AF513*Guide!$E$11+AI513*Guide!$E$12,"")</x:f>
      </x:c>
      <x:c r="G513" s="4" t="str">
        <x:f>IF(COUNT(O513,R513,U513,X513,AA513,AD513,AG513,AJ513)=8,O513*Guide!$E$5+R513*Guide!$E$6+U513*Guide!$E$7+X513*Guide!$E$8+AA513*Guide!$E$9+AD513*Guide!$E$10+AG513*Guide!$E$11+AJ513*Guide!$E$12,"")</x:f>
      </x:c>
      <x:c r="H513" s="4" t="str">
        <x:f>IF(COUNT(G513,F513)=2,G513-F513,"")</x:f>
      </x:c>
      <x:c r="I513" s="4" t="str">
        <x:f>IF(AND(ISNUMBER(F513),K513&gt;0),F513/K513,"")</x:f>
      </x:c>
      <x:c r="J513" s="4" t="str">
        <x:f>IF(AND(ISNUMBER(G513),L513&gt;0),G513/L513,"")</x:f>
      </x:c>
      <x:c r="K513" s="10"/>
      <x:c r="L513" s="10"/>
      <x:c r="M513" s="10" t="str">
        <x:f>IF(COUNT(L513,K513)=2,L513-K513,"")</x:f>
      </x:c>
      <x:c r="N513" s="10"/>
      <x:c r="O513" s="10"/>
      <x:c r="P513" s="10" t="str">
        <x:f>IF(COUNT(O513,N513)=2,O513-N513,"")</x:f>
      </x:c>
      <x:c r="Q513" s="10"/>
      <x:c r="R513" s="10"/>
      <x:c r="S513" s="10" t="str">
        <x:f>IF(COUNT(R513,Q513)=2,R513-Q513,"")</x:f>
      </x:c>
      <x:c r="T513" s="10"/>
      <x:c r="U513" s="10"/>
      <x:c r="V513" s="10" t="str">
        <x:f>IF(COUNT(U513,T513)=2,U513-T513,"")</x:f>
      </x:c>
      <x:c r="W513" s="10"/>
      <x:c r="X513" s="10" t="str">
        <x:f>IF(COUNT(AV513,AW513)=2,AV513+AW513,"")</x:f>
      </x:c>
      <x:c r="Y513" s="10" t="str">
        <x:f>IF(COUNT(X513,W513)=2,X513-W513,"")</x:f>
      </x:c>
      <x:c r="Z513" s="10"/>
      <x:c r="AA513" s="10" t="str">
        <x:f>IF(COUNT(AX513,AY513)=2,AX513+AY513,"")</x:f>
      </x:c>
      <x:c r="AB513" s="10" t="str">
        <x:f>IF(COUNT(AA513,Z513)=2,AA513-Z513,"")</x:f>
      </x:c>
      <x:c r="AC513" s="10"/>
      <x:c r="AD513" s="10"/>
      <x:c r="AE513" s="10" t="str">
        <x:f>IF(COUNT(AD513,AC513)=2,AD513-AC513,"")</x:f>
      </x:c>
      <x:c r="AF513" s="10"/>
      <x:c r="AG513" s="10"/>
      <x:c r="AH513" s="10" t="str">
        <x:f>IF(COUNT(AG513,AF513)=2,AG513-AF513,"")</x:f>
      </x:c>
      <x:c r="AI513" s="10"/>
      <x:c r="AJ513" s="10"/>
      <x:c r="AK513" s="10" t="str">
        <x:f>IF(COUNT(AJ513,AI513)=2,AJ513-AI513,"")</x:f>
      </x:c>
      <x:c r="AL513" s="10"/>
      <x:c r="AM513" s="10"/>
      <x:c r="AN513" s="4"/>
      <x:c r="AO513" s="4"/>
      <x:c r="AP513" s="4"/>
      <x:c r="AQ513" s="4"/>
      <x:c r="AR513" s="4"/>
      <x:c r="AS513" s="4"/>
      <x:c r="AT513" s="4"/>
      <x:c r="AU513" s="4"/>
      <x:c r="AV513" s="10"/>
      <x:c r="AW513" s="10"/>
      <x:c r="AX513" s="10"/>
      <x:c r="AY513" s="10"/>
      <x:c r="AZ513" s="10" t="n">
        <x:v>11</x:v>
      </x:c>
      <x:c r="BA513" s="10" t="n">
        <x:v>6</x:v>
      </x:c>
      <x:c r="BB513" s="4" t="n">
        <x:v>64.7</x:v>
      </x:c>
      <x:c r="BC513" s="4" t="n">
        <x:v>17.3</x:v>
      </x:c>
      <x:c r="BD513" s="10" t="n">
        <x:v>9</x:v>
      </x:c>
      <x:c r="BE513" s="10" t="n">
        <x:v>3</x:v>
      </x:c>
      <x:c r="BF513" s="4" t="n">
        <x:v>75</x:v>
      </x:c>
      <x:c r="BG513" s="4" t="n">
        <x:v>25</x:v>
      </x:c>
      <x:c r="BH513" s="4" t="n">
        <x:v>16.7</x:v>
      </x:c>
      <x:c r="BI513" s="4" t="n">
        <x:v>100</x:v>
      </x:c>
      <x:c r="BJ513" s="4" t="n">
        <x:v>116.7</x:v>
      </x:c>
      <x:c r="BK513" s="4" t="n">
        <x:v>60</x:v>
      </x:c>
      <x:c r="BL513" s="4" t="n">
        <x:v>40</x:v>
      </x:c>
      <x:c r="BM513" s="4" t="n">
        <x:v>10.266666666666667</x:v>
      </x:c>
      <x:c r="BN513" s="4" t="n">
        <x:v>9.033333333333333</x:v>
      </x:c>
      <x:c r="BO513" s="10" t="n">
        <x:v>0</x:v>
      </x:c>
      <x:c r="BP513" s="10" t="n">
        <x:v>2</x:v>
      </x:c>
      <x:c r="BQ513" s="4" t="n">
        <x:v>0.7</x:v>
      </x:c>
      <x:c r="BR513" s="10" t="n">
        <x:v>2</x:v>
      </x:c>
      <x:c r="BS513" s="4" t="n">
        <x:v>50</x:v>
      </x:c>
      <x:c r="BT513" s="10" t="n">
        <x:v>1</x:v>
      </x:c>
      <x:c r="BU513" s="4" t="str">
        <x:v>MIN</x:v>
      </x:c>
      <x:c r="BV513" s="10"/>
      <x:c r="BW513" s="10"/>
      <x:c r="BX513" s="10" t="n">
        <x:v>569</x:v>
      </x:c>
      <x:c r="BY513" s="4"/>
      <x:c r="BZ513" s="4"/>
      <x:c r="CA513" s="4" t="str">
        <x:v>Carson Lambos</x:v>
      </x:c>
      <x:c r="CB513" s="4" t="str">
        <x:v>lamboca01</x:v>
      </x:c>
    </x:row>
    <x:row r="514" ht="22" customHeight="1">
      <x:c r="A514" s="4" t="str">
        <x:v>Carson Soucy</x:v>
      </x:c>
      <x:c r="B514" s="4" t="str">
        <x:v>carsonsoucy</x:v>
      </x:c>
      <x:c r="C514" s="10" t="n">
        <x:v>1</x:v>
      </x:c>
      <x:c r="D514" s="10" t="n">
        <x:v>0</x:v>
      </x:c>
      <x:c r="E514" s="10" t="n">
        <x:v>1</x:v>
      </x:c>
      <x:c r="F514" s="4" t="n">
        <x:f>IF(COUNT(N514,Q514,T514,W514,Z514,AC514,AF514,AI514)=8,N514*Guide!$E$5+Q514*Guide!$E$6+T514*Guide!$E$7+W514*Guide!$E$8+Z514*Guide!$E$9+AC514*Guide!$E$10+AF514*Guide!$E$11+AI514*Guide!$E$12,"")</x:f>
        <x:v>173.75</x:v>
      </x:c>
      <x:c r="G514" s="4" t="str">
        <x:f>IF(COUNT(O514,R514,U514,X514,AA514,AD514,AG514,AJ514)=8,O514*Guide!$E$5+R514*Guide!$E$6+U514*Guide!$E$7+X514*Guide!$E$8+AA514*Guide!$E$9+AD514*Guide!$E$10+AG514*Guide!$E$11+AJ514*Guide!$E$12,"")</x:f>
      </x:c>
      <x:c r="H514" s="4" t="str">
        <x:f>IF(COUNT(G514,F514)=2,G514-F514,"")</x:f>
      </x:c>
      <x:c r="I514" s="4" t="n">
        <x:f>IF(AND(ISNUMBER(F514),K514&gt;0),F514/K514,"")</x:f>
        <x:v>2.316666666666667</x:v>
      </x:c>
      <x:c r="J514" s="4" t="str">
        <x:f>IF(AND(ISNUMBER(G514),L514&gt;0),G514/L514,"")</x:f>
      </x:c>
      <x:c r="K514" s="10" t="n">
        <x:v>75</x:v>
      </x:c>
      <x:c r="L514" s="10"/>
      <x:c r="M514" s="10" t="str">
        <x:f>IF(COUNT(L514,K514)=2,L514-K514,"")</x:f>
      </x:c>
      <x:c r="N514" s="10" t="n">
        <x:v>4</x:v>
      </x:c>
      <x:c r="O514" s="10"/>
      <x:c r="P514" s="10" t="str">
        <x:f>IF(COUNT(O514,N514)=2,O514-N514,"")</x:f>
      </x:c>
      <x:c r="Q514" s="10" t="n">
        <x:v>12</x:v>
      </x:c>
      <x:c r="R514" s="10"/>
      <x:c r="S514" s="10" t="str">
        <x:f>IF(COUNT(R514,Q514)=2,R514-Q514,"")</x:f>
      </x:c>
      <x:c r="T514" s="10" t="n">
        <x:v>-3</x:v>
      </x:c>
      <x:c r="U514" s="10"/>
      <x:c r="V514" s="10" t="str">
        <x:f>IF(COUNT(U514,T514)=2,U514-T514,"")</x:f>
      </x:c>
      <x:c r="W514" s="10" t="n">
        <x:v>1</x:v>
      </x:c>
      <x:c r="X514" s="10" t="str">
        <x:f>IF(COUNT(AV514,AW514)=2,AV514+AW514,"")</x:f>
      </x:c>
      <x:c r="Y514" s="10" t="str">
        <x:f>IF(COUNT(X514,W514)=2,X514-W514,"")</x:f>
      </x:c>
      <x:c r="Z514" s="10" t="n">
        <x:v>0</x:v>
      </x:c>
      <x:c r="AA514" s="10" t="str">
        <x:f>IF(COUNT(AX514,AY514)=2,AX514+AY514,"")</x:f>
      </x:c>
      <x:c r="AB514" s="10" t="str">
        <x:f>IF(COUNT(AA514,Z514)=2,AA514-Z514,"")</x:f>
      </x:c>
      <x:c r="AC514" s="10" t="n">
        <x:v>73</x:v>
      </x:c>
      <x:c r="AD514" s="10"/>
      <x:c r="AE514" s="10" t="str">
        <x:f>IF(COUNT(AD514,AC514)=2,AD514-AC514,"")</x:f>
      </x:c>
      <x:c r="AF514" s="10" t="n">
        <x:v>107</x:v>
      </x:c>
      <x:c r="AG514" s="10"/>
      <x:c r="AH514" s="10" t="str">
        <x:f>IF(COUNT(AG514,AF514)=2,AG514-AF514,"")</x:f>
      </x:c>
      <x:c r="AI514" s="10" t="n">
        <x:v>105</x:v>
      </x:c>
      <x:c r="AJ514" s="10"/>
      <x:c r="AK514" s="10" t="str">
        <x:f>IF(COUNT(AJ514,AI514)=2,AJ514-AI514,"")</x:f>
      </x:c>
      <x:c r="AL514" s="10" t="n">
        <x:v>31</x:v>
      </x:c>
      <x:c r="AM514" s="10"/>
      <x:c r="AN514" s="4" t="str">
        <x:v>D</x:v>
      </x:c>
      <x:c r="AO514" s="4"/>
      <x:c r="AP514" s="4" t="str">
        <x:v>NYR</x:v>
      </x:c>
      <x:c r="AQ514" s="4"/>
      <x:c r="AR514" s="4" t="n">
        <x:v>17.86</x:v>
      </x:c>
      <x:c r="AS514" s="4"/>
      <x:c r="AT514" s="4" t="n">
        <x:v>0.23</x:v>
      </x:c>
      <x:c r="AU514" s="4"/>
      <x:c r="AV514" s="10"/>
      <x:c r="AW514" s="10"/>
      <x:c r="AX514" s="10"/>
      <x:c r="AY514" s="10"/>
      <x:c r="AZ514" s="10" t="n">
        <x:v>966</x:v>
      </x:c>
      <x:c r="BA514" s="10" t="n">
        <x:v>1135</x:v>
      </x:c>
      <x:c r="BB514" s="4" t="n">
        <x:v>46</x:v>
      </x:c>
      <x:c r="BC514" s="4" t="n">
        <x:v>-5.6</x:v>
      </x:c>
      <x:c r="BD514" s="10" t="n">
        <x:v>686</x:v>
      </x:c>
      <x:c r="BE514" s="10" t="n">
        <x:v>823</x:v>
      </x:c>
      <x:c r="BF514" s="4" t="n">
        <x:v>45.5</x:v>
      </x:c>
      <x:c r="BG514" s="4" t="n">
        <x:v>-5.5</x:v>
      </x:c>
      <x:c r="BH514" s="4" t="n">
        <x:v>8.9</x:v>
      </x:c>
      <x:c r="BI514" s="4" t="n">
        <x:v>91.4</x:v>
      </x:c>
      <x:c r="BJ514" s="4" t="n">
        <x:v>100.3</x:v>
      </x:c>
      <x:c r="BK514" s="4" t="n">
        <x:v>48.7</x:v>
      </x:c>
      <x:c r="BL514" s="4" t="n">
        <x:v>51.3</x:v>
      </x:c>
      <x:c r="BM514" s="4" t="n">
        <x:v>16.516666666666666</x:v>
      </x:c>
      <x:c r="BN514" s="4" t="n">
        <x:v>14.983333333333333</x:v>
      </x:c>
      <x:c r="BO514" s="10" t="n">
        <x:v>20</x:v>
      </x:c>
      <x:c r="BP514" s="10" t="n">
        <x:v>77</x:v>
      </x:c>
      <x:c r="BQ514" s="4" t="n">
        <x:v>-9.5</x:v>
      </x:c>
      <x:c r="BR514" s="10" t="n">
        <x:v>159</x:v>
      </x:c>
      <x:c r="BS514" s="4" t="n">
        <x:v>39</x:v>
      </x:c>
      <x:c r="BT514" s="10" t="n">
        <x:v>76</x:v>
      </x:c>
      <x:c r="BU514" s="4" t="str">
        <x:v>TOT</x:v>
      </x:c>
      <x:c r="BV514" s="10" t="n">
        <x:v>599</x:v>
      </x:c>
      <x:c r="BW514" s="10"/>
      <x:c r="BX514" s="10" t="n">
        <x:v>959</x:v>
      </x:c>
      <x:c r="BY514" s="4" t="str">
        <x:v>Carson Soucy</x:v>
      </x:c>
      <x:c r="BZ514" s="4"/>
      <x:c r="CA514" s="4" t="str">
        <x:v>Carson Soucy</x:v>
      </x:c>
      <x:c r="CB514" s="4" t="str">
        <x:v>soucyca01</x:v>
      </x:c>
    </x:row>
    <x:row r="515" ht="22" customHeight="1">
      <x:c r="A515" s="4" t="str">
        <x:v>Carter Mazur</x:v>
      </x:c>
      <x:c r="B515" s="4" t="str">
        <x:v>cartermazur</x:v>
      </x:c>
      <x:c r="C515" s="10" t="n">
        <x:v>0</x:v>
      </x:c>
      <x:c r="D515" s="10" t="n">
        <x:v>0</x:v>
      </x:c>
      <x:c r="E515" s="10" t="n">
        <x:v>1</x:v>
      </x:c>
      <x:c r="F515" s="4" t="str">
        <x:f>IF(COUNT(N515,Q515,T515,W515,Z515,AC515,AF515,AI515)=8,N515*Guide!$E$5+Q515*Guide!$E$6+T515*Guide!$E$7+W515*Guide!$E$8+Z515*Guide!$E$9+AC515*Guide!$E$10+AF515*Guide!$E$11+AI515*Guide!$E$12,"")</x:f>
      </x:c>
      <x:c r="G515" s="4" t="str">
        <x:f>IF(COUNT(O515,R515,U515,X515,AA515,AD515,AG515,AJ515)=8,O515*Guide!$E$5+R515*Guide!$E$6+U515*Guide!$E$7+X515*Guide!$E$8+AA515*Guide!$E$9+AD515*Guide!$E$10+AG515*Guide!$E$11+AJ515*Guide!$E$12,"")</x:f>
      </x:c>
      <x:c r="H515" s="4" t="str">
        <x:f>IF(COUNT(G515,F515)=2,G515-F515,"")</x:f>
      </x:c>
      <x:c r="I515" s="4" t="str">
        <x:f>IF(AND(ISNUMBER(F515),K515&gt;0),F515/K515,"")</x:f>
      </x:c>
      <x:c r="J515" s="4" t="str">
        <x:f>IF(AND(ISNUMBER(G515),L515&gt;0),G515/L515,"")</x:f>
      </x:c>
      <x:c r="K515" s="10"/>
      <x:c r="L515" s="10"/>
      <x:c r="M515" s="10" t="str">
        <x:f>IF(COUNT(L515,K515)=2,L515-K515,"")</x:f>
      </x:c>
      <x:c r="N515" s="10"/>
      <x:c r="O515" s="10"/>
      <x:c r="P515" s="10" t="str">
        <x:f>IF(COUNT(O515,N515)=2,O515-N515,"")</x:f>
      </x:c>
      <x:c r="Q515" s="10"/>
      <x:c r="R515" s="10"/>
      <x:c r="S515" s="10" t="str">
        <x:f>IF(COUNT(R515,Q515)=2,R515-Q515,"")</x:f>
      </x:c>
      <x:c r="T515" s="10"/>
      <x:c r="U515" s="10"/>
      <x:c r="V515" s="10" t="str">
        <x:f>IF(COUNT(U515,T515)=2,U515-T515,"")</x:f>
      </x:c>
      <x:c r="W515" s="10"/>
      <x:c r="X515" s="10" t="str">
        <x:f>IF(COUNT(AV515,AW515)=2,AV515+AW515,"")</x:f>
      </x:c>
      <x:c r="Y515" s="10" t="str">
        <x:f>IF(COUNT(X515,W515)=2,X515-W515,"")</x:f>
      </x:c>
      <x:c r="Z515" s="10"/>
      <x:c r="AA515" s="10" t="str">
        <x:f>IF(COUNT(AX515,AY515)=2,AX515+AY515,"")</x:f>
      </x:c>
      <x:c r="AB515" s="10" t="str">
        <x:f>IF(COUNT(AA515,Z515)=2,AA515-Z515,"")</x:f>
      </x:c>
      <x:c r="AC515" s="10"/>
      <x:c r="AD515" s="10"/>
      <x:c r="AE515" s="10" t="str">
        <x:f>IF(COUNT(AD515,AC515)=2,AD515-AC515,"")</x:f>
      </x:c>
      <x:c r="AF515" s="10"/>
      <x:c r="AG515" s="10"/>
      <x:c r="AH515" s="10" t="str">
        <x:f>IF(COUNT(AG515,AF515)=2,AG515-AF515,"")</x:f>
      </x:c>
      <x:c r="AI515" s="10"/>
      <x:c r="AJ515" s="10"/>
      <x:c r="AK515" s="10" t="str">
        <x:f>IF(COUNT(AJ515,AI515)=2,AJ515-AI515,"")</x:f>
      </x:c>
      <x:c r="AL515" s="10"/>
      <x:c r="AM515" s="10"/>
      <x:c r="AN515" s="4"/>
      <x:c r="AO515" s="4"/>
      <x:c r="AP515" s="4"/>
      <x:c r="AQ515" s="4"/>
      <x:c r="AR515" s="4"/>
      <x:c r="AS515" s="4"/>
      <x:c r="AT515" s="4"/>
      <x:c r="AU515" s="4"/>
      <x:c r="AV515" s="10"/>
      <x:c r="AW515" s="10"/>
      <x:c r="AX515" s="10"/>
      <x:c r="AY515" s="10"/>
      <x:c r="AZ515" s="10" t="n">
        <x:v>72</x:v>
      </x:c>
      <x:c r="BA515" s="10" t="n">
        <x:v>83</x:v>
      </x:c>
      <x:c r="BB515" s="4" t="n">
        <x:v>46.5</x:v>
      </x:c>
      <x:c r="BC515" s="4" t="n">
        <x:v>-6.8</x:v>
      </x:c>
      <x:c r="BD515" s="10" t="n">
        <x:v>50</x:v>
      </x:c>
      <x:c r="BE515" s="10" t="n">
        <x:v>57</x:v>
      </x:c>
      <x:c r="BF515" s="4" t="n">
        <x:v>46.7</x:v>
      </x:c>
      <x:c r="BG515" s="4" t="n">
        <x:v>-3.7</x:v>
      </x:c>
      <x:c r="BH515" s="4" t="n">
        <x:v>5.9</x:v>
      </x:c>
      <x:c r="BI515" s="4" t="n">
        <x:v>86.8</x:v>
      </x:c>
      <x:c r="BJ515" s="4" t="n">
        <x:v>92.7</x:v>
      </x:c>
      <x:c r="BK515" s="4" t="n">
        <x:v>40</x:v>
      </x:c>
      <x:c r="BL515" s="4" t="n">
        <x:v>60</x:v>
      </x:c>
      <x:c r="BM515" s="4" t="n">
        <x:v>10.7</x:v>
      </x:c>
      <x:c r="BN515" s="4" t="n">
        <x:v>10.616666666666667</x:v>
      </x:c>
      <x:c r="BO515" s="10" t="n">
        <x:v>0</x:v>
      </x:c>
      <x:c r="BP515" s="10" t="n">
        <x:v>3</x:v>
      </x:c>
      <x:c r="BQ515" s="4" t="n">
        <x:v>-2.4</x:v>
      </x:c>
      <x:c r="BR515" s="10" t="n">
        <x:v>7</x:v>
      </x:c>
      <x:c r="BS515" s="4" t="n">
        <x:v>42.9</x:v>
      </x:c>
      <x:c r="BT515" s="10" t="n">
        <x:v>8</x:v>
      </x:c>
      <x:c r="BU515" s="4" t="str">
        <x:v>DET</x:v>
      </x:c>
      <x:c r="BV515" s="10"/>
      <x:c r="BW515" s="10"/>
      <x:c r="BX515" s="10" t="n">
        <x:v>661</x:v>
      </x:c>
      <x:c r="BY515" s="4"/>
      <x:c r="BZ515" s="4"/>
      <x:c r="CA515" s="4" t="str">
        <x:v>Carter Mazur</x:v>
      </x:c>
      <x:c r="CB515" s="4" t="str">
        <x:v>mazurca01</x:v>
      </x:c>
    </x:row>
    <x:row r="516" ht="22" customHeight="1">
      <x:c r="A516" s="4" t="str">
        <x:v>Carter Yakemchuk</x:v>
      </x:c>
      <x:c r="B516" s="4" t="str">
        <x:v>carteryakemchuk</x:v>
      </x:c>
      <x:c r="C516" s="10" t="n">
        <x:v>0</x:v>
      </x:c>
      <x:c r="D516" s="10" t="n">
        <x:v>0</x:v>
      </x:c>
      <x:c r="E516" s="10" t="n">
        <x:v>1</x:v>
      </x:c>
      <x:c r="F516" s="4" t="str">
        <x:f>IF(COUNT(N516,Q516,T516,W516,Z516,AC516,AF516,AI516)=8,N516*Guide!$E$5+Q516*Guide!$E$6+T516*Guide!$E$7+W516*Guide!$E$8+Z516*Guide!$E$9+AC516*Guide!$E$10+AF516*Guide!$E$11+AI516*Guide!$E$12,"")</x:f>
      </x:c>
      <x:c r="G516" s="4" t="str">
        <x:f>IF(COUNT(O516,R516,U516,X516,AA516,AD516,AG516,AJ516)=8,O516*Guide!$E$5+R516*Guide!$E$6+U516*Guide!$E$7+X516*Guide!$E$8+AA516*Guide!$E$9+AD516*Guide!$E$10+AG516*Guide!$E$11+AJ516*Guide!$E$12,"")</x:f>
      </x:c>
      <x:c r="H516" s="4" t="str">
        <x:f>IF(COUNT(G516,F516)=2,G516-F516,"")</x:f>
      </x:c>
      <x:c r="I516" s="4" t="str">
        <x:f>IF(AND(ISNUMBER(F516),K516&gt;0),F516/K516,"")</x:f>
      </x:c>
      <x:c r="J516" s="4" t="str">
        <x:f>IF(AND(ISNUMBER(G516),L516&gt;0),G516/L516,"")</x:f>
      </x:c>
      <x:c r="K516" s="10"/>
      <x:c r="L516" s="10"/>
      <x:c r="M516" s="10" t="str">
        <x:f>IF(COUNT(L516,K516)=2,L516-K516,"")</x:f>
      </x:c>
      <x:c r="N516" s="10"/>
      <x:c r="O516" s="10"/>
      <x:c r="P516" s="10" t="str">
        <x:f>IF(COUNT(O516,N516)=2,O516-N516,"")</x:f>
      </x:c>
      <x:c r="Q516" s="10"/>
      <x:c r="R516" s="10"/>
      <x:c r="S516" s="10" t="str">
        <x:f>IF(COUNT(R516,Q516)=2,R516-Q516,"")</x:f>
      </x:c>
      <x:c r="T516" s="10"/>
      <x:c r="U516" s="10"/>
      <x:c r="V516" s="10" t="str">
        <x:f>IF(COUNT(U516,T516)=2,U516-T516,"")</x:f>
      </x:c>
      <x:c r="W516" s="10"/>
      <x:c r="X516" s="10" t="str">
        <x:f>IF(COUNT(AV516,AW516)=2,AV516+AW516,"")</x:f>
      </x:c>
      <x:c r="Y516" s="10" t="str">
        <x:f>IF(COUNT(X516,W516)=2,X516-W516,"")</x:f>
      </x:c>
      <x:c r="Z516" s="10"/>
      <x:c r="AA516" s="10" t="str">
        <x:f>IF(COUNT(AX516,AY516)=2,AX516+AY516,"")</x:f>
      </x:c>
      <x:c r="AB516" s="10" t="str">
        <x:f>IF(COUNT(AA516,Z516)=2,AA516-Z516,"")</x:f>
      </x:c>
      <x:c r="AC516" s="10"/>
      <x:c r="AD516" s="10"/>
      <x:c r="AE516" s="10" t="str">
        <x:f>IF(COUNT(AD516,AC516)=2,AD516-AC516,"")</x:f>
      </x:c>
      <x:c r="AF516" s="10"/>
      <x:c r="AG516" s="10"/>
      <x:c r="AH516" s="10" t="str">
        <x:f>IF(COUNT(AG516,AF516)=2,AG516-AF516,"")</x:f>
      </x:c>
      <x:c r="AI516" s="10"/>
      <x:c r="AJ516" s="10"/>
      <x:c r="AK516" s="10" t="str">
        <x:f>IF(COUNT(AJ516,AI516)=2,AJ516-AI516,"")</x:f>
      </x:c>
      <x:c r="AL516" s="10"/>
      <x:c r="AM516" s="10"/>
      <x:c r="AN516" s="4"/>
      <x:c r="AO516" s="4"/>
      <x:c r="AP516" s="4"/>
      <x:c r="AQ516" s="4"/>
      <x:c r="AR516" s="4"/>
      <x:c r="AS516" s="4"/>
      <x:c r="AT516" s="4"/>
      <x:c r="AU516" s="4"/>
      <x:c r="AV516" s="10"/>
      <x:c r="AW516" s="10"/>
      <x:c r="AX516" s="10"/>
      <x:c r="AY516" s="10"/>
      <x:c r="AZ516" s="10" t="n">
        <x:v>50</x:v>
      </x:c>
      <x:c r="BA516" s="10" t="n">
        <x:v>63</x:v>
      </x:c>
      <x:c r="BB516" s="4" t="n">
        <x:v>44.2</x:v>
      </x:c>
      <x:c r="BC516" s="4" t="n">
        <x:v>-0.7</x:v>
      </x:c>
      <x:c r="BD516" s="10" t="n">
        <x:v>37</x:v>
      </x:c>
      <x:c r="BE516" s="10" t="n">
        <x:v>46</x:v>
      </x:c>
      <x:c r="BF516" s="4" t="n">
        <x:v>44.6</x:v>
      </x:c>
      <x:c r="BG516" s="4" t="n">
        <x:v>1.8</x:v>
      </x:c>
      <x:c r="BH516" s="4" t="n">
        <x:v>11.8</x:v>
      </x:c>
      <x:c r="BI516" s="4" t="n">
        <x:v>89.3</x:v>
      </x:c>
      <x:c r="BJ516" s="4" t="n">
        <x:v>101.1</x:v>
      </x:c>
      <x:c r="BK516" s="4" t="n">
        <x:v>80.6</x:v>
      </x:c>
      <x:c r="BL516" s="4" t="n">
        <x:v>19.4</x:v>
      </x:c>
      <x:c r="BM516" s="4" t="n">
        <x:v>14.533333333333333</x:v>
      </x:c>
      <x:c r="BN516" s="4" t="n">
        <x:v>12.816666666666666</x:v>
      </x:c>
      <x:c r="BO516" s="10" t="n">
        <x:v>1</x:v>
      </x:c>
      <x:c r="BP516" s="10" t="n">
        <x:v>7</x:v>
      </x:c>
      <x:c r="BQ516" s="4" t="n">
        <x:v>-1.4</x:v>
      </x:c>
      <x:c r="BR516" s="10" t="n">
        <x:v>13</x:v>
      </x:c>
      <x:c r="BS516" s="4" t="n">
        <x:v>38.5</x:v>
      </x:c>
      <x:c r="BT516" s="10" t="n">
        <x:v>4</x:v>
      </x:c>
      <x:c r="BU516" s="4" t="str">
        <x:v>OTT</x:v>
      </x:c>
      <x:c r="BV516" s="10"/>
      <x:c r="BW516" s="10"/>
      <x:c r="BX516" s="10" t="n">
        <x:v>1089</x:v>
      </x:c>
      <x:c r="BY516" s="4"/>
      <x:c r="BZ516" s="4"/>
      <x:c r="CA516" s="4" t="str">
        <x:v>Carter Yakemchuk</x:v>
      </x:c>
      <x:c r="CB516" s="4" t="str">
        <x:v>yakemca01</x:v>
      </x:c>
    </x:row>
    <x:row r="517" ht="22" customHeight="1">
      <x:c r="A517" s="4" t="str">
        <x:v>Charle-Edouard D'Astous</x:v>
      </x:c>
      <x:c r="B517" s="4" t="str">
        <x:v>charleedouarddastous</x:v>
      </x:c>
      <x:c r="C517" s="10" t="n">
        <x:v>0</x:v>
      </x:c>
      <x:c r="D517" s="10" t="n">
        <x:v>1</x:v>
      </x:c>
      <x:c r="E517" s="10" t="n">
        <x:v>1</x:v>
      </x:c>
      <x:c r="F517" s="4" t="str">
        <x:f>IF(COUNT(N517,Q517,T517,W517,Z517,AC517,AF517,AI517)=8,N517*Guide!$E$5+Q517*Guide!$E$6+T517*Guide!$E$7+W517*Guide!$E$8+Z517*Guide!$E$9+AC517*Guide!$E$10+AF517*Guide!$E$11+AI517*Guide!$E$12,"")</x:f>
      </x:c>
      <x:c r="G517" s="4" t="n">
        <x:f>IF(COUNT(O517,R517,U517,X517,AA517,AD517,AG517,AJ517)=8,O517*Guide!$E$5+R517*Guide!$E$6+U517*Guide!$E$7+X517*Guide!$E$8+AA517*Guide!$E$9+AD517*Guide!$E$10+AG517*Guide!$E$11+AJ517*Guide!$E$12,"")</x:f>
        <x:v>190.5</x:v>
      </x:c>
      <x:c r="H517" s="4" t="str">
        <x:f>IF(COUNT(G517,F517)=2,G517-F517,"")</x:f>
      </x:c>
      <x:c r="I517" s="4" t="str">
        <x:f>IF(AND(ISNUMBER(F517),K517&gt;0),F517/K517,"")</x:f>
      </x:c>
      <x:c r="J517" s="4" t="n">
        <x:f>IF(AND(ISNUMBER(G517),L517&gt;0),G517/L517,"")</x:f>
        <x:v>2.7214285714285715</x:v>
      </x:c>
      <x:c r="K517" s="10"/>
      <x:c r="L517" s="10" t="n">
        <x:v>70</x:v>
      </x:c>
      <x:c r="M517" s="10" t="str">
        <x:f>IF(COUNT(L517,K517)=2,L517-K517,"")</x:f>
      </x:c>
      <x:c r="N517" s="10"/>
      <x:c r="O517" s="10" t="n">
        <x:v>6</x:v>
      </x:c>
      <x:c r="P517" s="10" t="str">
        <x:f>IF(COUNT(O517,N517)=2,O517-N517,"")</x:f>
      </x:c>
      <x:c r="Q517" s="10"/>
      <x:c r="R517" s="10" t="n">
        <x:v>23</x:v>
      </x:c>
      <x:c r="S517" s="10" t="str">
        <x:f>IF(COUNT(R517,Q517)=2,R517-Q517,"")</x:f>
      </x:c>
      <x:c r="T517" s="10"/>
      <x:c r="U517" s="10" t="n">
        <x:v>-4</x:v>
      </x:c>
      <x:c r="V517" s="10" t="str">
        <x:f>IF(COUNT(U517,T517)=2,U517-T517,"")</x:f>
      </x:c>
      <x:c r="W517" s="10"/>
      <x:c r="X517" s="10" t="n">
        <x:f>IF(COUNT(AV517,AW517)=2,AV517+AW517,"")</x:f>
        <x:v>2</x:v>
      </x:c>
      <x:c r="Y517" s="10" t="str">
        <x:f>IF(COUNT(X517,W517)=2,X517-W517,"")</x:f>
      </x:c>
      <x:c r="Z517" s="10"/>
      <x:c r="AA517" s="10" t="n">
        <x:f>IF(COUNT(AX517,AY517)=2,AX517+AY517,"")</x:f>
        <x:v>0</x:v>
      </x:c>
      <x:c r="AB517" s="10" t="str">
        <x:f>IF(COUNT(AA517,Z517)=2,AA517-Z517,"")</x:f>
      </x:c>
      <x:c r="AC517" s="10"/>
      <x:c r="AD517" s="10" t="n">
        <x:v>80</x:v>
      </x:c>
      <x:c r="AE517" s="10" t="str">
        <x:f>IF(COUNT(AD517,AC517)=2,AD517-AC517,"")</x:f>
      </x:c>
      <x:c r="AF517" s="10"/>
      <x:c r="AG517" s="10" t="n">
        <x:v>96</x:v>
      </x:c>
      <x:c r="AH517" s="10" t="str">
        <x:f>IF(COUNT(AG517,AF517)=2,AG517-AF517,"")</x:f>
      </x:c>
      <x:c r="AI517" s="10"/>
      <x:c r="AJ517" s="10" t="n">
        <x:v>74</x:v>
      </x:c>
      <x:c r="AK517" s="10" t="str">
        <x:f>IF(COUNT(AJ517,AI517)=2,AJ517-AI517,"")</x:f>
      </x:c>
      <x:c r="AL517" s="10"/>
      <x:c r="AM517" s="10" t="n">
        <x:v>27</x:v>
      </x:c>
      <x:c r="AN517" s="4"/>
      <x:c r="AO517" s="4" t="str">
        <x:v>D</x:v>
      </x:c>
      <x:c r="AP517" s="4"/>
      <x:c r="AQ517" s="4" t="str">
        <x:v>TBL</x:v>
      </x:c>
      <x:c r="AR517" s="4"/>
      <x:c r="AS517" s="4" t="n">
        <x:v>18.75</x:v>
      </x:c>
      <x:c r="AT517" s="4"/>
      <x:c r="AU517" s="4" t="n">
        <x:v>7.5</x:v>
      </x:c>
      <x:c r="AV517" s="10" t="n">
        <x:v>0</x:v>
      </x:c>
      <x:c r="AW517" s="10" t="n">
        <x:v>2</x:v>
      </x:c>
      <x:c r="AX517" s="10" t="n">
        <x:v>0</x:v>
      </x:c>
      <x:c r="AY517" s="10" t="n">
        <x:v>0</x:v>
      </x:c>
      <x:c r="AZ517" s="10" t="n">
        <x:v>1166</x:v>
      </x:c>
      <x:c r="BA517" s="10" t="n">
        <x:v>1030</x:v>
      </x:c>
      <x:c r="BB517" s="4" t="n">
        <x:v>53.1</x:v>
      </x:c>
      <x:c r="BC517" s="4" t="n">
        <x:v>-1.1</x:v>
      </x:c>
      <x:c r="BD517" s="10" t="n">
        <x:v>815</x:v>
      </x:c>
      <x:c r="BE517" s="10" t="n">
        <x:v>765</x:v>
      </x:c>
      <x:c r="BF517" s="4" t="n">
        <x:v>51.6</x:v>
      </x:c>
      <x:c r="BG517" s="4" t="n">
        <x:v>-2.1</x:v>
      </x:c>
      <x:c r="BH517" s="4" t="n">
        <x:v>11.7</x:v>
      </x:c>
      <x:c r="BI517" s="4" t="n">
        <x:v>87.1</x:v>
      </x:c>
      <x:c r="BJ517" s="4" t="n">
        <x:v>98.7</x:v>
      </x:c>
      <x:c r="BK517" s="4" t="n">
        <x:v>53</x:v>
      </x:c>
      <x:c r="BL517" s="4" t="n">
        <x:v>47</x:v>
      </x:c>
      <x:c r="BM517" s="4" t="n">
        <x:v>18.75</x:v>
      </x:c>
      <x:c r="BN517" s="4" t="n">
        <x:v>17.35</x:v>
      </x:c>
      <x:c r="BO517" s="10" t="n">
        <x:v>21</x:v>
      </x:c>
      <x:c r="BP517" s="10" t="n">
        <x:v>64</x:v>
      </x:c>
      <x:c r="BQ517" s="4" t="n">
        <x:v>5.9</x:v>
      </x:c>
      <x:c r="BR517" s="10" t="n">
        <x:v>208</x:v>
      </x:c>
      <x:c r="BS517" s="4" t="n">
        <x:v>38.5</x:v>
      </x:c>
      <x:c r="BT517" s="10" t="n">
        <x:v>70</x:v>
      </x:c>
      <x:c r="BU517" s="4" t="str">
        <x:v>TBL</x:v>
      </x:c>
      <x:c r="BV517" s="10"/>
      <x:c r="BW517" s="10" t="n">
        <x:v>340</x:v>
      </x:c>
      <x:c r="BX517" s="10" t="n">
        <x:v>188</x:v>
      </x:c>
      <x:c r="BY517" s="4"/>
      <x:c r="BZ517" s="4" t="str">
        <x:v>Charle-Edouard D'Astous</x:v>
      </x:c>
      <x:c r="CA517" s="4" t="str">
        <x:v>Charle-Edouard D'Astous</x:v>
      </x:c>
      <x:c r="CB517" s="4" t="str">
        <x:v>dastoch01</x:v>
      </x:c>
    </x:row>
    <x:row r="518" ht="22" customHeight="1">
      <x:c r="A518" s="4" t="str">
        <x:v>Charles-Alexis Legault</x:v>
      </x:c>
      <x:c r="B518" s="4" t="str">
        <x:v>charlesalexislegault</x:v>
      </x:c>
      <x:c r="C518" s="10" t="n">
        <x:v>0</x:v>
      </x:c>
      <x:c r="D518" s="10" t="n">
        <x:v>0</x:v>
      </x:c>
      <x:c r="E518" s="10" t="n">
        <x:v>1</x:v>
      </x:c>
      <x:c r="F518" s="4" t="str">
        <x:f>IF(COUNT(N518,Q518,T518,W518,Z518,AC518,AF518,AI518)=8,N518*Guide!$E$5+Q518*Guide!$E$6+T518*Guide!$E$7+W518*Guide!$E$8+Z518*Guide!$E$9+AC518*Guide!$E$10+AF518*Guide!$E$11+AI518*Guide!$E$12,"")</x:f>
      </x:c>
      <x:c r="G518" s="4" t="str">
        <x:f>IF(COUNT(O518,R518,U518,X518,AA518,AD518,AG518,AJ518)=8,O518*Guide!$E$5+R518*Guide!$E$6+U518*Guide!$E$7+X518*Guide!$E$8+AA518*Guide!$E$9+AD518*Guide!$E$10+AG518*Guide!$E$11+AJ518*Guide!$E$12,"")</x:f>
      </x:c>
      <x:c r="H518" s="4" t="str">
        <x:f>IF(COUNT(G518,F518)=2,G518-F518,"")</x:f>
      </x:c>
      <x:c r="I518" s="4" t="str">
        <x:f>IF(AND(ISNUMBER(F518),K518&gt;0),F518/K518,"")</x:f>
      </x:c>
      <x:c r="J518" s="4" t="str">
        <x:f>IF(AND(ISNUMBER(G518),L518&gt;0),G518/L518,"")</x:f>
      </x:c>
      <x:c r="K518" s="10"/>
      <x:c r="L518" s="10"/>
      <x:c r="M518" s="10" t="str">
        <x:f>IF(COUNT(L518,K518)=2,L518-K518,"")</x:f>
      </x:c>
      <x:c r="N518" s="10"/>
      <x:c r="O518" s="10"/>
      <x:c r="P518" s="10" t="str">
        <x:f>IF(COUNT(O518,N518)=2,O518-N518,"")</x:f>
      </x:c>
      <x:c r="Q518" s="10"/>
      <x:c r="R518" s="10"/>
      <x:c r="S518" s="10" t="str">
        <x:f>IF(COUNT(R518,Q518)=2,R518-Q518,"")</x:f>
      </x:c>
      <x:c r="T518" s="10"/>
      <x:c r="U518" s="10"/>
      <x:c r="V518" s="10" t="str">
        <x:f>IF(COUNT(U518,T518)=2,U518-T518,"")</x:f>
      </x:c>
      <x:c r="W518" s="10"/>
      <x:c r="X518" s="10" t="str">
        <x:f>IF(COUNT(AV518,AW518)=2,AV518+AW518,"")</x:f>
      </x:c>
      <x:c r="Y518" s="10" t="str">
        <x:f>IF(COUNT(X518,W518)=2,X518-W518,"")</x:f>
      </x:c>
      <x:c r="Z518" s="10"/>
      <x:c r="AA518" s="10" t="str">
        <x:f>IF(COUNT(AX518,AY518)=2,AX518+AY518,"")</x:f>
      </x:c>
      <x:c r="AB518" s="10" t="str">
        <x:f>IF(COUNT(AA518,Z518)=2,AA518-Z518,"")</x:f>
      </x:c>
      <x:c r="AC518" s="10"/>
      <x:c r="AD518" s="10"/>
      <x:c r="AE518" s="10" t="str">
        <x:f>IF(COUNT(AD518,AC518)=2,AD518-AC518,"")</x:f>
      </x:c>
      <x:c r="AF518" s="10"/>
      <x:c r="AG518" s="10"/>
      <x:c r="AH518" s="10" t="str">
        <x:f>IF(COUNT(AG518,AF518)=2,AG518-AF518,"")</x:f>
      </x:c>
      <x:c r="AI518" s="10"/>
      <x:c r="AJ518" s="10"/>
      <x:c r="AK518" s="10" t="str">
        <x:f>IF(COUNT(AJ518,AI518)=2,AJ518-AI518,"")</x:f>
      </x:c>
      <x:c r="AL518" s="10"/>
      <x:c r="AM518" s="10"/>
      <x:c r="AN518" s="4"/>
      <x:c r="AO518" s="4"/>
      <x:c r="AP518" s="4"/>
      <x:c r="AQ518" s="4"/>
      <x:c r="AR518" s="4"/>
      <x:c r="AS518" s="4"/>
      <x:c r="AT518" s="4"/>
      <x:c r="AU518" s="4"/>
      <x:c r="AV518" s="10"/>
      <x:c r="AW518" s="10"/>
      <x:c r="AX518" s="10"/>
      <x:c r="AY518" s="10"/>
      <x:c r="AZ518" s="10" t="n">
        <x:v>162</x:v>
      </x:c>
      <x:c r="BA518" s="10" t="n">
        <x:v>123</x:v>
      </x:c>
      <x:c r="BB518" s="4" t="n">
        <x:v>56.8</x:v>
      </x:c>
      <x:c r="BC518" s="4" t="n">
        <x:v>1.4</x:v>
      </x:c>
      <x:c r="BD518" s="10" t="n">
        <x:v>116</x:v>
      </x:c>
      <x:c r="BE518" s="10" t="n">
        <x:v>91</x:v>
      </x:c>
      <x:c r="BF518" s="4" t="n">
        <x:v>56</x:v>
      </x:c>
      <x:c r="BG518" s="4" t="n">
        <x:v>1.8</x:v>
      </x:c>
      <x:c r="BH518" s="4" t="n">
        <x:v>10</x:v>
      </x:c>
      <x:c r="BI518" s="4" t="n">
        <x:v>96.9</x:v>
      </x:c>
      <x:c r="BJ518" s="4" t="n">
        <x:v>106.9</x:v>
      </x:c>
      <x:c r="BK518" s="4" t="n">
        <x:v>56.2</x:v>
      </x:c>
      <x:c r="BL518" s="4" t="n">
        <x:v>43.8</x:v>
      </x:c>
      <x:c r="BM518" s="4" t="n">
        <x:v>14.3</x:v>
      </x:c>
      <x:c r="BN518" s="4" t="n">
        <x:v>13.283333333333333</x:v>
      </x:c>
      <x:c r="BO518" s="10" t="n">
        <x:v>7</x:v>
      </x:c>
      <x:c r="BP518" s="10" t="n">
        <x:v>13</x:v>
      </x:c>
      <x:c r="BQ518" s="4" t="n">
        <x:v>-0.3</x:v>
      </x:c>
      <x:c r="BR518" s="10" t="n">
        <x:v>33</x:v>
      </x:c>
      <x:c r="BS518" s="4" t="n">
        <x:v>36.4</x:v>
      </x:c>
      <x:c r="BT518" s="10" t="n">
        <x:v>12</x:v>
      </x:c>
      <x:c r="BU518" s="4" t="str">
        <x:v>CAR</x:v>
      </x:c>
      <x:c r="BV518" s="10"/>
      <x:c r="BW518" s="10"/>
      <x:c r="BX518" s="10" t="n">
        <x:v>588</x:v>
      </x:c>
      <x:c r="BY518" s="4"/>
      <x:c r="BZ518" s="4"/>
      <x:c r="CA518" s="4" t="str">
        <x:v>Charles-Alexis Legault</x:v>
      </x:c>
      <x:c r="CB518" s="4" t="str">
        <x:v>legauch01</x:v>
      </x:c>
    </x:row>
    <x:row r="519" ht="22" customHeight="1">
      <x:c r="A519" s="4" t="str">
        <x:v>Chris Tanev</x:v>
      </x:c>
      <x:c r="B519" s="4" t="str">
        <x:v>christanev</x:v>
      </x:c>
      <x:c r="C519" s="10" t="n">
        <x:v>1</x:v>
      </x:c>
      <x:c r="D519" s="10" t="n">
        <x:v>0</x:v>
      </x:c>
      <x:c r="E519" s="10" t="n">
        <x:v>1</x:v>
      </x:c>
      <x:c r="F519" s="4" t="n">
        <x:f>IF(COUNT(N519,Q519,T519,W519,Z519,AC519,AF519,AI519)=8,N519*Guide!$E$5+Q519*Guide!$E$6+T519*Guide!$E$7+W519*Guide!$E$8+Z519*Guide!$E$9+AC519*Guide!$E$10+AF519*Guide!$E$11+AI519*Guide!$E$12,"")</x:f>
        <x:v>217.25</x:v>
      </x:c>
      <x:c r="G519" s="4" t="str">
        <x:f>IF(COUNT(O519,R519,U519,X519,AA519,AD519,AG519,AJ519)=8,O519*Guide!$E$5+R519*Guide!$E$6+U519*Guide!$E$7+X519*Guide!$E$8+AA519*Guide!$E$9+AD519*Guide!$E$10+AG519*Guide!$E$11+AJ519*Guide!$E$12,"")</x:f>
      </x:c>
      <x:c r="H519" s="4" t="str">
        <x:f>IF(COUNT(G519,F519)=2,G519-F519,"")</x:f>
      </x:c>
      <x:c r="I519" s="4" t="n">
        <x:f>IF(AND(ISNUMBER(F519),K519&gt;0),F519/K519,"")</x:f>
        <x:v>2.935810810810811</x:v>
      </x:c>
      <x:c r="J519" s="4" t="str">
        <x:f>IF(AND(ISNUMBER(G519),L519&gt;0),G519/L519,"")</x:f>
      </x:c>
      <x:c r="K519" s="10" t="n">
        <x:v>74</x:v>
      </x:c>
      <x:c r="L519" s="10"/>
      <x:c r="M519" s="10" t="str">
        <x:f>IF(COUNT(L519,K519)=2,L519-K519,"")</x:f>
      </x:c>
      <x:c r="N519" s="10" t="n">
        <x:v>2</x:v>
      </x:c>
      <x:c r="O519" s="10"/>
      <x:c r="P519" s="10" t="str">
        <x:f>IF(COUNT(O519,N519)=2,O519-N519,"")</x:f>
      </x:c>
      <x:c r="Q519" s="10" t="n">
        <x:v>16</x:v>
      </x:c>
      <x:c r="R519" s="10"/>
      <x:c r="S519" s="10" t="str">
        <x:f>IF(COUNT(R519,Q519)=2,R519-Q519,"")</x:f>
      </x:c>
      <x:c r="T519" s="10" t="n">
        <x:v>14</x:v>
      </x:c>
      <x:c r="U519" s="10"/>
      <x:c r="V519" s="10" t="str">
        <x:f>IF(COUNT(U519,T519)=2,U519-T519,"")</x:f>
      </x:c>
      <x:c r="W519" s="10" t="n">
        <x:v>0</x:v>
      </x:c>
      <x:c r="X519" s="10" t="str">
        <x:f>IF(COUNT(AV519,AW519)=2,AV519+AW519,"")</x:f>
      </x:c>
      <x:c r="Y519" s="10" t="str">
        <x:f>IF(COUNT(X519,W519)=2,X519-W519,"")</x:f>
      </x:c>
      <x:c r="Z519" s="10" t="n">
        <x:v>1</x:v>
      </x:c>
      <x:c r="AA519" s="10" t="str">
        <x:f>IF(COUNT(AX519,AY519)=2,AX519+AY519,"")</x:f>
      </x:c>
      <x:c r="AB519" s="10" t="str">
        <x:f>IF(COUNT(AA519,Z519)=2,AA519-Z519,"")</x:f>
      </x:c>
      <x:c r="AC519" s="10" t="n">
        <x:v>45</x:v>
      </x:c>
      <x:c r="AD519" s="10"/>
      <x:c r="AE519" s="10" t="str">
        <x:f>IF(COUNT(AD519,AC519)=2,AD519-AC519,"")</x:f>
      </x:c>
      <x:c r="AF519" s="10" t="n">
        <x:v>25</x:v>
      </x:c>
      <x:c r="AG519" s="10"/>
      <x:c r="AH519" s="10" t="str">
        <x:f>IF(COUNT(AG519,AF519)=2,AG519-AF519,"")</x:f>
      </x:c>
      <x:c r="AI519" s="10" t="n">
        <x:v>169</x:v>
      </x:c>
      <x:c r="AJ519" s="10"/>
      <x:c r="AK519" s="10" t="str">
        <x:f>IF(COUNT(AJ519,AI519)=2,AJ519-AI519,"")</x:f>
      </x:c>
      <x:c r="AL519" s="10" t="n">
        <x:v>36</x:v>
      </x:c>
      <x:c r="AM519" s="10"/>
      <x:c r="AN519" s="4" t="str">
        <x:v>D</x:v>
      </x:c>
      <x:c r="AO519" s="4"/>
      <x:c r="AP519" s="4" t="str">
        <x:v>TOR</x:v>
      </x:c>
      <x:c r="AQ519" s="4"/>
      <x:c r="AR519" s="4" t="n">
        <x:v>19.77</x:v>
      </x:c>
      <x:c r="AS519" s="4"/>
      <x:c r="AT519" s="4" t="n">
        <x:v>0.06</x:v>
      </x:c>
      <x:c r="AU519" s="4"/>
      <x:c r="AV519" s="10"/>
      <x:c r="AW519" s="10"/>
      <x:c r="AX519" s="10"/>
      <x:c r="AY519" s="10"/>
      <x:c r="AZ519" s="10" t="n">
        <x:v>137</x:v>
      </x:c>
      <x:c r="BA519" s="10" t="n">
        <x:v>165</x:v>
      </x:c>
      <x:c r="BB519" s="4" t="n">
        <x:v>45.4</x:v>
      </x:c>
      <x:c r="BC519" s="4" t="n">
        <x:v>-2.4</x:v>
      </x:c>
      <x:c r="BD519" s="10" t="n">
        <x:v>104</x:v>
      </x:c>
      <x:c r="BE519" s="10" t="n">
        <x:v>119</x:v>
      </x:c>
      <x:c r="BF519" s="4" t="n">
        <x:v>46.6</x:v>
      </x:c>
      <x:c r="BG519" s="4" t="n">
        <x:v>-2.2</x:v>
      </x:c>
      <x:c r="BH519" s="4" t="n">
        <x:v>17.8</x:v>
      </x:c>
      <x:c r="BI519" s="4" t="n">
        <x:v>92.1</x:v>
      </x:c>
      <x:c r="BJ519" s="4" t="n">
        <x:v>109.9</x:v>
      </x:c>
      <x:c r="BK519" s="4" t="n">
        <x:v>37.5</x:v>
      </x:c>
      <x:c r="BL519" s="4" t="n">
        <x:v>62.5</x:v>
      </x:c>
      <x:c r="BM519" s="4" t="n">
        <x:v>17.966666666666665</x:v>
      </x:c>
      <x:c r="BN519" s="4" t="n">
        <x:v>15.783333333333333</x:v>
      </x:c>
      <x:c r="BO519" s="10" t="n">
        <x:v>5</x:v>
      </x:c>
      <x:c r="BP519" s="10" t="n">
        <x:v>8</x:v>
      </x:c>
      <x:c r="BQ519" s="4" t="n">
        <x:v>1.1</x:v>
      </x:c>
      <x:c r="BR519" s="10" t="n">
        <x:v>18</x:v>
      </x:c>
      <x:c r="BS519" s="4" t="n">
        <x:v>44.4</x:v>
      </x:c>
      <x:c r="BT519" s="10" t="n">
        <x:v>11</x:v>
      </x:c>
      <x:c r="BU519" s="4" t="str">
        <x:v>TOR</x:v>
      </x:c>
      <x:c r="BV519" s="10" t="n">
        <x:v>564</x:v>
      </x:c>
      <x:c r="BW519" s="10"/>
      <x:c r="BX519" s="10" t="n">
        <x:v>1003</x:v>
      </x:c>
      <x:c r="BY519" s="4" t="str">
        <x:v>Chris Tanev</x:v>
      </x:c>
      <x:c r="BZ519" s="4"/>
      <x:c r="CA519" s="4" t="str">
        <x:v>Chris Tanev</x:v>
      </x:c>
      <x:c r="CB519" s="4" t="str">
        <x:v>tanevch01</x:v>
      </x:c>
    </x:row>
    <x:row r="520" ht="22" customHeight="1">
      <x:c r="A520" s="4" t="str">
        <x:v>Cody Ceci</x:v>
      </x:c>
      <x:c r="B520" s="4" t="str">
        <x:v>codyceci</x:v>
      </x:c>
      <x:c r="C520" s="10" t="n">
        <x:v>1</x:v>
      </x:c>
      <x:c r="D520" s="10" t="n">
        <x:v>0</x:v>
      </x:c>
      <x:c r="E520" s="10" t="n">
        <x:v>1</x:v>
      </x:c>
      <x:c r="F520" s="4" t="n">
        <x:f>IF(COUNT(N520,Q520,T520,W520,Z520,AC520,AF520,AI520)=8,N520*Guide!$E$5+Q520*Guide!$E$6+T520*Guide!$E$7+W520*Guide!$E$8+Z520*Guide!$E$9+AC520*Guide!$E$10+AF520*Guide!$E$11+AI520*Guide!$E$12,"")</x:f>
        <x:v>199.75</x:v>
      </x:c>
      <x:c r="G520" s="4" t="str">
        <x:f>IF(COUNT(O520,R520,U520,X520,AA520,AD520,AG520,AJ520)=8,O520*Guide!$E$5+R520*Guide!$E$6+U520*Guide!$E$7+X520*Guide!$E$8+AA520*Guide!$E$9+AD520*Guide!$E$10+AG520*Guide!$E$11+AJ520*Guide!$E$12,"")</x:f>
      </x:c>
      <x:c r="H520" s="4" t="str">
        <x:f>IF(COUNT(G520,F520)=2,G520-F520,"")</x:f>
      </x:c>
      <x:c r="I520" s="4" t="n">
        <x:f>IF(AND(ISNUMBER(F520),K520&gt;0),F520/K520,"")</x:f>
        <x:v>2.496875</x:v>
      </x:c>
      <x:c r="J520" s="4" t="str">
        <x:f>IF(AND(ISNUMBER(G520),L520&gt;0),G520/L520,"")</x:f>
      </x:c>
      <x:c r="K520" s="10" t="n">
        <x:v>80</x:v>
      </x:c>
      <x:c r="L520" s="10"/>
      <x:c r="M520" s="10" t="str">
        <x:f>IF(COUNT(L520,K520)=2,L520-K520,"")</x:f>
      </x:c>
      <x:c r="N520" s="10" t="n">
        <x:v>4</x:v>
      </x:c>
      <x:c r="O520" s="10"/>
      <x:c r="P520" s="10" t="str">
        <x:f>IF(COUNT(O520,N520)=2,O520-N520,"")</x:f>
      </x:c>
      <x:c r="Q520" s="10" t="n">
        <x:v>19</x:v>
      </x:c>
      <x:c r="R520" s="10"/>
      <x:c r="S520" s="10" t="str">
        <x:f>IF(COUNT(R520,Q520)=2,R520-Q520,"")</x:f>
      </x:c>
      <x:c r="T520" s="10" t="n">
        <x:v>-13</x:v>
      </x:c>
      <x:c r="U520" s="10"/>
      <x:c r="V520" s="10" t="str">
        <x:f>IF(COUNT(U520,T520)=2,U520-T520,"")</x:f>
      </x:c>
      <x:c r="W520" s="10" t="n">
        <x:v>1</x:v>
      </x:c>
      <x:c r="X520" s="10" t="str">
        <x:f>IF(COUNT(AV520,AW520)=2,AV520+AW520,"")</x:f>
      </x:c>
      <x:c r="Y520" s="10" t="str">
        <x:f>IF(COUNT(X520,W520)=2,X520-W520,"")</x:f>
      </x:c>
      <x:c r="Z520" s="10" t="n">
        <x:v>1</x:v>
      </x:c>
      <x:c r="AA520" s="10" t="str">
        <x:f>IF(COUNT(AX520,AY520)=2,AX520+AY520,"")</x:f>
      </x:c>
      <x:c r="AB520" s="10" t="str">
        <x:f>IF(COUNT(AA520,Z520)=2,AA520-Z520,"")</x:f>
      </x:c>
      <x:c r="AC520" s="10" t="n">
        <x:v>82</x:v>
      </x:c>
      <x:c r="AD520" s="10"/>
      <x:c r="AE520" s="10" t="str">
        <x:f>IF(COUNT(AD520,AC520)=2,AD520-AC520,"")</x:f>
      </x:c>
      <x:c r="AF520" s="10" t="n">
        <x:v>74</x:v>
      </x:c>
      <x:c r="AG520" s="10"/>
      <x:c r="AH520" s="10" t="str">
        <x:f>IF(COUNT(AG520,AF520)=2,AG520-AF520,"")</x:f>
      </x:c>
      <x:c r="AI520" s="10" t="n">
        <x:v>129</x:v>
      </x:c>
      <x:c r="AJ520" s="10"/>
      <x:c r="AK520" s="10" t="str">
        <x:f>IF(COUNT(AJ520,AI520)=2,AJ520-AI520,"")</x:f>
      </x:c>
      <x:c r="AL520" s="10" t="n">
        <x:v>32</x:v>
      </x:c>
      <x:c r="AM520" s="10"/>
      <x:c r="AN520" s="4" t="str">
        <x:v>D</x:v>
      </x:c>
      <x:c r="AO520" s="4"/>
      <x:c r="AP520" s="4" t="str">
        <x:v>LA</x:v>
      </x:c>
      <x:c r="AQ520" s="4"/>
      <x:c r="AR520" s="4" t="n">
        <x:v>21.1</x:v>
      </x:c>
      <x:c r="AS520" s="4"/>
      <x:c r="AT520" s="4" t="n">
        <x:v>0.12</x:v>
      </x:c>
      <x:c r="AU520" s="4"/>
      <x:c r="AV520" s="10"/>
      <x:c r="AW520" s="10"/>
      <x:c r="AX520" s="10"/>
      <x:c r="AY520" s="10"/>
      <x:c r="AZ520" s="10" t="n">
        <x:v>1261</x:v>
      </x:c>
      <x:c r="BA520" s="10" t="n">
        <x:v>1241</x:v>
      </x:c>
      <x:c r="BB520" s="4" t="n">
        <x:v>50.4</x:v>
      </x:c>
      <x:c r="BC520" s="4" t="n">
        <x:v>-2.1</x:v>
      </x:c>
      <x:c r="BD520" s="10" t="n">
        <x:v>844</x:v>
      </x:c>
      <x:c r="BE520" s="10" t="n">
        <x:v>873</x:v>
      </x:c>
      <x:c r="BF520" s="4" t="n">
        <x:v>49.2</x:v>
      </x:c>
      <x:c r="BG520" s="4" t="n">
        <x:v>-3.4</x:v>
      </x:c>
      <x:c r="BH520" s="4" t="n">
        <x:v>7.6</x:v>
      </x:c>
      <x:c r="BI520" s="4" t="n">
        <x:v>90.5</x:v>
      </x:c>
      <x:c r="BJ520" s="4" t="n">
        <x:v>98.1</x:v>
      </x:c>
      <x:c r="BK520" s="4" t="n">
        <x:v>38.2</x:v>
      </x:c>
      <x:c r="BL520" s="4" t="n">
        <x:v>61.8</x:v>
      </x:c>
      <x:c r="BM520" s="4" t="n">
        <x:v>17.566666666666666</x:v>
      </x:c>
      <x:c r="BN520" s="4" t="n">
        <x:v>15.583333333333334</x:v>
      </x:c>
      <x:c r="BO520" s="10" t="n">
        <x:v>13</x:v>
      </x:c>
      <x:c r="BP520" s="10" t="n">
        <x:v>61</x:v>
      </x:c>
      <x:c r="BQ520" s="4" t="n">
        <x:v>-5.4</x:v>
      </x:c>
      <x:c r="BR520" s="10" t="n">
        <x:v>187</x:v>
      </x:c>
      <x:c r="BS520" s="4" t="n">
        <x:v>31.6</x:v>
      </x:c>
      <x:c r="BT520" s="10" t="n">
        <x:v>82</x:v>
      </x:c>
      <x:c r="BU520" s="4" t="str">
        <x:v>LAK</x:v>
      </x:c>
      <x:c r="BV520" s="10" t="n">
        <x:v>468</x:v>
      </x:c>
      <x:c r="BW520" s="10"/>
      <x:c r="BX520" s="10" t="n">
        <x:v>140</x:v>
      </x:c>
      <x:c r="BY520" s="4" t="str">
        <x:v>Cody Ceci</x:v>
      </x:c>
      <x:c r="BZ520" s="4"/>
      <x:c r="CA520" s="4" t="str">
        <x:v>Cody Ceci</x:v>
      </x:c>
      <x:c r="CB520" s="4" t="str">
        <x:v>cecico01</x:v>
      </x:c>
    </x:row>
    <x:row r="521" ht="22" customHeight="1">
      <x:c r="A521" s="4" t="str">
        <x:v>Cole Hutson</x:v>
      </x:c>
      <x:c r="B521" s="4" t="str">
        <x:v>colehutson</x:v>
      </x:c>
      <x:c r="C521" s="10" t="n">
        <x:v>0</x:v>
      </x:c>
      <x:c r="D521" s="10" t="n">
        <x:v>0</x:v>
      </x:c>
      <x:c r="E521" s="10" t="n">
        <x:v>1</x:v>
      </x:c>
      <x:c r="F521" s="4" t="str">
        <x:f>IF(COUNT(N521,Q521,T521,W521,Z521,AC521,AF521,AI521)=8,N521*Guide!$E$5+Q521*Guide!$E$6+T521*Guide!$E$7+W521*Guide!$E$8+Z521*Guide!$E$9+AC521*Guide!$E$10+AF521*Guide!$E$11+AI521*Guide!$E$12,"")</x:f>
      </x:c>
      <x:c r="G521" s="4" t="str">
        <x:f>IF(COUNT(O521,R521,U521,X521,AA521,AD521,AG521,AJ521)=8,O521*Guide!$E$5+R521*Guide!$E$6+U521*Guide!$E$7+X521*Guide!$E$8+AA521*Guide!$E$9+AD521*Guide!$E$10+AG521*Guide!$E$11+AJ521*Guide!$E$12,"")</x:f>
      </x:c>
      <x:c r="H521" s="4" t="str">
        <x:f>IF(COUNT(G521,F521)=2,G521-F521,"")</x:f>
      </x:c>
      <x:c r="I521" s="4" t="str">
        <x:f>IF(AND(ISNUMBER(F521),K521&gt;0),F521/K521,"")</x:f>
      </x:c>
      <x:c r="J521" s="4" t="str">
        <x:f>IF(AND(ISNUMBER(G521),L521&gt;0),G521/L521,"")</x:f>
      </x:c>
      <x:c r="K521" s="10"/>
      <x:c r="L521" s="10"/>
      <x:c r="M521" s="10" t="str">
        <x:f>IF(COUNT(L521,K521)=2,L521-K521,"")</x:f>
      </x:c>
      <x:c r="N521" s="10"/>
      <x:c r="O521" s="10"/>
      <x:c r="P521" s="10" t="str">
        <x:f>IF(COUNT(O521,N521)=2,O521-N521,"")</x:f>
      </x:c>
      <x:c r="Q521" s="10"/>
      <x:c r="R521" s="10"/>
      <x:c r="S521" s="10" t="str">
        <x:f>IF(COUNT(R521,Q521)=2,R521-Q521,"")</x:f>
      </x:c>
      <x:c r="T521" s="10"/>
      <x:c r="U521" s="10"/>
      <x:c r="V521" s="10" t="str">
        <x:f>IF(COUNT(U521,T521)=2,U521-T521,"")</x:f>
      </x:c>
      <x:c r="W521" s="10"/>
      <x:c r="X521" s="10" t="str">
        <x:f>IF(COUNT(AV521,AW521)=2,AV521+AW521,"")</x:f>
      </x:c>
      <x:c r="Y521" s="10" t="str">
        <x:f>IF(COUNT(X521,W521)=2,X521-W521,"")</x:f>
      </x:c>
      <x:c r="Z521" s="10"/>
      <x:c r="AA521" s="10" t="str">
        <x:f>IF(COUNT(AX521,AY521)=2,AX521+AY521,"")</x:f>
      </x:c>
      <x:c r="AB521" s="10" t="str">
        <x:f>IF(COUNT(AA521,Z521)=2,AA521-Z521,"")</x:f>
      </x:c>
      <x:c r="AC521" s="10"/>
      <x:c r="AD521" s="10"/>
      <x:c r="AE521" s="10" t="str">
        <x:f>IF(COUNT(AD521,AC521)=2,AD521-AC521,"")</x:f>
      </x:c>
      <x:c r="AF521" s="10"/>
      <x:c r="AG521" s="10"/>
      <x:c r="AH521" s="10" t="str">
        <x:f>IF(COUNT(AG521,AF521)=2,AG521-AF521,"")</x:f>
      </x:c>
      <x:c r="AI521" s="10"/>
      <x:c r="AJ521" s="10"/>
      <x:c r="AK521" s="10" t="str">
        <x:f>IF(COUNT(AJ521,AI521)=2,AJ521-AI521,"")</x:f>
      </x:c>
      <x:c r="AL521" s="10"/>
      <x:c r="AM521" s="10"/>
      <x:c r="AN521" s="4"/>
      <x:c r="AO521" s="4"/>
      <x:c r="AP521" s="4"/>
      <x:c r="AQ521" s="4"/>
      <x:c r="AR521" s="4"/>
      <x:c r="AS521" s="4"/>
      <x:c r="AT521" s="4"/>
      <x:c r="AU521" s="4"/>
      <x:c r="AV521" s="10"/>
      <x:c r="AW521" s="10"/>
      <x:c r="AX521" s="10"/>
      <x:c r="AY521" s="10"/>
      <x:c r="AZ521" s="10" t="n">
        <x:v>191</x:v>
      </x:c>
      <x:c r="BA521" s="10" t="n">
        <x:v>207</x:v>
      </x:c>
      <x:c r="BB521" s="4" t="n">
        <x:v>48</x:v>
      </x:c>
      <x:c r="BC521" s="4" t="n">
        <x:v>4.8</x:v>
      </x:c>
      <x:c r="BD521" s="10" t="n">
        <x:v>139</x:v>
      </x:c>
      <x:c r="BE521" s="10" t="n">
        <x:v>146</x:v>
      </x:c>
      <x:c r="BF521" s="4" t="n">
        <x:v>48.8</x:v>
      </x:c>
      <x:c r="BG521" s="4" t="n">
        <x:v>4.6</x:v>
      </x:c>
      <x:c r="BH521" s="4" t="n">
        <x:v>9.9</x:v>
      </x:c>
      <x:c r="BI521" s="4" t="n">
        <x:v>89.2</x:v>
      </x:c>
      <x:c r="BJ521" s="4" t="n">
        <x:v>99.1</x:v>
      </x:c>
      <x:c r="BK521" s="4" t="n">
        <x:v>55.6</x:v>
      </x:c>
      <x:c r="BL521" s="4" t="n">
        <x:v>44.4</x:v>
      </x:c>
      <x:c r="BM521" s="4" t="n">
        <x:v>17.45</x:v>
      </x:c>
      <x:c r="BN521" s="4" t="n">
        <x:v>15.216666666666667</x:v>
      </x:c>
      <x:c r="BO521" s="10" t="n">
        <x:v>8</x:v>
      </x:c>
      <x:c r="BP521" s="10" t="n">
        <x:v>13</x:v>
      </x:c>
      <x:c r="BQ521" s="4" t="n">
        <x:v>-1.1</x:v>
      </x:c>
      <x:c r="BR521" s="10" t="n">
        <x:v>52</x:v>
      </x:c>
      <x:c r="BS521" s="4" t="n">
        <x:v>42.3</x:v>
      </x:c>
      <x:c r="BT521" s="10" t="n">
        <x:v>14</x:v>
      </x:c>
      <x:c r="BU521" s="4" t="str">
        <x:v>WSH</x:v>
      </x:c>
      <x:c r="BV521" s="10"/>
      <x:c r="BW521" s="10"/>
      <x:c r="BX521" s="10" t="n">
        <x:v>441</x:v>
      </x:c>
      <x:c r="BY521" s="4"/>
      <x:c r="BZ521" s="4"/>
      <x:c r="CA521" s="4" t="str">
        <x:v>Cole Hutson</x:v>
      </x:c>
      <x:c r="CB521" s="4" t="str">
        <x:v>hutsoco01</x:v>
      </x:c>
    </x:row>
    <x:row r="522" ht="22" customHeight="1">
      <x:c r="A522" s="4" t="str">
        <x:v>Cole Koepke</x:v>
      </x:c>
      <x:c r="B522" s="4" t="str">
        <x:v>colekoepke</x:v>
      </x:c>
      <x:c r="C522" s="10" t="n">
        <x:v>1</x:v>
      </x:c>
      <x:c r="D522" s="10" t="n">
        <x:v>0</x:v>
      </x:c>
      <x:c r="E522" s="10" t="n">
        <x:v>1</x:v>
      </x:c>
      <x:c r="F522" s="4" t="n">
        <x:f>IF(COUNT(N522,Q522,T522,W522,Z522,AC522,AF522,AI522)=8,N522*Guide!$E$5+Q522*Guide!$E$6+T522*Guide!$E$7+W522*Guide!$E$8+Z522*Guide!$E$9+AC522*Guide!$E$10+AF522*Guide!$E$11+AI522*Guide!$E$12,"")</x:f>
        <x:v>138</x:v>
      </x:c>
      <x:c r="G522" s="4" t="str">
        <x:f>IF(COUNT(O522,R522,U522,X522,AA522,AD522,AG522,AJ522)=8,O522*Guide!$E$5+R522*Guide!$E$6+U522*Guide!$E$7+X522*Guide!$E$8+AA522*Guide!$E$9+AD522*Guide!$E$10+AG522*Guide!$E$11+AJ522*Guide!$E$12,"")</x:f>
      </x:c>
      <x:c r="H522" s="4" t="str">
        <x:f>IF(COUNT(G522,F522)=2,G522-F522,"")</x:f>
      </x:c>
      <x:c r="I522" s="4" t="n">
        <x:f>IF(AND(ISNUMBER(F522),K522&gt;0),F522/K522,"")</x:f>
        <x:v>2</x:v>
      </x:c>
      <x:c r="J522" s="4" t="str">
        <x:f>IF(AND(ISNUMBER(G522),L522&gt;0),G522/L522,"")</x:f>
      </x:c>
      <x:c r="K522" s="10" t="n">
        <x:v>69</x:v>
      </x:c>
      <x:c r="L522" s="10"/>
      <x:c r="M522" s="10" t="str">
        <x:f>IF(COUNT(L522,K522)=2,L522-K522,"")</x:f>
      </x:c>
      <x:c r="N522" s="10" t="n">
        <x:v>10</x:v>
      </x:c>
      <x:c r="O522" s="10"/>
      <x:c r="P522" s="10" t="str">
        <x:f>IF(COUNT(O522,N522)=2,O522-N522,"")</x:f>
      </x:c>
      <x:c r="Q522" s="10" t="n">
        <x:v>8</x:v>
      </x:c>
      <x:c r="R522" s="10"/>
      <x:c r="S522" s="10" t="str">
        <x:f>IF(COUNT(R522,Q522)=2,R522-Q522,"")</x:f>
      </x:c>
      <x:c r="T522" s="10" t="n">
        <x:v>-2</x:v>
      </x:c>
      <x:c r="U522" s="10"/>
      <x:c r="V522" s="10" t="str">
        <x:f>IF(COUNT(U522,T522)=2,U522-T522,"")</x:f>
      </x:c>
      <x:c r="W522" s="10" t="n">
        <x:v>0</x:v>
      </x:c>
      <x:c r="X522" s="10" t="str">
        <x:f>IF(COUNT(AV522,AW522)=2,AV522+AW522,"")</x:f>
      </x:c>
      <x:c r="Y522" s="10" t="str">
        <x:f>IF(COUNT(X522,W522)=2,X522-W522,"")</x:f>
      </x:c>
      <x:c r="Z522" s="10" t="n">
        <x:v>0</x:v>
      </x:c>
      <x:c r="AA522" s="10" t="str">
        <x:f>IF(COUNT(AX522,AY522)=2,AX522+AY522,"")</x:f>
      </x:c>
      <x:c r="AB522" s="10" t="str">
        <x:f>IF(COUNT(AA522,Z522)=2,AA522-Z522,"")</x:f>
      </x:c>
      <x:c r="AC522" s="10" t="n">
        <x:v>72</x:v>
      </x:c>
      <x:c r="AD522" s="10"/>
      <x:c r="AE522" s="10" t="str">
        <x:f>IF(COUNT(AD522,AC522)=2,AD522-AC522,"")</x:f>
      </x:c>
      <x:c r="AF522" s="10" t="n">
        <x:v>151</x:v>
      </x:c>
      <x:c r="AG522" s="10"/>
      <x:c r="AH522" s="10" t="str">
        <x:f>IF(COUNT(AG522,AF522)=2,AG522-AF522,"")</x:f>
      </x:c>
      <x:c r="AI522" s="10" t="n">
        <x:v>27</x:v>
      </x:c>
      <x:c r="AJ522" s="10"/>
      <x:c r="AK522" s="10" t="str">
        <x:f>IF(COUNT(AJ522,AI522)=2,AJ522-AI522,"")</x:f>
      </x:c>
      <x:c r="AL522" s="10" t="n">
        <x:v>27</x:v>
      </x:c>
      <x:c r="AM522" s="10"/>
      <x:c r="AN522" s="4" t="str">
        <x:v>LW</x:v>
      </x:c>
      <x:c r="AO522" s="4"/>
      <x:c r="AP522" s="4" t="str">
        <x:v>WPG</x:v>
      </x:c>
      <x:c r="AQ522" s="4"/>
      <x:c r="AR522" s="4" t="n">
        <x:v>10.950000000000001</x:v>
      </x:c>
      <x:c r="AS522" s="4"/>
      <x:c r="AT522" s="4" t="n">
        <x:v>0.06</x:v>
      </x:c>
      <x:c r="AU522" s="4"/>
      <x:c r="AV522" s="10"/>
      <x:c r="AW522" s="10"/>
      <x:c r="AX522" s="10"/>
      <x:c r="AY522" s="10"/>
      <x:c r="AZ522" s="10" t="n">
        <x:v>496</x:v>
      </x:c>
      <x:c r="BA522" s="10" t="n">
        <x:v>573</x:v>
      </x:c>
      <x:c r="BB522" s="4" t="n">
        <x:v>46.4</x:v>
      </x:c>
      <x:c r="BC522" s="4" t="n">
        <x:v>-2.8</x:v>
      </x:c>
      <x:c r="BD522" s="10" t="n">
        <x:v>362</x:v>
      </x:c>
      <x:c r="BE522" s="10" t="n">
        <x:v>418</x:v>
      </x:c>
      <x:c r="BF522" s="4" t="n">
        <x:v>46.4</x:v>
      </x:c>
      <x:c r="BG522" s="4" t="n">
        <x:v>-2.5</x:v>
      </x:c>
      <x:c r="BH522" s="4" t="n">
        <x:v>8</x:v>
      </x:c>
      <x:c r="BI522" s="4" t="n">
        <x:v>92.9</x:v>
      </x:c>
      <x:c r="BJ522" s="4" t="n">
        <x:v>100.9</x:v>
      </x:c>
      <x:c r="BK522" s="4" t="n">
        <x:v>36.6</x:v>
      </x:c>
      <x:c r="BL522" s="4" t="n">
        <x:v>63.4</x:v>
      </x:c>
      <x:c r="BM522" s="4" t="n">
        <x:v>10.466666666666667</x:v>
      </x:c>
      <x:c r="BN522" s="4" t="n">
        <x:v>8.666666666666666</x:v>
      </x:c>
      <x:c r="BO522" s="10" t="n">
        <x:v>14</x:v>
      </x:c>
      <x:c r="BP522" s="10" t="n">
        <x:v>30</x:v>
      </x:c>
      <x:c r="BQ522" s="4" t="n">
        <x:v>-5.5</x:v>
      </x:c>
      <x:c r="BR522" s="10" t="n">
        <x:v>166</x:v>
      </x:c>
      <x:c r="BS522" s="4" t="n">
        <x:v>51.8</x:v>
      </x:c>
      <x:c r="BT522" s="10" t="n">
        <x:v>66</x:v>
      </x:c>
      <x:c r="BU522" s="4" t="str">
        <x:v>WPG</x:v>
      </x:c>
      <x:c r="BV522" s="10" t="n">
        <x:v>573</x:v>
      </x:c>
      <x:c r="BW522" s="10"/>
      <x:c r="BX522" s="10" t="n">
        <x:v>527</x:v>
      </x:c>
      <x:c r="BY522" s="4" t="str">
        <x:v>Cole Koepke</x:v>
      </x:c>
      <x:c r="BZ522" s="4"/>
      <x:c r="CA522" s="4" t="str">
        <x:v>Cole Koepke</x:v>
      </x:c>
      <x:c r="CB522" s="4" t="str">
        <x:v>koepkco01</x:v>
      </x:c>
    </x:row>
    <x:row r="523" ht="22" customHeight="1">
      <x:c r="A523" s="4" t="str">
        <x:v>Cole McWard</x:v>
      </x:c>
      <x:c r="B523" s="4" t="str">
        <x:v>colemcward</x:v>
      </x:c>
      <x:c r="C523" s="10" t="n">
        <x:v>0</x:v>
      </x:c>
      <x:c r="D523" s="10" t="n">
        <x:v>0</x:v>
      </x:c>
      <x:c r="E523" s="10" t="n">
        <x:v>1</x:v>
      </x:c>
      <x:c r="F523" s="4" t="str">
        <x:f>IF(COUNT(N523,Q523,T523,W523,Z523,AC523,AF523,AI523)=8,N523*Guide!$E$5+Q523*Guide!$E$6+T523*Guide!$E$7+W523*Guide!$E$8+Z523*Guide!$E$9+AC523*Guide!$E$10+AF523*Guide!$E$11+AI523*Guide!$E$12,"")</x:f>
      </x:c>
      <x:c r="G523" s="4" t="str">
        <x:f>IF(COUNT(O523,R523,U523,X523,AA523,AD523,AG523,AJ523)=8,O523*Guide!$E$5+R523*Guide!$E$6+U523*Guide!$E$7+X523*Guide!$E$8+AA523*Guide!$E$9+AD523*Guide!$E$10+AG523*Guide!$E$11+AJ523*Guide!$E$12,"")</x:f>
      </x:c>
      <x:c r="H523" s="4" t="str">
        <x:f>IF(COUNT(G523,F523)=2,G523-F523,"")</x:f>
      </x:c>
      <x:c r="I523" s="4" t="str">
        <x:f>IF(AND(ISNUMBER(F523),K523&gt;0),F523/K523,"")</x:f>
      </x:c>
      <x:c r="J523" s="4" t="str">
        <x:f>IF(AND(ISNUMBER(G523),L523&gt;0),G523/L523,"")</x:f>
      </x:c>
      <x:c r="K523" s="10"/>
      <x:c r="L523" s="10"/>
      <x:c r="M523" s="10" t="str">
        <x:f>IF(COUNT(L523,K523)=2,L523-K523,"")</x:f>
      </x:c>
      <x:c r="N523" s="10"/>
      <x:c r="O523" s="10"/>
      <x:c r="P523" s="10" t="str">
        <x:f>IF(COUNT(O523,N523)=2,O523-N523,"")</x:f>
      </x:c>
      <x:c r="Q523" s="10"/>
      <x:c r="R523" s="10"/>
      <x:c r="S523" s="10" t="str">
        <x:f>IF(COUNT(R523,Q523)=2,R523-Q523,"")</x:f>
      </x:c>
      <x:c r="T523" s="10"/>
      <x:c r="U523" s="10"/>
      <x:c r="V523" s="10" t="str">
        <x:f>IF(COUNT(U523,T523)=2,U523-T523,"")</x:f>
      </x:c>
      <x:c r="W523" s="10"/>
      <x:c r="X523" s="10" t="str">
        <x:f>IF(COUNT(AV523,AW523)=2,AV523+AW523,"")</x:f>
      </x:c>
      <x:c r="Y523" s="10" t="str">
        <x:f>IF(COUNT(X523,W523)=2,X523-W523,"")</x:f>
      </x:c>
      <x:c r="Z523" s="10"/>
      <x:c r="AA523" s="10" t="str">
        <x:f>IF(COUNT(AX523,AY523)=2,AX523+AY523,"")</x:f>
      </x:c>
      <x:c r="AB523" s="10" t="str">
        <x:f>IF(COUNT(AA523,Z523)=2,AA523-Z523,"")</x:f>
      </x:c>
      <x:c r="AC523" s="10"/>
      <x:c r="AD523" s="10"/>
      <x:c r="AE523" s="10" t="str">
        <x:f>IF(COUNT(AD523,AC523)=2,AD523-AC523,"")</x:f>
      </x:c>
      <x:c r="AF523" s="10"/>
      <x:c r="AG523" s="10"/>
      <x:c r="AH523" s="10" t="str">
        <x:f>IF(COUNT(AG523,AF523)=2,AG523-AF523,"")</x:f>
      </x:c>
      <x:c r="AI523" s="10"/>
      <x:c r="AJ523" s="10"/>
      <x:c r="AK523" s="10" t="str">
        <x:f>IF(COUNT(AJ523,AI523)=2,AJ523-AI523,"")</x:f>
      </x:c>
      <x:c r="AL523" s="10"/>
      <x:c r="AM523" s="10"/>
      <x:c r="AN523" s="4"/>
      <x:c r="AO523" s="4"/>
      <x:c r="AP523" s="4"/>
      <x:c r="AQ523" s="4"/>
      <x:c r="AR523" s="4"/>
      <x:c r="AS523" s="4"/>
      <x:c r="AT523" s="4"/>
      <x:c r="AU523" s="4"/>
      <x:c r="AV523" s="10"/>
      <x:c r="AW523" s="10"/>
      <x:c r="AX523" s="10"/>
      <x:c r="AY523" s="10"/>
      <x:c r="AZ523" s="10" t="n">
        <x:v>25</x:v>
      </x:c>
      <x:c r="BA523" s="10" t="n">
        <x:v>52</x:v>
      </x:c>
      <x:c r="BB523" s="4" t="n">
        <x:v>32.5</x:v>
      </x:c>
      <x:c r="BC523" s="4" t="n">
        <x:v>-14.5</x:v>
      </x:c>
      <x:c r="BD523" s="10" t="n">
        <x:v>22</x:v>
      </x:c>
      <x:c r="BE523" s="10" t="n">
        <x:v>36</x:v>
      </x:c>
      <x:c r="BF523" s="4" t="n">
        <x:v>37.9</x:v>
      </x:c>
      <x:c r="BG523" s="4" t="n">
        <x:v>-9.8</x:v>
      </x:c>
      <x:c r="BH523" s="4" t="n">
        <x:v>16.7</x:v>
      </x:c>
      <x:c r="BI523" s="4" t="n">
        <x:v>92.3</x:v>
      </x:c>
      <x:c r="BJ523" s="4" t="n">
        <x:v>109</x:v>
      </x:c>
      <x:c r="BK523" s="4" t="n">
        <x:v>30.8</x:v>
      </x:c>
      <x:c r="BL523" s="4" t="n">
        <x:v>69.2</x:v>
      </x:c>
      <x:c r="BM523" s="4" t="n">
        <x:v>13.733333333333333</x:v>
      </x:c>
      <x:c r="BN523" s="4" t="n">
        <x:v>13.733333333333333</x:v>
      </x:c>
      <x:c r="BO523" s="10" t="n">
        <x:v>2</x:v>
      </x:c>
      <x:c r="BP523" s="10" t="n">
        <x:v>3</x:v>
      </x:c>
      <x:c r="BQ523" s="4" t="n">
        <x:v>-0.9</x:v>
      </x:c>
      <x:c r="BR523" s="10" t="n">
        <x:v>1</x:v>
      </x:c>
      <x:c r="BS523" s="4" t="n">
        <x:v>100</x:v>
      </x:c>
      <x:c r="BT523" s="10" t="n">
        <x:v>3</x:v>
      </x:c>
      <x:c r="BU523" s="4" t="str">
        <x:v>NYI</x:v>
      </x:c>
      <x:c r="BV523" s="10"/>
      <x:c r="BW523" s="10"/>
      <x:c r="BX523" s="10" t="n">
        <x:v>683</x:v>
      </x:c>
      <x:c r="BY523" s="4"/>
      <x:c r="BZ523" s="4"/>
      <x:c r="CA523" s="4" t="str">
        <x:v>Cole McWard</x:v>
      </x:c>
      <x:c r="CB523" s="4" t="str">
        <x:v>mcwarco01</x:v>
      </x:c>
    </x:row>
    <x:row r="524" ht="22" customHeight="1">
      <x:c r="A524" s="4" t="str">
        <x:v>Cole O'Hara</x:v>
      </x:c>
      <x:c r="B524" s="4" t="str">
        <x:v>coleohara</x:v>
      </x:c>
      <x:c r="C524" s="10" t="n">
        <x:v>0</x:v>
      </x:c>
      <x:c r="D524" s="10" t="n">
        <x:v>0</x:v>
      </x:c>
      <x:c r="E524" s="10" t="n">
        <x:v>1</x:v>
      </x:c>
      <x:c r="F524" s="4" t="str">
        <x:f>IF(COUNT(N524,Q524,T524,W524,Z524,AC524,AF524,AI524)=8,N524*Guide!$E$5+Q524*Guide!$E$6+T524*Guide!$E$7+W524*Guide!$E$8+Z524*Guide!$E$9+AC524*Guide!$E$10+AF524*Guide!$E$11+AI524*Guide!$E$12,"")</x:f>
      </x:c>
      <x:c r="G524" s="4" t="str">
        <x:f>IF(COUNT(O524,R524,U524,X524,AA524,AD524,AG524,AJ524)=8,O524*Guide!$E$5+R524*Guide!$E$6+U524*Guide!$E$7+X524*Guide!$E$8+AA524*Guide!$E$9+AD524*Guide!$E$10+AG524*Guide!$E$11+AJ524*Guide!$E$12,"")</x:f>
      </x:c>
      <x:c r="H524" s="4" t="str">
        <x:f>IF(COUNT(G524,F524)=2,G524-F524,"")</x:f>
      </x:c>
      <x:c r="I524" s="4" t="str">
        <x:f>IF(AND(ISNUMBER(F524),K524&gt;0),F524/K524,"")</x:f>
      </x:c>
      <x:c r="J524" s="4" t="str">
        <x:f>IF(AND(ISNUMBER(G524),L524&gt;0),G524/L524,"")</x:f>
      </x:c>
      <x:c r="K524" s="10"/>
      <x:c r="L524" s="10"/>
      <x:c r="M524" s="10" t="str">
        <x:f>IF(COUNT(L524,K524)=2,L524-K524,"")</x:f>
      </x:c>
      <x:c r="N524" s="10"/>
      <x:c r="O524" s="10"/>
      <x:c r="P524" s="10" t="str">
        <x:f>IF(COUNT(O524,N524)=2,O524-N524,"")</x:f>
      </x:c>
      <x:c r="Q524" s="10"/>
      <x:c r="R524" s="10"/>
      <x:c r="S524" s="10" t="str">
        <x:f>IF(COUNT(R524,Q524)=2,R524-Q524,"")</x:f>
      </x:c>
      <x:c r="T524" s="10"/>
      <x:c r="U524" s="10"/>
      <x:c r="V524" s="10" t="str">
        <x:f>IF(COUNT(U524,T524)=2,U524-T524,"")</x:f>
      </x:c>
      <x:c r="W524" s="10"/>
      <x:c r="X524" s="10" t="str">
        <x:f>IF(COUNT(AV524,AW524)=2,AV524+AW524,"")</x:f>
      </x:c>
      <x:c r="Y524" s="10" t="str">
        <x:f>IF(COUNT(X524,W524)=2,X524-W524,"")</x:f>
      </x:c>
      <x:c r="Z524" s="10"/>
      <x:c r="AA524" s="10" t="str">
        <x:f>IF(COUNT(AX524,AY524)=2,AX524+AY524,"")</x:f>
      </x:c>
      <x:c r="AB524" s="10" t="str">
        <x:f>IF(COUNT(AA524,Z524)=2,AA524-Z524,"")</x:f>
      </x:c>
      <x:c r="AC524" s="10"/>
      <x:c r="AD524" s="10"/>
      <x:c r="AE524" s="10" t="str">
        <x:f>IF(COUNT(AD524,AC524)=2,AD524-AC524,"")</x:f>
      </x:c>
      <x:c r="AF524" s="10"/>
      <x:c r="AG524" s="10"/>
      <x:c r="AH524" s="10" t="str">
        <x:f>IF(COUNT(AG524,AF524)=2,AG524-AF524,"")</x:f>
      </x:c>
      <x:c r="AI524" s="10"/>
      <x:c r="AJ524" s="10"/>
      <x:c r="AK524" s="10" t="str">
        <x:f>IF(COUNT(AJ524,AI524)=2,AJ524-AI524,"")</x:f>
      </x:c>
      <x:c r="AL524" s="10"/>
      <x:c r="AM524" s="10"/>
      <x:c r="AN524" s="4"/>
      <x:c r="AO524" s="4"/>
      <x:c r="AP524" s="4"/>
      <x:c r="AQ524" s="4"/>
      <x:c r="AR524" s="4"/>
      <x:c r="AS524" s="4"/>
      <x:c r="AT524" s="4"/>
      <x:c r="AU524" s="4"/>
      <x:c r="AV524" s="10"/>
      <x:c r="AW524" s="10"/>
      <x:c r="AX524" s="10"/>
      <x:c r="AY524" s="10"/>
      <x:c r="AZ524" s="10" t="n">
        <x:v>6</x:v>
      </x:c>
      <x:c r="BA524" s="10" t="n">
        <x:v>15</x:v>
      </x:c>
      <x:c r="BB524" s="4" t="n">
        <x:v>28.6</x:v>
      </x:c>
      <x:c r="BC524" s="4" t="n">
        <x:v>-12</x:v>
      </x:c>
      <x:c r="BD524" s="10" t="n">
        <x:v>2</x:v>
      </x:c>
      <x:c r="BE524" s="10" t="n">
        <x:v>10</x:v>
      </x:c>
      <x:c r="BF524" s="4" t="n">
        <x:v>16.7</x:v>
      </x:c>
      <x:c r="BG524" s="4" t="n">
        <x:v>-24.4</x:v>
      </x:c>
      <x:c r="BH524" s="4" t="n">
        <x:v>50</x:v>
      </x:c>
      <x:c r="BI524" s="4" t="n">
        <x:v>100</x:v>
      </x:c>
      <x:c r="BJ524" s="4" t="n">
        <x:v>150</x:v>
      </x:c>
      <x:c r="BK524" s="4" t="n">
        <x:v>30</x:v>
      </x:c>
      <x:c r="BL524" s="4" t="n">
        <x:v>70</x:v>
      </x:c>
      <x:c r="BM524" s="4" t="n">
        <x:v>11.383333333333333</x:v>
      </x:c>
      <x:c r="BN524" s="4" t="n">
        <x:v>11.016666666666667</x:v>
      </x:c>
      <x:c r="BO524" s="10" t="n">
        <x:v>1</x:v>
      </x:c>
      <x:c r="BP524" s="10" t="n">
        <x:v>2</x:v>
      </x:c>
      <x:c r="BQ524" s="4" t="n">
        <x:v>-0.3</x:v>
      </x:c>
      <x:c r="BR524" s="10" t="n">
        <x:v>1</x:v>
      </x:c>
      <x:c r="BS524" s="4" t="n">
        <x:v>100</x:v>
      </x:c>
      <x:c r="BT524" s="10" t="n">
        <x:v>1</x:v>
      </x:c>
      <x:c r="BU524" s="4" t="str">
        <x:v>NSH</x:v>
      </x:c>
      <x:c r="BV524" s="10"/>
      <x:c r="BW524" s="10"/>
      <x:c r="BX524" s="10" t="n">
        <x:v>755</x:v>
      </x:c>
      <x:c r="BY524" s="4"/>
      <x:c r="BZ524" s="4"/>
      <x:c r="CA524" s="4" t="str">
        <x:v>Cole O'Hara</x:v>
      </x:c>
      <x:c r="CB524" s="4" t="str">
        <x:v>oharaco01</x:v>
      </x:c>
    </x:row>
    <x:row r="525" ht="22" customHeight="1">
      <x:c r="A525" s="4" t="str">
        <x:v>Cole Reinhardt</x:v>
      </x:c>
      <x:c r="B525" s="4" t="str">
        <x:v>colereinhardt</x:v>
      </x:c>
      <x:c r="C525" s="10" t="n">
        <x:v>0</x:v>
      </x:c>
      <x:c r="D525" s="10" t="n">
        <x:v>0</x:v>
      </x:c>
      <x:c r="E525" s="10" t="n">
        <x:v>1</x:v>
      </x:c>
      <x:c r="F525" s="4" t="str">
        <x:f>IF(COUNT(N525,Q525,T525,W525,Z525,AC525,AF525,AI525)=8,N525*Guide!$E$5+Q525*Guide!$E$6+T525*Guide!$E$7+W525*Guide!$E$8+Z525*Guide!$E$9+AC525*Guide!$E$10+AF525*Guide!$E$11+AI525*Guide!$E$12,"")</x:f>
      </x:c>
      <x:c r="G525" s="4" t="str">
        <x:f>IF(COUNT(O525,R525,U525,X525,AA525,AD525,AG525,AJ525)=8,O525*Guide!$E$5+R525*Guide!$E$6+U525*Guide!$E$7+X525*Guide!$E$8+AA525*Guide!$E$9+AD525*Guide!$E$10+AG525*Guide!$E$11+AJ525*Guide!$E$12,"")</x:f>
      </x:c>
      <x:c r="H525" s="4" t="str">
        <x:f>IF(COUNT(G525,F525)=2,G525-F525,"")</x:f>
      </x:c>
      <x:c r="I525" s="4" t="str">
        <x:f>IF(AND(ISNUMBER(F525),K525&gt;0),F525/K525,"")</x:f>
      </x:c>
      <x:c r="J525" s="4" t="str">
        <x:f>IF(AND(ISNUMBER(G525),L525&gt;0),G525/L525,"")</x:f>
      </x:c>
      <x:c r="K525" s="10"/>
      <x:c r="L525" s="10"/>
      <x:c r="M525" s="10" t="str">
        <x:f>IF(COUNT(L525,K525)=2,L525-K525,"")</x:f>
      </x:c>
      <x:c r="N525" s="10"/>
      <x:c r="O525" s="10"/>
      <x:c r="P525" s="10" t="str">
        <x:f>IF(COUNT(O525,N525)=2,O525-N525,"")</x:f>
      </x:c>
      <x:c r="Q525" s="10"/>
      <x:c r="R525" s="10"/>
      <x:c r="S525" s="10" t="str">
        <x:f>IF(COUNT(R525,Q525)=2,R525-Q525,"")</x:f>
      </x:c>
      <x:c r="T525" s="10"/>
      <x:c r="U525" s="10"/>
      <x:c r="V525" s="10" t="str">
        <x:f>IF(COUNT(U525,T525)=2,U525-T525,"")</x:f>
      </x:c>
      <x:c r="W525" s="10"/>
      <x:c r="X525" s="10" t="str">
        <x:f>IF(COUNT(AV525,AW525)=2,AV525+AW525,"")</x:f>
      </x:c>
      <x:c r="Y525" s="10" t="str">
        <x:f>IF(COUNT(X525,W525)=2,X525-W525,"")</x:f>
      </x:c>
      <x:c r="Z525" s="10"/>
      <x:c r="AA525" s="10" t="str">
        <x:f>IF(COUNT(AX525,AY525)=2,AX525+AY525,"")</x:f>
      </x:c>
      <x:c r="AB525" s="10" t="str">
        <x:f>IF(COUNT(AA525,Z525)=2,AA525-Z525,"")</x:f>
      </x:c>
      <x:c r="AC525" s="10"/>
      <x:c r="AD525" s="10"/>
      <x:c r="AE525" s="10" t="str">
        <x:f>IF(COUNT(AD525,AC525)=2,AD525-AC525,"")</x:f>
      </x:c>
      <x:c r="AF525" s="10"/>
      <x:c r="AG525" s="10"/>
      <x:c r="AH525" s="10" t="str">
        <x:f>IF(COUNT(AG525,AF525)=2,AG525-AF525,"")</x:f>
      </x:c>
      <x:c r="AI525" s="10"/>
      <x:c r="AJ525" s="10"/>
      <x:c r="AK525" s="10" t="str">
        <x:f>IF(COUNT(AJ525,AI525)=2,AJ525-AI525,"")</x:f>
      </x:c>
      <x:c r="AL525" s="10"/>
      <x:c r="AM525" s="10"/>
      <x:c r="AN525" s="4"/>
      <x:c r="AO525" s="4"/>
      <x:c r="AP525" s="4"/>
      <x:c r="AQ525" s="4"/>
      <x:c r="AR525" s="4"/>
      <x:c r="AS525" s="4"/>
      <x:c r="AT525" s="4"/>
      <x:c r="AU525" s="4"/>
      <x:c r="AV525" s="10"/>
      <x:c r="AW525" s="10"/>
      <x:c r="AX525" s="10"/>
      <x:c r="AY525" s="10"/>
      <x:c r="AZ525" s="10" t="n">
        <x:v>460</x:v>
      </x:c>
      <x:c r="BA525" s="10" t="n">
        <x:v>574</x:v>
      </x:c>
      <x:c r="BB525" s="4" t="n">
        <x:v>44.5</x:v>
      </x:c>
      <x:c r="BC525" s="4" t="n">
        <x:v>-7.9</x:v>
      </x:c>
      <x:c r="BD525" s="10" t="n">
        <x:v>335</x:v>
      </x:c>
      <x:c r="BE525" s="10" t="n">
        <x:v>420</x:v>
      </x:c>
      <x:c r="BF525" s="4" t="n">
        <x:v>44.4</x:v>
      </x:c>
      <x:c r="BG525" s="4" t="n">
        <x:v>-8.1</x:v>
      </x:c>
      <x:c r="BH525" s="4" t="n">
        <x:v>10.2</x:v>
      </x:c>
      <x:c r="BI525" s="4" t="n">
        <x:v>90.8</x:v>
      </x:c>
      <x:c r="BJ525" s="4" t="n">
        <x:v>101</x:v>
      </x:c>
      <x:c r="BK525" s="4" t="n">
        <x:v>44.9</x:v>
      </x:c>
      <x:c r="BL525" s="4" t="n">
        <x:v>55.1</x:v>
      </x:c>
      <x:c r="BM525" s="4" t="n">
        <x:v>10.65</x:v>
      </x:c>
      <x:c r="BN525" s="4" t="n">
        <x:v>10.483333333333333</x:v>
      </x:c>
      <x:c r="BO525" s="10" t="n">
        <x:v>5</x:v>
      </x:c>
      <x:c r="BP525" s="10" t="n">
        <x:v>28</x:v>
      </x:c>
      <x:c r="BQ525" s="4" t="n">
        <x:v>-4.1</x:v>
      </x:c>
      <x:c r="BR525" s="10" t="n">
        <x:v>106</x:v>
      </x:c>
      <x:c r="BS525" s="4" t="n">
        <x:v>46.2</x:v>
      </x:c>
      <x:c r="BT525" s="10" t="n">
        <x:v>59</x:v>
      </x:c>
      <x:c r="BU525" s="4" t="str">
        <x:v>TOT</x:v>
      </x:c>
      <x:c r="BV525" s="10"/>
      <x:c r="BW525" s="10"/>
      <x:c r="BX525" s="10" t="n">
        <x:v>854</x:v>
      </x:c>
      <x:c r="BY525" s="4"/>
      <x:c r="BZ525" s="4"/>
      <x:c r="CA525" s="4" t="str">
        <x:v>Cole Reinhardt</x:v>
      </x:c>
      <x:c r="CB525" s="4" t="str">
        <x:v>reinhco01</x:v>
      </x:c>
    </x:row>
    <x:row r="526" ht="22" customHeight="1">
      <x:c r="A526" s="4" t="str">
        <x:v>Cole Schwindt</x:v>
      </x:c>
      <x:c r="B526" s="4" t="str">
        <x:v>coleschwindt</x:v>
      </x:c>
      <x:c r="C526" s="10" t="n">
        <x:v>1</x:v>
      </x:c>
      <x:c r="D526" s="10" t="n">
        <x:v>0</x:v>
      </x:c>
      <x:c r="E526" s="10" t="n">
        <x:v>1</x:v>
      </x:c>
      <x:c r="F526" s="4" t="n">
        <x:f>IF(COUNT(N526,Q526,T526,W526,Z526,AC526,AF526,AI526)=8,N526*Guide!$E$5+Q526*Guide!$E$6+T526*Guide!$E$7+W526*Guide!$E$8+Z526*Guide!$E$9+AC526*Guide!$E$10+AF526*Guide!$E$11+AI526*Guide!$E$12,"")</x:f>
        <x:v>101.75</x:v>
      </x:c>
      <x:c r="G526" s="4" t="str">
        <x:f>IF(COUNT(O526,R526,U526,X526,AA526,AD526,AG526,AJ526)=8,O526*Guide!$E$5+R526*Guide!$E$6+U526*Guide!$E$7+X526*Guide!$E$8+AA526*Guide!$E$9+AD526*Guide!$E$10+AG526*Guide!$E$11+AJ526*Guide!$E$12,"")</x:f>
      </x:c>
      <x:c r="H526" s="4" t="str">
        <x:f>IF(COUNT(G526,F526)=2,G526-F526,"")</x:f>
      </x:c>
      <x:c r="I526" s="4" t="n">
        <x:f>IF(AND(ISNUMBER(F526),K526&gt;0),F526/K526,"")</x:f>
        <x:v>1.58984375</x:v>
      </x:c>
      <x:c r="J526" s="4" t="str">
        <x:f>IF(AND(ISNUMBER(G526),L526&gt;0),G526/L526,"")</x:f>
      </x:c>
      <x:c r="K526" s="10" t="n">
        <x:v>64</x:v>
      </x:c>
      <x:c r="L526" s="10"/>
      <x:c r="M526" s="10" t="str">
        <x:f>IF(COUNT(L526,K526)=2,L526-K526,"")</x:f>
      </x:c>
      <x:c r="N526" s="10" t="n">
        <x:v>6</x:v>
      </x:c>
      <x:c r="O526" s="10"/>
      <x:c r="P526" s="10" t="str">
        <x:f>IF(COUNT(O526,N526)=2,O526-N526,"")</x:f>
      </x:c>
      <x:c r="Q526" s="10" t="n">
        <x:v>10</x:v>
      </x:c>
      <x:c r="R526" s="10"/>
      <x:c r="S526" s="10" t="str">
        <x:f>IF(COUNT(R526,Q526)=2,R526-Q526,"")</x:f>
      </x:c>
      <x:c r="T526" s="10" t="n">
        <x:v>0</x:v>
      </x:c>
      <x:c r="U526" s="10"/>
      <x:c r="V526" s="10" t="str">
        <x:f>IF(COUNT(U526,T526)=2,U526-T526,"")</x:f>
      </x:c>
      <x:c r="W526" s="10" t="n">
        <x:v>0</x:v>
      </x:c>
      <x:c r="X526" s="10" t="str">
        <x:f>IF(COUNT(AV526,AW526)=2,AV526+AW526,"")</x:f>
      </x:c>
      <x:c r="Y526" s="10" t="str">
        <x:f>IF(COUNT(X526,W526)=2,X526-W526,"")</x:f>
      </x:c>
      <x:c r="Z526" s="10" t="n">
        <x:v>0</x:v>
      </x:c>
      <x:c r="AA526" s="10" t="str">
        <x:f>IF(COUNT(AX526,AY526)=2,AX526+AY526,"")</x:f>
      </x:c>
      <x:c r="AB526" s="10" t="str">
        <x:f>IF(COUNT(AA526,Z526)=2,AA526-Z526,"")</x:f>
      </x:c>
      <x:c r="AC526" s="10" t="n">
        <x:v>56</x:v>
      </x:c>
      <x:c r="AD526" s="10"/>
      <x:c r="AE526" s="10" t="str">
        <x:f>IF(COUNT(AD526,AC526)=2,AD526-AC526,"")</x:f>
      </x:c>
      <x:c r="AF526" s="10" t="n">
        <x:v>63</x:v>
      </x:c>
      <x:c r="AG526" s="10"/>
      <x:c r="AH526" s="10" t="str">
        <x:f>IF(COUNT(AG526,AF526)=2,AG526-AF526,"")</x:f>
      </x:c>
      <x:c r="AI526" s="10" t="n">
        <x:v>24</x:v>
      </x:c>
      <x:c r="AJ526" s="10"/>
      <x:c r="AK526" s="10" t="str">
        <x:f>IF(COUNT(AJ526,AI526)=2,AJ526-AI526,"")</x:f>
      </x:c>
      <x:c r="AL526" s="10" t="n">
        <x:v>24</x:v>
      </x:c>
      <x:c r="AM526" s="10"/>
      <x:c r="AN526" s="4" t="str">
        <x:v>RW</x:v>
      </x:c>
      <x:c r="AO526" s="4"/>
      <x:c r="AP526" s="4" t="str">
        <x:v>VGK</x:v>
      </x:c>
      <x:c r="AQ526" s="4"/>
      <x:c r="AR526" s="4" t="n">
        <x:v>9.6</x:v>
      </x:c>
      <x:c r="AS526" s="4"/>
      <x:c r="AT526" s="4" t="n">
        <x:v>0.1</x:v>
      </x:c>
      <x:c r="AU526" s="4"/>
      <x:c r="AV526" s="10"/>
      <x:c r="AW526" s="10"/>
      <x:c r="AX526" s="10"/>
      <x:c r="AY526" s="10"/>
      <x:c r="AZ526" s="10" t="n">
        <x:v>209</x:v>
      </x:c>
      <x:c r="BA526" s="10" t="n">
        <x:v>212</x:v>
      </x:c>
      <x:c r="BB526" s="4" t="n">
        <x:v>49.6</x:v>
      </x:c>
      <x:c r="BC526" s="4" t="n">
        <x:v>-3.6</x:v>
      </x:c>
      <x:c r="BD526" s="10" t="n">
        <x:v>152</x:v>
      </x:c>
      <x:c r="BE526" s="10" t="n">
        <x:v>147</x:v>
      </x:c>
      <x:c r="BF526" s="4" t="n">
        <x:v>50.8</x:v>
      </x:c>
      <x:c r="BG526" s="4" t="n">
        <x:v>-2.2</x:v>
      </x:c>
      <x:c r="BH526" s="4" t="n">
        <x:v>13.8</x:v>
      </x:c>
      <x:c r="BI526" s="4" t="n">
        <x:v>86.9</x:v>
      </x:c>
      <x:c r="BJ526" s="4" t="n">
        <x:v>100.7</x:v>
      </x:c>
      <x:c r="BK526" s="4" t="n">
        <x:v>52.3</x:v>
      </x:c>
      <x:c r="BL526" s="4" t="n">
        <x:v>47.7</x:v>
      </x:c>
      <x:c r="BM526" s="4" t="n">
        <x:v>10.033333333333333</x:v>
      </x:c>
      <x:c r="BN526" s="4" t="n">
        <x:v>9.016666666666667</x:v>
      </x:c>
      <x:c r="BO526" s="10" t="n">
        <x:v>3</x:v>
      </x:c>
      <x:c r="BP526" s="10" t="n">
        <x:v>8</x:v>
      </x:c>
      <x:c r="BQ526" s="4" t="n">
        <x:v>2.6</x:v>
      </x:c>
      <x:c r="BR526" s="10" t="n">
        <x:v>45</x:v>
      </x:c>
      <x:c r="BS526" s="4" t="n">
        <x:v>55.6</x:v>
      </x:c>
      <x:c r="BT526" s="10" t="n">
        <x:v>29</x:v>
      </x:c>
      <x:c r="BU526" s="4" t="str">
        <x:v>FLA</x:v>
      </x:c>
      <x:c r="BV526" s="10" t="n">
        <x:v>619</x:v>
      </x:c>
      <x:c r="BW526" s="10"/>
      <x:c r="BX526" s="10" t="n">
        <x:v>914</x:v>
      </x:c>
      <x:c r="BY526" s="4" t="str">
        <x:v>Cole Schwindt</x:v>
      </x:c>
      <x:c r="BZ526" s="4"/>
      <x:c r="CA526" s="4" t="str">
        <x:v>Cole Schwindt</x:v>
      </x:c>
      <x:c r="CB526" s="4" t="str">
        <x:v>schwico01</x:v>
      </x:c>
    </x:row>
    <x:row r="527" ht="22" customHeight="1">
      <x:c r="A527" s="4" t="str">
        <x:v>Cole Smith</x:v>
      </x:c>
      <x:c r="B527" s="4" t="str">
        <x:v>colesmith</x:v>
      </x:c>
      <x:c r="C527" s="10" t="n">
        <x:v>1</x:v>
      </x:c>
      <x:c r="D527" s="10" t="n">
        <x:v>0</x:v>
      </x:c>
      <x:c r="E527" s="10" t="n">
        <x:v>1</x:v>
      </x:c>
      <x:c r="F527" s="4" t="n">
        <x:f>IF(COUNT(N527,Q527,T527,W527,Z527,AC527,AF527,AI527)=8,N527*Guide!$E$5+Q527*Guide!$E$6+T527*Guide!$E$7+W527*Guide!$E$8+Z527*Guide!$E$9+AC527*Guide!$E$10+AF527*Guide!$E$11+AI527*Guide!$E$12,"")</x:f>
        <x:v>160.75</x:v>
      </x:c>
      <x:c r="G527" s="4" t="str">
        <x:f>IF(COUNT(O527,R527,U527,X527,AA527,AD527,AG527,AJ527)=8,O527*Guide!$E$5+R527*Guide!$E$6+U527*Guide!$E$7+X527*Guide!$E$8+AA527*Guide!$E$9+AD527*Guide!$E$10+AG527*Guide!$E$11+AJ527*Guide!$E$12,"")</x:f>
      </x:c>
      <x:c r="H527" s="4" t="str">
        <x:f>IF(COUNT(G527,F527)=2,G527-F527,"")</x:f>
      </x:c>
      <x:c r="I527" s="4" t="n">
        <x:f>IF(AND(ISNUMBER(F527),K527&gt;0),F527/K527,"")</x:f>
        <x:v>2.0348101265822787</x:v>
      </x:c>
      <x:c r="J527" s="4" t="str">
        <x:f>IF(AND(ISNUMBER(G527),L527&gt;0),G527/L527,"")</x:f>
      </x:c>
      <x:c r="K527" s="10" t="n">
        <x:v>79</x:v>
      </x:c>
      <x:c r="L527" s="10"/>
      <x:c r="M527" s="10" t="str">
        <x:f>IF(COUNT(L527,K527)=2,L527-K527,"")</x:f>
      </x:c>
      <x:c r="N527" s="10" t="n">
        <x:v>8</x:v>
      </x:c>
      <x:c r="O527" s="10"/>
      <x:c r="P527" s="10" t="str">
        <x:f>IF(COUNT(O527,N527)=2,O527-N527,"")</x:f>
      </x:c>
      <x:c r="Q527" s="10" t="n">
        <x:v>12</x:v>
      </x:c>
      <x:c r="R527" s="10"/>
      <x:c r="S527" s="10" t="str">
        <x:f>IF(COUNT(R527,Q527)=2,R527-Q527,"")</x:f>
      </x:c>
      <x:c r="T527" s="10" t="n">
        <x:v>-5</x:v>
      </x:c>
      <x:c r="U527" s="10"/>
      <x:c r="V527" s="10" t="str">
        <x:f>IF(COUNT(U527,T527)=2,U527-T527,"")</x:f>
      </x:c>
      <x:c r="W527" s="10" t="n">
        <x:v>0</x:v>
      </x:c>
      <x:c r="X527" s="10" t="str">
        <x:f>IF(COUNT(AV527,AW527)=2,AV527+AW527,"")</x:f>
      </x:c>
      <x:c r="Y527" s="10" t="str">
        <x:f>IF(COUNT(X527,W527)=2,X527-W527,"")</x:f>
      </x:c>
      <x:c r="Z527" s="10" t="n">
        <x:v>2</x:v>
      </x:c>
      <x:c r="AA527" s="10" t="str">
        <x:f>IF(COUNT(AX527,AY527)=2,AX527+AY527,"")</x:f>
      </x:c>
      <x:c r="AB527" s="10" t="str">
        <x:f>IF(COUNT(AA527,Z527)=2,AA527-Z527,"")</x:f>
      </x:c>
      <x:c r="AC527" s="10" t="n">
        <x:v>79</x:v>
      </x:c>
      <x:c r="AD527" s="10"/>
      <x:c r="AE527" s="10" t="str">
        <x:f>IF(COUNT(AD527,AC527)=2,AD527-AC527,"")</x:f>
      </x:c>
      <x:c r="AF527" s="10" t="n">
        <x:v>189</x:v>
      </x:c>
      <x:c r="AG527" s="10"/>
      <x:c r="AH527" s="10" t="str">
        <x:f>IF(COUNT(AG527,AF527)=2,AG527-AF527,"")</x:f>
      </x:c>
      <x:c r="AI527" s="10" t="n">
        <x:v>33</x:v>
      </x:c>
      <x:c r="AJ527" s="10"/>
      <x:c r="AK527" s="10" t="str">
        <x:f>IF(COUNT(AJ527,AI527)=2,AJ527-AI527,"")</x:f>
      </x:c>
      <x:c r="AL527" s="10" t="n">
        <x:v>30</x:v>
      </x:c>
      <x:c r="AM527" s="10"/>
      <x:c r="AN527" s="4" t="str">
        <x:v>LW</x:v>
      </x:c>
      <x:c r="AO527" s="4"/>
      <x:c r="AP527" s="4" t="str">
        <x:v>NSH</x:v>
      </x:c>
      <x:c r="AQ527" s="4"/>
      <x:c r="AR527" s="4" t="n">
        <x:v>13.4</x:v>
      </x:c>
      <x:c r="AS527" s="4"/>
      <x:c r="AT527" s="4" t="n">
        <x:v>0.14</x:v>
      </x:c>
      <x:c r="AU527" s="4"/>
      <x:c r="AV527" s="10"/>
      <x:c r="AW527" s="10"/>
      <x:c r="AX527" s="10"/>
      <x:c r="AY527" s="10"/>
      <x:c r="AZ527" s="10" t="n">
        <x:v>640</x:v>
      </x:c>
      <x:c r="BA527" s="10" t="n">
        <x:v>607</x:v>
      </x:c>
      <x:c r="BB527" s="4" t="n">
        <x:v>51.3</x:v>
      </x:c>
      <x:c r="BC527" s="4" t="n">
        <x:v>-1.9</x:v>
      </x:c>
      <x:c r="BD527" s="10" t="n">
        <x:v>461</x:v>
      </x:c>
      <x:c r="BE527" s="10" t="n">
        <x:v>440</x:v>
      </x:c>
      <x:c r="BF527" s="4" t="n">
        <x:v>51.2</x:v>
      </x:c>
      <x:c r="BG527" s="4" t="n">
        <x:v>-0.8</x:v>
      </x:c>
      <x:c r="BH527" s="4" t="n">
        <x:v>6.8</x:v>
      </x:c>
      <x:c r="BI527" s="4" t="n">
        <x:v>89.9</x:v>
      </x:c>
      <x:c r="BJ527" s="4" t="n">
        <x:v>96.8</x:v>
      </x:c>
      <x:c r="BK527" s="4" t="n">
        <x:v>27.1</x:v>
      </x:c>
      <x:c r="BL527" s="4" t="n">
        <x:v>72.9</x:v>
      </x:c>
      <x:c r="BM527" s="4" t="n">
        <x:v>13.283333333333333</x:v>
      </x:c>
      <x:c r="BN527" s="4" t="n">
        <x:v>11.283333333333333</x:v>
      </x:c>
      <x:c r="BO527" s="10" t="n">
        <x:v>14</x:v>
      </x:c>
      <x:c r="BP527" s="10" t="n">
        <x:v>21</x:v>
      </x:c>
      <x:c r="BQ527" s="4" t="n">
        <x:v>-1.7</x:v>
      </x:c>
      <x:c r="BR527" s="10" t="n">
        <x:v>145</x:v>
      </x:c>
      <x:c r="BS527" s="4" t="n">
        <x:v>47.6</x:v>
      </x:c>
      <x:c r="BT527" s="10" t="n">
        <x:v>63</x:v>
      </x:c>
      <x:c r="BU527" s="4" t="str">
        <x:v>TOT</x:v>
      </x:c>
      <x:c r="BV527" s="10" t="n">
        <x:v>521</x:v>
      </x:c>
      <x:c r="BW527" s="10"/>
      <x:c r="BX527" s="10" t="n">
        <x:v>946</x:v>
      </x:c>
      <x:c r="BY527" s="4" t="str">
        <x:v>Cole Smith</x:v>
      </x:c>
      <x:c r="BZ527" s="4"/>
      <x:c r="CA527" s="4" t="str">
        <x:v>Cole Smith</x:v>
      </x:c>
      <x:c r="CB527" s="4" t="str">
        <x:v>smithco02</x:v>
      </x:c>
    </x:row>
    <x:row r="528" ht="22" customHeight="1">
      <x:c r="A528" s="4" t="str">
        <x:v>Colin Blackwell</x:v>
      </x:c>
      <x:c r="B528" s="4" t="str">
        <x:v>colinblackwell</x:v>
      </x:c>
      <x:c r="C528" s="10" t="n">
        <x:v>1</x:v>
      </x:c>
      <x:c r="D528" s="10" t="n">
        <x:v>0</x:v>
      </x:c>
      <x:c r="E528" s="10" t="n">
        <x:v>1</x:v>
      </x:c>
      <x:c r="F528" s="4" t="n">
        <x:f>IF(COUNT(N528,Q528,T528,W528,Z528,AC528,AF528,AI528)=8,N528*Guide!$E$5+Q528*Guide!$E$6+T528*Guide!$E$7+W528*Guide!$E$8+Z528*Guide!$E$9+AC528*Guide!$E$10+AF528*Guide!$E$11+AI528*Guide!$E$12,"")</x:f>
        <x:v>115.5</x:v>
      </x:c>
      <x:c r="G528" s="4" t="str">
        <x:f>IF(COUNT(O528,R528,U528,X528,AA528,AD528,AG528,AJ528)=8,O528*Guide!$E$5+R528*Guide!$E$6+U528*Guide!$E$7+X528*Guide!$E$8+AA528*Guide!$E$9+AD528*Guide!$E$10+AG528*Guide!$E$11+AJ528*Guide!$E$12,"")</x:f>
      </x:c>
      <x:c r="H528" s="4" t="str">
        <x:f>IF(COUNT(G528,F528)=2,G528-F528,"")</x:f>
      </x:c>
      <x:c r="I528" s="4" t="n">
        <x:f>IF(AND(ISNUMBER(F528),K528&gt;0),F528/K528,"")</x:f>
        <x:v>1.673913043478261</x:v>
      </x:c>
      <x:c r="J528" s="4" t="str">
        <x:f>IF(AND(ISNUMBER(G528),L528&gt;0),G528/L528,"")</x:f>
      </x:c>
      <x:c r="K528" s="10" t="n">
        <x:v>69</x:v>
      </x:c>
      <x:c r="L528" s="10"/>
      <x:c r="M528" s="10" t="str">
        <x:f>IF(COUNT(L528,K528)=2,L528-K528,"")</x:f>
      </x:c>
      <x:c r="N528" s="10" t="n">
        <x:v>7</x:v>
      </x:c>
      <x:c r="O528" s="10"/>
      <x:c r="P528" s="10" t="str">
        <x:f>IF(COUNT(O528,N528)=2,O528-N528,"")</x:f>
      </x:c>
      <x:c r="Q528" s="10" t="n">
        <x:v>9</x:v>
      </x:c>
      <x:c r="R528" s="10"/>
      <x:c r="S528" s="10" t="str">
        <x:f>IF(COUNT(R528,Q528)=2,R528-Q528,"")</x:f>
      </x:c>
      <x:c r="T528" s="10" t="n">
        <x:v>-2</x:v>
      </x:c>
      <x:c r="U528" s="10"/>
      <x:c r="V528" s="10" t="str">
        <x:f>IF(COUNT(U528,T528)=2,U528-T528,"")</x:f>
      </x:c>
      <x:c r="W528" s="10" t="n">
        <x:v>0</x:v>
      </x:c>
      <x:c r="X528" s="10" t="str">
        <x:f>IF(COUNT(AV528,AW528)=2,AV528+AW528,"")</x:f>
      </x:c>
      <x:c r="Y528" s="10" t="str">
        <x:f>IF(COUNT(X528,W528)=2,X528-W528,"")</x:f>
      </x:c>
      <x:c r="Z528" s="10" t="n">
        <x:v>1</x:v>
      </x:c>
      <x:c r="AA528" s="10" t="str">
        <x:f>IF(COUNT(AX528,AY528)=2,AX528+AY528,"")</x:f>
      </x:c>
      <x:c r="AB528" s="10" t="str">
        <x:f>IF(COUNT(AA528,Z528)=2,AA528-Z528,"")</x:f>
      </x:c>
      <x:c r="AC528" s="10" t="n">
        <x:v>73</x:v>
      </x:c>
      <x:c r="AD528" s="10"/>
      <x:c r="AE528" s="10" t="str">
        <x:f>IF(COUNT(AD528,AC528)=2,AD528-AC528,"")</x:f>
      </x:c>
      <x:c r="AF528" s="10" t="n">
        <x:v>81</x:v>
      </x:c>
      <x:c r="AG528" s="10"/>
      <x:c r="AH528" s="10" t="str">
        <x:f>IF(COUNT(AG528,AF528)=2,AG528-AF528,"")</x:f>
      </x:c>
      <x:c r="AI528" s="10" t="n">
        <x:v>28</x:v>
      </x:c>
      <x:c r="AJ528" s="10"/>
      <x:c r="AK528" s="10" t="str">
        <x:f>IF(COUNT(AJ528,AI528)=2,AJ528-AI528,"")</x:f>
      </x:c>
      <x:c r="AL528" s="10" t="n">
        <x:v>32</x:v>
      </x:c>
      <x:c r="AM528" s="10"/>
      <x:c r="AN528" s="4" t="str">
        <x:v>C</x:v>
      </x:c>
      <x:c r="AO528" s="4"/>
      <x:c r="AP528" s="4" t="str">
        <x:v>DAL</x:v>
      </x:c>
      <x:c r="AQ528" s="4"/>
      <x:c r="AR528" s="4" t="n">
        <x:v>11.620000000000001</x:v>
      </x:c>
      <x:c r="AS528" s="4"/>
      <x:c r="AT528" s="4" t="n">
        <x:v>0.15</x:v>
      </x:c>
      <x:c r="AU528" s="4"/>
      <x:c r="AV528" s="10"/>
      <x:c r="AW528" s="10"/>
      <x:c r="AX528" s="10"/>
      <x:c r="AY528" s="10"/>
      <x:c r="AZ528" s="10" t="n">
        <x:v>530</x:v>
      </x:c>
      <x:c r="BA528" s="10" t="n">
        <x:v>607</x:v>
      </x:c>
      <x:c r="BB528" s="4" t="n">
        <x:v>46.6</x:v>
      </x:c>
      <x:c r="BC528" s="4" t="n">
        <x:v>-0.9</x:v>
      </x:c>
      <x:c r="BD528" s="10" t="n">
        <x:v>352</x:v>
      </x:c>
      <x:c r="BE528" s="10" t="n">
        <x:v>404</x:v>
      </x:c>
      <x:c r="BF528" s="4" t="n">
        <x:v>46.6</x:v>
      </x:c>
      <x:c r="BG528" s="4" t="n">
        <x:v>-1.2</x:v>
      </x:c>
      <x:c r="BH528" s="4" t="n">
        <x:v>9.9</x:v>
      </x:c>
      <x:c r="BI528" s="4" t="n">
        <x:v>89.7</x:v>
      </x:c>
      <x:c r="BJ528" s="4" t="n">
        <x:v>99.6</x:v>
      </x:c>
      <x:c r="BK528" s="4" t="n">
        <x:v>37.5</x:v>
      </x:c>
      <x:c r="BL528" s="4" t="n">
        <x:v>62.5</x:v>
      </x:c>
      <x:c r="BM528" s="4" t="n">
        <x:v>11.9</x:v>
      </x:c>
      <x:c r="BN528" s="4" t="n">
        <x:v>9.816666666666666</x:v>
      </x:c>
      <x:c r="BO528" s="10" t="n">
        <x:v>17</x:v>
      </x:c>
      <x:c r="BP528" s="10" t="n">
        <x:v>31</x:v>
      </x:c>
      <x:c r="BQ528" s="4" t="n">
        <x:v>-3.4</x:v>
      </x:c>
      <x:c r="BR528" s="10" t="n">
        <x:v>145</x:v>
      </x:c>
      <x:c r="BS528" s="4" t="n">
        <x:v>42.1</x:v>
      </x:c>
      <x:c r="BT528" s="10" t="n">
        <x:v>70</x:v>
      </x:c>
      <x:c r="BU528" s="4" t="str">
        <x:v>DAL</x:v>
      </x:c>
      <x:c r="BV528" s="10" t="n">
        <x:v>615</x:v>
      </x:c>
      <x:c r="BW528" s="10"/>
      <x:c r="BX528" s="10" t="n">
        <x:v>63</x:v>
      </x:c>
      <x:c r="BY528" s="4" t="str">
        <x:v>Colin Blackwell</x:v>
      </x:c>
      <x:c r="BZ528" s="4"/>
      <x:c r="CA528" s="4" t="str">
        <x:v>Colin Blackwell</x:v>
      </x:c>
      <x:c r="CB528" s="4" t="str">
        <x:v>blackco01</x:v>
      </x:c>
    </x:row>
    <x:row r="529" ht="22" customHeight="1">
      <x:c r="A529" s="4" t="str">
        <x:v>Colin Miller</x:v>
      </x:c>
      <x:c r="B529" s="4" t="str">
        <x:v>colinmiller</x:v>
      </x:c>
      <x:c r="C529" s="10" t="n">
        <x:v>1</x:v>
      </x:c>
      <x:c r="D529" s="10" t="n">
        <x:v>0</x:v>
      </x:c>
      <x:c r="E529" s="10" t="n">
        <x:v>1</x:v>
      </x:c>
      <x:c r="F529" s="4" t="n">
        <x:f>IF(COUNT(N529,Q529,T529,W529,Z529,AC529,AF529,AI529)=8,N529*Guide!$E$5+Q529*Guide!$E$6+T529*Guide!$E$7+W529*Guide!$E$8+Z529*Guide!$E$9+AC529*Guide!$E$10+AF529*Guide!$E$11+AI529*Guide!$E$12,"")</x:f>
        <x:v>138.5</x:v>
      </x:c>
      <x:c r="G529" s="4" t="str">
        <x:f>IF(COUNT(O529,R529,U529,X529,AA529,AD529,AG529,AJ529)=8,O529*Guide!$E$5+R529*Guide!$E$6+U529*Guide!$E$7+X529*Guide!$E$8+AA529*Guide!$E$9+AD529*Guide!$E$10+AG529*Guide!$E$11+AJ529*Guide!$E$12,"")</x:f>
      </x:c>
      <x:c r="H529" s="4" t="str">
        <x:f>IF(COUNT(G529,F529)=2,G529-F529,"")</x:f>
      </x:c>
      <x:c r="I529" s="4" t="n">
        <x:f>IF(AND(ISNUMBER(F529),K529&gt;0),F529/K529,"")</x:f>
        <x:v>2.1307692307692307</x:v>
      </x:c>
      <x:c r="J529" s="4" t="str">
        <x:f>IF(AND(ISNUMBER(G529),L529&gt;0),G529/L529,"")</x:f>
      </x:c>
      <x:c r="K529" s="10" t="n">
        <x:v>65</x:v>
      </x:c>
      <x:c r="L529" s="10"/>
      <x:c r="M529" s="10" t="str">
        <x:f>IF(COUNT(L529,K529)=2,L529-K529,"")</x:f>
      </x:c>
      <x:c r="N529" s="10" t="n">
        <x:v>4</x:v>
      </x:c>
      <x:c r="O529" s="10"/>
      <x:c r="P529" s="10" t="str">
        <x:f>IF(COUNT(O529,N529)=2,O529-N529,"")</x:f>
      </x:c>
      <x:c r="Q529" s="10" t="n">
        <x:v>12</x:v>
      </x:c>
      <x:c r="R529" s="10"/>
      <x:c r="S529" s="10" t="str">
        <x:f>IF(COUNT(R529,Q529)=2,R529-Q529,"")</x:f>
      </x:c>
      <x:c r="T529" s="10" t="n">
        <x:v>4</x:v>
      </x:c>
      <x:c r="U529" s="10"/>
      <x:c r="V529" s="10" t="str">
        <x:f>IF(COUNT(U529,T529)=2,U529-T529,"")</x:f>
      </x:c>
      <x:c r="W529" s="10" t="n">
        <x:v>2</x:v>
      </x:c>
      <x:c r="X529" s="10" t="str">
        <x:f>IF(COUNT(AV529,AW529)=2,AV529+AW529,"")</x:f>
      </x:c>
      <x:c r="Y529" s="10" t="str">
        <x:f>IF(COUNT(X529,W529)=2,X529-W529,"")</x:f>
      </x:c>
      <x:c r="Z529" s="10" t="n">
        <x:v>0</x:v>
      </x:c>
      <x:c r="AA529" s="10" t="str">
        <x:f>IF(COUNT(AX529,AY529)=2,AX529+AY529,"")</x:f>
      </x:c>
      <x:c r="AB529" s="10" t="str">
        <x:f>IF(COUNT(AA529,Z529)=2,AA529-Z529,"")</x:f>
      </x:c>
      <x:c r="AC529" s="10" t="n">
        <x:v>77</x:v>
      </x:c>
      <x:c r="AD529" s="10"/>
      <x:c r="AE529" s="10" t="str">
        <x:f>IF(COUNT(AD529,AC529)=2,AD529-AC529,"")</x:f>
      </x:c>
      <x:c r="AF529" s="10" t="n">
        <x:v>89</x:v>
      </x:c>
      <x:c r="AG529" s="10"/>
      <x:c r="AH529" s="10" t="str">
        <x:f>IF(COUNT(AG529,AF529)=2,AG529-AF529,"")</x:f>
      </x:c>
      <x:c r="AI529" s="10" t="n">
        <x:v>52</x:v>
      </x:c>
      <x:c r="AJ529" s="10"/>
      <x:c r="AK529" s="10" t="str">
        <x:f>IF(COUNT(AJ529,AI529)=2,AJ529-AI529,"")</x:f>
      </x:c>
      <x:c r="AL529" s="10" t="n">
        <x:v>33</x:v>
      </x:c>
      <x:c r="AM529" s="10"/>
      <x:c r="AN529" s="4" t="str">
        <x:v>D</x:v>
      </x:c>
      <x:c r="AO529" s="4"/>
      <x:c r="AP529" s="4" t="str">
        <x:v>WPG</x:v>
      </x:c>
      <x:c r="AQ529" s="4"/>
      <x:c r="AR529" s="4" t="n">
        <x:v>14.78</x:v>
      </x:c>
      <x:c r="AS529" s="4"/>
      <x:c r="AT529" s="4" t="n">
        <x:v>0.43</x:v>
      </x:c>
      <x:c r="AU529" s="4"/>
      <x:c r="AV529" s="10"/>
      <x:c r="AW529" s="10"/>
      <x:c r="AX529" s="10"/>
      <x:c r="AY529" s="10"/>
      <x:c r="AZ529" s="10" t="n">
        <x:v>206</x:v>
      </x:c>
      <x:c r="BA529" s="10" t="n">
        <x:v>248</x:v>
      </x:c>
      <x:c r="BB529" s="4" t="n">
        <x:v>45.4</x:v>
      </x:c>
      <x:c r="BC529" s="4" t="n">
        <x:v>-2</x:v>
      </x:c>
      <x:c r="BD529" s="10" t="n">
        <x:v>148</x:v>
      </x:c>
      <x:c r="BE529" s="10" t="n">
        <x:v>184</x:v>
      </x:c>
      <x:c r="BF529" s="4" t="n">
        <x:v>44.6</x:v>
      </x:c>
      <x:c r="BG529" s="4" t="n">
        <x:v>-3.2</x:v>
      </x:c>
      <x:c r="BH529" s="4" t="n">
        <x:v>5.5</x:v>
      </x:c>
      <x:c r="BI529" s="4" t="n">
        <x:v>89.5</x:v>
      </x:c>
      <x:c r="BJ529" s="4" t="n">
        <x:v>95</x:v>
      </x:c>
      <x:c r="BK529" s="4" t="n">
        <x:v>52</x:v>
      </x:c>
      <x:c r="BL529" s="4" t="n">
        <x:v>48</x:v>
      </x:c>
      <x:c r="BM529" s="4" t="n">
        <x:v>14.283333333333333</x:v>
      </x:c>
      <x:c r="BN529" s="4" t="n">
        <x:v>13.366666666666667</x:v>
      </x:c>
      <x:c r="BO529" s="10" t="n">
        <x:v>4</x:v>
      </x:c>
      <x:c r="BP529" s="10" t="n">
        <x:v>13</x:v>
      </x:c>
      <x:c r="BQ529" s="4" t="n">
        <x:v>-5.2</x:v>
      </x:c>
      <x:c r="BR529" s="10" t="n">
        <x:v>60</x:v>
      </x:c>
      <x:c r="BS529" s="4" t="n">
        <x:v>33.3</x:v>
      </x:c>
      <x:c r="BT529" s="10" t="n">
        <x:v>18</x:v>
      </x:c>
      <x:c r="BU529" s="4" t="str">
        <x:v>WPG</x:v>
      </x:c>
      <x:c r="BV529" s="10" t="n">
        <x:v>604</x:v>
      </x:c>
      <x:c r="BW529" s="10"/>
      <x:c r="BX529" s="10" t="n">
        <x:v>698</x:v>
      </x:c>
      <x:c r="BY529" s="4" t="str">
        <x:v>Colin Miller</x:v>
      </x:c>
      <x:c r="BZ529" s="4"/>
      <x:c r="CA529" s="4" t="str">
        <x:v>Colin Miller</x:v>
      </x:c>
      <x:c r="CB529" s="4" t="str">
        <x:v>milleco02</x:v>
      </x:c>
    </x:row>
    <x:row r="530" ht="22" customHeight="1">
      <x:c r="A530" s="4" t="str">
        <x:v>Colton Dach</x:v>
      </x:c>
      <x:c r="B530" s="4" t="str">
        <x:v>coltondach</x:v>
      </x:c>
      <x:c r="C530" s="10" t="n">
        <x:v>1</x:v>
      </x:c>
      <x:c r="D530" s="10" t="n">
        <x:v>0</x:v>
      </x:c>
      <x:c r="E530" s="10" t="n">
        <x:v>1</x:v>
      </x:c>
      <x:c r="F530" s="4" t="n">
        <x:f>IF(COUNT(N530,Q530,T530,W530,Z530,AC530,AF530,AI530)=8,N530*Guide!$E$5+Q530*Guide!$E$6+T530*Guide!$E$7+W530*Guide!$E$8+Z530*Guide!$E$9+AC530*Guide!$E$10+AF530*Guide!$E$11+AI530*Guide!$E$12,"")</x:f>
        <x:v>176</x:v>
      </x:c>
      <x:c r="G530" s="4" t="str">
        <x:f>IF(COUNT(O530,R530,U530,X530,AA530,AD530,AG530,AJ530)=8,O530*Guide!$E$5+R530*Guide!$E$6+U530*Guide!$E$7+X530*Guide!$E$8+AA530*Guide!$E$9+AD530*Guide!$E$10+AG530*Guide!$E$11+AJ530*Guide!$E$12,"")</x:f>
      </x:c>
      <x:c r="H530" s="4" t="str">
        <x:f>IF(COUNT(G530,F530)=2,G530-F530,"")</x:f>
      </x:c>
      <x:c r="I530" s="4" t="n">
        <x:f>IF(AND(ISNUMBER(F530),K530&gt;0),F530/K530,"")</x:f>
        <x:v>2.838709677419355</x:v>
      </x:c>
      <x:c r="J530" s="4" t="str">
        <x:f>IF(AND(ISNUMBER(G530),L530&gt;0),G530/L530,"")</x:f>
      </x:c>
      <x:c r="K530" s="10" t="n">
        <x:v>62</x:v>
      </x:c>
      <x:c r="L530" s="10"/>
      <x:c r="M530" s="10" t="str">
        <x:f>IF(COUNT(L530,K530)=2,L530-K530,"")</x:f>
      </x:c>
      <x:c r="N530" s="10" t="n">
        <x:v>10</x:v>
      </x:c>
      <x:c r="O530" s="10"/>
      <x:c r="P530" s="10" t="str">
        <x:f>IF(COUNT(O530,N530)=2,O530-N530,"")</x:f>
      </x:c>
      <x:c r="Q530" s="10" t="n">
        <x:v>14</x:v>
      </x:c>
      <x:c r="R530" s="10"/>
      <x:c r="S530" s="10" t="str">
        <x:f>IF(COUNT(R530,Q530)=2,R530-Q530,"")</x:f>
      </x:c>
      <x:c r="T530" s="10" t="n">
        <x:v>-2</x:v>
      </x:c>
      <x:c r="U530" s="10"/>
      <x:c r="V530" s="10" t="str">
        <x:f>IF(COUNT(U530,T530)=2,U530-T530,"")</x:f>
      </x:c>
      <x:c r="W530" s="10" t="n">
        <x:v>4</x:v>
      </x:c>
      <x:c r="X530" s="10" t="str">
        <x:f>IF(COUNT(AV530,AW530)=2,AV530+AW530,"")</x:f>
      </x:c>
      <x:c r="Y530" s="10" t="str">
        <x:f>IF(COUNT(X530,W530)=2,X530-W530,"")</x:f>
      </x:c>
      <x:c r="Z530" s="10" t="n">
        <x:v>0</x:v>
      </x:c>
      <x:c r="AA530" s="10" t="str">
        <x:f>IF(COUNT(AX530,AY530)=2,AX530+AY530,"")</x:f>
      </x:c>
      <x:c r="AB530" s="10" t="str">
        <x:f>IF(COUNT(AA530,Z530)=2,AA530-Z530,"")</x:f>
      </x:c>
      <x:c r="AC530" s="10" t="n">
        <x:v>72</x:v>
      </x:c>
      <x:c r="AD530" s="10"/>
      <x:c r="AE530" s="10" t="str">
        <x:f>IF(COUNT(AD530,AC530)=2,AD530-AC530,"")</x:f>
      </x:c>
      <x:c r="AF530" s="10" t="n">
        <x:v>206</x:v>
      </x:c>
      <x:c r="AG530" s="10"/>
      <x:c r="AH530" s="10" t="str">
        <x:f>IF(COUNT(AG530,AF530)=2,AG530-AF530,"")</x:f>
      </x:c>
      <x:c r="AI530" s="10" t="n">
        <x:v>30</x:v>
      </x:c>
      <x:c r="AJ530" s="10"/>
      <x:c r="AK530" s="10" t="str">
        <x:f>IF(COUNT(AJ530,AI530)=2,AJ530-AI530,"")</x:f>
      </x:c>
      <x:c r="AL530" s="10" t="n">
        <x:v>23</x:v>
      </x:c>
      <x:c r="AM530" s="10"/>
      <x:c r="AN530" s="4" t="str">
        <x:v>C,LW</x:v>
      </x:c>
      <x:c r="AO530" s="4"/>
      <x:c r="AP530" s="4" t="str">
        <x:v>CHI</x:v>
      </x:c>
      <x:c r="AQ530" s="4"/>
      <x:c r="AR530" s="4" t="n">
        <x:v>12.56</x:v>
      </x:c>
      <x:c r="AS530" s="4"/>
      <x:c r="AT530" s="4" t="n">
        <x:v>0.71</x:v>
      </x:c>
      <x:c r="AU530" s="4"/>
      <x:c r="AV530" s="10"/>
      <x:c r="AW530" s="10"/>
      <x:c r="AX530" s="10"/>
      <x:c r="AY530" s="10"/>
      <x:c r="AZ530" s="10" t="n">
        <x:v>518</x:v>
      </x:c>
      <x:c r="BA530" s="10" t="n">
        <x:v>575</x:v>
      </x:c>
      <x:c r="BB530" s="4" t="n">
        <x:v>47.4</x:v>
      </x:c>
      <x:c r="BC530" s="4" t="n">
        <x:v>0.4</x:v>
      </x:c>
      <x:c r="BD530" s="10" t="n">
        <x:v>375</x:v>
      </x:c>
      <x:c r="BE530" s="10" t="n">
        <x:v>425</x:v>
      </x:c>
      <x:c r="BF530" s="4" t="n">
        <x:v>46.9</x:v>
      </x:c>
      <x:c r="BG530" s="4" t="n">
        <x:v>0.2</x:v>
      </x:c>
      <x:c r="BH530" s="4" t="n">
        <x:v>6.7</x:v>
      </x:c>
      <x:c r="BI530" s="4" t="n">
        <x:v>90.4</x:v>
      </x:c>
      <x:c r="BJ530" s="4" t="n">
        <x:v>97</x:v>
      </x:c>
      <x:c r="BK530" s="4" t="n">
        <x:v>46.1</x:v>
      </x:c>
      <x:c r="BL530" s="4" t="n">
        <x:v>53.9</x:v>
      </x:c>
      <x:c r="BM530" s="4" t="n">
        <x:v>11.483333333333333</x:v>
      </x:c>
      <x:c r="BN530" s="4" t="n">
        <x:v>10.7</x:v>
      </x:c>
      <x:c r="BO530" s="10" t="n">
        <x:v>14</x:v>
      </x:c>
      <x:c r="BP530" s="10" t="n">
        <x:v>31</x:v>
      </x:c>
      <x:c r="BQ530" s="4" t="n">
        <x:v>-11</x:v>
      </x:c>
      <x:c r="BR530" s="10" t="n">
        <x:v>136</x:v>
      </x:c>
      <x:c r="BS530" s="4" t="n">
        <x:v>42.6</x:v>
      </x:c>
      <x:c r="BT530" s="10" t="n">
        <x:v>61</x:v>
      </x:c>
      <x:c r="BU530" s="4" t="str">
        <x:v>TOT</x:v>
      </x:c>
      <x:c r="BV530" s="10" t="n">
        <x:v>453</x:v>
      </x:c>
      <x:c r="BW530" s="10"/>
      <x:c r="BX530" s="10" t="n">
        <x:v>189</x:v>
      </x:c>
      <x:c r="BY530" s="4" t="str">
        <x:v>Colton Dach</x:v>
      </x:c>
      <x:c r="BZ530" s="4"/>
      <x:c r="CA530" s="4" t="str">
        <x:v>Colton Dach</x:v>
      </x:c>
      <x:c r="CB530" s="4" t="str">
        <x:v>dachco01</x:v>
      </x:c>
    </x:row>
    <x:row r="531" ht="22" customHeight="1">
      <x:c r="A531" s="4" t="str">
        <x:v>Colton Sissons</x:v>
      </x:c>
      <x:c r="B531" s="4" t="str">
        <x:v>coltonsissons</x:v>
      </x:c>
      <x:c r="C531" s="10" t="n">
        <x:v>1</x:v>
      </x:c>
      <x:c r="D531" s="10" t="n">
        <x:v>0</x:v>
      </x:c>
      <x:c r="E531" s="10" t="n">
        <x:v>1</x:v>
      </x:c>
      <x:c r="F531" s="4" t="n">
        <x:f>IF(COUNT(N531,Q531,T531,W531,Z531,AC531,AF531,AI531)=8,N531*Guide!$E$5+Q531*Guide!$E$6+T531*Guide!$E$7+W531*Guide!$E$8+Z531*Guide!$E$9+AC531*Guide!$E$10+AF531*Guide!$E$11+AI531*Guide!$E$12,"")</x:f>
        <x:v>187</x:v>
      </x:c>
      <x:c r="G531" s="4" t="str">
        <x:f>IF(COUNT(O531,R531,U531,X531,AA531,AD531,AG531,AJ531)=8,O531*Guide!$E$5+R531*Guide!$E$6+U531*Guide!$E$7+X531*Guide!$E$8+AA531*Guide!$E$9+AD531*Guide!$E$10+AG531*Guide!$E$11+AJ531*Guide!$E$12,"")</x:f>
      </x:c>
      <x:c r="H531" s="4" t="str">
        <x:f>IF(COUNT(G531,F531)=2,G531-F531,"")</x:f>
      </x:c>
      <x:c r="I531" s="4" t="n">
        <x:f>IF(AND(ISNUMBER(F531),K531&gt;0),F531/K531,"")</x:f>
        <x:v>2.527027027027027</x:v>
      </x:c>
      <x:c r="J531" s="4" t="str">
        <x:f>IF(AND(ISNUMBER(G531),L531&gt;0),G531/L531,"")</x:f>
      </x:c>
      <x:c r="K531" s="10" t="n">
        <x:v>74</x:v>
      </x:c>
      <x:c r="L531" s="10"/>
      <x:c r="M531" s="10" t="str">
        <x:f>IF(COUNT(L531,K531)=2,L531-K531,"")</x:f>
      </x:c>
      <x:c r="N531" s="10" t="n">
        <x:v>10</x:v>
      </x:c>
      <x:c r="O531" s="10"/>
      <x:c r="P531" s="10" t="str">
        <x:f>IF(COUNT(O531,N531)=2,O531-N531,"")</x:f>
      </x:c>
      <x:c r="Q531" s="10" t="n">
        <x:v>16</x:v>
      </x:c>
      <x:c r="R531" s="10"/>
      <x:c r="S531" s="10" t="str">
        <x:f>IF(COUNT(R531,Q531)=2,R531-Q531,"")</x:f>
      </x:c>
      <x:c r="T531" s="10" t="n">
        <x:v>-1</x:v>
      </x:c>
      <x:c r="U531" s="10"/>
      <x:c r="V531" s="10" t="str">
        <x:f>IF(COUNT(U531,T531)=2,U531-T531,"")</x:f>
      </x:c>
      <x:c r="W531" s="10" t="n">
        <x:v>3</x:v>
      </x:c>
      <x:c r="X531" s="10" t="str">
        <x:f>IF(COUNT(AV531,AW531)=2,AV531+AW531,"")</x:f>
      </x:c>
      <x:c r="Y531" s="10" t="str">
        <x:f>IF(COUNT(X531,W531)=2,X531-W531,"")</x:f>
      </x:c>
      <x:c r="Z531" s="10" t="n">
        <x:v>1</x:v>
      </x:c>
      <x:c r="AA531" s="10" t="str">
        <x:f>IF(COUNT(AX531,AY531)=2,AX531+AY531,"")</x:f>
      </x:c>
      <x:c r="AB531" s="10" t="str">
        <x:f>IF(COUNT(AA531,Z531)=2,AA531-Z531,"")</x:f>
      </x:c>
      <x:c r="AC531" s="10" t="n">
        <x:v>82</x:v>
      </x:c>
      <x:c r="AD531" s="10"/>
      <x:c r="AE531" s="10" t="str">
        <x:f>IF(COUNT(AD531,AC531)=2,AD531-AC531,"")</x:f>
      </x:c>
      <x:c r="AF531" s="10" t="n">
        <x:v>108</x:v>
      </x:c>
      <x:c r="AG531" s="10"/>
      <x:c r="AH531" s="10" t="str">
        <x:f>IF(COUNT(AG531,AF531)=2,AG531-AF531,"")</x:f>
      </x:c>
      <x:c r="AI531" s="10" t="n">
        <x:v>62</x:v>
      </x:c>
      <x:c r="AJ531" s="10"/>
      <x:c r="AK531" s="10" t="str">
        <x:f>IF(COUNT(AJ531,AI531)=2,AJ531-AI531,"")</x:f>
      </x:c>
      <x:c r="AL531" s="10" t="n">
        <x:v>32</x:v>
      </x:c>
      <x:c r="AM531" s="10"/>
      <x:c r="AN531" s="4" t="str">
        <x:v>C,LW</x:v>
      </x:c>
      <x:c r="AO531" s="4"/>
      <x:c r="AP531" s="4" t="str">
        <x:v>VGK</x:v>
      </x:c>
      <x:c r="AQ531" s="4"/>
      <x:c r="AR531" s="4" t="n">
        <x:v>14.450000000000001</x:v>
      </x:c>
      <x:c r="AS531" s="4"/>
      <x:c r="AT531" s="4" t="n">
        <x:v>0.54</x:v>
      </x:c>
      <x:c r="AU531" s="4"/>
      <x:c r="AV531" s="10"/>
      <x:c r="AW531" s="10"/>
      <x:c r="AX531" s="10"/>
      <x:c r="AY531" s="10"/>
      <x:c r="AZ531" s="10" t="n">
        <x:v>593</x:v>
      </x:c>
      <x:c r="BA531" s="10" t="n">
        <x:v>639</x:v>
      </x:c>
      <x:c r="BB531" s="4" t="n">
        <x:v>48.1</x:v>
      </x:c>
      <x:c r="BC531" s="4" t="n">
        <x:v>-5.4</x:v>
      </x:c>
      <x:c r="BD531" s="10" t="n">
        <x:v>428</x:v>
      </x:c>
      <x:c r="BE531" s="10" t="n">
        <x:v>456</x:v>
      </x:c>
      <x:c r="BF531" s="4" t="n">
        <x:v>48.4</x:v>
      </x:c>
      <x:c r="BG531" s="4" t="n">
        <x:v>-5.8</x:v>
      </x:c>
      <x:c r="BH531" s="4" t="n">
        <x:v>5.2</x:v>
      </x:c>
      <x:c r="BI531" s="4" t="n">
        <x:v>90.4</x:v>
      </x:c>
      <x:c r="BJ531" s="4" t="n">
        <x:v>95.6</x:v>
      </x:c>
      <x:c r="BK531" s="4" t="n">
        <x:v>35.5</x:v>
      </x:c>
      <x:c r="BL531" s="4" t="n">
        <x:v>64.5</x:v>
      </x:c>
      <x:c r="BM531" s="4" t="n">
        <x:v>12.5</x:v>
      </x:c>
      <x:c r="BN531" s="4" t="n">
        <x:v>10.566666666666666</x:v>
      </x:c>
      <x:c r="BO531" s="10" t="n">
        <x:v>12</x:v>
      </x:c>
      <x:c r="BP531" s="10" t="n">
        <x:v>30</x:v>
      </x:c>
      <x:c r="BQ531" s="4" t="n">
        <x:v>3.1</x:v>
      </x:c>
      <x:c r="BR531" s="10" t="n">
        <x:v>136</x:v>
      </x:c>
      <x:c r="BS531" s="4" t="n">
        <x:v>54.4</x:v>
      </x:c>
      <x:c r="BT531" s="10" t="n">
        <x:v>66</x:v>
      </x:c>
      <x:c r="BU531" s="4" t="str">
        <x:v>VEG</x:v>
      </x:c>
      <x:c r="BV531" s="10" t="n">
        <x:v>423</x:v>
      </x:c>
      <x:c r="BW531" s="10"/>
      <x:c r="BX531" s="10" t="n">
        <x:v>936</x:v>
      </x:c>
      <x:c r="BY531" s="4" t="str">
        <x:v>Colton Sissons</x:v>
      </x:c>
      <x:c r="BZ531" s="4"/>
      <x:c r="CA531" s="4" t="str">
        <x:v>Colton Sissons</x:v>
      </x:c>
      <x:c r="CB531" s="4" t="str">
        <x:v>sissoco01</x:v>
      </x:c>
    </x:row>
    <x:row r="532" ht="22" customHeight="1">
      <x:c r="A532" s="4" t="str">
        <x:v>Colton White</x:v>
      </x:c>
      <x:c r="B532" s="4" t="str">
        <x:v>coltonwhite</x:v>
      </x:c>
      <x:c r="C532" s="10" t="n">
        <x:v>0</x:v>
      </x:c>
      <x:c r="D532" s="10" t="n">
        <x:v>0</x:v>
      </x:c>
      <x:c r="E532" s="10" t="n">
        <x:v>1</x:v>
      </x:c>
      <x:c r="F532" s="4" t="str">
        <x:f>IF(COUNT(N532,Q532,T532,W532,Z532,AC532,AF532,AI532)=8,N532*Guide!$E$5+Q532*Guide!$E$6+T532*Guide!$E$7+W532*Guide!$E$8+Z532*Guide!$E$9+AC532*Guide!$E$10+AF532*Guide!$E$11+AI532*Guide!$E$12,"")</x:f>
      </x:c>
      <x:c r="G532" s="4" t="str">
        <x:f>IF(COUNT(O532,R532,U532,X532,AA532,AD532,AG532,AJ532)=8,O532*Guide!$E$5+R532*Guide!$E$6+U532*Guide!$E$7+X532*Guide!$E$8+AA532*Guide!$E$9+AD532*Guide!$E$10+AG532*Guide!$E$11+AJ532*Guide!$E$12,"")</x:f>
      </x:c>
      <x:c r="H532" s="4" t="str">
        <x:f>IF(COUNT(G532,F532)=2,G532-F532,"")</x:f>
      </x:c>
      <x:c r="I532" s="4" t="str">
        <x:f>IF(AND(ISNUMBER(F532),K532&gt;0),F532/K532,"")</x:f>
      </x:c>
      <x:c r="J532" s="4" t="str">
        <x:f>IF(AND(ISNUMBER(G532),L532&gt;0),G532/L532,"")</x:f>
      </x:c>
      <x:c r="K532" s="10"/>
      <x:c r="L532" s="10"/>
      <x:c r="M532" s="10" t="str">
        <x:f>IF(COUNT(L532,K532)=2,L532-K532,"")</x:f>
      </x:c>
      <x:c r="N532" s="10"/>
      <x:c r="O532" s="10"/>
      <x:c r="P532" s="10" t="str">
        <x:f>IF(COUNT(O532,N532)=2,O532-N532,"")</x:f>
      </x:c>
      <x:c r="Q532" s="10"/>
      <x:c r="R532" s="10"/>
      <x:c r="S532" s="10" t="str">
        <x:f>IF(COUNT(R532,Q532)=2,R532-Q532,"")</x:f>
      </x:c>
      <x:c r="T532" s="10"/>
      <x:c r="U532" s="10"/>
      <x:c r="V532" s="10" t="str">
        <x:f>IF(COUNT(U532,T532)=2,U532-T532,"")</x:f>
      </x:c>
      <x:c r="W532" s="10"/>
      <x:c r="X532" s="10" t="str">
        <x:f>IF(COUNT(AV532,AW532)=2,AV532+AW532,"")</x:f>
      </x:c>
      <x:c r="Y532" s="10" t="str">
        <x:f>IF(COUNT(X532,W532)=2,X532-W532,"")</x:f>
      </x:c>
      <x:c r="Z532" s="10"/>
      <x:c r="AA532" s="10" t="str">
        <x:f>IF(COUNT(AX532,AY532)=2,AX532+AY532,"")</x:f>
      </x:c>
      <x:c r="AB532" s="10" t="str">
        <x:f>IF(COUNT(AA532,Z532)=2,AA532-Z532,"")</x:f>
      </x:c>
      <x:c r="AC532" s="10"/>
      <x:c r="AD532" s="10"/>
      <x:c r="AE532" s="10" t="str">
        <x:f>IF(COUNT(AD532,AC532)=2,AD532-AC532,"")</x:f>
      </x:c>
      <x:c r="AF532" s="10"/>
      <x:c r="AG532" s="10"/>
      <x:c r="AH532" s="10" t="str">
        <x:f>IF(COUNT(AG532,AF532)=2,AG532-AF532,"")</x:f>
      </x:c>
      <x:c r="AI532" s="10"/>
      <x:c r="AJ532" s="10"/>
      <x:c r="AK532" s="10" t="str">
        <x:f>IF(COUNT(AJ532,AI532)=2,AJ532-AI532,"")</x:f>
      </x:c>
      <x:c r="AL532" s="10"/>
      <x:c r="AM532" s="10"/>
      <x:c r="AN532" s="4"/>
      <x:c r="AO532" s="4"/>
      <x:c r="AP532" s="4"/>
      <x:c r="AQ532" s="4"/>
      <x:c r="AR532" s="4"/>
      <x:c r="AS532" s="4"/>
      <x:c r="AT532" s="4"/>
      <x:c r="AU532" s="4"/>
      <x:c r="AV532" s="10"/>
      <x:c r="AW532" s="10"/>
      <x:c r="AX532" s="10"/>
      <x:c r="AY532" s="10"/>
      <x:c r="AZ532" s="10" t="n">
        <x:v>226</x:v>
      </x:c>
      <x:c r="BA532" s="10" t="n">
        <x:v>248</x:v>
      </x:c>
      <x:c r="BB532" s="4" t="n">
        <x:v>47.7</x:v>
      </x:c>
      <x:c r="BC532" s="4" t="n">
        <x:v>-3.8</x:v>
      </x:c>
      <x:c r="BD532" s="10" t="n">
        <x:v>165</x:v>
      </x:c>
      <x:c r="BE532" s="10" t="n">
        <x:v>175</x:v>
      </x:c>
      <x:c r="BF532" s="4" t="n">
        <x:v>48.5</x:v>
      </x:c>
      <x:c r="BG532" s="4" t="n">
        <x:v>-1.6</x:v>
      </x:c>
      <x:c r="BH532" s="4" t="n">
        <x:v>8.3</x:v>
      </x:c>
      <x:c r="BI532" s="4" t="n">
        <x:v>93.1</x:v>
      </x:c>
      <x:c r="BJ532" s="4" t="n">
        <x:v>101.4</x:v>
      </x:c>
      <x:c r="BK532" s="4" t="n">
        <x:v>50.4</x:v>
      </x:c>
      <x:c r="BL532" s="4" t="n">
        <x:v>49.6</x:v>
      </x:c>
      <x:c r="BM532" s="4" t="n">
        <x:v>12.25</x:v>
      </x:c>
      <x:c r="BN532" s="4" t="n">
        <x:v>12.15</x:v>
      </x:c>
      <x:c r="BO532" s="10" t="n">
        <x:v>4</x:v>
      </x:c>
      <x:c r="BP532" s="10" t="n">
        <x:v>21</x:v>
      </x:c>
      <x:c r="BQ532" s="4" t="n">
        <x:v>1.5</x:v>
      </x:c>
      <x:c r="BR532" s="10" t="n">
        <x:v>32</x:v>
      </x:c>
      <x:c r="BS532" s="4" t="n">
        <x:v>43.8</x:v>
      </x:c>
      <x:c r="BT532" s="10" t="n">
        <x:v>23</x:v>
      </x:c>
      <x:c r="BU532" s="4" t="str">
        <x:v>NJD</x:v>
      </x:c>
      <x:c r="BV532" s="10"/>
      <x:c r="BW532" s="10"/>
      <x:c r="BX532" s="10" t="n">
        <x:v>1070</x:v>
      </x:c>
      <x:c r="BY532" s="4"/>
      <x:c r="BZ532" s="4"/>
      <x:c r="CA532" s="4" t="str">
        <x:v>Colton White</x:v>
      </x:c>
      <x:c r="CB532" s="4" t="str">
        <x:v>whiteco03</x:v>
      </x:c>
    </x:row>
    <x:row r="533" ht="22" customHeight="1">
      <x:c r="A533" s="4" t="str">
        <x:v>Connor Clattenburg</x:v>
      </x:c>
      <x:c r="B533" s="4" t="str">
        <x:v>connorclattenburg</x:v>
      </x:c>
      <x:c r="C533" s="10" t="n">
        <x:v>0</x:v>
      </x:c>
      <x:c r="D533" s="10" t="n">
        <x:v>0</x:v>
      </x:c>
      <x:c r="E533" s="10" t="n">
        <x:v>1</x:v>
      </x:c>
      <x:c r="F533" s="4" t="str">
        <x:f>IF(COUNT(N533,Q533,T533,W533,Z533,AC533,AF533,AI533)=8,N533*Guide!$E$5+Q533*Guide!$E$6+T533*Guide!$E$7+W533*Guide!$E$8+Z533*Guide!$E$9+AC533*Guide!$E$10+AF533*Guide!$E$11+AI533*Guide!$E$12,"")</x:f>
      </x:c>
      <x:c r="G533" s="4" t="str">
        <x:f>IF(COUNT(O533,R533,U533,X533,AA533,AD533,AG533,AJ533)=8,O533*Guide!$E$5+R533*Guide!$E$6+U533*Guide!$E$7+X533*Guide!$E$8+AA533*Guide!$E$9+AD533*Guide!$E$10+AG533*Guide!$E$11+AJ533*Guide!$E$12,"")</x:f>
      </x:c>
      <x:c r="H533" s="4" t="str">
        <x:f>IF(COUNT(G533,F533)=2,G533-F533,"")</x:f>
      </x:c>
      <x:c r="I533" s="4" t="str">
        <x:f>IF(AND(ISNUMBER(F533),K533&gt;0),F533/K533,"")</x:f>
      </x:c>
      <x:c r="J533" s="4" t="str">
        <x:f>IF(AND(ISNUMBER(G533),L533&gt;0),G533/L533,"")</x:f>
      </x:c>
      <x:c r="K533" s="10"/>
      <x:c r="L533" s="10"/>
      <x:c r="M533" s="10" t="str">
        <x:f>IF(COUNT(L533,K533)=2,L533-K533,"")</x:f>
      </x:c>
      <x:c r="N533" s="10"/>
      <x:c r="O533" s="10"/>
      <x:c r="P533" s="10" t="str">
        <x:f>IF(COUNT(O533,N533)=2,O533-N533,"")</x:f>
      </x:c>
      <x:c r="Q533" s="10"/>
      <x:c r="R533" s="10"/>
      <x:c r="S533" s="10" t="str">
        <x:f>IF(COUNT(R533,Q533)=2,R533-Q533,"")</x:f>
      </x:c>
      <x:c r="T533" s="10"/>
      <x:c r="U533" s="10"/>
      <x:c r="V533" s="10" t="str">
        <x:f>IF(COUNT(U533,T533)=2,U533-T533,"")</x:f>
      </x:c>
      <x:c r="W533" s="10"/>
      <x:c r="X533" s="10" t="str">
        <x:f>IF(COUNT(AV533,AW533)=2,AV533+AW533,"")</x:f>
      </x:c>
      <x:c r="Y533" s="10" t="str">
        <x:f>IF(COUNT(X533,W533)=2,X533-W533,"")</x:f>
      </x:c>
      <x:c r="Z533" s="10"/>
      <x:c r="AA533" s="10" t="str">
        <x:f>IF(COUNT(AX533,AY533)=2,AX533+AY533,"")</x:f>
      </x:c>
      <x:c r="AB533" s="10" t="str">
        <x:f>IF(COUNT(AA533,Z533)=2,AA533-Z533,"")</x:f>
      </x:c>
      <x:c r="AC533" s="10"/>
      <x:c r="AD533" s="10"/>
      <x:c r="AE533" s="10" t="str">
        <x:f>IF(COUNT(AD533,AC533)=2,AD533-AC533,"")</x:f>
      </x:c>
      <x:c r="AF533" s="10"/>
      <x:c r="AG533" s="10"/>
      <x:c r="AH533" s="10" t="str">
        <x:f>IF(COUNT(AG533,AF533)=2,AG533-AF533,"")</x:f>
      </x:c>
      <x:c r="AI533" s="10"/>
      <x:c r="AJ533" s="10"/>
      <x:c r="AK533" s="10" t="str">
        <x:f>IF(COUNT(AJ533,AI533)=2,AJ533-AI533,"")</x:f>
      </x:c>
      <x:c r="AL533" s="10"/>
      <x:c r="AM533" s="10"/>
      <x:c r="AN533" s="4"/>
      <x:c r="AO533" s="4"/>
      <x:c r="AP533" s="4"/>
      <x:c r="AQ533" s="4"/>
      <x:c r="AR533" s="4"/>
      <x:c r="AS533" s="4"/>
      <x:c r="AT533" s="4"/>
      <x:c r="AU533" s="4"/>
      <x:c r="AV533" s="10"/>
      <x:c r="AW533" s="10"/>
      <x:c r="AX533" s="10"/>
      <x:c r="AY533" s="10"/>
      <x:c r="AZ533" s="10" t="n">
        <x:v>31</x:v>
      </x:c>
      <x:c r="BA533" s="10" t="n">
        <x:v>34</x:v>
      </x:c>
      <x:c r="BB533" s="4" t="n">
        <x:v>47.7</x:v>
      </x:c>
      <x:c r="BC533" s="4" t="n">
        <x:v>-2.5</x:v>
      </x:c>
      <x:c r="BD533" s="10" t="n">
        <x:v>24</x:v>
      </x:c>
      <x:c r="BE533" s="10" t="n">
        <x:v>25</x:v>
      </x:c>
      <x:c r="BF533" s="4" t="n">
        <x:v>49</x:v>
      </x:c>
      <x:c r="BG533" s="4" t="n">
        <x:v>-2.1</x:v>
      </x:c>
      <x:c r="BH533" s="4" t="n">
        <x:v>5.9</x:v>
      </x:c>
      <x:c r="BI533" s="4" t="n">
        <x:v>100</x:v>
      </x:c>
      <x:c r="BJ533" s="4" t="n">
        <x:v>105.9</x:v>
      </x:c>
      <x:c r="BK533" s="4" t="n">
        <x:v>33.3</x:v>
      </x:c>
      <x:c r="BL533" s="4" t="n">
        <x:v>66.7</x:v>
      </x:c>
      <x:c r="BM533" s="4" t="n">
        <x:v>7.2</x:v>
      </x:c>
      <x:c r="BN533" s="4" t="n">
        <x:v>7.1</x:v>
      </x:c>
      <x:c r="BO533" s="10" t="n">
        <x:v>0</x:v>
      </x:c>
      <x:c r="BP533" s="10" t="n">
        <x:v>4</x:v>
      </x:c>
      <x:c r="BQ533" s="4" t="n">
        <x:v>0.9</x:v>
      </x:c>
      <x:c r="BR533" s="10" t="n">
        <x:v>7</x:v>
      </x:c>
      <x:c r="BS533" s="4" t="n">
        <x:v>42.9</x:v>
      </x:c>
      <x:c r="BT533" s="10" t="n">
        <x:v>5</x:v>
      </x:c>
      <x:c r="BU533" s="4" t="str">
        <x:v>EDM</x:v>
      </x:c>
      <x:c r="BV533" s="10"/>
      <x:c r="BW533" s="10"/>
      <x:c r="BX533" s="10" t="n">
        <x:v>161</x:v>
      </x:c>
      <x:c r="BY533" s="4"/>
      <x:c r="BZ533" s="4"/>
      <x:c r="CA533" s="4" t="str">
        <x:v>Connor Clattenburg</x:v>
      </x:c>
      <x:c r="CB533" s="4" t="str">
        <x:v>clattco01</x:v>
      </x:c>
    </x:row>
    <x:row r="534" ht="22" customHeight="1">
      <x:c r="A534" s="4" t="str">
        <x:v>Connor Clifton</x:v>
      </x:c>
      <x:c r="B534" s="4" t="str">
        <x:v>connorclifton</x:v>
      </x:c>
      <x:c r="C534" s="10" t="n">
        <x:v>1</x:v>
      </x:c>
      <x:c r="D534" s="10" t="n">
        <x:v>0</x:v>
      </x:c>
      <x:c r="E534" s="10" t="n">
        <x:v>1</x:v>
      </x:c>
      <x:c r="F534" s="4" t="n">
        <x:f>IF(COUNT(N534,Q534,T534,W534,Z534,AC534,AF534,AI534)=8,N534*Guide!$E$5+Q534*Guide!$E$6+T534*Guide!$E$7+W534*Guide!$E$8+Z534*Guide!$E$9+AC534*Guide!$E$10+AF534*Guide!$E$11+AI534*Guide!$E$12,"")</x:f>
        <x:v>227.5</x:v>
      </x:c>
      <x:c r="G534" s="4" t="str">
        <x:f>IF(COUNT(O534,R534,U534,X534,AA534,AD534,AG534,AJ534)=8,O534*Guide!$E$5+R534*Guide!$E$6+U534*Guide!$E$7+X534*Guide!$E$8+AA534*Guide!$E$9+AD534*Guide!$E$10+AG534*Guide!$E$11+AJ534*Guide!$E$12,"")</x:f>
      </x:c>
      <x:c r="H534" s="4" t="str">
        <x:f>IF(COUNT(G534,F534)=2,G534-F534,"")</x:f>
      </x:c>
      <x:c r="I534" s="4" t="n">
        <x:f>IF(AND(ISNUMBER(F534),K534&gt;0),F534/K534,"")</x:f>
        <x:v>2.9934210526315788</x:v>
      </x:c>
      <x:c r="J534" s="4" t="str">
        <x:f>IF(AND(ISNUMBER(G534),L534&gt;0),G534/L534,"")</x:f>
      </x:c>
      <x:c r="K534" s="10" t="n">
        <x:v>76</x:v>
      </x:c>
      <x:c r="L534" s="10"/>
      <x:c r="M534" s="10" t="str">
        <x:f>IF(COUNT(L534,K534)=2,L534-K534,"")</x:f>
      </x:c>
      <x:c r="N534" s="10" t="n">
        <x:v>4</x:v>
      </x:c>
      <x:c r="O534" s="10"/>
      <x:c r="P534" s="10" t="str">
        <x:f>IF(COUNT(O534,N534)=2,O534-N534,"")</x:f>
      </x:c>
      <x:c r="Q534" s="10" t="n">
        <x:v>15</x:v>
      </x:c>
      <x:c r="R534" s="10"/>
      <x:c r="S534" s="10" t="str">
        <x:f>IF(COUNT(R534,Q534)=2,R534-Q534,"")</x:f>
      </x:c>
      <x:c r="T534" s="10" t="n">
        <x:v>-5</x:v>
      </x:c>
      <x:c r="U534" s="10"/>
      <x:c r="V534" s="10" t="str">
        <x:f>IF(COUNT(U534,T534)=2,U534-T534,"")</x:f>
      </x:c>
      <x:c r="W534" s="10" t="n">
        <x:v>0</x:v>
      </x:c>
      <x:c r="X534" s="10" t="str">
        <x:f>IF(COUNT(AV534,AW534)=2,AV534+AW534,"")</x:f>
      </x:c>
      <x:c r="Y534" s="10" t="str">
        <x:f>IF(COUNT(X534,W534)=2,X534-W534,"")</x:f>
      </x:c>
      <x:c r="Z534" s="10" t="n">
        <x:v>1</x:v>
      </x:c>
      <x:c r="AA534" s="10" t="str">
        <x:f>IF(COUNT(AX534,AY534)=2,AX534+AY534,"")</x:f>
      </x:c>
      <x:c r="AB534" s="10" t="str">
        <x:f>IF(COUNT(AA534,Z534)=2,AA534-Z534,"")</x:f>
      </x:c>
      <x:c r="AC534" s="10" t="n">
        <x:v>78</x:v>
      </x:c>
      <x:c r="AD534" s="10"/>
      <x:c r="AE534" s="10" t="str">
        <x:f>IF(COUNT(AD534,AC534)=2,AD534-AC534,"")</x:f>
      </x:c>
      <x:c r="AF534" s="10" t="n">
        <x:v>221</x:v>
      </x:c>
      <x:c r="AG534" s="10"/>
      <x:c r="AH534" s="10" t="str">
        <x:f>IF(COUNT(AG534,AF534)=2,AG534-AF534,"")</x:f>
      </x:c>
      <x:c r="AI534" s="10" t="n">
        <x:v>125</x:v>
      </x:c>
      <x:c r="AJ534" s="10"/>
      <x:c r="AK534" s="10" t="str">
        <x:f>IF(COUNT(AJ534,AI534)=2,AJ534-AI534,"")</x:f>
      </x:c>
      <x:c r="AL534" s="10" t="n">
        <x:v>30</x:v>
      </x:c>
      <x:c r="AM534" s="10"/>
      <x:c r="AN534" s="4" t="str">
        <x:v>D</x:v>
      </x:c>
      <x:c r="AO534" s="4"/>
      <x:c r="AP534" s="4" t="str">
        <x:v>PIT</x:v>
      </x:c>
      <x:c r="AQ534" s="4"/>
      <x:c r="AR534" s="4" t="n">
        <x:v>18.46</x:v>
      </x:c>
      <x:c r="AS534" s="4"/>
      <x:c r="AT534" s="4" t="n">
        <x:v>0.04</x:v>
      </x:c>
      <x:c r="AU534" s="4"/>
      <x:c r="AV534" s="10"/>
      <x:c r="AW534" s="10"/>
      <x:c r="AX534" s="10"/>
      <x:c r="AY534" s="10"/>
      <x:c r="AZ534" s="10" t="n">
        <x:v>667</x:v>
      </x:c>
      <x:c r="BA534" s="10" t="n">
        <x:v>729</x:v>
      </x:c>
      <x:c r="BB534" s="4" t="n">
        <x:v>47.8</x:v>
      </x:c>
      <x:c r="BC534" s="4" t="n">
        <x:v>-1.6</x:v>
      </x:c>
      <x:c r="BD534" s="10" t="n">
        <x:v>485</x:v>
      </x:c>
      <x:c r="BE534" s="10" t="n">
        <x:v>490</x:v>
      </x:c>
      <x:c r="BF534" s="4" t="n">
        <x:v>49.7</x:v>
      </x:c>
      <x:c r="BG534" s="4" t="n">
        <x:v>0.6</x:v>
      </x:c>
      <x:c r="BH534" s="4" t="n">
        <x:v>10.3</x:v>
      </x:c>
      <x:c r="BI534" s="4" t="n">
        <x:v>90.9</x:v>
      </x:c>
      <x:c r="BJ534" s="4" t="n">
        <x:v>101.2</x:v>
      </x:c>
      <x:c r="BK534" s="4" t="n">
        <x:v>36.8</x:v>
      </x:c>
      <x:c r="BL534" s="4" t="n">
        <x:v>63.2</x:v>
      </x:c>
      <x:c r="BM534" s="4" t="n">
        <x:v>16.766666666666666</x:v>
      </x:c>
      <x:c r="BN534" s="4" t="n">
        <x:v>14.7</x:v>
      </x:c>
      <x:c r="BO534" s="10" t="n">
        <x:v>13</x:v>
      </x:c>
      <x:c r="BP534" s="10" t="n">
        <x:v>40</x:v>
      </x:c>
      <x:c r="BQ534" s="4" t="n">
        <x:v>4.7</x:v>
      </x:c>
      <x:c r="BR534" s="10" t="n">
        <x:v>114</x:v>
      </x:c>
      <x:c r="BS534" s="4" t="n">
        <x:v>30.7</x:v>
      </x:c>
      <x:c r="BT534" s="10" t="n">
        <x:v>50</x:v>
      </x:c>
      <x:c r="BU534" s="4" t="str">
        <x:v>PIT</x:v>
      </x:c>
      <x:c r="BV534" s="10" t="n">
        <x:v>533</x:v>
      </x:c>
      <x:c r="BW534" s="10"/>
      <x:c r="BX534" s="10" t="n">
        <x:v>162</x:v>
      </x:c>
      <x:c r="BY534" s="4" t="str">
        <x:v>Connor Clifton</x:v>
      </x:c>
      <x:c r="BZ534" s="4"/>
      <x:c r="CA534" s="4" t="str">
        <x:v>Connor Clifton</x:v>
      </x:c>
      <x:c r="CB534" s="4" t="str">
        <x:v>cliftco01</x:v>
      </x:c>
    </x:row>
    <x:row r="535" ht="22" customHeight="1">
      <x:c r="A535" s="4" t="str">
        <x:v>Connor Mackey</x:v>
      </x:c>
      <x:c r="B535" s="4" t="str">
        <x:v>connormackey</x:v>
      </x:c>
      <x:c r="C535" s="10" t="n">
        <x:v>0</x:v>
      </x:c>
      <x:c r="D535" s="10" t="n">
        <x:v>0</x:v>
      </x:c>
      <x:c r="E535" s="10" t="n">
        <x:v>1</x:v>
      </x:c>
      <x:c r="F535" s="4" t="str">
        <x:f>IF(COUNT(N535,Q535,T535,W535,Z535,AC535,AF535,AI535)=8,N535*Guide!$E$5+Q535*Guide!$E$6+T535*Guide!$E$7+W535*Guide!$E$8+Z535*Guide!$E$9+AC535*Guide!$E$10+AF535*Guide!$E$11+AI535*Guide!$E$12,"")</x:f>
      </x:c>
      <x:c r="G535" s="4" t="str">
        <x:f>IF(COUNT(O535,R535,U535,X535,AA535,AD535,AG535,AJ535)=8,O535*Guide!$E$5+R535*Guide!$E$6+U535*Guide!$E$7+X535*Guide!$E$8+AA535*Guide!$E$9+AD535*Guide!$E$10+AG535*Guide!$E$11+AJ535*Guide!$E$12,"")</x:f>
      </x:c>
      <x:c r="H535" s="4" t="str">
        <x:f>IF(COUNT(G535,F535)=2,G535-F535,"")</x:f>
      </x:c>
      <x:c r="I535" s="4" t="str">
        <x:f>IF(AND(ISNUMBER(F535),K535&gt;0),F535/K535,"")</x:f>
      </x:c>
      <x:c r="J535" s="4" t="str">
        <x:f>IF(AND(ISNUMBER(G535),L535&gt;0),G535/L535,"")</x:f>
      </x:c>
      <x:c r="K535" s="10"/>
      <x:c r="L535" s="10"/>
      <x:c r="M535" s="10" t="str">
        <x:f>IF(COUNT(L535,K535)=2,L535-K535,"")</x:f>
      </x:c>
      <x:c r="N535" s="10"/>
      <x:c r="O535" s="10"/>
      <x:c r="P535" s="10" t="str">
        <x:f>IF(COUNT(O535,N535)=2,O535-N535,"")</x:f>
      </x:c>
      <x:c r="Q535" s="10"/>
      <x:c r="R535" s="10"/>
      <x:c r="S535" s="10" t="str">
        <x:f>IF(COUNT(R535,Q535)=2,R535-Q535,"")</x:f>
      </x:c>
      <x:c r="T535" s="10"/>
      <x:c r="U535" s="10"/>
      <x:c r="V535" s="10" t="str">
        <x:f>IF(COUNT(U535,T535)=2,U535-T535,"")</x:f>
      </x:c>
      <x:c r="W535" s="10"/>
      <x:c r="X535" s="10" t="str">
        <x:f>IF(COUNT(AV535,AW535)=2,AV535+AW535,"")</x:f>
      </x:c>
      <x:c r="Y535" s="10" t="str">
        <x:f>IF(COUNT(X535,W535)=2,X535-W535,"")</x:f>
      </x:c>
      <x:c r="Z535" s="10"/>
      <x:c r="AA535" s="10" t="str">
        <x:f>IF(COUNT(AX535,AY535)=2,AX535+AY535,"")</x:f>
      </x:c>
      <x:c r="AB535" s="10" t="str">
        <x:f>IF(COUNT(AA535,Z535)=2,AA535-Z535,"")</x:f>
      </x:c>
      <x:c r="AC535" s="10"/>
      <x:c r="AD535" s="10"/>
      <x:c r="AE535" s="10" t="str">
        <x:f>IF(COUNT(AD535,AC535)=2,AD535-AC535,"")</x:f>
      </x:c>
      <x:c r="AF535" s="10"/>
      <x:c r="AG535" s="10"/>
      <x:c r="AH535" s="10" t="str">
        <x:f>IF(COUNT(AG535,AF535)=2,AG535-AF535,"")</x:f>
      </x:c>
      <x:c r="AI535" s="10"/>
      <x:c r="AJ535" s="10"/>
      <x:c r="AK535" s="10" t="str">
        <x:f>IF(COUNT(AJ535,AI535)=2,AJ535-AI535,"")</x:f>
      </x:c>
      <x:c r="AL535" s="10"/>
      <x:c r="AM535" s="10"/>
      <x:c r="AN535" s="4"/>
      <x:c r="AO535" s="4"/>
      <x:c r="AP535" s="4"/>
      <x:c r="AQ535" s="4"/>
      <x:c r="AR535" s="4"/>
      <x:c r="AS535" s="4"/>
      <x:c r="AT535" s="4"/>
      <x:c r="AU535" s="4"/>
      <x:c r="AV535" s="10"/>
      <x:c r="AW535" s="10"/>
      <x:c r="AX535" s="10"/>
      <x:c r="AY535" s="10"/>
      <x:c r="AZ535" s="10" t="n">
        <x:v>29</x:v>
      </x:c>
      <x:c r="BA535" s="10" t="n">
        <x:v>29</x:v>
      </x:c>
      <x:c r="BB535" s="4" t="n">
        <x:v>50</x:v>
      </x:c>
      <x:c r="BC535" s="4" t="n">
        <x:v>5.5</x:v>
      </x:c>
      <x:c r="BD535" s="10" t="n">
        <x:v>23</x:v>
      </x:c>
      <x:c r="BE535" s="10" t="n">
        <x:v>24</x:v>
      </x:c>
      <x:c r="BF535" s="4" t="n">
        <x:v>48.9</x:v>
      </x:c>
      <x:c r="BG535" s="4" t="n">
        <x:v>5.8</x:v>
      </x:c>
      <x:c r="BH535" s="4" t="n">
        <x:v>0</x:v>
      </x:c>
      <x:c r="BI535" s="4" t="n">
        <x:v>83.3</x:v>
      </x:c>
      <x:c r="BJ535" s="4" t="n">
        <x:v>83.3</x:v>
      </x:c>
      <x:c r="BK535" s="4" t="n">
        <x:v>30</x:v>
      </x:c>
      <x:c r="BL535" s="4" t="n">
        <x:v>70</x:v>
      </x:c>
      <x:c r="BM535" s="4" t="n">
        <x:v>12.783333333333333</x:v>
      </x:c>
      <x:c r="BN535" s="4" t="n">
        <x:v>12.566666666666666</x:v>
      </x:c>
      <x:c r="BO535" s="10" t="n">
        <x:v>0</x:v>
      </x:c>
      <x:c r="BP535" s="10" t="n">
        <x:v>3</x:v>
      </x:c>
      <x:c r="BQ535" s="4" t="n">
        <x:v>-0.4</x:v>
      </x:c>
      <x:c r="BR535" s="10" t="n">
        <x:v>7</x:v>
      </x:c>
      <x:c r="BS535" s="4" t="n">
        <x:v>28.6</x:v>
      </x:c>
      <x:c r="BT535" s="10" t="n">
        <x:v>3</x:v>
      </x:c>
      <x:c r="BU535" s="4" t="str">
        <x:v>NYR</x:v>
      </x:c>
      <x:c r="BV535" s="10"/>
      <x:c r="BW535" s="10"/>
      <x:c r="BX535" s="10" t="n">
        <x:v>626</x:v>
      </x:c>
      <x:c r="BY535" s="4"/>
      <x:c r="BZ535" s="4"/>
      <x:c r="CA535" s="4" t="str">
        <x:v>Connor Mackey</x:v>
      </x:c>
      <x:c r="CB535" s="4" t="str">
        <x:v>mackeco01</x:v>
      </x:c>
    </x:row>
    <x:row r="536" ht="22" customHeight="1">
      <x:c r="A536" s="4" t="str">
        <x:v>Connor Murphy</x:v>
      </x:c>
      <x:c r="B536" s="4" t="str">
        <x:v>connormurphy</x:v>
      </x:c>
      <x:c r="C536" s="10" t="n">
        <x:v>1</x:v>
      </x:c>
      <x:c r="D536" s="10" t="n">
        <x:v>0</x:v>
      </x:c>
      <x:c r="E536" s="10" t="n">
        <x:v>1</x:v>
      </x:c>
      <x:c r="F536" s="4" t="n">
        <x:f>IF(COUNT(N536,Q536,T536,W536,Z536,AC536,AF536,AI536)=8,N536*Guide!$E$5+Q536*Guide!$E$6+T536*Guide!$E$7+W536*Guide!$E$8+Z536*Guide!$E$9+AC536*Guide!$E$10+AF536*Guide!$E$11+AI536*Guide!$E$12,"")</x:f>
        <x:v>230.25</x:v>
      </x:c>
      <x:c r="G536" s="4" t="str">
        <x:f>IF(COUNT(O536,R536,U536,X536,AA536,AD536,AG536,AJ536)=8,O536*Guide!$E$5+R536*Guide!$E$6+U536*Guide!$E$7+X536*Guide!$E$8+AA536*Guide!$E$9+AD536*Guide!$E$10+AG536*Guide!$E$11+AJ536*Guide!$E$12,"")</x:f>
      </x:c>
      <x:c r="H536" s="4" t="str">
        <x:f>IF(COUNT(G536,F536)=2,G536-F536,"")</x:f>
      </x:c>
      <x:c r="I536" s="4" t="n">
        <x:f>IF(AND(ISNUMBER(F536),K536&gt;0),F536/K536,"")</x:f>
        <x:v>2.951923076923077</x:v>
      </x:c>
      <x:c r="J536" s="4" t="str">
        <x:f>IF(AND(ISNUMBER(G536),L536&gt;0),G536/L536,"")</x:f>
      </x:c>
      <x:c r="K536" s="10" t="n">
        <x:v>78</x:v>
      </x:c>
      <x:c r="L536" s="10"/>
      <x:c r="M536" s="10" t="str">
        <x:f>IF(COUNT(L536,K536)=2,L536-K536,"")</x:f>
      </x:c>
      <x:c r="N536" s="10" t="n">
        <x:v>4</x:v>
      </x:c>
      <x:c r="O536" s="10"/>
      <x:c r="P536" s="10" t="str">
        <x:f>IF(COUNT(O536,N536)=2,O536-N536,"")</x:f>
      </x:c>
      <x:c r="Q536" s="10" t="n">
        <x:v>13</x:v>
      </x:c>
      <x:c r="R536" s="10"/>
      <x:c r="S536" s="10" t="str">
        <x:f>IF(COUNT(R536,Q536)=2,R536-Q536,"")</x:f>
      </x:c>
      <x:c r="T536" s="10" t="n">
        <x:v>-13</x:v>
      </x:c>
      <x:c r="U536" s="10"/>
      <x:c r="V536" s="10" t="str">
        <x:f>IF(COUNT(U536,T536)=2,U536-T536,"")</x:f>
      </x:c>
      <x:c r="W536" s="10" t="n">
        <x:v>0</x:v>
      </x:c>
      <x:c r="X536" s="10" t="str">
        <x:f>IF(COUNT(AV536,AW536)=2,AV536+AW536,"")</x:f>
      </x:c>
      <x:c r="Y536" s="10" t="str">
        <x:f>IF(COUNT(X536,W536)=2,X536-W536,"")</x:f>
      </x:c>
      <x:c r="Z536" s="10" t="n">
        <x:v>1</x:v>
      </x:c>
      <x:c r="AA536" s="10" t="str">
        <x:f>IF(COUNT(AX536,AY536)=2,AX536+AY536,"")</x:f>
      </x:c>
      <x:c r="AB536" s="10" t="str">
        <x:f>IF(COUNT(AA536,Z536)=2,AA536-Z536,"")</x:f>
      </x:c>
      <x:c r="AC536" s="10" t="n">
        <x:v>86</x:v>
      </x:c>
      <x:c r="AD536" s="10"/>
      <x:c r="AE536" s="10" t="str">
        <x:f>IF(COUNT(AD536,AC536)=2,AD536-AC536,"")</x:f>
      </x:c>
      <x:c r="AF536" s="10" t="n">
        <x:v>136</x:v>
      </x:c>
      <x:c r="AG536" s="10"/>
      <x:c r="AH536" s="10" t="str">
        <x:f>IF(COUNT(AG536,AF536)=2,AG536-AF536,"")</x:f>
      </x:c>
      <x:c r="AI536" s="10" t="n">
        <x:v>173</x:v>
      </x:c>
      <x:c r="AJ536" s="10"/>
      <x:c r="AK536" s="10" t="str">
        <x:f>IF(COUNT(AJ536,AI536)=2,AJ536-AI536,"")</x:f>
      </x:c>
      <x:c r="AL536" s="10" t="n">
        <x:v>32</x:v>
      </x:c>
      <x:c r="AM536" s="10"/>
      <x:c r="AN536" s="4" t="str">
        <x:v>D</x:v>
      </x:c>
      <x:c r="AO536" s="4"/>
      <x:c r="AP536" s="4" t="str">
        <x:v>CHI</x:v>
      </x:c>
      <x:c r="AQ536" s="4"/>
      <x:c r="AR536" s="4" t="n">
        <x:v>20.5</x:v>
      </x:c>
      <x:c r="AS536" s="4"/>
      <x:c r="AT536" s="4" t="n">
        <x:v>0.09</x:v>
      </x:c>
      <x:c r="AU536" s="4"/>
      <x:c r="AV536" s="10"/>
      <x:c r="AW536" s="10"/>
      <x:c r="AX536" s="10"/>
      <x:c r="AY536" s="10"/>
      <x:c r="AZ536" s="10" t="n">
        <x:v>883</x:v>
      </x:c>
      <x:c r="BA536" s="10" t="n">
        <x:v>1098</x:v>
      </x:c>
      <x:c r="BB536" s="4" t="n">
        <x:v>44.6</x:v>
      </x:c>
      <x:c r="BC536" s="4" t="n">
        <x:v>-3.4</x:v>
      </x:c>
      <x:c r="BD536" s="10" t="n">
        <x:v>655</x:v>
      </x:c>
      <x:c r="BE536" s="10" t="n">
        <x:v>771</x:v>
      </x:c>
      <x:c r="BF536" s="4" t="n">
        <x:v>45.9</x:v>
      </x:c>
      <x:c r="BG536" s="4" t="n">
        <x:v>-1.3</x:v>
      </x:c>
      <x:c r="BH536" s="4" t="n">
        <x:v>10.5</x:v>
      </x:c>
      <x:c r="BI536" s="4" t="n">
        <x:v>90.1</x:v>
      </x:c>
      <x:c r="BJ536" s="4" t="n">
        <x:v>100.6</x:v>
      </x:c>
      <x:c r="BK536" s="4" t="n">
        <x:v>36.1</x:v>
      </x:c>
      <x:c r="BL536" s="4" t="n">
        <x:v>63.9</x:v>
      </x:c>
      <x:c r="BM536" s="4" t="n">
        <x:v>17.533333333333335</x:v>
      </x:c>
      <x:c r="BN536" s="4" t="n">
        <x:v>14.783333333333333</x:v>
      </x:c>
      <x:c r="BO536" s="10" t="n">
        <x:v>17</x:v>
      </x:c>
      <x:c r="BP536" s="10" t="n">
        <x:v>65</x:v>
      </x:c>
      <x:c r="BQ536" s="4" t="n">
        <x:v>-6</x:v>
      </x:c>
      <x:c r="BR536" s="10" t="n">
        <x:v>166</x:v>
      </x:c>
      <x:c r="BS536" s="4" t="n">
        <x:v>42.2</x:v>
      </x:c>
      <x:c r="BT536" s="10" t="n">
        <x:v>80</x:v>
      </x:c>
      <x:c r="BU536" s="4" t="str">
        <x:v>TOT</x:v>
      </x:c>
      <x:c r="BV536" s="10" t="n">
        <x:v>582</x:v>
      </x:c>
      <x:c r="BW536" s="10"/>
      <x:c r="BX536" s="10" t="n">
        <x:v>722</x:v>
      </x:c>
      <x:c r="BY536" s="4" t="str">
        <x:v>Connor Murphy</x:v>
      </x:c>
      <x:c r="BZ536" s="4"/>
      <x:c r="CA536" s="4" t="str">
        <x:v>Connor Murphy</x:v>
      </x:c>
      <x:c r="CB536" s="4" t="str">
        <x:v>murphco02</x:v>
      </x:c>
    </x:row>
    <x:row r="537" ht="22" customHeight="1">
      <x:c r="A537" s="4" t="str">
        <x:v>Conor Geekie</x:v>
      </x:c>
      <x:c r="B537" s="4" t="str">
        <x:v>conorgeekie</x:v>
      </x:c>
      <x:c r="C537" s="10" t="n">
        <x:v>1</x:v>
      </x:c>
      <x:c r="D537" s="10" t="n">
        <x:v>0</x:v>
      </x:c>
      <x:c r="E537" s="10" t="n">
        <x:v>1</x:v>
      </x:c>
      <x:c r="F537" s="4" t="n">
        <x:f>IF(COUNT(N537,Q537,T537,W537,Z537,AC537,AF537,AI537)=8,N537*Guide!$E$5+Q537*Guide!$E$6+T537*Guide!$E$7+W537*Guide!$E$8+Z537*Guide!$E$9+AC537*Guide!$E$10+AF537*Guide!$E$11+AI537*Guide!$E$12,"")</x:f>
        <x:v>200</x:v>
      </x:c>
      <x:c r="G537" s="4" t="str">
        <x:f>IF(COUNT(O537,R537,U537,X537,AA537,AD537,AG537,AJ537)=8,O537*Guide!$E$5+R537*Guide!$E$6+U537*Guide!$E$7+X537*Guide!$E$8+AA537*Guide!$E$9+AD537*Guide!$E$10+AG537*Guide!$E$11+AJ537*Guide!$E$12,"")</x:f>
      </x:c>
      <x:c r="H537" s="4" t="str">
        <x:f>IF(COUNT(G537,F537)=2,G537-F537,"")</x:f>
      </x:c>
      <x:c r="I537" s="4" t="n">
        <x:f>IF(AND(ISNUMBER(F537),K537&gt;0),F537/K537,"")</x:f>
        <x:v>2.6666666666666665</x:v>
      </x:c>
      <x:c r="J537" s="4" t="str">
        <x:f>IF(AND(ISNUMBER(G537),L537&gt;0),G537/L537,"")</x:f>
      </x:c>
      <x:c r="K537" s="10" t="n">
        <x:v>75</x:v>
      </x:c>
      <x:c r="L537" s="10"/>
      <x:c r="M537" s="10" t="str">
        <x:f>IF(COUNT(L537,K537)=2,L537-K537,"")</x:f>
      </x:c>
      <x:c r="N537" s="10" t="n">
        <x:v>15</x:v>
      </x:c>
      <x:c r="O537" s="10"/>
      <x:c r="P537" s="10" t="str">
        <x:f>IF(COUNT(O537,N537)=2,O537-N537,"")</x:f>
      </x:c>
      <x:c r="Q537" s="10" t="n">
        <x:v>16</x:v>
      </x:c>
      <x:c r="R537" s="10"/>
      <x:c r="S537" s="10" t="str">
        <x:f>IF(COUNT(R537,Q537)=2,R537-Q537,"")</x:f>
      </x:c>
      <x:c r="T537" s="10" t="n">
        <x:v>-1</x:v>
      </x:c>
      <x:c r="U537" s="10"/>
      <x:c r="V537" s="10" t="str">
        <x:f>IF(COUNT(U537,T537)=2,U537-T537,"")</x:f>
      </x:c>
      <x:c r="W537" s="10" t="n">
        <x:v>5</x:v>
      </x:c>
      <x:c r="X537" s="10" t="str">
        <x:f>IF(COUNT(AV537,AW537)=2,AV537+AW537,"")</x:f>
      </x:c>
      <x:c r="Y537" s="10" t="str">
        <x:f>IF(COUNT(X537,W537)=2,X537-W537,"")</x:f>
      </x:c>
      <x:c r="Z537" s="10" t="n">
        <x:v>0</x:v>
      </x:c>
      <x:c r="AA537" s="10" t="str">
        <x:f>IF(COUNT(AX537,AY537)=2,AX537+AY537,"")</x:f>
      </x:c>
      <x:c r="AB537" s="10" t="str">
        <x:f>IF(COUNT(AA537,Z537)=2,AA537-Z537,"")</x:f>
      </x:c>
      <x:c r="AC537" s="10" t="n">
        <x:v>98</x:v>
      </x:c>
      <x:c r="AD537" s="10"/>
      <x:c r="AE537" s="10" t="str">
        <x:f>IF(COUNT(AD537,AC537)=2,AD537-AC537,"")</x:f>
      </x:c>
      <x:c r="AF537" s="10" t="n">
        <x:v>143</x:v>
      </x:c>
      <x:c r="AG537" s="10"/>
      <x:c r="AH537" s="10" t="str">
        <x:f>IF(COUNT(AG537,AF537)=2,AG537-AF537,"")</x:f>
      </x:c>
      <x:c r="AI537" s="10" t="n">
        <x:v>37</x:v>
      </x:c>
      <x:c r="AJ537" s="10"/>
      <x:c r="AK537" s="10" t="str">
        <x:f>IF(COUNT(AJ537,AI537)=2,AJ537-AI537,"")</x:f>
      </x:c>
      <x:c r="AL537" s="10" t="n">
        <x:v>21</x:v>
      </x:c>
      <x:c r="AM537" s="10"/>
      <x:c r="AN537" s="4" t="str">
        <x:v>C</x:v>
      </x:c>
      <x:c r="AO537" s="4"/>
      <x:c r="AP537" s="4" t="str">
        <x:v>TB</x:v>
      </x:c>
      <x:c r="AQ537" s="4"/>
      <x:c r="AR537" s="4" t="n">
        <x:v>12.950000000000001</x:v>
      </x:c>
      <x:c r="AS537" s="4"/>
      <x:c r="AT537" s="4" t="n">
        <x:v>0.89</x:v>
      </x:c>
      <x:c r="AU537" s="4"/>
      <x:c r="AV537" s="10"/>
      <x:c r="AW537" s="10"/>
      <x:c r="AX537" s="10"/>
      <x:c r="AY537" s="10"/>
      <x:c r="AZ537" s="10" t="n">
        <x:v>117</x:v>
      </x:c>
      <x:c r="BA537" s="10" t="n">
        <x:v>141</x:v>
      </x:c>
      <x:c r="BB537" s="4" t="n">
        <x:v>45.3</x:v>
      </x:c>
      <x:c r="BC537" s="4" t="n">
        <x:v>-3.4</x:v>
      </x:c>
      <x:c r="BD537" s="10" t="n">
        <x:v>78</x:v>
      </x:c>
      <x:c r="BE537" s="10" t="n">
        <x:v>108</x:v>
      </x:c>
      <x:c r="BF537" s="4" t="n">
        <x:v>41.9</x:v>
      </x:c>
      <x:c r="BG537" s="4" t="n">
        <x:v>-5.4</x:v>
      </x:c>
      <x:c r="BH537" s="4" t="n">
        <x:v>8.9</x:v>
      </x:c>
      <x:c r="BI537" s="4" t="n">
        <x:v>87.1</x:v>
      </x:c>
      <x:c r="BJ537" s="4" t="n">
        <x:v>96</x:v>
      </x:c>
      <x:c r="BK537" s="4" t="n">
        <x:v>56.6</x:v>
      </x:c>
      <x:c r="BL537" s="4" t="n">
        <x:v>43.4</x:v>
      </x:c>
      <x:c r="BM537" s="4" t="n">
        <x:v>9.9</x:v>
      </x:c>
      <x:c r="BN537" s="4" t="n">
        <x:v>9.583333333333334</x:v>
      </x:c>
      <x:c r="BO537" s="10" t="n">
        <x:v>3</x:v>
      </x:c>
      <x:c r="BP537" s="10" t="n">
        <x:v>10</x:v>
      </x:c>
      <x:c r="BQ537" s="4" t="n">
        <x:v>-0.7</x:v>
      </x:c>
      <x:c r="BR537" s="10" t="n">
        <x:v>21</x:v>
      </x:c>
      <x:c r="BS537" s="4" t="n">
        <x:v>47.6</x:v>
      </x:c>
      <x:c r="BT537" s="10" t="n">
        <x:v>14</x:v>
      </x:c>
      <x:c r="BU537" s="4" t="str">
        <x:v>TBL</x:v>
      </x:c>
      <x:c r="BV537" s="10" t="n">
        <x:v>362</x:v>
      </x:c>
      <x:c r="BW537" s="10"/>
      <x:c r="BX537" s="10" t="n">
        <x:v>331</x:v>
      </x:c>
      <x:c r="BY537" s="4" t="str">
        <x:v>Conor Geekie</x:v>
      </x:c>
      <x:c r="BZ537" s="4"/>
      <x:c r="CA537" s="4" t="str">
        <x:v>Conor Geekie</x:v>
      </x:c>
      <x:c r="CB537" s="4" t="str">
        <x:v>geekico01</x:v>
      </x:c>
    </x:row>
    <x:row r="538" ht="22" customHeight="1">
      <x:c r="A538" s="4" t="str">
        <x:v>Conor Sheary</x:v>
      </x:c>
      <x:c r="B538" s="4" t="str">
        <x:v>conorsheary</x:v>
      </x:c>
      <x:c r="C538" s="10" t="n">
        <x:v>1</x:v>
      </x:c>
      <x:c r="D538" s="10" t="n">
        <x:v>0</x:v>
      </x:c>
      <x:c r="E538" s="10" t="n">
        <x:v>1</x:v>
      </x:c>
      <x:c r="F538" s="4" t="n">
        <x:f>IF(COUNT(N538,Q538,T538,W538,Z538,AC538,AF538,AI538)=8,N538*Guide!$E$5+Q538*Guide!$E$6+T538*Guide!$E$7+W538*Guide!$E$8+Z538*Guide!$E$9+AC538*Guide!$E$10+AF538*Guide!$E$11+AI538*Guide!$E$12,"")</x:f>
        <x:v>146.5</x:v>
      </x:c>
      <x:c r="G538" s="4" t="str">
        <x:f>IF(COUNT(O538,R538,U538,X538,AA538,AD538,AG538,AJ538)=8,O538*Guide!$E$5+R538*Guide!$E$6+U538*Guide!$E$7+X538*Guide!$E$8+AA538*Guide!$E$9+AD538*Guide!$E$10+AG538*Guide!$E$11+AJ538*Guide!$E$12,"")</x:f>
      </x:c>
      <x:c r="H538" s="4" t="str">
        <x:f>IF(COUNT(G538,F538)=2,G538-F538,"")</x:f>
      </x:c>
      <x:c r="I538" s="4" t="n">
        <x:f>IF(AND(ISNUMBER(F538),K538&gt;0),F538/K538,"")</x:f>
        <x:v>1.8782051282051282</x:v>
      </x:c>
      <x:c r="J538" s="4" t="str">
        <x:f>IF(AND(ISNUMBER(G538),L538&gt;0),G538/L538,"")</x:f>
      </x:c>
      <x:c r="K538" s="10" t="n">
        <x:v>78</x:v>
      </x:c>
      <x:c r="L538" s="10"/>
      <x:c r="M538" s="10" t="str">
        <x:f>IF(COUNT(L538,K538)=2,L538-K538,"")</x:f>
      </x:c>
      <x:c r="N538" s="10" t="n">
        <x:v>9</x:v>
      </x:c>
      <x:c r="O538" s="10"/>
      <x:c r="P538" s="10" t="str">
        <x:f>IF(COUNT(O538,N538)=2,O538-N538,"")</x:f>
      </x:c>
      <x:c r="Q538" s="10" t="n">
        <x:v>15</x:v>
      </x:c>
      <x:c r="R538" s="10"/>
      <x:c r="S538" s="10" t="str">
        <x:f>IF(COUNT(R538,Q538)=2,R538-Q538,"")</x:f>
      </x:c>
      <x:c r="T538" s="10" t="n">
        <x:v>-2</x:v>
      </x:c>
      <x:c r="U538" s="10"/>
      <x:c r="V538" s="10" t="str">
        <x:f>IF(COUNT(U538,T538)=2,U538-T538,"")</x:f>
      </x:c>
      <x:c r="W538" s="10" t="n">
        <x:v>2</x:v>
      </x:c>
      <x:c r="X538" s="10" t="str">
        <x:f>IF(COUNT(AV538,AW538)=2,AV538+AW538,"")</x:f>
      </x:c>
      <x:c r="Y538" s="10" t="str">
        <x:f>IF(COUNT(X538,W538)=2,X538-W538,"")</x:f>
      </x:c>
      <x:c r="Z538" s="10" t="n">
        <x:v>1</x:v>
      </x:c>
      <x:c r="AA538" s="10" t="str">
        <x:f>IF(COUNT(AX538,AY538)=2,AX538+AY538,"")</x:f>
      </x:c>
      <x:c r="AB538" s="10" t="str">
        <x:f>IF(COUNT(AA538,Z538)=2,AA538-Z538,"")</x:f>
      </x:c>
      <x:c r="AC538" s="10" t="n">
        <x:v>81</x:v>
      </x:c>
      <x:c r="AD538" s="10"/>
      <x:c r="AE538" s="10" t="str">
        <x:f>IF(COUNT(AD538,AC538)=2,AD538-AC538,"")</x:f>
      </x:c>
      <x:c r="AF538" s="10" t="n">
        <x:v>34</x:v>
      </x:c>
      <x:c r="AG538" s="10"/>
      <x:c r="AH538" s="10" t="str">
        <x:f>IF(COUNT(AG538,AF538)=2,AG538-AF538,"")</x:f>
      </x:c>
      <x:c r="AI538" s="10" t="n">
        <x:v>45</x:v>
      </x:c>
      <x:c r="AJ538" s="10"/>
      <x:c r="AK538" s="10" t="str">
        <x:f>IF(COUNT(AJ538,AI538)=2,AJ538-AI538,"")</x:f>
      </x:c>
      <x:c r="AL538" s="10" t="n">
        <x:v>33</x:v>
      </x:c>
      <x:c r="AM538" s="10"/>
      <x:c r="AN538" s="4" t="str">
        <x:v>LW</x:v>
      </x:c>
      <x:c r="AO538" s="4"/>
      <x:c r="AP538" s="4" t="str">
        <x:v>NYR</x:v>
      </x:c>
      <x:c r="AQ538" s="4"/>
      <x:c r="AR538" s="4" t="n">
        <x:v>11.91</x:v>
      </x:c>
      <x:c r="AS538" s="4"/>
      <x:c r="AT538" s="4" t="n">
        <x:v>0.24</x:v>
      </x:c>
      <x:c r="AU538" s="4"/>
      <x:c r="AV538" s="10"/>
      <x:c r="AW538" s="10"/>
      <x:c r="AX538" s="10"/>
      <x:c r="AY538" s="10"/>
      <x:c r="AZ538" s="10" t="n">
        <x:v>732</x:v>
      </x:c>
      <x:c r="BA538" s="10" t="n">
        <x:v>747</x:v>
      </x:c>
      <x:c r="BB538" s="4" t="n">
        <x:v>49.5</x:v>
      </x:c>
      <x:c r="BC538" s="4" t="n">
        <x:v>-0.8</x:v>
      </x:c>
      <x:c r="BD538" s="10" t="n">
        <x:v>502</x:v>
      </x:c>
      <x:c r="BE538" s="10" t="n">
        <x:v>529</x:v>
      </x:c>
      <x:c r="BF538" s="4" t="n">
        <x:v>48.7</x:v>
      </x:c>
      <x:c r="BG538" s="4" t="n">
        <x:v>-0.9</x:v>
      </x:c>
      <x:c r="BH538" s="4" t="n">
        <x:v>7.8</x:v>
      </x:c>
      <x:c r="BI538" s="4" t="n">
        <x:v>92.5</x:v>
      </x:c>
      <x:c r="BJ538" s="4" t="n">
        <x:v>100.3</x:v>
      </x:c>
      <x:c r="BK538" s="4" t="n">
        <x:v>46.3</x:v>
      </x:c>
      <x:c r="BL538" s="4" t="n">
        <x:v>53.7</x:v>
      </x:c>
      <x:c r="BM538" s="4" t="n">
        <x:v>14.1</x:v>
      </x:c>
      <x:c r="BN538" s="4" t="n">
        <x:v>12.633333333333333</x:v>
      </x:c>
      <x:c r="BO538" s="10" t="n">
        <x:v>18</x:v>
      </x:c>
      <x:c r="BP538" s="10" t="n">
        <x:v>42</x:v>
      </x:c>
      <x:c r="BQ538" s="4" t="n">
        <x:v>-0.6</x:v>
      </x:c>
      <x:c r="BR538" s="10" t="n">
        <x:v>167</x:v>
      </x:c>
      <x:c r="BS538" s="4" t="n">
        <x:v>48.5</x:v>
      </x:c>
      <x:c r="BT538" s="10" t="n">
        <x:v>62</x:v>
      </x:c>
      <x:c r="BU538" s="4" t="str">
        <x:v>NYR</x:v>
      </x:c>
      <x:c r="BV538" s="10" t="n">
        <x:v>456</x:v>
      </x:c>
      <x:c r="BW538" s="10"/>
      <x:c r="BX538" s="10" t="n">
        <x:v>928</x:v>
      </x:c>
      <x:c r="BY538" s="4" t="str">
        <x:v>Conor Sheary</x:v>
      </x:c>
      <x:c r="BZ538" s="4"/>
      <x:c r="CA538" s="4" t="str">
        <x:v>Conor Sheary</x:v>
      </x:c>
      <x:c r="CB538" s="4" t="str">
        <x:v>shearco01</x:v>
      </x:c>
    </x:row>
    <x:row r="539" ht="22" customHeight="1">
      <x:c r="A539" s="4" t="str">
        <x:v>Conor Timmins</x:v>
      </x:c>
      <x:c r="B539" s="4" t="str">
        <x:v>conortimmins</x:v>
      </x:c>
      <x:c r="C539" s="10" t="n">
        <x:v>1</x:v>
      </x:c>
      <x:c r="D539" s="10" t="n">
        <x:v>0</x:v>
      </x:c>
      <x:c r="E539" s="10" t="n">
        <x:v>1</x:v>
      </x:c>
      <x:c r="F539" s="4" t="n">
        <x:f>IF(COUNT(N539,Q539,T539,W539,Z539,AC539,AF539,AI539)=8,N539*Guide!$E$5+Q539*Guide!$E$6+T539*Guide!$E$7+W539*Guide!$E$8+Z539*Guide!$E$9+AC539*Guide!$E$10+AF539*Guide!$E$11+AI539*Guide!$E$12,"")</x:f>
        <x:v>171</x:v>
      </x:c>
      <x:c r="G539" s="4" t="str">
        <x:f>IF(COUNT(O539,R539,U539,X539,AA539,AD539,AG539,AJ539)=8,O539*Guide!$E$5+R539*Guide!$E$6+U539*Guide!$E$7+X539*Guide!$E$8+AA539*Guide!$E$9+AD539*Guide!$E$10+AG539*Guide!$E$11+AJ539*Guide!$E$12,"")</x:f>
      </x:c>
      <x:c r="H539" s="4" t="str">
        <x:f>IF(COUNT(G539,F539)=2,G539-F539,"")</x:f>
      </x:c>
      <x:c r="I539" s="4" t="n">
        <x:f>IF(AND(ISNUMBER(F539),K539&gt;0),F539/K539,"")</x:f>
        <x:v>2.514705882352941</x:v>
      </x:c>
      <x:c r="J539" s="4" t="str">
        <x:f>IF(AND(ISNUMBER(G539),L539&gt;0),G539/L539,"")</x:f>
      </x:c>
      <x:c r="K539" s="10" t="n">
        <x:v>68</x:v>
      </x:c>
      <x:c r="L539" s="10"/>
      <x:c r="M539" s="10" t="str">
        <x:f>IF(COUNT(L539,K539)=2,L539-K539,"")</x:f>
      </x:c>
      <x:c r="N539" s="10" t="n">
        <x:v>4</x:v>
      </x:c>
      <x:c r="O539" s="10"/>
      <x:c r="P539" s="10" t="str">
        <x:f>IF(COUNT(O539,N539)=2,O539-N539,"")</x:f>
      </x:c>
      <x:c r="Q539" s="10" t="n">
        <x:v>18</x:v>
      </x:c>
      <x:c r="R539" s="10"/>
      <x:c r="S539" s="10" t="str">
        <x:f>IF(COUNT(R539,Q539)=2,R539-Q539,"")</x:f>
      </x:c>
      <x:c r="T539" s="10" t="n">
        <x:v>5</x:v>
      </x:c>
      <x:c r="U539" s="10"/>
      <x:c r="V539" s="10" t="str">
        <x:f>IF(COUNT(U539,T539)=2,U539-T539,"")</x:f>
      </x:c>
      <x:c r="W539" s="10" t="n">
        <x:v>2</x:v>
      </x:c>
      <x:c r="X539" s="10" t="str">
        <x:f>IF(COUNT(AV539,AW539)=2,AV539+AW539,"")</x:f>
      </x:c>
      <x:c r="Y539" s="10" t="str">
        <x:f>IF(COUNT(X539,W539)=2,X539-W539,"")</x:f>
      </x:c>
      <x:c r="Z539" s="10" t="n">
        <x:v>0</x:v>
      </x:c>
      <x:c r="AA539" s="10" t="str">
        <x:f>IF(COUNT(AX539,AY539)=2,AX539+AY539,"")</x:f>
      </x:c>
      <x:c r="AB539" s="10" t="str">
        <x:f>IF(COUNT(AA539,Z539)=2,AA539-Z539,"")</x:f>
      </x:c>
      <x:c r="AC539" s="10" t="n">
        <x:v>68</x:v>
      </x:c>
      <x:c r="AD539" s="10"/>
      <x:c r="AE539" s="10" t="str">
        <x:f>IF(COUNT(AD539,AC539)=2,AD539-AC539,"")</x:f>
      </x:c>
      <x:c r="AF539" s="10" t="n">
        <x:v>59</x:v>
      </x:c>
      <x:c r="AG539" s="10"/>
      <x:c r="AH539" s="10" t="str">
        <x:f>IF(COUNT(AG539,AF539)=2,AG539-AF539,"")</x:f>
      </x:c>
      <x:c r="AI539" s="10" t="n">
        <x:v>83</x:v>
      </x:c>
      <x:c r="AJ539" s="10"/>
      <x:c r="AK539" s="10" t="str">
        <x:f>IF(COUNT(AJ539,AI539)=2,AJ539-AI539,"")</x:f>
      </x:c>
      <x:c r="AL539" s="10" t="n">
        <x:v>27</x:v>
      </x:c>
      <x:c r="AM539" s="10"/>
      <x:c r="AN539" s="4" t="str">
        <x:v>D</x:v>
      </x:c>
      <x:c r="AO539" s="4"/>
      <x:c r="AP539" s="4" t="str">
        <x:v>BUF</x:v>
      </x:c>
      <x:c r="AQ539" s="4"/>
      <x:c r="AR539" s="4" t="n">
        <x:v>16.61</x:v>
      </x:c>
      <x:c r="AS539" s="4"/>
      <x:c r="AT539" s="4" t="n">
        <x:v>0.45</x:v>
      </x:c>
      <x:c r="AU539" s="4"/>
      <x:c r="AV539" s="10"/>
      <x:c r="AW539" s="10"/>
      <x:c r="AX539" s="10"/>
      <x:c r="AY539" s="10"/>
      <x:c r="AZ539" s="10" t="n">
        <x:v>529</x:v>
      </x:c>
      <x:c r="BA539" s="10" t="n">
        <x:v>676</x:v>
      </x:c>
      <x:c r="BB539" s="4" t="n">
        <x:v>43.9</x:v>
      </x:c>
      <x:c r="BC539" s="4" t="n">
        <x:v>-8.6</x:v>
      </x:c>
      <x:c r="BD539" s="10" t="n">
        <x:v>400</x:v>
      </x:c>
      <x:c r="BE539" s="10" t="n">
        <x:v>483</x:v>
      </x:c>
      <x:c r="BF539" s="4" t="n">
        <x:v>45.3</x:v>
      </x:c>
      <x:c r="BG539" s="4" t="n">
        <x:v>-6.6</x:v>
      </x:c>
      <x:c r="BH539" s="4" t="n">
        <x:v>9.5</x:v>
      </x:c>
      <x:c r="BI539" s="4" t="n">
        <x:v>89.7</x:v>
      </x:c>
      <x:c r="BJ539" s="4" t="n">
        <x:v>99.2</x:v>
      </x:c>
      <x:c r="BK539" s="4" t="n">
        <x:v>43.2</x:v>
      </x:c>
      <x:c r="BL539" s="4" t="n">
        <x:v>56.8</x:v>
      </x:c>
      <x:c r="BM539" s="4" t="n">
        <x:v>18.766666666666666</x:v>
      </x:c>
      <x:c r="BN539" s="4" t="n">
        <x:v>15.716666666666667</x:v>
      </x:c>
      <x:c r="BO539" s="10" t="n">
        <x:v>8</x:v>
      </x:c>
      <x:c r="BP539" s="10" t="n">
        <x:v>45</x:v>
      </x:c>
      <x:c r="BQ539" s="4" t="n">
        <x:v>-6</x:v>
      </x:c>
      <x:c r="BR539" s="10" t="n">
        <x:v>108</x:v>
      </x:c>
      <x:c r="BS539" s="4" t="n">
        <x:v>40.7</x:v>
      </x:c>
      <x:c r="BT539" s="10" t="n">
        <x:v>39</x:v>
      </x:c>
      <x:c r="BU539" s="4" t="str">
        <x:v>BUF</x:v>
      </x:c>
      <x:c r="BV539" s="10" t="n">
        <x:v>482</x:v>
      </x:c>
      <x:c r="BW539" s="10"/>
      <x:c r="BX539" s="10" t="n">
        <x:v>1016</x:v>
      </x:c>
      <x:c r="BY539" s="4" t="str">
        <x:v>Conor Timmins</x:v>
      </x:c>
      <x:c r="BZ539" s="4"/>
      <x:c r="CA539" s="4" t="str">
        <x:v>Conor Timmins</x:v>
      </x:c>
      <x:c r="CB539" s="4" t="str">
        <x:v>timmico01</x:v>
      </x:c>
    </x:row>
    <x:row r="540" ht="22" customHeight="1">
      <x:c r="A540" s="4" t="str">
        <x:v>Craig Smith</x:v>
      </x:c>
      <x:c r="B540" s="4" t="str">
        <x:v>craigsmith</x:v>
      </x:c>
      <x:c r="C540" s="10" t="n">
        <x:v>1</x:v>
      </x:c>
      <x:c r="D540" s="10" t="n">
        <x:v>0</x:v>
      </x:c>
      <x:c r="E540" s="10" t="n">
        <x:v>0</x:v>
      </x:c>
      <x:c r="F540" s="4" t="n">
        <x:f>IF(COUNT(N540,Q540,T540,W540,Z540,AC540,AF540,AI540)=8,N540*Guide!$E$5+Q540*Guide!$E$6+T540*Guide!$E$7+W540*Guide!$E$8+Z540*Guide!$E$9+AC540*Guide!$E$10+AF540*Guide!$E$11+AI540*Guide!$E$12,"")</x:f>
        <x:v>147.5</x:v>
      </x:c>
      <x:c r="G540" s="4" t="str">
        <x:f>IF(COUNT(O540,R540,U540,X540,AA540,AD540,AG540,AJ540)=8,O540*Guide!$E$5+R540*Guide!$E$6+U540*Guide!$E$7+X540*Guide!$E$8+AA540*Guide!$E$9+AD540*Guide!$E$10+AG540*Guide!$E$11+AJ540*Guide!$E$12,"")</x:f>
      </x:c>
      <x:c r="H540" s="4" t="str">
        <x:f>IF(COUNT(G540,F540)=2,G540-F540,"")</x:f>
      </x:c>
      <x:c r="I540" s="4" t="n">
        <x:f>IF(AND(ISNUMBER(F540),K540&gt;0),F540/K540,"")</x:f>
        <x:v>1.9932432432432432</x:v>
      </x:c>
      <x:c r="J540" s="4" t="str">
        <x:f>IF(AND(ISNUMBER(G540),L540&gt;0),G540/L540,"")</x:f>
      </x:c>
      <x:c r="K540" s="10" t="n">
        <x:v>74</x:v>
      </x:c>
      <x:c r="L540" s="10"/>
      <x:c r="M540" s="10" t="str">
        <x:f>IF(COUNT(L540,K540)=2,L540-K540,"")</x:f>
      </x:c>
      <x:c r="N540" s="10" t="n">
        <x:v>11</x:v>
      </x:c>
      <x:c r="O540" s="10"/>
      <x:c r="P540" s="10" t="str">
        <x:f>IF(COUNT(O540,N540)=2,O540-N540,"")</x:f>
      </x:c>
      <x:c r="Q540" s="10" t="n">
        <x:v>12</x:v>
      </x:c>
      <x:c r="R540" s="10"/>
      <x:c r="S540" s="10" t="str">
        <x:f>IF(COUNT(R540,Q540)=2,R540-Q540,"")</x:f>
      </x:c>
      <x:c r="T540" s="10" t="n">
        <x:v>-4</x:v>
      </x:c>
      <x:c r="U540" s="10"/>
      <x:c r="V540" s="10" t="str">
        <x:f>IF(COUNT(U540,T540)=2,U540-T540,"")</x:f>
      </x:c>
      <x:c r="W540" s="10" t="n">
        <x:v>4</x:v>
      </x:c>
      <x:c r="X540" s="10" t="str">
        <x:f>IF(COUNT(AV540,AW540)=2,AV540+AW540,"")</x:f>
      </x:c>
      <x:c r="Y540" s="10" t="str">
        <x:f>IF(COUNT(X540,W540)=2,X540-W540,"")</x:f>
      </x:c>
      <x:c r="Z540" s="10" t="n">
        <x:v>0</x:v>
      </x:c>
      <x:c r="AA540" s="10" t="str">
        <x:f>IF(COUNT(AX540,AY540)=2,AX540+AY540,"")</x:f>
      </x:c>
      <x:c r="AB540" s="10" t="str">
        <x:f>IF(COUNT(AA540,Z540)=2,AA540-Z540,"")</x:f>
      </x:c>
      <x:c r="AC540" s="10" t="n">
        <x:v>104</x:v>
      </x:c>
      <x:c r="AD540" s="10"/>
      <x:c r="AE540" s="10" t="str">
        <x:f>IF(COUNT(AD540,AC540)=2,AD540-AC540,"")</x:f>
      </x:c>
      <x:c r="AF540" s="10" t="n">
        <x:v>64</x:v>
      </x:c>
      <x:c r="AG540" s="10"/>
      <x:c r="AH540" s="10" t="str">
        <x:f>IF(COUNT(AG540,AF540)=2,AG540-AF540,"")</x:f>
      </x:c>
      <x:c r="AI540" s="10" t="n">
        <x:v>34</x:v>
      </x:c>
      <x:c r="AJ540" s="10"/>
      <x:c r="AK540" s="10" t="str">
        <x:f>IF(COUNT(AJ540,AI540)=2,AJ540-AI540,"")</x:f>
      </x:c>
      <x:c r="AL540" s="10" t="n">
        <x:v>36</x:v>
      </x:c>
      <x:c r="AM540" s="10"/>
      <x:c r="AN540" s="4" t="str">
        <x:v>C</x:v>
      </x:c>
      <x:c r="AO540" s="4"/>
      <x:c r="AP540" s="4" t="str">
        <x:v>DET</x:v>
      </x:c>
      <x:c r="AQ540" s="4"/>
      <x:c r="AR540" s="4" t="n">
        <x:v>10.959999999999999</x:v>
      </x:c>
      <x:c r="AS540" s="4"/>
      <x:c r="AT540" s="4" t="n">
        <x:v>0.66</x:v>
      </x:c>
      <x:c r="AU540" s="4"/>
      <x:c r="AV540" s="10"/>
      <x:c r="AW540" s="10"/>
      <x:c r="AX540" s="10"/>
      <x:c r="AY540" s="10"/>
      <x:c r="AZ540" s="10"/>
      <x:c r="BA540" s="10"/>
      <x:c r="BB540" s="4"/>
      <x:c r="BC540" s="4"/>
      <x:c r="BD540" s="10"/>
      <x:c r="BE540" s="10"/>
      <x:c r="BF540" s="4"/>
      <x:c r="BG540" s="4"/>
      <x:c r="BH540" s="4"/>
      <x:c r="BI540" s="4"/>
      <x:c r="BJ540" s="4"/>
      <x:c r="BK540" s="4"/>
      <x:c r="BL540" s="4"/>
      <x:c r="BM540" s="4"/>
      <x:c r="BN540" s="4"/>
      <x:c r="BO540" s="10"/>
      <x:c r="BP540" s="10"/>
      <x:c r="BQ540" s="4"/>
      <x:c r="BR540" s="10"/>
      <x:c r="BS540" s="4"/>
      <x:c r="BT540" s="10"/>
      <x:c r="BU540" s="4"/>
      <x:c r="BV540" s="10" t="n">
        <x:v>473</x:v>
      </x:c>
      <x:c r="BW540" s="10"/>
      <x:c r="BX540" s="10"/>
      <x:c r="BY540" s="4" t="str">
        <x:v>Craig Smith</x:v>
      </x:c>
      <x:c r="BZ540" s="4"/>
      <x:c r="CA540" s="4"/>
      <x:c r="CB540" s="4"/>
    </x:row>
    <x:row r="541" ht="22" customHeight="1">
      <x:c r="A541" s="4" t="str">
        <x:v>Curtis Douglas</x:v>
      </x:c>
      <x:c r="B541" s="4" t="str">
        <x:v>curtisdouglas</x:v>
      </x:c>
      <x:c r="C541" s="10" t="n">
        <x:v>0</x:v>
      </x:c>
      <x:c r="D541" s="10" t="n">
        <x:v>0</x:v>
      </x:c>
      <x:c r="E541" s="10" t="n">
        <x:v>1</x:v>
      </x:c>
      <x:c r="F541" s="4" t="str">
        <x:f>IF(COUNT(N541,Q541,T541,W541,Z541,AC541,AF541,AI541)=8,N541*Guide!$E$5+Q541*Guide!$E$6+T541*Guide!$E$7+W541*Guide!$E$8+Z541*Guide!$E$9+AC541*Guide!$E$10+AF541*Guide!$E$11+AI541*Guide!$E$12,"")</x:f>
      </x:c>
      <x:c r="G541" s="4" t="str">
        <x:f>IF(COUNT(O541,R541,U541,X541,AA541,AD541,AG541,AJ541)=8,O541*Guide!$E$5+R541*Guide!$E$6+U541*Guide!$E$7+X541*Guide!$E$8+AA541*Guide!$E$9+AD541*Guide!$E$10+AG541*Guide!$E$11+AJ541*Guide!$E$12,"")</x:f>
      </x:c>
      <x:c r="H541" s="4" t="str">
        <x:f>IF(COUNT(G541,F541)=2,G541-F541,"")</x:f>
      </x:c>
      <x:c r="I541" s="4" t="str">
        <x:f>IF(AND(ISNUMBER(F541),K541&gt;0),F541/K541,"")</x:f>
      </x:c>
      <x:c r="J541" s="4" t="str">
        <x:f>IF(AND(ISNUMBER(G541),L541&gt;0),G541/L541,"")</x:f>
      </x:c>
      <x:c r="K541" s="10"/>
      <x:c r="L541" s="10"/>
      <x:c r="M541" s="10" t="str">
        <x:f>IF(COUNT(L541,K541)=2,L541-K541,"")</x:f>
      </x:c>
      <x:c r="N541" s="10"/>
      <x:c r="O541" s="10"/>
      <x:c r="P541" s="10" t="str">
        <x:f>IF(COUNT(O541,N541)=2,O541-N541,"")</x:f>
      </x:c>
      <x:c r="Q541" s="10"/>
      <x:c r="R541" s="10"/>
      <x:c r="S541" s="10" t="str">
        <x:f>IF(COUNT(R541,Q541)=2,R541-Q541,"")</x:f>
      </x:c>
      <x:c r="T541" s="10"/>
      <x:c r="U541" s="10"/>
      <x:c r="V541" s="10" t="str">
        <x:f>IF(COUNT(U541,T541)=2,U541-T541,"")</x:f>
      </x:c>
      <x:c r="W541" s="10"/>
      <x:c r="X541" s="10" t="str">
        <x:f>IF(COUNT(AV541,AW541)=2,AV541+AW541,"")</x:f>
      </x:c>
      <x:c r="Y541" s="10" t="str">
        <x:f>IF(COUNT(X541,W541)=2,X541-W541,"")</x:f>
      </x:c>
      <x:c r="Z541" s="10"/>
      <x:c r="AA541" s="10" t="str">
        <x:f>IF(COUNT(AX541,AY541)=2,AX541+AY541,"")</x:f>
      </x:c>
      <x:c r="AB541" s="10" t="str">
        <x:f>IF(COUNT(AA541,Z541)=2,AA541-Z541,"")</x:f>
      </x:c>
      <x:c r="AC541" s="10"/>
      <x:c r="AD541" s="10"/>
      <x:c r="AE541" s="10" t="str">
        <x:f>IF(COUNT(AD541,AC541)=2,AD541-AC541,"")</x:f>
      </x:c>
      <x:c r="AF541" s="10"/>
      <x:c r="AG541" s="10"/>
      <x:c r="AH541" s="10" t="str">
        <x:f>IF(COUNT(AG541,AF541)=2,AG541-AF541,"")</x:f>
      </x:c>
      <x:c r="AI541" s="10"/>
      <x:c r="AJ541" s="10"/>
      <x:c r="AK541" s="10" t="str">
        <x:f>IF(COUNT(AJ541,AI541)=2,AJ541-AI541,"")</x:f>
      </x:c>
      <x:c r="AL541" s="10"/>
      <x:c r="AM541" s="10"/>
      <x:c r="AN541" s="4"/>
      <x:c r="AO541" s="4"/>
      <x:c r="AP541" s="4"/>
      <x:c r="AQ541" s="4"/>
      <x:c r="AR541" s="4"/>
      <x:c r="AS541" s="4"/>
      <x:c r="AT541" s="4"/>
      <x:c r="AU541" s="4"/>
      <x:c r="AV541" s="10"/>
      <x:c r="AW541" s="10"/>
      <x:c r="AX541" s="10"/>
      <x:c r="AY541" s="10"/>
      <x:c r="AZ541" s="10" t="n">
        <x:v>241</x:v>
      </x:c>
      <x:c r="BA541" s="10" t="n">
        <x:v>234</x:v>
      </x:c>
      <x:c r="BB541" s="4" t="n">
        <x:v>50.7</x:v>
      </x:c>
      <x:c r="BC541" s="4" t="n">
        <x:v>0.4</x:v>
      </x:c>
      <x:c r="BD541" s="10" t="n">
        <x:v>196</x:v>
      </x:c>
      <x:c r="BE541" s="10" t="n">
        <x:v>169</x:v>
      </x:c>
      <x:c r="BF541" s="4" t="n">
        <x:v>53.7</x:v>
      </x:c>
      <x:c r="BG541" s="4" t="n">
        <x:v>3.8</x:v>
      </x:c>
      <x:c r="BH541" s="4" t="n">
        <x:v>5.5</x:v>
      </x:c>
      <x:c r="BI541" s="4" t="n">
        <x:v>91</x:v>
      </x:c>
      <x:c r="BJ541" s="4" t="n">
        <x:v>96.5</x:v>
      </x:c>
      <x:c r="BK541" s="4" t="n">
        <x:v>59.7</x:v>
      </x:c>
      <x:c r="BL541" s="4" t="n">
        <x:v>40.3</x:v>
      </x:c>
      <x:c r="BM541" s="4" t="n">
        <x:v>6.75</x:v>
      </x:c>
      <x:c r="BN541" s="4" t="n">
        <x:v>6.733333333333333</x:v>
      </x:c>
      <x:c r="BO541" s="10" t="n">
        <x:v>6</x:v>
      </x:c>
      <x:c r="BP541" s="10" t="n">
        <x:v>18</x:v>
      </x:c>
      <x:c r="BQ541" s="4" t="n">
        <x:v>1.6</x:v>
      </x:c>
      <x:c r="BR541" s="10" t="n">
        <x:v>58</x:v>
      </x:c>
      <x:c r="BS541" s="4" t="n">
        <x:v>50</x:v>
      </x:c>
      <x:c r="BT541" s="10" t="n">
        <x:v>43</x:v>
      </x:c>
      <x:c r="BU541" s="4" t="str">
        <x:v>TOT</x:v>
      </x:c>
      <x:c r="BV541" s="10"/>
      <x:c r="BW541" s="10"/>
      <x:c r="BX541" s="10" t="n">
        <x:v>228</x:v>
      </x:c>
      <x:c r="BY541" s="4"/>
      <x:c r="BZ541" s="4"/>
      <x:c r="CA541" s="4" t="str">
        <x:v>Curtis Douglas</x:v>
      </x:c>
      <x:c r="CB541" s="4" t="str">
        <x:v>douglcu01</x:v>
      </x:c>
    </x:row>
    <x:row r="542" ht="22" customHeight="1">
      <x:c r="A542" s="4" t="str">
        <x:v>Curtis Lazar</x:v>
      </x:c>
      <x:c r="B542" s="4" t="str">
        <x:v>curtislazar</x:v>
      </x:c>
      <x:c r="C542" s="10" t="n">
        <x:v>1</x:v>
      </x:c>
      <x:c r="D542" s="10" t="n">
        <x:v>0</x:v>
      </x:c>
      <x:c r="E542" s="10" t="n">
        <x:v>1</x:v>
      </x:c>
      <x:c r="F542" s="4" t="n">
        <x:f>IF(COUNT(N542,Q542,T542,W542,Z542,AC542,AF542,AI542)=8,N542*Guide!$E$5+Q542*Guide!$E$6+T542*Guide!$E$7+W542*Guide!$E$8+Z542*Guide!$E$9+AC542*Guide!$E$10+AF542*Guide!$E$11+AI542*Guide!$E$12,"")</x:f>
        <x:v>135.75</x:v>
      </x:c>
      <x:c r="G542" s="4" t="str">
        <x:f>IF(COUNT(O542,R542,U542,X542,AA542,AD542,AG542,AJ542)=8,O542*Guide!$E$5+R542*Guide!$E$6+U542*Guide!$E$7+X542*Guide!$E$8+AA542*Guide!$E$9+AD542*Guide!$E$10+AG542*Guide!$E$11+AJ542*Guide!$E$12,"")</x:f>
      </x:c>
      <x:c r="H542" s="4" t="str">
        <x:f>IF(COUNT(G542,F542)=2,G542-F542,"")</x:f>
      </x:c>
      <x:c r="I542" s="4" t="n">
        <x:f>IF(AND(ISNUMBER(F542),K542&gt;0),F542/K542,"")</x:f>
        <x:v>1.9392857142857143</x:v>
      </x:c>
      <x:c r="J542" s="4" t="str">
        <x:f>IF(AND(ISNUMBER(G542),L542&gt;0),G542/L542,"")</x:f>
      </x:c>
      <x:c r="K542" s="10" t="n">
        <x:v>70</x:v>
      </x:c>
      <x:c r="L542" s="10"/>
      <x:c r="M542" s="10" t="str">
        <x:f>IF(COUNT(L542,K542)=2,L542-K542,"")</x:f>
      </x:c>
      <x:c r="N542" s="10" t="n">
        <x:v>6</x:v>
      </x:c>
      <x:c r="O542" s="10"/>
      <x:c r="P542" s="10" t="str">
        <x:f>IF(COUNT(O542,N542)=2,O542-N542,"")</x:f>
      </x:c>
      <x:c r="Q542" s="10" t="n">
        <x:v>10</x:v>
      </x:c>
      <x:c r="R542" s="10"/>
      <x:c r="S542" s="10" t="str">
        <x:f>IF(COUNT(R542,Q542)=2,R542-Q542,"")</x:f>
      </x:c>
      <x:c r="T542" s="10" t="n">
        <x:v>-3</x:v>
      </x:c>
      <x:c r="U542" s="10"/>
      <x:c r="V542" s="10" t="str">
        <x:f>IF(COUNT(U542,T542)=2,U542-T542,"")</x:f>
      </x:c>
      <x:c r="W542" s="10" t="n">
        <x:v>1</x:v>
      </x:c>
      <x:c r="X542" s="10" t="str">
        <x:f>IF(COUNT(AV542,AW542)=2,AV542+AW542,"")</x:f>
      </x:c>
      <x:c r="Y542" s="10" t="str">
        <x:f>IF(COUNT(X542,W542)=2,X542-W542,"")</x:f>
      </x:c>
      <x:c r="Z542" s="10" t="n">
        <x:v>1</x:v>
      </x:c>
      <x:c r="AA542" s="10" t="str">
        <x:f>IF(COUNT(AX542,AY542)=2,AX542+AY542,"")</x:f>
      </x:c>
      <x:c r="AB542" s="10" t="str">
        <x:f>IF(COUNT(AA542,Z542)=2,AA542-Z542,"")</x:f>
      </x:c>
      <x:c r="AC542" s="10" t="n">
        <x:v>51</x:v>
      </x:c>
      <x:c r="AD542" s="10"/>
      <x:c r="AE542" s="10" t="str">
        <x:f>IF(COUNT(AD542,AC542)=2,AD542-AC542,"")</x:f>
      </x:c>
      <x:c r="AF542" s="10" t="n">
        <x:v>152</x:v>
      </x:c>
      <x:c r="AG542" s="10"/>
      <x:c r="AH542" s="10" t="str">
        <x:f>IF(COUNT(AG542,AF542)=2,AG542-AF542,"")</x:f>
      </x:c>
      <x:c r="AI542" s="10" t="n">
        <x:v>40</x:v>
      </x:c>
      <x:c r="AJ542" s="10"/>
      <x:c r="AK542" s="10" t="str">
        <x:f>IF(COUNT(AJ542,AI542)=2,AJ542-AI542,"")</x:f>
      </x:c>
      <x:c r="AL542" s="10" t="n">
        <x:v>30</x:v>
      </x:c>
      <x:c r="AM542" s="10"/>
      <x:c r="AN542" s="4" t="str">
        <x:v>C</x:v>
      </x:c>
      <x:c r="AO542" s="4"/>
      <x:c r="AP542" s="4" t="str">
        <x:v>EDM</x:v>
      </x:c>
      <x:c r="AQ542" s="4"/>
      <x:c r="AR542" s="4" t="n">
        <x:v>10.780000000000001</x:v>
      </x:c>
      <x:c r="AS542" s="4"/>
      <x:c r="AT542" s="4" t="n">
        <x:v>0.21</x:v>
      </x:c>
      <x:c r="AU542" s="4"/>
      <x:c r="AV542" s="10"/>
      <x:c r="AW542" s="10"/>
      <x:c r="AX542" s="10"/>
      <x:c r="AY542" s="10"/>
      <x:c r="AZ542" s="10" t="n">
        <x:v>286</x:v>
      </x:c>
      <x:c r="BA542" s="10" t="n">
        <x:v>349</x:v>
      </x:c>
      <x:c r="BB542" s="4" t="n">
        <x:v>45</x:v>
      </x:c>
      <x:c r="BC542" s="4" t="n">
        <x:v>-6.9</x:v>
      </x:c>
      <x:c r="BD542" s="10" t="n">
        <x:v>209</x:v>
      </x:c>
      <x:c r="BE542" s="10" t="n">
        <x:v>259</x:v>
      </x:c>
      <x:c r="BF542" s="4" t="n">
        <x:v>44.7</x:v>
      </x:c>
      <x:c r="BG542" s="4" t="n">
        <x:v>-8.5</x:v>
      </x:c>
      <x:c r="BH542" s="4" t="n">
        <x:v>8</x:v>
      </x:c>
      <x:c r="BI542" s="4" t="n">
        <x:v>91.2</x:v>
      </x:c>
      <x:c r="BJ542" s="4" t="n">
        <x:v>99.2</x:v>
      </x:c>
      <x:c r="BK542" s="4" t="n">
        <x:v>32.9</x:v>
      </x:c>
      <x:c r="BL542" s="4" t="n">
        <x:v>67.1</x:v>
      </x:c>
      <x:c r="BM542" s="4" t="n">
        <x:v>8.916666666666666</x:v>
      </x:c>
      <x:c r="BN542" s="4" t="n">
        <x:v>8.35</x:v>
      </x:c>
      <x:c r="BO542" s="10" t="n">
        <x:v>3</x:v>
      </x:c>
      <x:c r="BP542" s="10" t="n">
        <x:v>9</x:v>
      </x:c>
      <x:c r="BQ542" s="4" t="n">
        <x:v>-0.9</x:v>
      </x:c>
      <x:c r="BR542" s="10" t="n">
        <x:v>71</x:v>
      </x:c>
      <x:c r="BS542" s="4" t="n">
        <x:v>42.3</x:v>
      </x:c>
      <x:c r="BT542" s="10" t="n">
        <x:v>45</x:v>
      </x:c>
      <x:c r="BU542" s="4" t="str">
        <x:v>EDM</x:v>
      </x:c>
      <x:c r="BV542" s="10" t="n">
        <x:v>610</x:v>
      </x:c>
      <x:c r="BW542" s="10"/>
      <x:c r="BX542" s="10" t="n">
        <x:v>582</x:v>
      </x:c>
      <x:c r="BY542" s="4" t="str">
        <x:v>Curtis Lazar</x:v>
      </x:c>
      <x:c r="BZ542" s="4"/>
      <x:c r="CA542" s="4" t="str">
        <x:v>Curtis Lazar</x:v>
      </x:c>
      <x:c r="CB542" s="4" t="str">
        <x:v>lazarcu01</x:v>
      </x:c>
    </x:row>
    <x:row r="543" ht="22" customHeight="1">
      <x:c r="A543" s="4" t="str">
        <x:v>Daemon Hunt</x:v>
      </x:c>
      <x:c r="B543" s="4" t="str">
        <x:v>daemonhunt</x:v>
      </x:c>
      <x:c r="C543" s="10" t="n">
        <x:v>0</x:v>
      </x:c>
      <x:c r="D543" s="10" t="n">
        <x:v>0</x:v>
      </x:c>
      <x:c r="E543" s="10" t="n">
        <x:v>1</x:v>
      </x:c>
      <x:c r="F543" s="4" t="str">
        <x:f>IF(COUNT(N543,Q543,T543,W543,Z543,AC543,AF543,AI543)=8,N543*Guide!$E$5+Q543*Guide!$E$6+T543*Guide!$E$7+W543*Guide!$E$8+Z543*Guide!$E$9+AC543*Guide!$E$10+AF543*Guide!$E$11+AI543*Guide!$E$12,"")</x:f>
      </x:c>
      <x:c r="G543" s="4" t="str">
        <x:f>IF(COUNT(O543,R543,U543,X543,AA543,AD543,AG543,AJ543)=8,O543*Guide!$E$5+R543*Guide!$E$6+U543*Guide!$E$7+X543*Guide!$E$8+AA543*Guide!$E$9+AD543*Guide!$E$10+AG543*Guide!$E$11+AJ543*Guide!$E$12,"")</x:f>
      </x:c>
      <x:c r="H543" s="4" t="str">
        <x:f>IF(COUNT(G543,F543)=2,G543-F543,"")</x:f>
      </x:c>
      <x:c r="I543" s="4" t="str">
        <x:f>IF(AND(ISNUMBER(F543),K543&gt;0),F543/K543,"")</x:f>
      </x:c>
      <x:c r="J543" s="4" t="str">
        <x:f>IF(AND(ISNUMBER(G543),L543&gt;0),G543/L543,"")</x:f>
      </x:c>
      <x:c r="K543" s="10"/>
      <x:c r="L543" s="10"/>
      <x:c r="M543" s="10" t="str">
        <x:f>IF(COUNT(L543,K543)=2,L543-K543,"")</x:f>
      </x:c>
      <x:c r="N543" s="10"/>
      <x:c r="O543" s="10"/>
      <x:c r="P543" s="10" t="str">
        <x:f>IF(COUNT(O543,N543)=2,O543-N543,"")</x:f>
      </x:c>
      <x:c r="Q543" s="10"/>
      <x:c r="R543" s="10"/>
      <x:c r="S543" s="10" t="str">
        <x:f>IF(COUNT(R543,Q543)=2,R543-Q543,"")</x:f>
      </x:c>
      <x:c r="T543" s="10"/>
      <x:c r="U543" s="10"/>
      <x:c r="V543" s="10" t="str">
        <x:f>IF(COUNT(U543,T543)=2,U543-T543,"")</x:f>
      </x:c>
      <x:c r="W543" s="10"/>
      <x:c r="X543" s="10" t="str">
        <x:f>IF(COUNT(AV543,AW543)=2,AV543+AW543,"")</x:f>
      </x:c>
      <x:c r="Y543" s="10" t="str">
        <x:f>IF(COUNT(X543,W543)=2,X543-W543,"")</x:f>
      </x:c>
      <x:c r="Z543" s="10"/>
      <x:c r="AA543" s="10" t="str">
        <x:f>IF(COUNT(AX543,AY543)=2,AX543+AY543,"")</x:f>
      </x:c>
      <x:c r="AB543" s="10" t="str">
        <x:f>IF(COUNT(AA543,Z543)=2,AA543-Z543,"")</x:f>
      </x:c>
      <x:c r="AC543" s="10"/>
      <x:c r="AD543" s="10"/>
      <x:c r="AE543" s="10" t="str">
        <x:f>IF(COUNT(AD543,AC543)=2,AD543-AC543,"")</x:f>
      </x:c>
      <x:c r="AF543" s="10"/>
      <x:c r="AG543" s="10"/>
      <x:c r="AH543" s="10" t="str">
        <x:f>IF(COUNT(AG543,AF543)=2,AG543-AF543,"")</x:f>
      </x:c>
      <x:c r="AI543" s="10"/>
      <x:c r="AJ543" s="10"/>
      <x:c r="AK543" s="10" t="str">
        <x:f>IF(COUNT(AJ543,AI543)=2,AJ543-AI543,"")</x:f>
      </x:c>
      <x:c r="AL543" s="10"/>
      <x:c r="AM543" s="10"/>
      <x:c r="AN543" s="4"/>
      <x:c r="AO543" s="4"/>
      <x:c r="AP543" s="4"/>
      <x:c r="AQ543" s="4"/>
      <x:c r="AR543" s="4"/>
      <x:c r="AS543" s="4"/>
      <x:c r="AT543" s="4"/>
      <x:c r="AU543" s="4"/>
      <x:c r="AV543" s="10"/>
      <x:c r="AW543" s="10"/>
      <x:c r="AX543" s="10"/>
      <x:c r="AY543" s="10"/>
      <x:c r="AZ543" s="10" t="n">
        <x:v>264</x:v>
      </x:c>
      <x:c r="BA543" s="10" t="n">
        <x:v>431</x:v>
      </x:c>
      <x:c r="BB543" s="4" t="n">
        <x:v>38</x:v>
      </x:c>
      <x:c r="BC543" s="4" t="n">
        <x:v>-11.4</x:v>
      </x:c>
      <x:c r="BD543" s="10" t="n">
        <x:v>190</x:v>
      </x:c>
      <x:c r="BE543" s="10" t="n">
        <x:v>301</x:v>
      </x:c>
      <x:c r="BF543" s="4" t="n">
        <x:v>38.7</x:v>
      </x:c>
      <x:c r="BG543" s="4" t="n">
        <x:v>-11</x:v>
      </x:c>
      <x:c r="BH543" s="4" t="n">
        <x:v>8.5</x:v>
      </x:c>
      <x:c r="BI543" s="4" t="n">
        <x:v>92.5</x:v>
      </x:c>
      <x:c r="BJ543" s="4" t="n">
        <x:v>101</x:v>
      </x:c>
      <x:c r="BK543" s="4" t="n">
        <x:v>40.1</x:v>
      </x:c>
      <x:c r="BL543" s="4" t="n">
        <x:v>59.9</x:v>
      </x:c>
      <x:c r="BM543" s="4" t="n">
        <x:v>12.433333333333334</x:v>
      </x:c>
      <x:c r="BN543" s="4" t="n">
        <x:v>11.283333333333333</x:v>
      </x:c>
      <x:c r="BO543" s="10" t="n">
        <x:v>2</x:v>
      </x:c>
      <x:c r="BP543" s="10" t="n">
        <x:v>14</x:v>
      </x:c>
      <x:c r="BQ543" s="4" t="n">
        <x:v>-4.9</x:v>
      </x:c>
      <x:c r="BR543" s="10" t="n">
        <x:v>43</x:v>
      </x:c>
      <x:c r="BS543" s="4" t="n">
        <x:v>44.2</x:v>
      </x:c>
      <x:c r="BT543" s="10" t="n">
        <x:v>32</x:v>
      </x:c>
      <x:c r="BU543" s="4" t="str">
        <x:v>MIN</x:v>
      </x:c>
      <x:c r="BV543" s="10"/>
      <x:c r="BW543" s="10"/>
      <x:c r="BX543" s="10" t="n">
        <x:v>439</x:v>
      </x:c>
      <x:c r="BY543" s="4"/>
      <x:c r="BZ543" s="4"/>
      <x:c r="CA543" s="4" t="str">
        <x:v>Daemon Hunt</x:v>
      </x:c>
      <x:c r="CB543" s="4" t="str">
        <x:v>huntda01</x:v>
      </x:c>
    </x:row>
    <x:row r="544" ht="22" customHeight="1">
      <x:c r="A544" s="4" t="str">
        <x:v>Dakota Mermis</x:v>
      </x:c>
      <x:c r="B544" s="4" t="str">
        <x:v>dakotamermis</x:v>
      </x:c>
      <x:c r="C544" s="10" t="n">
        <x:v>0</x:v>
      </x:c>
      <x:c r="D544" s="10" t="n">
        <x:v>0</x:v>
      </x:c>
      <x:c r="E544" s="10" t="n">
        <x:v>1</x:v>
      </x:c>
      <x:c r="F544" s="4" t="str">
        <x:f>IF(COUNT(N544,Q544,T544,W544,Z544,AC544,AF544,AI544)=8,N544*Guide!$E$5+Q544*Guide!$E$6+T544*Guide!$E$7+W544*Guide!$E$8+Z544*Guide!$E$9+AC544*Guide!$E$10+AF544*Guide!$E$11+AI544*Guide!$E$12,"")</x:f>
      </x:c>
      <x:c r="G544" s="4" t="str">
        <x:f>IF(COUNT(O544,R544,U544,X544,AA544,AD544,AG544,AJ544)=8,O544*Guide!$E$5+R544*Guide!$E$6+U544*Guide!$E$7+X544*Guide!$E$8+AA544*Guide!$E$9+AD544*Guide!$E$10+AG544*Guide!$E$11+AJ544*Guide!$E$12,"")</x:f>
      </x:c>
      <x:c r="H544" s="4" t="str">
        <x:f>IF(COUNT(G544,F544)=2,G544-F544,"")</x:f>
      </x:c>
      <x:c r="I544" s="4" t="str">
        <x:f>IF(AND(ISNUMBER(F544),K544&gt;0),F544/K544,"")</x:f>
      </x:c>
      <x:c r="J544" s="4" t="str">
        <x:f>IF(AND(ISNUMBER(G544),L544&gt;0),G544/L544,"")</x:f>
      </x:c>
      <x:c r="K544" s="10"/>
      <x:c r="L544" s="10"/>
      <x:c r="M544" s="10" t="str">
        <x:f>IF(COUNT(L544,K544)=2,L544-K544,"")</x:f>
      </x:c>
      <x:c r="N544" s="10"/>
      <x:c r="O544" s="10"/>
      <x:c r="P544" s="10" t="str">
        <x:f>IF(COUNT(O544,N544)=2,O544-N544,"")</x:f>
      </x:c>
      <x:c r="Q544" s="10"/>
      <x:c r="R544" s="10"/>
      <x:c r="S544" s="10" t="str">
        <x:f>IF(COUNT(R544,Q544)=2,R544-Q544,"")</x:f>
      </x:c>
      <x:c r="T544" s="10"/>
      <x:c r="U544" s="10"/>
      <x:c r="V544" s="10" t="str">
        <x:f>IF(COUNT(U544,T544)=2,U544-T544,"")</x:f>
      </x:c>
      <x:c r="W544" s="10"/>
      <x:c r="X544" s="10" t="str">
        <x:f>IF(COUNT(AV544,AW544)=2,AV544+AW544,"")</x:f>
      </x:c>
      <x:c r="Y544" s="10" t="str">
        <x:f>IF(COUNT(X544,W544)=2,X544-W544,"")</x:f>
      </x:c>
      <x:c r="Z544" s="10"/>
      <x:c r="AA544" s="10" t="str">
        <x:f>IF(COUNT(AX544,AY544)=2,AX544+AY544,"")</x:f>
      </x:c>
      <x:c r="AB544" s="10" t="str">
        <x:f>IF(COUNT(AA544,Z544)=2,AA544-Z544,"")</x:f>
      </x:c>
      <x:c r="AC544" s="10"/>
      <x:c r="AD544" s="10"/>
      <x:c r="AE544" s="10" t="str">
        <x:f>IF(COUNT(AD544,AC544)=2,AD544-AC544,"")</x:f>
      </x:c>
      <x:c r="AF544" s="10"/>
      <x:c r="AG544" s="10"/>
      <x:c r="AH544" s="10" t="str">
        <x:f>IF(COUNT(AG544,AF544)=2,AG544-AF544,"")</x:f>
      </x:c>
      <x:c r="AI544" s="10"/>
      <x:c r="AJ544" s="10"/>
      <x:c r="AK544" s="10" t="str">
        <x:f>IF(COUNT(AJ544,AI544)=2,AJ544-AI544,"")</x:f>
      </x:c>
      <x:c r="AL544" s="10"/>
      <x:c r="AM544" s="10"/>
      <x:c r="AN544" s="4"/>
      <x:c r="AO544" s="4"/>
      <x:c r="AP544" s="4"/>
      <x:c r="AQ544" s="4"/>
      <x:c r="AR544" s="4"/>
      <x:c r="AS544" s="4"/>
      <x:c r="AT544" s="4"/>
      <x:c r="AU544" s="4"/>
      <x:c r="AV544" s="10"/>
      <x:c r="AW544" s="10"/>
      <x:c r="AX544" s="10"/>
      <x:c r="AY544" s="10"/>
      <x:c r="AZ544" s="10" t="n">
        <x:v>121</x:v>
      </x:c>
      <x:c r="BA544" s="10" t="n">
        <x:v>137</x:v>
      </x:c>
      <x:c r="BB544" s="4" t="n">
        <x:v>46.9</x:v>
      </x:c>
      <x:c r="BC544" s="4" t="n">
        <x:v>2.9</x:v>
      </x:c>
      <x:c r="BD544" s="10" t="n">
        <x:v>89</x:v>
      </x:c>
      <x:c r="BE544" s="10" t="n">
        <x:v>97</x:v>
      </x:c>
      <x:c r="BF544" s="4" t="n">
        <x:v>47.8</x:v>
      </x:c>
      <x:c r="BG544" s="4" t="n">
        <x:v>4.1</x:v>
      </x:c>
      <x:c r="BH544" s="4" t="n">
        <x:v>5.3</x:v>
      </x:c>
      <x:c r="BI544" s="4" t="n">
        <x:v>90</x:v>
      </x:c>
      <x:c r="BJ544" s="4" t="n">
        <x:v>95.3</x:v>
      </x:c>
      <x:c r="BK544" s="4" t="n">
        <x:v>51.7</x:v>
      </x:c>
      <x:c r="BL544" s="4" t="n">
        <x:v>48.3</x:v>
      </x:c>
      <x:c r="BM544" s="4" t="n">
        <x:v>13.033333333333333</x:v>
      </x:c>
      <x:c r="BN544" s="4" t="n">
        <x:v>12.383333333333333</x:v>
      </x:c>
      <x:c r="BO544" s="10" t="n">
        <x:v>2</x:v>
      </x:c>
      <x:c r="BP544" s="10" t="n">
        <x:v>8</x:v>
      </x:c>
      <x:c r="BQ544" s="4" t="n">
        <x:v>0.7</x:v>
      </x:c>
      <x:c r="BR544" s="10" t="n">
        <x:v>15</x:v>
      </x:c>
      <x:c r="BS544" s="4" t="n">
        <x:v>33.3</x:v>
      </x:c>
      <x:c r="BT544" s="10" t="n">
        <x:v>11</x:v>
      </x:c>
      <x:c r="BU544" s="4" t="str">
        <x:v>TOR</x:v>
      </x:c>
      <x:c r="BV544" s="10"/>
      <x:c r="BW544" s="10"/>
      <x:c r="BX544" s="10" t="n">
        <x:v>689</x:v>
      </x:c>
      <x:c r="BY544" s="4"/>
      <x:c r="BZ544" s="4"/>
      <x:c r="CA544" s="4" t="str">
        <x:v>Dakota Mermis</x:v>
      </x:c>
      <x:c r="CB544" s="4" t="str">
        <x:v>mermida01</x:v>
      </x:c>
    </x:row>
    <x:row r="545" ht="22" customHeight="1">
      <x:c r="A545" s="4" t="str">
        <x:v>Dalibor Dvorsky</x:v>
      </x:c>
      <x:c r="B545" s="4" t="str">
        <x:v>dalibordvorsky</x:v>
      </x:c>
      <x:c r="C545" s="10" t="n">
        <x:v>0</x:v>
      </x:c>
      <x:c r="D545" s="10" t="n">
        <x:v>1</x:v>
      </x:c>
      <x:c r="E545" s="10" t="n">
        <x:v>1</x:v>
      </x:c>
      <x:c r="F545" s="4" t="str">
        <x:f>IF(COUNT(N545,Q545,T545,W545,Z545,AC545,AF545,AI545)=8,N545*Guide!$E$5+Q545*Guide!$E$6+T545*Guide!$E$7+W545*Guide!$E$8+Z545*Guide!$E$9+AC545*Guide!$E$10+AF545*Guide!$E$11+AI545*Guide!$E$12,"")</x:f>
      </x:c>
      <x:c r="G545" s="4" t="n">
        <x:f>IF(COUNT(O545,R545,U545,X545,AA545,AD545,AG545,AJ545)=8,O545*Guide!$E$5+R545*Guide!$E$6+U545*Guide!$E$7+X545*Guide!$E$8+AA545*Guide!$E$9+AD545*Guide!$E$10+AG545*Guide!$E$11+AJ545*Guide!$E$12,"")</x:f>
        <x:v>136.25</x:v>
      </x:c>
      <x:c r="H545" s="4" t="str">
        <x:f>IF(COUNT(G545,F545)=2,G545-F545,"")</x:f>
      </x:c>
      <x:c r="I545" s="4" t="str">
        <x:f>IF(AND(ISNUMBER(F545),K545&gt;0),F545/K545,"")</x:f>
      </x:c>
      <x:c r="J545" s="4" t="n">
        <x:f>IF(AND(ISNUMBER(G545),L545&gt;0),G545/L545,"")</x:f>
        <x:v>1.9190140845070423</x:v>
      </x:c>
      <x:c r="K545" s="10"/>
      <x:c r="L545" s="10" t="n">
        <x:v>71</x:v>
      </x:c>
      <x:c r="M545" s="10" t="str">
        <x:f>IF(COUNT(L545,K545)=2,L545-K545,"")</x:f>
      </x:c>
      <x:c r="N545" s="10"/>
      <x:c r="O545" s="10" t="n">
        <x:v>12</x:v>
      </x:c>
      <x:c r="P545" s="10" t="str">
        <x:f>IF(COUNT(O545,N545)=2,O545-N545,"")</x:f>
      </x:c>
      <x:c r="Q545" s="10"/>
      <x:c r="R545" s="10" t="n">
        <x:v>9</x:v>
      </x:c>
      <x:c r="S545" s="10" t="str">
        <x:f>IF(COUNT(R545,Q545)=2,R545-Q545,"")</x:f>
      </x:c>
      <x:c r="T545" s="10"/>
      <x:c r="U545" s="10" t="n">
        <x:v>-6</x:v>
      </x:c>
      <x:c r="V545" s="10" t="str">
        <x:f>IF(COUNT(U545,T545)=2,U545-T545,"")</x:f>
      </x:c>
      <x:c r="W545" s="10"/>
      <x:c r="X545" s="10" t="n">
        <x:f>IF(COUNT(AV545,AW545)=2,AV545+AW545,"")</x:f>
        <x:v>7</x:v>
      </x:c>
      <x:c r="Y545" s="10" t="str">
        <x:f>IF(COUNT(X545,W545)=2,X545-W545,"")</x:f>
      </x:c>
      <x:c r="Z545" s="10"/>
      <x:c r="AA545" s="10" t="n">
        <x:f>IF(COUNT(AX545,AY545)=2,AX545+AY545,"")</x:f>
        <x:v>0</x:v>
      </x:c>
      <x:c r="AB545" s="10" t="str">
        <x:f>IF(COUNT(AA545,Z545)=2,AA545-Z545,"")</x:f>
      </x:c>
      <x:c r="AC545" s="10"/>
      <x:c r="AD545" s="10" t="n">
        <x:v>92</x:v>
      </x:c>
      <x:c r="AE545" s="10" t="str">
        <x:f>IF(COUNT(AD545,AC545)=2,AD545-AC545,"")</x:f>
      </x:c>
      <x:c r="AF545" s="10"/>
      <x:c r="AG545" s="10" t="n">
        <x:v>77</x:v>
      </x:c>
      <x:c r="AH545" s="10" t="str">
        <x:f>IF(COUNT(AG545,AF545)=2,AG545-AF545,"")</x:f>
      </x:c>
      <x:c r="AI545" s="10"/>
      <x:c r="AJ545" s="10" t="n">
        <x:v>24</x:v>
      </x:c>
      <x:c r="AK545" s="10" t="str">
        <x:f>IF(COUNT(AJ545,AI545)=2,AJ545-AI545,"")</x:f>
      </x:c>
      <x:c r="AL545" s="10"/>
      <x:c r="AM545" s="10" t="n">
        <x:v>20</x:v>
      </x:c>
      <x:c r="AN545" s="4"/>
      <x:c r="AO545" s="4" t="str">
        <x:v>C</x:v>
      </x:c>
      <x:c r="AP545" s="4"/>
      <x:c r="AQ545" s="4" t="str">
        <x:v>STL</x:v>
      </x:c>
      <x:c r="AR545" s="4"/>
      <x:c r="AS545" s="4" t="n">
        <x:v>14.333333333333334</x:v>
      </x:c>
      <x:c r="AT545" s="4"/>
      <x:c r="AU545" s="4" t="n">
        <x:v>13</x:v>
      </x:c>
      <x:c r="AV545" s="10" t="n">
        <x:v>5</x:v>
      </x:c>
      <x:c r="AW545" s="10" t="n">
        <x:v>2</x:v>
      </x:c>
      <x:c r="AX545" s="10" t="n">
        <x:v>0</x:v>
      </x:c>
      <x:c r="AY545" s="10" t="n">
        <x:v>0</x:v>
      </x:c>
      <x:c r="AZ545" s="10" t="n">
        <x:v>753</x:v>
      </x:c>
      <x:c r="BA545" s="10" t="n">
        <x:v>824</x:v>
      </x:c>
      <x:c r="BB545" s="4" t="n">
        <x:v>47.7</x:v>
      </x:c>
      <x:c r="BC545" s="4" t="n">
        <x:v>0.2</x:v>
      </x:c>
      <x:c r="BD545" s="10" t="n">
        <x:v>548</x:v>
      </x:c>
      <x:c r="BE545" s="10" t="n">
        <x:v>591</x:v>
      </x:c>
      <x:c r="BF545" s="4" t="n">
        <x:v>48.1</x:v>
      </x:c>
      <x:c r="BG545" s="4" t="n">
        <x:v>0.7</x:v>
      </x:c>
      <x:c r="BH545" s="4" t="n">
        <x:v>8.5</x:v>
      </x:c>
      <x:c r="BI545" s="4" t="n">
        <x:v>90.4</x:v>
      </x:c>
      <x:c r="BJ545" s="4" t="n">
        <x:v>98.9</x:v>
      </x:c>
      <x:c r="BK545" s="4" t="n">
        <x:v>58.4</x:v>
      </x:c>
      <x:c r="BL545" s="4" t="n">
        <x:v>41.6</x:v>
      </x:c>
      <x:c r="BM545" s="4" t="n">
        <x:v>14.333333333333334</x:v>
      </x:c>
      <x:c r="BN545" s="4" t="n">
        <x:v>12.366666666666667</x:v>
      </x:c>
      <x:c r="BO545" s="10" t="n">
        <x:v>9</x:v>
      </x:c>
      <x:c r="BP545" s="10" t="n">
        <x:v>45</x:v>
      </x:c>
      <x:c r="BQ545" s="4" t="n">
        <x:v>-0.6</x:v>
      </x:c>
      <x:c r="BR545" s="10" t="n">
        <x:v>181</x:v>
      </x:c>
      <x:c r="BS545" s="4" t="n">
        <x:v>50.8</x:v>
      </x:c>
      <x:c r="BT545" s="10" t="n">
        <x:v>71</x:v>
      </x:c>
      <x:c r="BU545" s="4" t="str">
        <x:v>STL</x:v>
      </x:c>
      <x:c r="BV545" s="10"/>
      <x:c r="BW545" s="10" t="n">
        <x:v>447</x:v>
      </x:c>
      <x:c r="BX545" s="10" t="n">
        <x:v>254</x:v>
      </x:c>
      <x:c r="BY545" s="4"/>
      <x:c r="BZ545" s="4" t="str">
        <x:v>Dalibor Dvorsky</x:v>
      </x:c>
      <x:c r="CA545" s="4" t="str">
        <x:v>Dalibor Dvorsky</x:v>
      </x:c>
      <x:c r="CB545" s="4" t="str">
        <x:v>dvorsda01</x:v>
      </x:c>
    </x:row>
    <x:row r="546" ht="22" customHeight="1">
      <x:c r="A546" s="4" t="str">
        <x:v>Daniil Miromanov</x:v>
      </x:c>
      <x:c r="B546" s="4" t="str">
        <x:v>daniilmiromanov</x:v>
      </x:c>
      <x:c r="C546" s="10" t="n">
        <x:v>1</x:v>
      </x:c>
      <x:c r="D546" s="10" t="n">
        <x:v>0</x:v>
      </x:c>
      <x:c r="E546" s="10" t="n">
        <x:v>1</x:v>
      </x:c>
      <x:c r="F546" s="4" t="n">
        <x:f>IF(COUNT(N546,Q546,T546,W546,Z546,AC546,AF546,AI546)=8,N546*Guide!$E$5+Q546*Guide!$E$6+T546*Guide!$E$7+W546*Guide!$E$8+Z546*Guide!$E$9+AC546*Guide!$E$10+AF546*Guide!$E$11+AI546*Guide!$E$12,"")</x:f>
        <x:v>130.75</x:v>
      </x:c>
      <x:c r="G546" s="4" t="str">
        <x:f>IF(COUNT(O546,R546,U546,X546,AA546,AD546,AG546,AJ546)=8,O546*Guide!$E$5+R546*Guide!$E$6+U546*Guide!$E$7+X546*Guide!$E$8+AA546*Guide!$E$9+AD546*Guide!$E$10+AG546*Guide!$E$11+AJ546*Guide!$E$12,"")</x:f>
      </x:c>
      <x:c r="H546" s="4" t="str">
        <x:f>IF(COUNT(G546,F546)=2,G546-F546,"")</x:f>
      </x:c>
      <x:c r="I546" s="4" t="n">
        <x:f>IF(AND(ISNUMBER(F546),K546&gt;0),F546/K546,"")</x:f>
        <x:v>2.2543103448275863</x:v>
      </x:c>
      <x:c r="J546" s="4" t="str">
        <x:f>IF(AND(ISNUMBER(G546),L546&gt;0),G546/L546,"")</x:f>
      </x:c>
      <x:c r="K546" s="10" t="n">
        <x:v>58</x:v>
      </x:c>
      <x:c r="L546" s="10"/>
      <x:c r="M546" s="10" t="str">
        <x:f>IF(COUNT(L546,K546)=2,L546-K546,"")</x:f>
      </x:c>
      <x:c r="N546" s="10" t="n">
        <x:v>4</x:v>
      </x:c>
      <x:c r="O546" s="10"/>
      <x:c r="P546" s="10" t="str">
        <x:f>IF(COUNT(O546,N546)=2,O546-N546,"")</x:f>
      </x:c>
      <x:c r="Q546" s="10" t="n">
        <x:v>12</x:v>
      </x:c>
      <x:c r="R546" s="10"/>
      <x:c r="S546" s="10" t="str">
        <x:f>IF(COUNT(R546,Q546)=2,R546-Q546,"")</x:f>
      </x:c>
      <x:c r="T546" s="10" t="n">
        <x:v>-3</x:v>
      </x:c>
      <x:c r="U546" s="10"/>
      <x:c r="V546" s="10" t="str">
        <x:f>IF(COUNT(U546,T546)=2,U546-T546,"")</x:f>
      </x:c>
      <x:c r="W546" s="10" t="n">
        <x:v>2</x:v>
      </x:c>
      <x:c r="X546" s="10" t="str">
        <x:f>IF(COUNT(AV546,AW546)=2,AV546+AW546,"")</x:f>
      </x:c>
      <x:c r="Y546" s="10" t="str">
        <x:f>IF(COUNT(X546,W546)=2,X546-W546,"")</x:f>
      </x:c>
      <x:c r="Z546" s="10" t="n">
        <x:v>0</x:v>
      </x:c>
      <x:c r="AA546" s="10" t="str">
        <x:f>IF(COUNT(AX546,AY546)=2,AX546+AY546,"")</x:f>
      </x:c>
      <x:c r="AB546" s="10" t="str">
        <x:f>IF(COUNT(AA546,Z546)=2,AA546-Z546,"")</x:f>
      </x:c>
      <x:c r="AC546" s="10" t="n">
        <x:v>76</x:v>
      </x:c>
      <x:c r="AD546" s="10"/>
      <x:c r="AE546" s="10" t="str">
        <x:f>IF(COUNT(AD546,AC546)=2,AD546-AC546,"")</x:f>
      </x:c>
      <x:c r="AF546" s="10" t="n">
        <x:v>24</x:v>
      </x:c>
      <x:c r="AG546" s="10"/>
      <x:c r="AH546" s="10" t="str">
        <x:f>IF(COUNT(AG546,AF546)=2,AG546-AF546,"")</x:f>
      </x:c>
      <x:c r="AI546" s="10" t="n">
        <x:v>73</x:v>
      </x:c>
      <x:c r="AJ546" s="10"/>
      <x:c r="AK546" s="10" t="str">
        <x:f>IF(COUNT(AJ546,AI546)=2,AJ546-AI546,"")</x:f>
      </x:c>
      <x:c r="AL546" s="10" t="n">
        <x:v>28</x:v>
      </x:c>
      <x:c r="AM546" s="10"/>
      <x:c r="AN546" s="4" t="str">
        <x:v>D</x:v>
      </x:c>
      <x:c r="AO546" s="4"/>
      <x:c r="AP546" s="4" t="str">
        <x:v>CGY</x:v>
      </x:c>
      <x:c r="AQ546" s="4"/>
      <x:c r="AR546" s="4" t="n">
        <x:v>18.13</x:v>
      </x:c>
      <x:c r="AS546" s="4"/>
      <x:c r="AT546" s="4" t="n">
        <x:v>0.55</x:v>
      </x:c>
      <x:c r="AU546" s="4"/>
      <x:c r="AV546" s="10"/>
      <x:c r="AW546" s="10"/>
      <x:c r="AX546" s="10"/>
      <x:c r="AY546" s="10"/>
      <x:c r="AZ546" s="10" t="n">
        <x:v>10</x:v>
      </x:c>
      <x:c r="BA546" s="10" t="n">
        <x:v>24</x:v>
      </x:c>
      <x:c r="BB546" s="4" t="n">
        <x:v>29.4</x:v>
      </x:c>
      <x:c r="BC546" s="4" t="n">
        <x:v>-24.2</x:v>
      </x:c>
      <x:c r="BD546" s="10" t="n">
        <x:v>7</x:v>
      </x:c>
      <x:c r="BE546" s="10" t="n">
        <x:v>18</x:v>
      </x:c>
      <x:c r="BF546" s="4" t="n">
        <x:v>28</x:v>
      </x:c>
      <x:c r="BG546" s="4" t="n">
        <x:v>-30.1</x:v>
      </x:c>
      <x:c r="BH546" s="4" t="n">
        <x:v>50</x:v>
      </x:c>
      <x:c r="BI546" s="4" t="n">
        <x:v>80</x:v>
      </x:c>
      <x:c r="BJ546" s="4" t="n">
        <x:v>130</x:v>
      </x:c>
      <x:c r="BK546" s="4" t="n">
        <x:v>14.3</x:v>
      </x:c>
      <x:c r="BL546" s="4" t="n">
        <x:v>85.7</x:v>
      </x:c>
      <x:c r="BM546" s="4" t="n">
        <x:v>17.816666666666666</x:v>
      </x:c>
      <x:c r="BN546" s="4" t="n">
        <x:v>17.216666666666665</x:v>
      </x:c>
      <x:c r="BO546" s="10" t="n">
        <x:v>0</x:v>
      </x:c>
      <x:c r="BP546" s="10" t="n">
        <x:v>1</x:v>
      </x:c>
      <x:c r="BQ546" s="4" t="n">
        <x:v>-0.8</x:v>
      </x:c>
      <x:c r="BR546" s="10" t="n">
        <x:v>2</x:v>
      </x:c>
      <x:c r="BS546" s="4" t="n">
        <x:v>0</x:v>
      </x:c>
      <x:c r="BT546" s="10" t="n">
        <x:v>1</x:v>
      </x:c>
      <x:c r="BU546" s="4" t="str">
        <x:v>CGY</x:v>
      </x:c>
      <x:c r="BV546" s="10" t="n">
        <x:v>607</x:v>
      </x:c>
      <x:c r="BW546" s="10"/>
      <x:c r="BX546" s="10" t="n">
        <x:v>703</x:v>
      </x:c>
      <x:c r="BY546" s="4" t="str">
        <x:v>Daniil Miromanov</x:v>
      </x:c>
      <x:c r="BZ546" s="4"/>
      <x:c r="CA546" s="4" t="str">
        <x:v>Daniil Miromanov</x:v>
      </x:c>
      <x:c r="CB546" s="4" t="str">
        <x:v>miromda01</x:v>
      </x:c>
    </x:row>
    <x:row r="547" ht="22" customHeight="1">
      <x:c r="A547" s="4" t="str">
        <x:v>Danil But</x:v>
      </x:c>
      <x:c r="B547" s="4" t="str">
        <x:v>danilbut</x:v>
      </x:c>
      <x:c r="C547" s="10" t="n">
        <x:v>0</x:v>
      </x:c>
      <x:c r="D547" s="10" t="n">
        <x:v>0</x:v>
      </x:c>
      <x:c r="E547" s="10" t="n">
        <x:v>1</x:v>
      </x:c>
      <x:c r="F547" s="4" t="str">
        <x:f>IF(COUNT(N547,Q547,T547,W547,Z547,AC547,AF547,AI547)=8,N547*Guide!$E$5+Q547*Guide!$E$6+T547*Guide!$E$7+W547*Guide!$E$8+Z547*Guide!$E$9+AC547*Guide!$E$10+AF547*Guide!$E$11+AI547*Guide!$E$12,"")</x:f>
      </x:c>
      <x:c r="G547" s="4" t="str">
        <x:f>IF(COUNT(O547,R547,U547,X547,AA547,AD547,AG547,AJ547)=8,O547*Guide!$E$5+R547*Guide!$E$6+U547*Guide!$E$7+X547*Guide!$E$8+AA547*Guide!$E$9+AD547*Guide!$E$10+AG547*Guide!$E$11+AJ547*Guide!$E$12,"")</x:f>
      </x:c>
      <x:c r="H547" s="4" t="str">
        <x:f>IF(COUNT(G547,F547)=2,G547-F547,"")</x:f>
      </x:c>
      <x:c r="I547" s="4" t="str">
        <x:f>IF(AND(ISNUMBER(F547),K547&gt;0),F547/K547,"")</x:f>
      </x:c>
      <x:c r="J547" s="4" t="str">
        <x:f>IF(AND(ISNUMBER(G547),L547&gt;0),G547/L547,"")</x:f>
      </x:c>
      <x:c r="K547" s="10"/>
      <x:c r="L547" s="10"/>
      <x:c r="M547" s="10" t="str">
        <x:f>IF(COUNT(L547,K547)=2,L547-K547,"")</x:f>
      </x:c>
      <x:c r="N547" s="10"/>
      <x:c r="O547" s="10"/>
      <x:c r="P547" s="10" t="str">
        <x:f>IF(COUNT(O547,N547)=2,O547-N547,"")</x:f>
      </x:c>
      <x:c r="Q547" s="10"/>
      <x:c r="R547" s="10"/>
      <x:c r="S547" s="10" t="str">
        <x:f>IF(COUNT(R547,Q547)=2,R547-Q547,"")</x:f>
      </x:c>
      <x:c r="T547" s="10"/>
      <x:c r="U547" s="10"/>
      <x:c r="V547" s="10" t="str">
        <x:f>IF(COUNT(U547,T547)=2,U547-T547,"")</x:f>
      </x:c>
      <x:c r="W547" s="10"/>
      <x:c r="X547" s="10" t="str">
        <x:f>IF(COUNT(AV547,AW547)=2,AV547+AW547,"")</x:f>
      </x:c>
      <x:c r="Y547" s="10" t="str">
        <x:f>IF(COUNT(X547,W547)=2,X547-W547,"")</x:f>
      </x:c>
      <x:c r="Z547" s="10"/>
      <x:c r="AA547" s="10" t="str">
        <x:f>IF(COUNT(AX547,AY547)=2,AX547+AY547,"")</x:f>
      </x:c>
      <x:c r="AB547" s="10" t="str">
        <x:f>IF(COUNT(AA547,Z547)=2,AA547-Z547,"")</x:f>
      </x:c>
      <x:c r="AC547" s="10"/>
      <x:c r="AD547" s="10"/>
      <x:c r="AE547" s="10" t="str">
        <x:f>IF(COUNT(AD547,AC547)=2,AD547-AC547,"")</x:f>
      </x:c>
      <x:c r="AF547" s="10"/>
      <x:c r="AG547" s="10"/>
      <x:c r="AH547" s="10" t="str">
        <x:f>IF(COUNT(AG547,AF547)=2,AG547-AF547,"")</x:f>
      </x:c>
      <x:c r="AI547" s="10"/>
      <x:c r="AJ547" s="10"/>
      <x:c r="AK547" s="10" t="str">
        <x:f>IF(COUNT(AJ547,AI547)=2,AJ547-AI547,"")</x:f>
      </x:c>
      <x:c r="AL547" s="10"/>
      <x:c r="AM547" s="10"/>
      <x:c r="AN547" s="4"/>
      <x:c r="AO547" s="4"/>
      <x:c r="AP547" s="4"/>
      <x:c r="AQ547" s="4"/>
      <x:c r="AR547" s="4"/>
      <x:c r="AS547" s="4"/>
      <x:c r="AT547" s="4"/>
      <x:c r="AU547" s="4"/>
      <x:c r="AV547" s="10"/>
      <x:c r="AW547" s="10"/>
      <x:c r="AX547" s="10"/>
      <x:c r="AY547" s="10"/>
      <x:c r="AZ547" s="10" t="n">
        <x:v>348</x:v>
      </x:c>
      <x:c r="BA547" s="10" t="n">
        <x:v>282</x:v>
      </x:c>
      <x:c r="BB547" s="4" t="n">
        <x:v>55.2</x:v>
      </x:c>
      <x:c r="BC547" s="4" t="n">
        <x:v>2.4</x:v>
      </x:c>
      <x:c r="BD547" s="10" t="n">
        <x:v>234</x:v>
      </x:c>
      <x:c r="BE547" s="10" t="n">
        <x:v>200</x:v>
      </x:c>
      <x:c r="BF547" s="4" t="n">
        <x:v>53.9</x:v>
      </x:c>
      <x:c r="BG547" s="4" t="n">
        <x:v>1.6</x:v>
      </x:c>
      <x:c r="BH547" s="4" t="n">
        <x:v>8</x:v>
      </x:c>
      <x:c r="BI547" s="4" t="n">
        <x:v>92</x:v>
      </x:c>
      <x:c r="BJ547" s="4" t="n">
        <x:v>100</x:v>
      </x:c>
      <x:c r="BK547" s="4" t="n">
        <x:v>59.1</x:v>
      </x:c>
      <x:c r="BL547" s="4" t="n">
        <x:v>40.9</x:v>
      </x:c>
      <x:c r="BM547" s="4" t="n">
        <x:v>12.466666666666667</x:v>
      </x:c>
      <x:c r="BN547" s="4" t="n">
        <x:v>11.116666666666667</x:v>
      </x:c>
      <x:c r="BO547" s="10" t="n">
        <x:v>4</x:v>
      </x:c>
      <x:c r="BP547" s="10" t="n">
        <x:v>18</x:v>
      </x:c>
      <x:c r="BQ547" s="4" t="n">
        <x:v>3.9</x:v>
      </x:c>
      <x:c r="BR547" s="10" t="n">
        <x:v>94</x:v>
      </x:c>
      <x:c r="BS547" s="4" t="n">
        <x:v>45.7</x:v>
      </x:c>
      <x:c r="BT547" s="10" t="n">
        <x:v>29</x:v>
      </x:c>
      <x:c r="BU547" s="4" t="str">
        <x:v>UTA</x:v>
      </x:c>
      <x:c r="BV547" s="10"/>
      <x:c r="BW547" s="10"/>
      <x:c r="BX547" s="10" t="n">
        <x:v>117</x:v>
      </x:c>
      <x:c r="BY547" s="4"/>
      <x:c r="BZ547" s="4"/>
      <x:c r="CA547" s="4" t="str">
        <x:v>Danil But</x:v>
      </x:c>
      <x:c r="CB547" s="4" t="str">
        <x:v>butda01</x:v>
      </x:c>
    </x:row>
    <x:row r="548" ht="22" customHeight="1">
      <x:c r="A548" s="4" t="str">
        <x:v>Danil Zhilkin</x:v>
      </x:c>
      <x:c r="B548" s="4" t="str">
        <x:v>danilzhilkin</x:v>
      </x:c>
      <x:c r="C548" s="10" t="n">
        <x:v>0</x:v>
      </x:c>
      <x:c r="D548" s="10" t="n">
        <x:v>0</x:v>
      </x:c>
      <x:c r="E548" s="10" t="n">
        <x:v>1</x:v>
      </x:c>
      <x:c r="F548" s="4" t="str">
        <x:f>IF(COUNT(N548,Q548,T548,W548,Z548,AC548,AF548,AI548)=8,N548*Guide!$E$5+Q548*Guide!$E$6+T548*Guide!$E$7+W548*Guide!$E$8+Z548*Guide!$E$9+AC548*Guide!$E$10+AF548*Guide!$E$11+AI548*Guide!$E$12,"")</x:f>
      </x:c>
      <x:c r="G548" s="4" t="str">
        <x:f>IF(COUNT(O548,R548,U548,X548,AA548,AD548,AG548,AJ548)=8,O548*Guide!$E$5+R548*Guide!$E$6+U548*Guide!$E$7+X548*Guide!$E$8+AA548*Guide!$E$9+AD548*Guide!$E$10+AG548*Guide!$E$11+AJ548*Guide!$E$12,"")</x:f>
      </x:c>
      <x:c r="H548" s="4" t="str">
        <x:f>IF(COUNT(G548,F548)=2,G548-F548,"")</x:f>
      </x:c>
      <x:c r="I548" s="4" t="str">
        <x:f>IF(AND(ISNUMBER(F548),K548&gt;0),F548/K548,"")</x:f>
      </x:c>
      <x:c r="J548" s="4" t="str">
        <x:f>IF(AND(ISNUMBER(G548),L548&gt;0),G548/L548,"")</x:f>
      </x:c>
      <x:c r="K548" s="10"/>
      <x:c r="L548" s="10"/>
      <x:c r="M548" s="10" t="str">
        <x:f>IF(COUNT(L548,K548)=2,L548-K548,"")</x:f>
      </x:c>
      <x:c r="N548" s="10"/>
      <x:c r="O548" s="10"/>
      <x:c r="P548" s="10" t="str">
        <x:f>IF(COUNT(O548,N548)=2,O548-N548,"")</x:f>
      </x:c>
      <x:c r="Q548" s="10"/>
      <x:c r="R548" s="10"/>
      <x:c r="S548" s="10" t="str">
        <x:f>IF(COUNT(R548,Q548)=2,R548-Q548,"")</x:f>
      </x:c>
      <x:c r="T548" s="10"/>
      <x:c r="U548" s="10"/>
      <x:c r="V548" s="10" t="str">
        <x:f>IF(COUNT(U548,T548)=2,U548-T548,"")</x:f>
      </x:c>
      <x:c r="W548" s="10"/>
      <x:c r="X548" s="10" t="str">
        <x:f>IF(COUNT(AV548,AW548)=2,AV548+AW548,"")</x:f>
      </x:c>
      <x:c r="Y548" s="10" t="str">
        <x:f>IF(COUNT(X548,W548)=2,X548-W548,"")</x:f>
      </x:c>
      <x:c r="Z548" s="10"/>
      <x:c r="AA548" s="10" t="str">
        <x:f>IF(COUNT(AX548,AY548)=2,AX548+AY548,"")</x:f>
      </x:c>
      <x:c r="AB548" s="10" t="str">
        <x:f>IF(COUNT(AA548,Z548)=2,AA548-Z548,"")</x:f>
      </x:c>
      <x:c r="AC548" s="10"/>
      <x:c r="AD548" s="10"/>
      <x:c r="AE548" s="10" t="str">
        <x:f>IF(COUNT(AD548,AC548)=2,AD548-AC548,"")</x:f>
      </x:c>
      <x:c r="AF548" s="10"/>
      <x:c r="AG548" s="10"/>
      <x:c r="AH548" s="10" t="str">
        <x:f>IF(COUNT(AG548,AF548)=2,AG548-AF548,"")</x:f>
      </x:c>
      <x:c r="AI548" s="10"/>
      <x:c r="AJ548" s="10"/>
      <x:c r="AK548" s="10" t="str">
        <x:f>IF(COUNT(AJ548,AI548)=2,AJ548-AI548,"")</x:f>
      </x:c>
      <x:c r="AL548" s="10"/>
      <x:c r="AM548" s="10"/>
      <x:c r="AN548" s="4"/>
      <x:c r="AO548" s="4"/>
      <x:c r="AP548" s="4"/>
      <x:c r="AQ548" s="4"/>
      <x:c r="AR548" s="4"/>
      <x:c r="AS548" s="4"/>
      <x:c r="AT548" s="4"/>
      <x:c r="AU548" s="4"/>
      <x:c r="AV548" s="10"/>
      <x:c r="AW548" s="10"/>
      <x:c r="AX548" s="10"/>
      <x:c r="AY548" s="10"/>
      <x:c r="AZ548" s="10" t="n">
        <x:v>16</x:v>
      </x:c>
      <x:c r="BA548" s="10" t="n">
        <x:v>46</x:v>
      </x:c>
      <x:c r="BB548" s="4" t="n">
        <x:v>25.8</x:v>
      </x:c>
      <x:c r="BC548" s="4" t="n">
        <x:v>-20.3</x:v>
      </x:c>
      <x:c r="BD548" s="10" t="n">
        <x:v>13</x:v>
      </x:c>
      <x:c r="BE548" s="10" t="n">
        <x:v>28</x:v>
      </x:c>
      <x:c r="BF548" s="4" t="n">
        <x:v>31.7</x:v>
      </x:c>
      <x:c r="BG548" s="4" t="n">
        <x:v>-14.7</x:v>
      </x:c>
      <x:c r="BH548" s="4" t="n">
        <x:v>27.3</x:v>
      </x:c>
      <x:c r="BI548" s="4" t="n">
        <x:v>100</x:v>
      </x:c>
      <x:c r="BJ548" s="4" t="n">
        <x:v>127.3</x:v>
      </x:c>
      <x:c r="BK548" s="4" t="n">
        <x:v>35.3</x:v>
      </x:c>
      <x:c r="BL548" s="4" t="n">
        <x:v>64.7</x:v>
      </x:c>
      <x:c r="BM548" s="4" t="n">
        <x:v>7.583333333333333</x:v>
      </x:c>
      <x:c r="BN548" s="4" t="n">
        <x:v>6.783333333333333</x:v>
      </x:c>
      <x:c r="BO548" s="10" t="n">
        <x:v>0</x:v>
      </x:c>
      <x:c r="BP548" s="10" t="n">
        <x:v>1</x:v>
      </x:c>
      <x:c r="BQ548" s="4" t="n">
        <x:v>-0.4</x:v>
      </x:c>
      <x:c r="BR548" s="10" t="n">
        <x:v>7</x:v>
      </x:c>
      <x:c r="BS548" s="4" t="n">
        <x:v>57.1</x:v>
      </x:c>
      <x:c r="BT548" s="10" t="n">
        <x:v>6</x:v>
      </x:c>
      <x:c r="BU548" s="4" t="str">
        <x:v>WPG</x:v>
      </x:c>
      <x:c r="BV548" s="10"/>
      <x:c r="BW548" s="10"/>
      <x:c r="BX548" s="10" t="n">
        <x:v>1102</x:v>
      </x:c>
      <x:c r="BY548" s="4"/>
      <x:c r="BZ548" s="4"/>
      <x:c r="CA548" s="4" t="str">
        <x:v>Danil Zhilkin</x:v>
      </x:c>
      <x:c r="CB548" s="4" t="str">
        <x:v>zhilkda01</x:v>
      </x:c>
    </x:row>
    <x:row r="549" ht="22" customHeight="1">
      <x:c r="A549" s="4" t="str">
        <x:v>Dante Fabbro</x:v>
      </x:c>
      <x:c r="B549" s="4" t="str">
        <x:v>dantefabbro</x:v>
      </x:c>
      <x:c r="C549" s="10" t="n">
        <x:v>1</x:v>
      </x:c>
      <x:c r="D549" s="10" t="n">
        <x:v>0</x:v>
      </x:c>
      <x:c r="E549" s="10" t="n">
        <x:v>1</x:v>
      </x:c>
      <x:c r="F549" s="4" t="n">
        <x:f>IF(COUNT(N549,Q549,T549,W549,Z549,AC549,AF549,AI549)=8,N549*Guide!$E$5+Q549*Guide!$E$6+T549*Guide!$E$7+W549*Guide!$E$8+Z549*Guide!$E$9+AC549*Guide!$E$10+AF549*Guide!$E$11+AI549*Guide!$E$12,"")</x:f>
        <x:v>234.25</x:v>
      </x:c>
      <x:c r="G549" s="4" t="str">
        <x:f>IF(COUNT(O549,R549,U549,X549,AA549,AD549,AG549,AJ549)=8,O549*Guide!$E$5+R549*Guide!$E$6+U549*Guide!$E$7+X549*Guide!$E$8+AA549*Guide!$E$9+AD549*Guide!$E$10+AG549*Guide!$E$11+AJ549*Guide!$E$12,"")</x:f>
      </x:c>
      <x:c r="H549" s="4" t="str">
        <x:f>IF(COUNT(G549,F549)=2,G549-F549,"")</x:f>
      </x:c>
      <x:c r="I549" s="4" t="n">
        <x:f>IF(AND(ISNUMBER(F549),K549&gt;0),F549/K549,"")</x:f>
        <x:v>3.1233333333333335</x:v>
      </x:c>
      <x:c r="J549" s="4" t="str">
        <x:f>IF(AND(ISNUMBER(G549),L549&gt;0),G549/L549,"")</x:f>
      </x:c>
      <x:c r="K549" s="10" t="n">
        <x:v>75</x:v>
      </x:c>
      <x:c r="L549" s="10"/>
      <x:c r="M549" s="10" t="str">
        <x:f>IF(COUNT(L549,K549)=2,L549-K549,"")</x:f>
      </x:c>
      <x:c r="N549" s="10" t="n">
        <x:v>6</x:v>
      </x:c>
      <x:c r="O549" s="10"/>
      <x:c r="P549" s="10" t="str">
        <x:f>IF(COUNT(O549,N549)=2,O549-N549,"")</x:f>
      </x:c>
      <x:c r="Q549" s="10" t="n">
        <x:v>18</x:v>
      </x:c>
      <x:c r="R549" s="10"/>
      <x:c r="S549" s="10" t="str">
        <x:f>IF(COUNT(R549,Q549)=2,R549-Q549,"")</x:f>
      </x:c>
      <x:c r="T549" s="10" t="n">
        <x:v>7</x:v>
      </x:c>
      <x:c r="U549" s="10"/>
      <x:c r="V549" s="10" t="str">
        <x:f>IF(COUNT(U549,T549)=2,U549-T549,"")</x:f>
      </x:c>
      <x:c r="W549" s="10" t="n">
        <x:v>1</x:v>
      </x:c>
      <x:c r="X549" s="10" t="str">
        <x:f>IF(COUNT(AV549,AW549)=2,AV549+AW549,"")</x:f>
      </x:c>
      <x:c r="Y549" s="10" t="str">
        <x:f>IF(COUNT(X549,W549)=2,X549-W549,"")</x:f>
      </x:c>
      <x:c r="Z549" s="10" t="n">
        <x:v>0</x:v>
      </x:c>
      <x:c r="AA549" s="10" t="str">
        <x:f>IF(COUNT(AX549,AY549)=2,AX549+AY549,"")</x:f>
      </x:c>
      <x:c r="AB549" s="10" t="str">
        <x:f>IF(COUNT(AA549,Z549)=2,AA549-Z549,"")</x:f>
      </x:c>
      <x:c r="AC549" s="10" t="n">
        <x:v>98</x:v>
      </x:c>
      <x:c r="AD549" s="10"/>
      <x:c r="AE549" s="10" t="str">
        <x:f>IF(COUNT(AD549,AC549)=2,AD549-AC549,"")</x:f>
      </x:c>
      <x:c r="AF549" s="10" t="n">
        <x:v>69</x:v>
      </x:c>
      <x:c r="AG549" s="10"/>
      <x:c r="AH549" s="10" t="str">
        <x:f>IF(COUNT(AG549,AF549)=2,AG549-AF549,"")</x:f>
      </x:c>
      <x:c r="AI549" s="10" t="n">
        <x:v>142</x:v>
      </x:c>
      <x:c r="AJ549" s="10"/>
      <x:c r="AK549" s="10" t="str">
        <x:f>IF(COUNT(AJ549,AI549)=2,AJ549-AI549,"")</x:f>
      </x:c>
      <x:c r="AL549" s="10" t="n">
        <x:v>27</x:v>
      </x:c>
      <x:c r="AM549" s="10"/>
      <x:c r="AN549" s="4" t="str">
        <x:v>D</x:v>
      </x:c>
      <x:c r="AO549" s="4"/>
      <x:c r="AP549" s="4" t="str">
        <x:v>CBJ</x:v>
      </x:c>
      <x:c r="AQ549" s="4"/>
      <x:c r="AR549" s="4" t="n">
        <x:v>20.31</x:v>
      </x:c>
      <x:c r="AS549" s="4"/>
      <x:c r="AT549" s="4" t="n">
        <x:v>0.1</x:v>
      </x:c>
      <x:c r="AU549" s="4"/>
      <x:c r="AV549" s="10"/>
      <x:c r="AW549" s="10"/>
      <x:c r="AX549" s="10"/>
      <x:c r="AY549" s="10"/>
      <x:c r="AZ549" s="10" t="n">
        <x:v>1043</x:v>
      </x:c>
      <x:c r="BA549" s="10" t="n">
        <x:v>1191</x:v>
      </x:c>
      <x:c r="BB549" s="4" t="n">
        <x:v>46.7</x:v>
      </x:c>
      <x:c r="BC549" s="4" t="n">
        <x:v>-5.4</x:v>
      </x:c>
      <x:c r="BD549" s="10" t="n">
        <x:v>728</x:v>
      </x:c>
      <x:c r="BE549" s="10" t="n">
        <x:v>824</x:v>
      </x:c>
      <x:c r="BF549" s="4" t="n">
        <x:v>46.9</x:v>
      </x:c>
      <x:c r="BG549" s="4" t="n">
        <x:v>-4.8</x:v>
      </x:c>
      <x:c r="BH549" s="4" t="n">
        <x:v>6.8</x:v>
      </x:c>
      <x:c r="BI549" s="4" t="n">
        <x:v>90.7</x:v>
      </x:c>
      <x:c r="BJ549" s="4" t="n">
        <x:v>97.5</x:v>
      </x:c>
      <x:c r="BK549" s="4" t="n">
        <x:v>46.6</x:v>
      </x:c>
      <x:c r="BL549" s="4" t="n">
        <x:v>53.4</x:v>
      </x:c>
      <x:c r="BM549" s="4" t="n">
        <x:v>16.566666666666666</x:v>
      </x:c>
      <x:c r="BN549" s="4" t="n">
        <x:v>14.983333333333333</x:v>
      </x:c>
      <x:c r="BO549" s="10" t="n">
        <x:v>20</x:v>
      </x:c>
      <x:c r="BP549" s="10" t="n">
        <x:v>59</x:v>
      </x:c>
      <x:c r="BQ549" s="4" t="n">
        <x:v>-4.5</x:v>
      </x:c>
      <x:c r="BR549" s="10" t="n">
        <x:v>174</x:v>
      </x:c>
      <x:c r="BS549" s="4" t="n">
        <x:v>39.1</x:v>
      </x:c>
      <x:c r="BT549" s="10" t="n">
        <x:v>74</x:v>
      </x:c>
      <x:c r="BU549" s="4" t="str">
        <x:v>CBJ</x:v>
      </x:c>
      <x:c r="BV549" s="10" t="n">
        <x:v>445</x:v>
      </x:c>
      <x:c r="BW549" s="10"/>
      <x:c r="BX549" s="10" t="n">
        <x:v>279</x:v>
      </x:c>
      <x:c r="BY549" s="4" t="str">
        <x:v>Dante Fabbro</x:v>
      </x:c>
      <x:c r="BZ549" s="4"/>
      <x:c r="CA549" s="4" t="str">
        <x:v>Dante Fabbro</x:v>
      </x:c>
      <x:c r="CB549" s="4" t="str">
        <x:v>fabbrda01</x:v>
      </x:c>
    </x:row>
    <x:row r="550" ht="22" customHeight="1">
      <x:c r="A550" s="4" t="str">
        <x:v>Danton Heinen</x:v>
      </x:c>
      <x:c r="B550" s="4" t="str">
        <x:v>dantonheinen</x:v>
      </x:c>
      <x:c r="C550" s="10" t="n">
        <x:v>1</x:v>
      </x:c>
      <x:c r="D550" s="10" t="n">
        <x:v>0</x:v>
      </x:c>
      <x:c r="E550" s="10" t="n">
        <x:v>1</x:v>
      </x:c>
      <x:c r="F550" s="4" t="n">
        <x:f>IF(COUNT(N550,Q550,T550,W550,Z550,AC550,AF550,AI550)=8,N550*Guide!$E$5+Q550*Guide!$E$6+T550*Guide!$E$7+W550*Guide!$E$8+Z550*Guide!$E$9+AC550*Guide!$E$10+AF550*Guide!$E$11+AI550*Guide!$E$12,"")</x:f>
        <x:v>181.25</x:v>
      </x:c>
      <x:c r="G550" s="4" t="str">
        <x:f>IF(COUNT(O550,R550,U550,X550,AA550,AD550,AG550,AJ550)=8,O550*Guide!$E$5+R550*Guide!$E$6+U550*Guide!$E$7+X550*Guide!$E$8+AA550*Guide!$E$9+AD550*Guide!$E$10+AG550*Guide!$E$11+AJ550*Guide!$E$12,"")</x:f>
      </x:c>
      <x:c r="H550" s="4" t="str">
        <x:f>IF(COUNT(G550,F550)=2,G550-F550,"")</x:f>
      </x:c>
      <x:c r="I550" s="4" t="n">
        <x:f>IF(AND(ISNUMBER(F550),K550&gt;0),F550/K550,"")</x:f>
        <x:v>2.2943037974683542</x:v>
      </x:c>
      <x:c r="J550" s="4" t="str">
        <x:f>IF(AND(ISNUMBER(G550),L550&gt;0),G550/L550,"")</x:f>
      </x:c>
      <x:c r="K550" s="10" t="n">
        <x:v>79</x:v>
      </x:c>
      <x:c r="L550" s="10"/>
      <x:c r="M550" s="10" t="str">
        <x:f>IF(COUNT(L550,K550)=2,L550-K550,"")</x:f>
      </x:c>
      <x:c r="N550" s="10" t="n">
        <x:v>12</x:v>
      </x:c>
      <x:c r="O550" s="10"/>
      <x:c r="P550" s="10" t="str">
        <x:f>IF(COUNT(O550,N550)=2,O550-N550,"")</x:f>
      </x:c>
      <x:c r="Q550" s="10" t="n">
        <x:v>18</x:v>
      </x:c>
      <x:c r="R550" s="10"/>
      <x:c r="S550" s="10" t="str">
        <x:f>IF(COUNT(R550,Q550)=2,R550-Q550,"")</x:f>
      </x:c>
      <x:c r="T550" s="10" t="n">
        <x:v>-1</x:v>
      </x:c>
      <x:c r="U550" s="10"/>
      <x:c r="V550" s="10" t="str">
        <x:f>IF(COUNT(U550,T550)=2,U550-T550,"")</x:f>
      </x:c>
      <x:c r="W550" s="10" t="n">
        <x:v>3</x:v>
      </x:c>
      <x:c r="X550" s="10" t="str">
        <x:f>IF(COUNT(AV550,AW550)=2,AV550+AW550,"")</x:f>
      </x:c>
      <x:c r="Y550" s="10" t="str">
        <x:f>IF(COUNT(X550,W550)=2,X550-W550,"")</x:f>
      </x:c>
      <x:c r="Z550" s="10" t="n">
        <x:v>1</x:v>
      </x:c>
      <x:c r="AA550" s="10" t="str">
        <x:f>IF(COUNT(AX550,AY550)=2,AX550+AY550,"")</x:f>
      </x:c>
      <x:c r="AB550" s="10" t="str">
        <x:f>IF(COUNT(AA550,Z550)=2,AA550-Z550,"")</x:f>
      </x:c>
      <x:c r="AC550" s="10" t="n">
        <x:v>94</x:v>
      </x:c>
      <x:c r="AD550" s="10"/>
      <x:c r="AE550" s="10" t="str">
        <x:f>IF(COUNT(AD550,AC550)=2,AD550-AC550,"")</x:f>
      </x:c>
      <x:c r="AF550" s="10" t="n">
        <x:v>83</x:v>
      </x:c>
      <x:c r="AG550" s="10"/>
      <x:c r="AH550" s="10" t="str">
        <x:f>IF(COUNT(AG550,AF550)=2,AG550-AF550,"")</x:f>
      </x:c>
      <x:c r="AI550" s="10" t="n">
        <x:v>40</x:v>
      </x:c>
      <x:c r="AJ550" s="10"/>
      <x:c r="AK550" s="10" t="str">
        <x:f>IF(COUNT(AJ550,AI550)=2,AJ550-AI550,"")</x:f>
      </x:c>
      <x:c r="AL550" s="10" t="n">
        <x:v>30</x:v>
      </x:c>
      <x:c r="AM550" s="10"/>
      <x:c r="AN550" s="4" t="str">
        <x:v>LW</x:v>
      </x:c>
      <x:c r="AO550" s="4"/>
      <x:c r="AP550" s="4" t="str">
        <x:v>PIT</x:v>
      </x:c>
      <x:c r="AQ550" s="4"/>
      <x:c r="AR550" s="4" t="n">
        <x:v>13.18</x:v>
      </x:c>
      <x:c r="AS550" s="4"/>
      <x:c r="AT550" s="4" t="n">
        <x:v>0.72</x:v>
      </x:c>
      <x:c r="AU550" s="4"/>
      <x:c r="AV550" s="10"/>
      <x:c r="AW550" s="10"/>
      <x:c r="AX550" s="10"/>
      <x:c r="AY550" s="10"/>
      <x:c r="AZ550" s="10" t="n">
        <x:v>480</x:v>
      </x:c>
      <x:c r="BA550" s="10" t="n">
        <x:v>443</x:v>
      </x:c>
      <x:c r="BB550" s="4" t="n">
        <x:v>52</x:v>
      </x:c>
      <x:c r="BC550" s="4" t="n">
        <x:v>0.8</x:v>
      </x:c>
      <x:c r="BD550" s="10" t="n">
        <x:v>351</x:v>
      </x:c>
      <x:c r="BE550" s="10" t="n">
        <x:v>311</x:v>
      </x:c>
      <x:c r="BF550" s="4" t="n">
        <x:v>53</x:v>
      </x:c>
      <x:c r="BG550" s="4" t="n">
        <x:v>1.2</x:v>
      </x:c>
      <x:c r="BH550" s="4" t="n">
        <x:v>10.6</x:v>
      </x:c>
      <x:c r="BI550" s="4" t="n">
        <x:v>91.5</x:v>
      </x:c>
      <x:c r="BJ550" s="4" t="n">
        <x:v>102</x:v>
      </x:c>
      <x:c r="BK550" s="4" t="n">
        <x:v>40.4</x:v>
      </x:c>
      <x:c r="BL550" s="4" t="n">
        <x:v>59.6</x:v>
      </x:c>
      <x:c r="BM550" s="4" t="n">
        <x:v>11.333333333333334</x:v>
      </x:c>
      <x:c r="BN550" s="4" t="n">
        <x:v>11.016666666666667</x:v>
      </x:c>
      <x:c r="BO550" s="10" t="n">
        <x:v>9</x:v>
      </x:c>
      <x:c r="BP550" s="10" t="n">
        <x:v>21</x:v>
      </x:c>
      <x:c r="BQ550" s="4" t="n">
        <x:v>4.9</x:v>
      </x:c>
      <x:c r="BR550" s="10" t="n">
        <x:v>96</x:v>
      </x:c>
      <x:c r="BS550" s="4" t="n">
        <x:v>45.8</x:v>
      </x:c>
      <x:c r="BT550" s="10" t="n">
        <x:v>46</x:v>
      </x:c>
      <x:c r="BU550" s="4" t="str">
        <x:v>TOT</x:v>
      </x:c>
      <x:c r="BV550" s="10" t="n">
        <x:v>374</x:v>
      </x:c>
      <x:c r="BW550" s="10"/>
      <x:c r="BX550" s="10" t="n">
        <x:v>402</x:v>
      </x:c>
      <x:c r="BY550" s="4" t="str">
        <x:v>Danton Heinen</x:v>
      </x:c>
      <x:c r="BZ550" s="4"/>
      <x:c r="CA550" s="4" t="str">
        <x:v>Danton Heinen</x:v>
      </x:c>
      <x:c r="CB550" s="4" t="str">
        <x:v>heineda01</x:v>
      </x:c>
    </x:row>
    <x:row r="551" ht="22" customHeight="1">
      <x:c r="A551" s="4" t="str">
        <x:v>David Gustafsson</x:v>
      </x:c>
      <x:c r="B551" s="4" t="str">
        <x:v>davidgustafsson</x:v>
      </x:c>
      <x:c r="C551" s="10" t="n">
        <x:v>1</x:v>
      </x:c>
      <x:c r="D551" s="10" t="n">
        <x:v>0</x:v>
      </x:c>
      <x:c r="E551" s="10" t="n">
        <x:v>0</x:v>
      </x:c>
      <x:c r="F551" s="4" t="n">
        <x:f>IF(COUNT(N551,Q551,T551,W551,Z551,AC551,AF551,AI551)=8,N551*Guide!$E$5+Q551*Guide!$E$6+T551*Guide!$E$7+W551*Guide!$E$8+Z551*Guide!$E$9+AC551*Guide!$E$10+AF551*Guide!$E$11+AI551*Guide!$E$12,"")</x:f>
        <x:v>78.25</x:v>
      </x:c>
      <x:c r="G551" s="4" t="str">
        <x:f>IF(COUNT(O551,R551,U551,X551,AA551,AD551,AG551,AJ551)=8,O551*Guide!$E$5+R551*Guide!$E$6+U551*Guide!$E$7+X551*Guide!$E$8+AA551*Guide!$E$9+AD551*Guide!$E$10+AG551*Guide!$E$11+AJ551*Guide!$E$12,"")</x:f>
      </x:c>
      <x:c r="H551" s="4" t="str">
        <x:f>IF(COUNT(G551,F551)=2,G551-F551,"")</x:f>
      </x:c>
      <x:c r="I551" s="4" t="n">
        <x:f>IF(AND(ISNUMBER(F551),K551&gt;0),F551/K551,"")</x:f>
        <x:v>1.565</x:v>
      </x:c>
      <x:c r="J551" s="4" t="str">
        <x:f>IF(AND(ISNUMBER(G551),L551&gt;0),G551/L551,"")</x:f>
      </x:c>
      <x:c r="K551" s="10" t="n">
        <x:v>50</x:v>
      </x:c>
      <x:c r="L551" s="10"/>
      <x:c r="M551" s="10" t="str">
        <x:f>IF(COUNT(L551,K551)=2,L551-K551,"")</x:f>
      </x:c>
      <x:c r="N551" s="10" t="n">
        <x:v>5</x:v>
      </x:c>
      <x:c r="O551" s="10"/>
      <x:c r="P551" s="10" t="str">
        <x:f>IF(COUNT(O551,N551)=2,O551-N551,"")</x:f>
      </x:c>
      <x:c r="Q551" s="10" t="n">
        <x:v>7</x:v>
      </x:c>
      <x:c r="R551" s="10"/>
      <x:c r="S551" s="10" t="str">
        <x:f>IF(COUNT(R551,Q551)=2,R551-Q551,"")</x:f>
      </x:c>
      <x:c r="T551" s="10" t="n">
        <x:v>1</x:v>
      </x:c>
      <x:c r="U551" s="10"/>
      <x:c r="V551" s="10" t="str">
        <x:f>IF(COUNT(U551,T551)=2,U551-T551,"")</x:f>
      </x:c>
      <x:c r="W551" s="10" t="n">
        <x:v>0</x:v>
      </x:c>
      <x:c r="X551" s="10" t="str">
        <x:f>IF(COUNT(AV551,AW551)=2,AV551+AW551,"")</x:f>
      </x:c>
      <x:c r="Y551" s="10" t="str">
        <x:f>IF(COUNT(X551,W551)=2,X551-W551,"")</x:f>
      </x:c>
      <x:c r="Z551" s="10" t="n">
        <x:v>0</x:v>
      </x:c>
      <x:c r="AA551" s="10" t="str">
        <x:f>IF(COUNT(AX551,AY551)=2,AX551+AY551,"")</x:f>
      </x:c>
      <x:c r="AB551" s="10" t="str">
        <x:f>IF(COUNT(AA551,Z551)=2,AA551-Z551,"")</x:f>
      </x:c>
      <x:c r="AC551" s="10" t="n">
        <x:v>44</x:v>
      </x:c>
      <x:c r="AD551" s="10"/>
      <x:c r="AE551" s="10" t="str">
        <x:f>IF(COUNT(AD551,AC551)=2,AD551-AC551,"")</x:f>
      </x:c>
      <x:c r="AF551" s="10" t="n">
        <x:v>29</x:v>
      </x:c>
      <x:c r="AG551" s="10"/>
      <x:c r="AH551" s="10" t="str">
        <x:f>IF(COUNT(AG551,AF551)=2,AG551-AF551,"")</x:f>
      </x:c>
      <x:c r="AI551" s="10" t="n">
        <x:v>24</x:v>
      </x:c>
      <x:c r="AJ551" s="10"/>
      <x:c r="AK551" s="10" t="str">
        <x:f>IF(COUNT(AJ551,AI551)=2,AJ551-AI551,"")</x:f>
      </x:c>
      <x:c r="AL551" s="10" t="n">
        <x:v>25</x:v>
      </x:c>
      <x:c r="AM551" s="10"/>
      <x:c r="AN551" s="4" t="str">
        <x:v>C</x:v>
      </x:c>
      <x:c r="AO551" s="4"/>
      <x:c r="AP551" s="4" t="str">
        <x:v>WPG</x:v>
      </x:c>
      <x:c r="AQ551" s="4"/>
      <x:c r="AR551" s="4" t="n">
        <x:v>9.52</x:v>
      </x:c>
      <x:c r="AS551" s="4"/>
      <x:c r="AT551" s="4" t="n">
        <x:v>0.22</x:v>
      </x:c>
      <x:c r="AU551" s="4"/>
      <x:c r="AV551" s="10"/>
      <x:c r="AW551" s="10"/>
      <x:c r="AX551" s="10"/>
      <x:c r="AY551" s="10"/>
      <x:c r="AZ551" s="10"/>
      <x:c r="BA551" s="10"/>
      <x:c r="BB551" s="4"/>
      <x:c r="BC551" s="4"/>
      <x:c r="BD551" s="10"/>
      <x:c r="BE551" s="10"/>
      <x:c r="BF551" s="4"/>
      <x:c r="BG551" s="4"/>
      <x:c r="BH551" s="4"/>
      <x:c r="BI551" s="4"/>
      <x:c r="BJ551" s="4"/>
      <x:c r="BK551" s="4"/>
      <x:c r="BL551" s="4"/>
      <x:c r="BM551" s="4"/>
      <x:c r="BN551" s="4"/>
      <x:c r="BO551" s="10"/>
      <x:c r="BP551" s="10"/>
      <x:c r="BQ551" s="4"/>
      <x:c r="BR551" s="10"/>
      <x:c r="BS551" s="4"/>
      <x:c r="BT551" s="10"/>
      <x:c r="BU551" s="4"/>
      <x:c r="BV551" s="10" t="n">
        <x:v>701</x:v>
      </x:c>
      <x:c r="BW551" s="10"/>
      <x:c r="BX551" s="10"/>
      <x:c r="BY551" s="4" t="str">
        <x:v>David Gustafsson</x:v>
      </x:c>
      <x:c r="BZ551" s="4"/>
      <x:c r="CA551" s="4"/>
      <x:c r="CB551" s="4"/>
    </x:row>
    <x:row r="552" ht="22" customHeight="1">
      <x:c r="A552" s="4" t="str">
        <x:v>David Jiricek</x:v>
      </x:c>
      <x:c r="B552" s="4" t="str">
        <x:v>davidjiricek</x:v>
      </x:c>
      <x:c r="C552" s="10" t="n">
        <x:v>1</x:v>
      </x:c>
      <x:c r="D552" s="10" t="n">
        <x:v>0</x:v>
      </x:c>
      <x:c r="E552" s="10" t="n">
        <x:v>1</x:v>
      </x:c>
      <x:c r="F552" s="4" t="n">
        <x:f>IF(COUNT(N552,Q552,T552,W552,Z552,AC552,AF552,AI552)=8,N552*Guide!$E$5+Q552*Guide!$E$6+T552*Guide!$E$7+W552*Guide!$E$8+Z552*Guide!$E$9+AC552*Guide!$E$10+AF552*Guide!$E$11+AI552*Guide!$E$12,"")</x:f>
        <x:v>62</x:v>
      </x:c>
      <x:c r="G552" s="4" t="str">
        <x:f>IF(COUNT(O552,R552,U552,X552,AA552,AD552,AG552,AJ552)=8,O552*Guide!$E$5+R552*Guide!$E$6+U552*Guide!$E$7+X552*Guide!$E$8+AA552*Guide!$E$9+AD552*Guide!$E$10+AG552*Guide!$E$11+AJ552*Guide!$E$12,"")</x:f>
      </x:c>
      <x:c r="H552" s="4" t="str">
        <x:f>IF(COUNT(G552,F552)=2,G552-F552,"")</x:f>
      </x:c>
      <x:c r="I552" s="4" t="n">
        <x:f>IF(AND(ISNUMBER(F552),K552&gt;0),F552/K552,"")</x:f>
        <x:v>1.7714285714285714</x:v>
      </x:c>
      <x:c r="J552" s="4" t="str">
        <x:f>IF(AND(ISNUMBER(G552),L552&gt;0),G552/L552,"")</x:f>
      </x:c>
      <x:c r="K552" s="10" t="n">
        <x:v>35</x:v>
      </x:c>
      <x:c r="L552" s="10"/>
      <x:c r="M552" s="10" t="str">
        <x:f>IF(COUNT(L552,K552)=2,L552-K552,"")</x:f>
      </x:c>
      <x:c r="N552" s="10" t="n">
        <x:v>1</x:v>
      </x:c>
      <x:c r="O552" s="10"/>
      <x:c r="P552" s="10" t="str">
        <x:f>IF(COUNT(O552,N552)=2,O552-N552,"")</x:f>
      </x:c>
      <x:c r="Q552" s="10" t="n">
        <x:v>7</x:v>
      </x:c>
      <x:c r="R552" s="10"/>
      <x:c r="S552" s="10" t="str">
        <x:f>IF(COUNT(R552,Q552)=2,R552-Q552,"")</x:f>
      </x:c>
      <x:c r="T552" s="10" t="n">
        <x:v>-2</x:v>
      </x:c>
      <x:c r="U552" s="10"/>
      <x:c r="V552" s="10" t="str">
        <x:f>IF(COUNT(U552,T552)=2,U552-T552,"")</x:f>
      </x:c>
      <x:c r="W552" s="10" t="n">
        <x:v>0</x:v>
      </x:c>
      <x:c r="X552" s="10" t="str">
        <x:f>IF(COUNT(AV552,AW552)=2,AV552+AW552,"")</x:f>
      </x:c>
      <x:c r="Y552" s="10" t="str">
        <x:f>IF(COUNT(X552,W552)=2,X552-W552,"")</x:f>
      </x:c>
      <x:c r="Z552" s="10" t="n">
        <x:v>0</x:v>
      </x:c>
      <x:c r="AA552" s="10" t="str">
        <x:f>IF(COUNT(AX552,AY552)=2,AX552+AY552,"")</x:f>
      </x:c>
      <x:c r="AB552" s="10" t="str">
        <x:f>IF(COUNT(AA552,Z552)=2,AA552-Z552,"")</x:f>
      </x:c>
      <x:c r="AC552" s="10" t="n">
        <x:v>33</x:v>
      </x:c>
      <x:c r="AD552" s="10"/>
      <x:c r="AE552" s="10" t="str">
        <x:f>IF(COUNT(AD552,AC552)=2,AD552-AC552,"")</x:f>
      </x:c>
      <x:c r="AF552" s="10" t="n">
        <x:v>15</x:v>
      </x:c>
      <x:c r="AG552" s="10"/>
      <x:c r="AH552" s="10" t="str">
        <x:f>IF(COUNT(AG552,AF552)=2,AG552-AF552,"")</x:f>
      </x:c>
      <x:c r="AI552" s="10" t="n">
        <x:v>36</x:v>
      </x:c>
      <x:c r="AJ552" s="10"/>
      <x:c r="AK552" s="10" t="str">
        <x:f>IF(COUNT(AJ552,AI552)=2,AJ552-AI552,"")</x:f>
      </x:c>
      <x:c r="AL552" s="10" t="n">
        <x:v>22</x:v>
      </x:c>
      <x:c r="AM552" s="10"/>
      <x:c r="AN552" s="4" t="str">
        <x:v>D</x:v>
      </x:c>
      <x:c r="AO552" s="4"/>
      <x:c r="AP552" s="4" t="str">
        <x:v>MIN</x:v>
      </x:c>
      <x:c r="AQ552" s="4"/>
      <x:c r="AR552" s="4" t="n">
        <x:v>14.969999999999999</x:v>
      </x:c>
      <x:c r="AS552" s="4"/>
      <x:c r="AT552" s="4" t="n">
        <x:v>0.12</x:v>
      </x:c>
      <x:c r="AU552" s="4"/>
      <x:c r="AV552" s="10"/>
      <x:c r="AW552" s="10"/>
      <x:c r="AX552" s="10"/>
      <x:c r="AY552" s="10"/>
      <x:c r="AZ552" s="10" t="n">
        <x:v>285</x:v>
      </x:c>
      <x:c r="BA552" s="10" t="n">
        <x:v>333</x:v>
      </x:c>
      <x:c r="BB552" s="4" t="n">
        <x:v>46.1</x:v>
      </x:c>
      <x:c r="BC552" s="4" t="n">
        <x:v>-2</x:v>
      </x:c>
      <x:c r="BD552" s="10" t="n">
        <x:v>208</x:v>
      </x:c>
      <x:c r="BE552" s="10" t="n">
        <x:v>248</x:v>
      </x:c>
      <x:c r="BF552" s="4" t="n">
        <x:v>45.6</x:v>
      </x:c>
      <x:c r="BG552" s="4" t="n">
        <x:v>-3.7</x:v>
      </x:c>
      <x:c r="BH552" s="4" t="n">
        <x:v>8</x:v>
      </x:c>
      <x:c r="BI552" s="4" t="n">
        <x:v>93.2</x:v>
      </x:c>
      <x:c r="BJ552" s="4" t="n">
        <x:v>101.2</x:v>
      </x:c>
      <x:c r="BK552" s="4" t="n">
        <x:v>39.9</x:v>
      </x:c>
      <x:c r="BL552" s="4" t="n">
        <x:v>60.1</x:v>
      </x:c>
      <x:c r="BM552" s="4" t="n">
        <x:v>12.016666666666667</x:v>
      </x:c>
      <x:c r="BN552" s="4" t="n">
        <x:v>11.516666666666667</x:v>
      </x:c>
      <x:c r="BO552" s="10" t="n">
        <x:v>3</x:v>
      </x:c>
      <x:c r="BP552" s="10" t="n">
        <x:v>26</x:v>
      </x:c>
      <x:c r="BQ552" s="4" t="n">
        <x:v>-3.7</x:v>
      </x:c>
      <x:c r="BR552" s="10" t="n">
        <x:v>42</x:v>
      </x:c>
      <x:c r="BS552" s="4" t="n">
        <x:v>38.1</x:v>
      </x:c>
      <x:c r="BT552" s="10" t="n">
        <x:v>26</x:v>
      </x:c>
      <x:c r="BU552" s="4" t="str">
        <x:v>TOT</x:v>
      </x:c>
      <x:c r="BV552" s="10" t="n">
        <x:v>749</x:v>
      </x:c>
      <x:c r="BW552" s="10"/>
      <x:c r="BX552" s="10" t="n">
        <x:v>463</x:v>
      </x:c>
      <x:c r="BY552" s="4" t="str">
        <x:v>David Jiricek</x:v>
      </x:c>
      <x:c r="BZ552" s="4"/>
      <x:c r="CA552" s="4" t="str">
        <x:v>David Jiříček</x:v>
      </x:c>
      <x:c r="CB552" s="4" t="str">
        <x:v>jiricda01</x:v>
      </x:c>
    </x:row>
    <x:row r="553" ht="22" customHeight="1">
      <x:c r="A553" s="4" t="str">
        <x:v>David Kampf</x:v>
      </x:c>
      <x:c r="B553" s="4" t="str">
        <x:v>davidkampf</x:v>
      </x:c>
      <x:c r="C553" s="10" t="n">
        <x:v>1</x:v>
      </x:c>
      <x:c r="D553" s="10" t="n">
        <x:v>0</x:v>
      </x:c>
      <x:c r="E553" s="10" t="n">
        <x:v>1</x:v>
      </x:c>
      <x:c r="F553" s="4" t="n">
        <x:f>IF(COUNT(N553,Q553,T553,W553,Z553,AC553,AF553,AI553)=8,N553*Guide!$E$5+Q553*Guide!$E$6+T553*Guide!$E$7+W553*Guide!$E$8+Z553*Guide!$E$9+AC553*Guide!$E$10+AF553*Guide!$E$11+AI553*Guide!$E$12,"")</x:f>
        <x:v>120.75</x:v>
      </x:c>
      <x:c r="G553" s="4" t="str">
        <x:f>IF(COUNT(O553,R553,U553,X553,AA553,AD553,AG553,AJ553)=8,O553*Guide!$E$5+R553*Guide!$E$6+U553*Guide!$E$7+X553*Guide!$E$8+AA553*Guide!$E$9+AD553*Guide!$E$10+AG553*Guide!$E$11+AJ553*Guide!$E$12,"")</x:f>
      </x:c>
      <x:c r="H553" s="4" t="str">
        <x:f>IF(COUNT(G553,F553)=2,G553-F553,"")</x:f>
      </x:c>
      <x:c r="I553" s="4" t="n">
        <x:f>IF(AND(ISNUMBER(F553),K553&gt;0),F553/K553,"")</x:f>
        <x:v>1.6317567567567568</x:v>
      </x:c>
      <x:c r="J553" s="4" t="str">
        <x:f>IF(AND(ISNUMBER(G553),L553&gt;0),G553/L553,"")</x:f>
      </x:c>
      <x:c r="K553" s="10" t="n">
        <x:v>74</x:v>
      </x:c>
      <x:c r="L553" s="10"/>
      <x:c r="M553" s="10" t="str">
        <x:f>IF(COUNT(L553,K553)=2,L553-K553,"")</x:f>
      </x:c>
      <x:c r="N553" s="10" t="n">
        <x:v>8</x:v>
      </x:c>
      <x:c r="O553" s="10"/>
      <x:c r="P553" s="10" t="str">
        <x:f>IF(COUNT(O553,N553)=2,O553-N553,"")</x:f>
      </x:c>
      <x:c r="Q553" s="10" t="n">
        <x:v>11</x:v>
      </x:c>
      <x:c r="R553" s="10"/>
      <x:c r="S553" s="10" t="str">
        <x:f>IF(COUNT(R553,Q553)=2,R553-Q553,"")</x:f>
      </x:c>
      <x:c r="T553" s="10" t="n">
        <x:v>-2</x:v>
      </x:c>
      <x:c r="U553" s="10"/>
      <x:c r="V553" s="10" t="str">
        <x:f>IF(COUNT(U553,T553)=2,U553-T553,"")</x:f>
      </x:c>
      <x:c r="W553" s="10" t="n">
        <x:v>0</x:v>
      </x:c>
      <x:c r="X553" s="10" t="str">
        <x:f>IF(COUNT(AV553,AW553)=2,AV553+AW553,"")</x:f>
      </x:c>
      <x:c r="Y553" s="10" t="str">
        <x:f>IF(COUNT(X553,W553)=2,X553-W553,"")</x:f>
      </x:c>
      <x:c r="Z553" s="10" t="n">
        <x:v>1</x:v>
      </x:c>
      <x:c r="AA553" s="10" t="str">
        <x:f>IF(COUNT(AX553,AY553)=2,AX553+AY553,"")</x:f>
      </x:c>
      <x:c r="AB553" s="10" t="str">
        <x:f>IF(COUNT(AA553,Z553)=2,AA553-Z553,"")</x:f>
      </x:c>
      <x:c r="AC553" s="10" t="n">
        <x:v>63</x:v>
      </x:c>
      <x:c r="AD553" s="10"/>
      <x:c r="AE553" s="10" t="str">
        <x:f>IF(COUNT(AD553,AC553)=2,AD553-AC553,"")</x:f>
      </x:c>
      <x:c r="AF553" s="10" t="n">
        <x:v>63</x:v>
      </x:c>
      <x:c r="AG553" s="10"/>
      <x:c r="AH553" s="10" t="str">
        <x:f>IF(COUNT(AG553,AF553)=2,AG553-AF553,"")</x:f>
      </x:c>
      <x:c r="AI553" s="10" t="n">
        <x:v>31</x:v>
      </x:c>
      <x:c r="AJ553" s="10"/>
      <x:c r="AK553" s="10" t="str">
        <x:f>IF(COUNT(AJ553,AI553)=2,AJ553-AI553,"")</x:f>
      </x:c>
      <x:c r="AL553" s="10" t="n">
        <x:v>31</x:v>
      </x:c>
      <x:c r="AM553" s="10"/>
      <x:c r="AN553" s="4" t="str">
        <x:v>C</x:v>
      </x:c>
      <x:c r="AO553" s="4"/>
      <x:c r="AP553" s="4" t="str">
        <x:v>TOR</x:v>
      </x:c>
      <x:c r="AQ553" s="4"/>
      <x:c r="AR553" s="4" t="n">
        <x:v>12.630000000000003</x:v>
      </x:c>
      <x:c r="AS553" s="4"/>
      <x:c r="AT553" s="4" t="n">
        <x:v>0.13</x:v>
      </x:c>
      <x:c r="AU553" s="4"/>
      <x:c r="AV553" s="10"/>
      <x:c r="AW553" s="10"/>
      <x:c r="AX553" s="10"/>
      <x:c r="AY553" s="10"/>
      <x:c r="AZ553" s="10" t="n">
        <x:v>453</x:v>
      </x:c>
      <x:c r="BA553" s="10" t="n">
        <x:v>487</x:v>
      </x:c>
      <x:c r="BB553" s="4" t="n">
        <x:v>48.2</x:v>
      </x:c>
      <x:c r="BC553" s="4" t="n">
        <x:v>-0.4</x:v>
      </x:c>
      <x:c r="BD553" s="10" t="n">
        <x:v>340</x:v>
      </x:c>
      <x:c r="BE553" s="10" t="n">
        <x:v>361</x:v>
      </x:c>
      <x:c r="BF553" s="4" t="n">
        <x:v>48.5</x:v>
      </x:c>
      <x:c r="BG553" s="4" t="n">
        <x:v>1.5</x:v>
      </x:c>
      <x:c r="BH553" s="4" t="n">
        <x:v>5.6</x:v>
      </x:c>
      <x:c r="BI553" s="4" t="n">
        <x:v>88.4</x:v>
      </x:c>
      <x:c r="BJ553" s="4" t="n">
        <x:v>93.9</x:v>
      </x:c>
      <x:c r="BK553" s="4" t="n">
        <x:v>37.9</x:v>
      </x:c>
      <x:c r="BL553" s="4" t="n">
        <x:v>62.1</x:v>
      </x:c>
      <x:c r="BM553" s="4" t="n">
        <x:v>14.733333333333333</x:v>
      </x:c>
      <x:c r="BN553" s="4" t="n">
        <x:v>13.233333333333333</x:v>
      </x:c>
      <x:c r="BO553" s="10" t="n">
        <x:v>6</x:v>
      </x:c>
      <x:c r="BP553" s="10" t="n">
        <x:v>18</x:v>
      </x:c>
      <x:c r="BQ553" s="4" t="n">
        <x:v>-2</x:v>
      </x:c>
      <x:c r="BR553" s="10" t="n">
        <x:v>65</x:v>
      </x:c>
      <x:c r="BS553" s="4" t="n">
        <x:v>55.4</x:v>
      </x:c>
      <x:c r="BT553" s="10" t="n">
        <x:v>40</x:v>
      </x:c>
      <x:c r="BU553" s="4" t="str">
        <x:v>TOT</x:v>
      </x:c>
      <x:c r="BV553" s="10" t="n">
        <x:v>555</x:v>
      </x:c>
      <x:c r="BW553" s="10"/>
      <x:c r="BX553" s="10" t="n">
        <x:v>491</x:v>
      </x:c>
      <x:c r="BY553" s="4" t="str">
        <x:v>David Kampf</x:v>
      </x:c>
      <x:c r="BZ553" s="4"/>
      <x:c r="CA553" s="4" t="str">
        <x:v>David Kämpf</x:v>
      </x:c>
      <x:c r="CB553" s="4" t="str">
        <x:v>kampfda01</x:v>
      </x:c>
    </x:row>
    <x:row r="554" ht="22" customHeight="1">
      <x:c r="A554" s="4" t="str">
        <x:v>David Reinbacher</x:v>
      </x:c>
      <x:c r="B554" s="4" t="str">
        <x:v>davidreinbacher</x:v>
      </x:c>
      <x:c r="C554" s="10" t="n">
        <x:v>0</x:v>
      </x:c>
      <x:c r="D554" s="10" t="n">
        <x:v>0</x:v>
      </x:c>
      <x:c r="E554" s="10" t="n">
        <x:v>1</x:v>
      </x:c>
      <x:c r="F554" s="4" t="str">
        <x:f>IF(COUNT(N554,Q554,T554,W554,Z554,AC554,AF554,AI554)=8,N554*Guide!$E$5+Q554*Guide!$E$6+T554*Guide!$E$7+W554*Guide!$E$8+Z554*Guide!$E$9+AC554*Guide!$E$10+AF554*Guide!$E$11+AI554*Guide!$E$12,"")</x:f>
      </x:c>
      <x:c r="G554" s="4" t="str">
        <x:f>IF(COUNT(O554,R554,U554,X554,AA554,AD554,AG554,AJ554)=8,O554*Guide!$E$5+R554*Guide!$E$6+U554*Guide!$E$7+X554*Guide!$E$8+AA554*Guide!$E$9+AD554*Guide!$E$10+AG554*Guide!$E$11+AJ554*Guide!$E$12,"")</x:f>
      </x:c>
      <x:c r="H554" s="4" t="str">
        <x:f>IF(COUNT(G554,F554)=2,G554-F554,"")</x:f>
      </x:c>
      <x:c r="I554" s="4" t="str">
        <x:f>IF(AND(ISNUMBER(F554),K554&gt;0),F554/K554,"")</x:f>
      </x:c>
      <x:c r="J554" s="4" t="str">
        <x:f>IF(AND(ISNUMBER(G554),L554&gt;0),G554/L554,"")</x:f>
      </x:c>
      <x:c r="K554" s="10"/>
      <x:c r="L554" s="10"/>
      <x:c r="M554" s="10" t="str">
        <x:f>IF(COUNT(L554,K554)=2,L554-K554,"")</x:f>
      </x:c>
      <x:c r="N554" s="10"/>
      <x:c r="O554" s="10"/>
      <x:c r="P554" s="10" t="str">
        <x:f>IF(COUNT(O554,N554)=2,O554-N554,"")</x:f>
      </x:c>
      <x:c r="Q554" s="10"/>
      <x:c r="R554" s="10"/>
      <x:c r="S554" s="10" t="str">
        <x:f>IF(COUNT(R554,Q554)=2,R554-Q554,"")</x:f>
      </x:c>
      <x:c r="T554" s="10"/>
      <x:c r="U554" s="10"/>
      <x:c r="V554" s="10" t="str">
        <x:f>IF(COUNT(U554,T554)=2,U554-T554,"")</x:f>
      </x:c>
      <x:c r="W554" s="10"/>
      <x:c r="X554" s="10" t="str">
        <x:f>IF(COUNT(AV554,AW554)=2,AV554+AW554,"")</x:f>
      </x:c>
      <x:c r="Y554" s="10" t="str">
        <x:f>IF(COUNT(X554,W554)=2,X554-W554,"")</x:f>
      </x:c>
      <x:c r="Z554" s="10"/>
      <x:c r="AA554" s="10" t="str">
        <x:f>IF(COUNT(AX554,AY554)=2,AX554+AY554,"")</x:f>
      </x:c>
      <x:c r="AB554" s="10" t="str">
        <x:f>IF(COUNT(AA554,Z554)=2,AA554-Z554,"")</x:f>
      </x:c>
      <x:c r="AC554" s="10"/>
      <x:c r="AD554" s="10"/>
      <x:c r="AE554" s="10" t="str">
        <x:f>IF(COUNT(AD554,AC554)=2,AD554-AC554,"")</x:f>
      </x:c>
      <x:c r="AF554" s="10"/>
      <x:c r="AG554" s="10"/>
      <x:c r="AH554" s="10" t="str">
        <x:f>IF(COUNT(AG554,AF554)=2,AG554-AF554,"")</x:f>
      </x:c>
      <x:c r="AI554" s="10"/>
      <x:c r="AJ554" s="10"/>
      <x:c r="AK554" s="10" t="str">
        <x:f>IF(COUNT(AJ554,AI554)=2,AJ554-AI554,"")</x:f>
      </x:c>
      <x:c r="AL554" s="10"/>
      <x:c r="AM554" s="10"/>
      <x:c r="AN554" s="4"/>
      <x:c r="AO554" s="4"/>
      <x:c r="AP554" s="4"/>
      <x:c r="AQ554" s="4"/>
      <x:c r="AR554" s="4"/>
      <x:c r="AS554" s="4"/>
      <x:c r="AT554" s="4"/>
      <x:c r="AU554" s="4"/>
      <x:c r="AV554" s="10"/>
      <x:c r="AW554" s="10"/>
      <x:c r="AX554" s="10"/>
      <x:c r="AY554" s="10"/>
      <x:c r="AZ554" s="10" t="n">
        <x:v>17</x:v>
      </x:c>
      <x:c r="BA554" s="10" t="n">
        <x:v>18</x:v>
      </x:c>
      <x:c r="BB554" s="4" t="n">
        <x:v>48.6</x:v>
      </x:c>
      <x:c r="BC554" s="4" t="n">
        <x:v>1.9</x:v>
      </x:c>
      <x:c r="BD554" s="10" t="n">
        <x:v>10</x:v>
      </x:c>
      <x:c r="BE554" s="10" t="n">
        <x:v>13</x:v>
      </x:c>
      <x:c r="BF554" s="4" t="n">
        <x:v>43.5</x:v>
      </x:c>
      <x:c r="BG554" s="4" t="n">
        <x:v>-1.9</x:v>
      </x:c>
      <x:c r="BH554" s="4" t="n">
        <x:v>12.5</x:v>
      </x:c>
      <x:c r="BI554" s="4" t="n">
        <x:v>90.9</x:v>
      </x:c>
      <x:c r="BJ554" s="4" t="n">
        <x:v>103.4</x:v>
      </x:c>
      <x:c r="BK554" s="4" t="n">
        <x:v>75</x:v>
      </x:c>
      <x:c r="BL554" s="4" t="n">
        <x:v>25</x:v>
      </x:c>
      <x:c r="BM554" s="4" t="n">
        <x:v>13.15</x:v>
      </x:c>
      <x:c r="BN554" s="4" t="n">
        <x:v>13.15</x:v>
      </x:c>
      <x:c r="BO554" s="10" t="n">
        <x:v>0</x:v>
      </x:c>
      <x:c r="BP554" s="10" t="n">
        <x:v>2</x:v>
      </x:c>
      <x:c r="BQ554" s="4" t="n">
        <x:v>-0.3</x:v>
      </x:c>
      <x:c r="BR554" s="10" t="n">
        <x:v>5</x:v>
      </x:c>
      <x:c r="BS554" s="4" t="n">
        <x:v>60</x:v>
      </x:c>
      <x:c r="BT554" s="10" t="n">
        <x:v>2</x:v>
      </x:c>
      <x:c r="BU554" s="4" t="str">
        <x:v>MTL</x:v>
      </x:c>
      <x:c r="BV554" s="10"/>
      <x:c r="BW554" s="10"/>
      <x:c r="BX554" s="10" t="n">
        <x:v>853</x:v>
      </x:c>
      <x:c r="BY554" s="4"/>
      <x:c r="BZ554" s="4"/>
      <x:c r="CA554" s="4" t="str">
        <x:v>David Reinbacher</x:v>
      </x:c>
      <x:c r="CB554" s="4" t="str">
        <x:v>reinbda01</x:v>
      </x:c>
    </x:row>
    <x:row r="555" ht="22" customHeight="1">
      <x:c r="A555" s="4" t="str">
        <x:v>David Savard</x:v>
      </x:c>
      <x:c r="B555" s="4" t="str">
        <x:v>davidsavard</x:v>
      </x:c>
      <x:c r="C555" s="10" t="n">
        <x:v>1</x:v>
      </x:c>
      <x:c r="D555" s="10" t="n">
        <x:v>0</x:v>
      </x:c>
      <x:c r="E555" s="10" t="n">
        <x:v>0</x:v>
      </x:c>
      <x:c r="F555" s="4" t="n">
        <x:f>IF(COUNT(N555,Q555,T555,W555,Z555,AC555,AF555,AI555)=8,N555*Guide!$E$5+Q555*Guide!$E$6+T555*Guide!$E$7+W555*Guide!$E$8+Z555*Guide!$E$9+AC555*Guide!$E$10+AF555*Guide!$E$11+AI555*Guide!$E$12,"")</x:f>
        <x:v>198.5</x:v>
      </x:c>
      <x:c r="G555" s="4" t="str">
        <x:f>IF(COUNT(O555,R555,U555,X555,AA555,AD555,AG555,AJ555)=8,O555*Guide!$E$5+R555*Guide!$E$6+U555*Guide!$E$7+X555*Guide!$E$8+AA555*Guide!$E$9+AD555*Guide!$E$10+AG555*Guide!$E$11+AJ555*Guide!$E$12,"")</x:f>
      </x:c>
      <x:c r="H555" s="4" t="str">
        <x:f>IF(COUNT(G555,F555)=2,G555-F555,"")</x:f>
      </x:c>
      <x:c r="I555" s="4" t="n">
        <x:f>IF(AND(ISNUMBER(F555),K555&gt;0),F555/K555,"")</x:f>
        <x:v>2.6824324324324325</x:v>
      </x:c>
      <x:c r="J555" s="4" t="str">
        <x:f>IF(AND(ISNUMBER(G555),L555&gt;0),G555/L555,"")</x:f>
      </x:c>
      <x:c r="K555" s="10" t="n">
        <x:v>74</x:v>
      </x:c>
      <x:c r="L555" s="10"/>
      <x:c r="M555" s="10" t="str">
        <x:f>IF(COUNT(L555,K555)=2,L555-K555,"")</x:f>
      </x:c>
      <x:c r="N555" s="10" t="n">
        <x:v>3</x:v>
      </x:c>
      <x:c r="O555" s="10"/>
      <x:c r="P555" s="10" t="str">
        <x:f>IF(COUNT(O555,N555)=2,O555-N555,"")</x:f>
      </x:c>
      <x:c r="Q555" s="10" t="n">
        <x:v>15</x:v>
      </x:c>
      <x:c r="R555" s="10"/>
      <x:c r="S555" s="10" t="str">
        <x:f>IF(COUNT(R555,Q555)=2,R555-Q555,"")</x:f>
      </x:c>
      <x:c r="T555" s="10" t="n">
        <x:v>-9</x:v>
      </x:c>
      <x:c r="U555" s="10"/>
      <x:c r="V555" s="10" t="str">
        <x:f>IF(COUNT(U555,T555)=2,U555-T555,"")</x:f>
      </x:c>
      <x:c r="W555" s="10" t="n">
        <x:v>0</x:v>
      </x:c>
      <x:c r="X555" s="10" t="str">
        <x:f>IF(COUNT(AV555,AW555)=2,AV555+AW555,"")</x:f>
      </x:c>
      <x:c r="Y555" s="10" t="str">
        <x:f>IF(COUNT(X555,W555)=2,X555-W555,"")</x:f>
      </x:c>
      <x:c r="Z555" s="10" t="n">
        <x:v>1</x:v>
      </x:c>
      <x:c r="AA555" s="10" t="str">
        <x:f>IF(COUNT(AX555,AY555)=2,AX555+AY555,"")</x:f>
      </x:c>
      <x:c r="AB555" s="10" t="str">
        <x:f>IF(COUNT(AA555,Z555)=2,AA555-Z555,"")</x:f>
      </x:c>
      <x:c r="AC555" s="10" t="n">
        <x:v>46</x:v>
      </x:c>
      <x:c r="AD555" s="10"/>
      <x:c r="AE555" s="10" t="str">
        <x:f>IF(COUNT(AD555,AC555)=2,AD555-AC555,"")</x:f>
      </x:c>
      <x:c r="AF555" s="10" t="n">
        <x:v>55</x:v>
      </x:c>
      <x:c r="AG555" s="10"/>
      <x:c r="AH555" s="10" t="str">
        <x:f>IF(COUNT(AG555,AF555)=2,AG555-AF555,"")</x:f>
      </x:c>
      <x:c r="AI555" s="10" t="n">
        <x:v>163</x:v>
      </x:c>
      <x:c r="AJ555" s="10"/>
      <x:c r="AK555" s="10" t="str">
        <x:f>IF(COUNT(AJ555,AI555)=2,AJ555-AI555,"")</x:f>
      </x:c>
      <x:c r="AL555" s="10" t="n">
        <x:v>35</x:v>
      </x:c>
      <x:c r="AM555" s="10"/>
      <x:c r="AN555" s="4" t="str">
        <x:v>D</x:v>
      </x:c>
      <x:c r="AO555" s="4"/>
      <x:c r="AP555" s="4" t="str">
        <x:v>MTL</x:v>
      </x:c>
      <x:c r="AQ555" s="4"/>
      <x:c r="AR555" s="4" t="n">
        <x:v>17.06</x:v>
      </x:c>
      <x:c r="AS555" s="4"/>
      <x:c r="AT555" s="4" t="n">
        <x:v>0.05</x:v>
      </x:c>
      <x:c r="AU555" s="4"/>
      <x:c r="AV555" s="10"/>
      <x:c r="AW555" s="10"/>
      <x:c r="AX555" s="10"/>
      <x:c r="AY555" s="10"/>
      <x:c r="AZ555" s="10"/>
      <x:c r="BA555" s="10"/>
      <x:c r="BB555" s="4"/>
      <x:c r="BC555" s="4"/>
      <x:c r="BD555" s="10"/>
      <x:c r="BE555" s="10"/>
      <x:c r="BF555" s="4"/>
      <x:c r="BG555" s="4"/>
      <x:c r="BH555" s="4"/>
      <x:c r="BI555" s="4"/>
      <x:c r="BJ555" s="4"/>
      <x:c r="BK555" s="4"/>
      <x:c r="BL555" s="4"/>
      <x:c r="BM555" s="4"/>
      <x:c r="BN555" s="4"/>
      <x:c r="BO555" s="10"/>
      <x:c r="BP555" s="10"/>
      <x:c r="BQ555" s="4"/>
      <x:c r="BR555" s="10"/>
      <x:c r="BS555" s="4"/>
      <x:c r="BT555" s="10"/>
      <x:c r="BU555" s="4"/>
      <x:c r="BV555" s="10" t="n">
        <x:v>563</x:v>
      </x:c>
      <x:c r="BW555" s="10"/>
      <x:c r="BX555" s="10"/>
      <x:c r="BY555" s="4" t="str">
        <x:v>David Savard</x:v>
      </x:c>
      <x:c r="BZ555" s="4"/>
      <x:c r="CA555" s="4"/>
      <x:c r="CB555" s="4"/>
    </x:row>
    <x:row r="556" ht="22" customHeight="1">
      <x:c r="A556" s="4" t="str">
        <x:v>David Spacek</x:v>
      </x:c>
      <x:c r="B556" s="4" t="str">
        <x:v>davidspacek</x:v>
      </x:c>
      <x:c r="C556" s="10" t="n">
        <x:v>0</x:v>
      </x:c>
      <x:c r="D556" s="10" t="n">
        <x:v>0</x:v>
      </x:c>
      <x:c r="E556" s="10" t="n">
        <x:v>1</x:v>
      </x:c>
      <x:c r="F556" s="4" t="str">
        <x:f>IF(COUNT(N556,Q556,T556,W556,Z556,AC556,AF556,AI556)=8,N556*Guide!$E$5+Q556*Guide!$E$6+T556*Guide!$E$7+W556*Guide!$E$8+Z556*Guide!$E$9+AC556*Guide!$E$10+AF556*Guide!$E$11+AI556*Guide!$E$12,"")</x:f>
      </x:c>
      <x:c r="G556" s="4" t="str">
        <x:f>IF(COUNT(O556,R556,U556,X556,AA556,AD556,AG556,AJ556)=8,O556*Guide!$E$5+R556*Guide!$E$6+U556*Guide!$E$7+X556*Guide!$E$8+AA556*Guide!$E$9+AD556*Guide!$E$10+AG556*Guide!$E$11+AJ556*Guide!$E$12,"")</x:f>
      </x:c>
      <x:c r="H556" s="4" t="str">
        <x:f>IF(COUNT(G556,F556)=2,G556-F556,"")</x:f>
      </x:c>
      <x:c r="I556" s="4" t="str">
        <x:f>IF(AND(ISNUMBER(F556),K556&gt;0),F556/K556,"")</x:f>
      </x:c>
      <x:c r="J556" s="4" t="str">
        <x:f>IF(AND(ISNUMBER(G556),L556&gt;0),G556/L556,"")</x:f>
      </x:c>
      <x:c r="K556" s="10"/>
      <x:c r="L556" s="10"/>
      <x:c r="M556" s="10" t="str">
        <x:f>IF(COUNT(L556,K556)=2,L556-K556,"")</x:f>
      </x:c>
      <x:c r="N556" s="10"/>
      <x:c r="O556" s="10"/>
      <x:c r="P556" s="10" t="str">
        <x:f>IF(COUNT(O556,N556)=2,O556-N556,"")</x:f>
      </x:c>
      <x:c r="Q556" s="10"/>
      <x:c r="R556" s="10"/>
      <x:c r="S556" s="10" t="str">
        <x:f>IF(COUNT(R556,Q556)=2,R556-Q556,"")</x:f>
      </x:c>
      <x:c r="T556" s="10"/>
      <x:c r="U556" s="10"/>
      <x:c r="V556" s="10" t="str">
        <x:f>IF(COUNT(U556,T556)=2,U556-T556,"")</x:f>
      </x:c>
      <x:c r="W556" s="10"/>
      <x:c r="X556" s="10" t="str">
        <x:f>IF(COUNT(AV556,AW556)=2,AV556+AW556,"")</x:f>
      </x:c>
      <x:c r="Y556" s="10" t="str">
        <x:f>IF(COUNT(X556,W556)=2,X556-W556,"")</x:f>
      </x:c>
      <x:c r="Z556" s="10"/>
      <x:c r="AA556" s="10" t="str">
        <x:f>IF(COUNT(AX556,AY556)=2,AX556+AY556,"")</x:f>
      </x:c>
      <x:c r="AB556" s="10" t="str">
        <x:f>IF(COUNT(AA556,Z556)=2,AA556-Z556,"")</x:f>
      </x:c>
      <x:c r="AC556" s="10"/>
      <x:c r="AD556" s="10"/>
      <x:c r="AE556" s="10" t="str">
        <x:f>IF(COUNT(AD556,AC556)=2,AD556-AC556,"")</x:f>
      </x:c>
      <x:c r="AF556" s="10"/>
      <x:c r="AG556" s="10"/>
      <x:c r="AH556" s="10" t="str">
        <x:f>IF(COUNT(AG556,AF556)=2,AG556-AF556,"")</x:f>
      </x:c>
      <x:c r="AI556" s="10"/>
      <x:c r="AJ556" s="10"/>
      <x:c r="AK556" s="10" t="str">
        <x:f>IF(COUNT(AJ556,AI556)=2,AJ556-AI556,"")</x:f>
      </x:c>
      <x:c r="AL556" s="10"/>
      <x:c r="AM556" s="10"/>
      <x:c r="AN556" s="4"/>
      <x:c r="AO556" s="4"/>
      <x:c r="AP556" s="4"/>
      <x:c r="AQ556" s="4"/>
      <x:c r="AR556" s="4"/>
      <x:c r="AS556" s="4"/>
      <x:c r="AT556" s="4"/>
      <x:c r="AU556" s="4"/>
      <x:c r="AV556" s="10"/>
      <x:c r="AW556" s="10"/>
      <x:c r="AX556" s="10"/>
      <x:c r="AY556" s="10"/>
      <x:c r="AZ556" s="10" t="n">
        <x:v>10</x:v>
      </x:c>
      <x:c r="BA556" s="10" t="n">
        <x:v>41</x:v>
      </x:c>
      <x:c r="BB556" s="4" t="n">
        <x:v>19.6</x:v>
      </x:c>
      <x:c r="BC556" s="4" t="n">
        <x:v>-28.6</x:v>
      </x:c>
      <x:c r="BD556" s="10" t="n">
        <x:v>10</x:v>
      </x:c>
      <x:c r="BE556" s="10" t="n">
        <x:v>27</x:v>
      </x:c>
      <x:c r="BF556" s="4" t="n">
        <x:v>27</x:v>
      </x:c>
      <x:c r="BG556" s="4" t="n">
        <x:v>-21.1</x:v>
      </x:c>
      <x:c r="BH556" s="4" t="n">
        <x:v>16.7</x:v>
      </x:c>
      <x:c r="BI556" s="4" t="n">
        <x:v>87.5</x:v>
      </x:c>
      <x:c r="BJ556" s="4" t="n">
        <x:v>104.2</x:v>
      </x:c>
      <x:c r="BK556" s="4" t="n">
        <x:v>37.5</x:v>
      </x:c>
      <x:c r="BL556" s="4" t="n">
        <x:v>62.5</x:v>
      </x:c>
      <x:c r="BM556" s="4" t="n">
        <x:v>10.75</x:v>
      </x:c>
      <x:c r="BN556" s="4" t="n">
        <x:v>10.75</x:v>
      </x:c>
      <x:c r="BO556" s="10" t="n">
        <x:v>0</x:v>
      </x:c>
      <x:c r="BP556" s="10" t="n">
        <x:v>1</x:v>
      </x:c>
      <x:c r="BQ556" s="4" t="n">
        <x:v>-1.1</x:v>
      </x:c>
      <x:c r="BR556" s="10" t="n">
        <x:v>0</x:v>
      </x:c>
      <x:c r="BS556" s="4"/>
      <x:c r="BT556" s="10" t="n">
        <x:v>2</x:v>
      </x:c>
      <x:c r="BU556" s="4" t="str">
        <x:v>MIN</x:v>
      </x:c>
      <x:c r="BV556" s="10"/>
      <x:c r="BW556" s="10"/>
      <x:c r="BX556" s="10" t="n">
        <x:v>963</x:v>
      </x:c>
      <x:c r="BY556" s="4"/>
      <x:c r="BZ556" s="4"/>
      <x:c r="CA556" s="4" t="str">
        <x:v>David Spacek</x:v>
      </x:c>
      <x:c r="CB556" s="4" t="str">
        <x:v>spaceda01</x:v>
      </x:c>
    </x:row>
    <x:row r="557" ht="22" customHeight="1">
      <x:c r="A557" s="4" t="str">
        <x:v>David Tomasek</x:v>
      </x:c>
      <x:c r="B557" s="4" t="str">
        <x:v>davidtomasek</x:v>
      </x:c>
      <x:c r="C557" s="10" t="n">
        <x:v>0</x:v>
      </x:c>
      <x:c r="D557" s="10" t="n">
        <x:v>0</x:v>
      </x:c>
      <x:c r="E557" s="10" t="n">
        <x:v>1</x:v>
      </x:c>
      <x:c r="F557" s="4" t="str">
        <x:f>IF(COUNT(N557,Q557,T557,W557,Z557,AC557,AF557,AI557)=8,N557*Guide!$E$5+Q557*Guide!$E$6+T557*Guide!$E$7+W557*Guide!$E$8+Z557*Guide!$E$9+AC557*Guide!$E$10+AF557*Guide!$E$11+AI557*Guide!$E$12,"")</x:f>
      </x:c>
      <x:c r="G557" s="4" t="str">
        <x:f>IF(COUNT(O557,R557,U557,X557,AA557,AD557,AG557,AJ557)=8,O557*Guide!$E$5+R557*Guide!$E$6+U557*Guide!$E$7+X557*Guide!$E$8+AA557*Guide!$E$9+AD557*Guide!$E$10+AG557*Guide!$E$11+AJ557*Guide!$E$12,"")</x:f>
      </x:c>
      <x:c r="H557" s="4" t="str">
        <x:f>IF(COUNT(G557,F557)=2,G557-F557,"")</x:f>
      </x:c>
      <x:c r="I557" s="4" t="str">
        <x:f>IF(AND(ISNUMBER(F557),K557&gt;0),F557/K557,"")</x:f>
      </x:c>
      <x:c r="J557" s="4" t="str">
        <x:f>IF(AND(ISNUMBER(G557),L557&gt;0),G557/L557,"")</x:f>
      </x:c>
      <x:c r="K557" s="10"/>
      <x:c r="L557" s="10"/>
      <x:c r="M557" s="10" t="str">
        <x:f>IF(COUNT(L557,K557)=2,L557-K557,"")</x:f>
      </x:c>
      <x:c r="N557" s="10"/>
      <x:c r="O557" s="10"/>
      <x:c r="P557" s="10" t="str">
        <x:f>IF(COUNT(O557,N557)=2,O557-N557,"")</x:f>
      </x:c>
      <x:c r="Q557" s="10"/>
      <x:c r="R557" s="10"/>
      <x:c r="S557" s="10" t="str">
        <x:f>IF(COUNT(R557,Q557)=2,R557-Q557,"")</x:f>
      </x:c>
      <x:c r="T557" s="10"/>
      <x:c r="U557" s="10"/>
      <x:c r="V557" s="10" t="str">
        <x:f>IF(COUNT(U557,T557)=2,U557-T557,"")</x:f>
      </x:c>
      <x:c r="W557" s="10"/>
      <x:c r="X557" s="10" t="str">
        <x:f>IF(COUNT(AV557,AW557)=2,AV557+AW557,"")</x:f>
      </x:c>
      <x:c r="Y557" s="10" t="str">
        <x:f>IF(COUNT(X557,W557)=2,X557-W557,"")</x:f>
      </x:c>
      <x:c r="Z557" s="10"/>
      <x:c r="AA557" s="10" t="str">
        <x:f>IF(COUNT(AX557,AY557)=2,AX557+AY557,"")</x:f>
      </x:c>
      <x:c r="AB557" s="10" t="str">
        <x:f>IF(COUNT(AA557,Z557)=2,AA557-Z557,"")</x:f>
      </x:c>
      <x:c r="AC557" s="10"/>
      <x:c r="AD557" s="10"/>
      <x:c r="AE557" s="10" t="str">
        <x:f>IF(COUNT(AD557,AC557)=2,AD557-AC557,"")</x:f>
      </x:c>
      <x:c r="AF557" s="10"/>
      <x:c r="AG557" s="10"/>
      <x:c r="AH557" s="10" t="str">
        <x:f>IF(COUNT(AG557,AF557)=2,AG557-AF557,"")</x:f>
      </x:c>
      <x:c r="AI557" s="10"/>
      <x:c r="AJ557" s="10"/>
      <x:c r="AK557" s="10" t="str">
        <x:f>IF(COUNT(AJ557,AI557)=2,AJ557-AI557,"")</x:f>
      </x:c>
      <x:c r="AL557" s="10"/>
      <x:c r="AM557" s="10"/>
      <x:c r="AN557" s="4"/>
      <x:c r="AO557" s="4"/>
      <x:c r="AP557" s="4"/>
      <x:c r="AQ557" s="4"/>
      <x:c r="AR557" s="4"/>
      <x:c r="AS557" s="4"/>
      <x:c r="AT557" s="4"/>
      <x:c r="AU557" s="4"/>
      <x:c r="AV557" s="10"/>
      <x:c r="AW557" s="10"/>
      <x:c r="AX557" s="10"/>
      <x:c r="AY557" s="10"/>
      <x:c r="AZ557" s="10" t="n">
        <x:v>164</x:v>
      </x:c>
      <x:c r="BA557" s="10" t="n">
        <x:v>190</x:v>
      </x:c>
      <x:c r="BB557" s="4" t="n">
        <x:v>46.3</x:v>
      </x:c>
      <x:c r="BC557" s="4" t="n">
        <x:v>-5.8</x:v>
      </x:c>
      <x:c r="BD557" s="10" t="n">
        <x:v>116</x:v>
      </x:c>
      <x:c r="BE557" s="10" t="n">
        <x:v>134</x:v>
      </x:c>
      <x:c r="BF557" s="4" t="n">
        <x:v>46.4</x:v>
      </x:c>
      <x:c r="BG557" s="4" t="n">
        <x:v>-6.2</x:v>
      </x:c>
      <x:c r="BH557" s="4" t="n">
        <x:v>7.1</x:v>
      </x:c>
      <x:c r="BI557" s="4" t="n">
        <x:v>87</x:v>
      </x:c>
      <x:c r="BJ557" s="4" t="n">
        <x:v>94.1</x:v>
      </x:c>
      <x:c r="BK557" s="4" t="n">
        <x:v>51.1</x:v>
      </x:c>
      <x:c r="BL557" s="4" t="n">
        <x:v>48.9</x:v>
      </x:c>
      <x:c r="BM557" s="4" t="n">
        <x:v>10.766666666666667</x:v>
      </x:c>
      <x:c r="BN557" s="4" t="n">
        <x:v>8.933333333333334</x:v>
      </x:c>
      <x:c r="BO557" s="10" t="n">
        <x:v>3</x:v>
      </x:c>
      <x:c r="BP557" s="10" t="n">
        <x:v>12</x:v>
      </x:c>
      <x:c r="BQ557" s="4" t="n">
        <x:v>0.8</x:v>
      </x:c>
      <x:c r="BR557" s="10" t="n">
        <x:v>52</x:v>
      </x:c>
      <x:c r="BS557" s="4" t="n">
        <x:v>57.7</x:v>
      </x:c>
      <x:c r="BT557" s="10" t="n">
        <x:v>22</x:v>
      </x:c>
      <x:c r="BU557" s="4" t="str">
        <x:v>EDM</x:v>
      </x:c>
      <x:c r="BV557" s="10"/>
      <x:c r="BW557" s="10"/>
      <x:c r="BX557" s="10" t="n">
        <x:v>1024</x:v>
      </x:c>
      <x:c r="BY557" s="4"/>
      <x:c r="BZ557" s="4"/>
      <x:c r="CA557" s="4" t="str">
        <x:v>David Tomasek</x:v>
      </x:c>
      <x:c r="CB557" s="4" t="str">
        <x:v>tomasda01</x:v>
      </x:c>
    </x:row>
    <x:row r="558" ht="22" customHeight="1">
      <x:c r="A558" s="4" t="str">
        <x:v>Declan Carlile</x:v>
      </x:c>
      <x:c r="B558" s="4" t="str">
        <x:v>declancarlile</x:v>
      </x:c>
      <x:c r="C558" s="10" t="n">
        <x:v>0</x:v>
      </x:c>
      <x:c r="D558" s="10" t="n">
        <x:v>0</x:v>
      </x:c>
      <x:c r="E558" s="10" t="n">
        <x:v>1</x:v>
      </x:c>
      <x:c r="F558" s="4" t="str">
        <x:f>IF(COUNT(N558,Q558,T558,W558,Z558,AC558,AF558,AI558)=8,N558*Guide!$E$5+Q558*Guide!$E$6+T558*Guide!$E$7+W558*Guide!$E$8+Z558*Guide!$E$9+AC558*Guide!$E$10+AF558*Guide!$E$11+AI558*Guide!$E$12,"")</x:f>
      </x:c>
      <x:c r="G558" s="4" t="str">
        <x:f>IF(COUNT(O558,R558,U558,X558,AA558,AD558,AG558,AJ558)=8,O558*Guide!$E$5+R558*Guide!$E$6+U558*Guide!$E$7+X558*Guide!$E$8+AA558*Guide!$E$9+AD558*Guide!$E$10+AG558*Guide!$E$11+AJ558*Guide!$E$12,"")</x:f>
      </x:c>
      <x:c r="H558" s="4" t="str">
        <x:f>IF(COUNT(G558,F558)=2,G558-F558,"")</x:f>
      </x:c>
      <x:c r="I558" s="4" t="str">
        <x:f>IF(AND(ISNUMBER(F558),K558&gt;0),F558/K558,"")</x:f>
      </x:c>
      <x:c r="J558" s="4" t="str">
        <x:f>IF(AND(ISNUMBER(G558),L558&gt;0),G558/L558,"")</x:f>
      </x:c>
      <x:c r="K558" s="10"/>
      <x:c r="L558" s="10"/>
      <x:c r="M558" s="10" t="str">
        <x:f>IF(COUNT(L558,K558)=2,L558-K558,"")</x:f>
      </x:c>
      <x:c r="N558" s="10"/>
      <x:c r="O558" s="10"/>
      <x:c r="P558" s="10" t="str">
        <x:f>IF(COUNT(O558,N558)=2,O558-N558,"")</x:f>
      </x:c>
      <x:c r="Q558" s="10"/>
      <x:c r="R558" s="10"/>
      <x:c r="S558" s="10" t="str">
        <x:f>IF(COUNT(R558,Q558)=2,R558-Q558,"")</x:f>
      </x:c>
      <x:c r="T558" s="10"/>
      <x:c r="U558" s="10"/>
      <x:c r="V558" s="10" t="str">
        <x:f>IF(COUNT(U558,T558)=2,U558-T558,"")</x:f>
      </x:c>
      <x:c r="W558" s="10"/>
      <x:c r="X558" s="10" t="str">
        <x:f>IF(COUNT(AV558,AW558)=2,AV558+AW558,"")</x:f>
      </x:c>
      <x:c r="Y558" s="10" t="str">
        <x:f>IF(COUNT(X558,W558)=2,X558-W558,"")</x:f>
      </x:c>
      <x:c r="Z558" s="10"/>
      <x:c r="AA558" s="10" t="str">
        <x:f>IF(COUNT(AX558,AY558)=2,AX558+AY558,"")</x:f>
      </x:c>
      <x:c r="AB558" s="10" t="str">
        <x:f>IF(COUNT(AA558,Z558)=2,AA558-Z558,"")</x:f>
      </x:c>
      <x:c r="AC558" s="10"/>
      <x:c r="AD558" s="10"/>
      <x:c r="AE558" s="10" t="str">
        <x:f>IF(COUNT(AD558,AC558)=2,AD558-AC558,"")</x:f>
      </x:c>
      <x:c r="AF558" s="10"/>
      <x:c r="AG558" s="10"/>
      <x:c r="AH558" s="10" t="str">
        <x:f>IF(COUNT(AG558,AF558)=2,AG558-AF558,"")</x:f>
      </x:c>
      <x:c r="AI558" s="10"/>
      <x:c r="AJ558" s="10"/>
      <x:c r="AK558" s="10" t="str">
        <x:f>IF(COUNT(AJ558,AI558)=2,AJ558-AI558,"")</x:f>
      </x:c>
      <x:c r="AL558" s="10"/>
      <x:c r="AM558" s="10"/>
      <x:c r="AN558" s="4"/>
      <x:c r="AO558" s="4"/>
      <x:c r="AP558" s="4"/>
      <x:c r="AQ558" s="4"/>
      <x:c r="AR558" s="4"/>
      <x:c r="AS558" s="4"/>
      <x:c r="AT558" s="4"/>
      <x:c r="AU558" s="4"/>
      <x:c r="AV558" s="10"/>
      <x:c r="AW558" s="10"/>
      <x:c r="AX558" s="10"/>
      <x:c r="AY558" s="10"/>
      <x:c r="AZ558" s="10" t="n">
        <x:v>492</x:v>
      </x:c>
      <x:c r="BA558" s="10" t="n">
        <x:v>512</x:v>
      </x:c>
      <x:c r="BB558" s="4" t="n">
        <x:v>49</x:v>
      </x:c>
      <x:c r="BC558" s="4" t="n">
        <x:v>-4.4</x:v>
      </x:c>
      <x:c r="BD558" s="10" t="n">
        <x:v>328</x:v>
      </x:c>
      <x:c r="BE558" s="10" t="n">
        <x:v>369</x:v>
      </x:c>
      <x:c r="BF558" s="4" t="n">
        <x:v>47.1</x:v>
      </x:c>
      <x:c r="BG558" s="4" t="n">
        <x:v>-6</x:v>
      </x:c>
      <x:c r="BH558" s="4" t="n">
        <x:v>11.9</x:v>
      </x:c>
      <x:c r="BI558" s="4" t="n">
        <x:v>91.7</x:v>
      </x:c>
      <x:c r="BJ558" s="4" t="n">
        <x:v>103.6</x:v>
      </x:c>
      <x:c r="BK558" s="4" t="n">
        <x:v>56</x:v>
      </x:c>
      <x:c r="BL558" s="4" t="n">
        <x:v>44</x:v>
      </x:c>
      <x:c r="BM558" s="4" t="n">
        <x:v>14.783333333333333</x:v>
      </x:c>
      <x:c r="BN558" s="4" t="n">
        <x:v>13.65</x:v>
      </x:c>
      <x:c r="BO558" s="10" t="n">
        <x:v>6</x:v>
      </x:c>
      <x:c r="BP558" s="10" t="n">
        <x:v>22</x:v>
      </x:c>
      <x:c r="BQ558" s="4" t="n">
        <x:v>1.9</x:v>
      </x:c>
      <x:c r="BR558" s="10" t="n">
        <x:v>99</x:v>
      </x:c>
      <x:c r="BS558" s="4" t="n">
        <x:v>33.3</x:v>
      </x:c>
      <x:c r="BT558" s="10" t="n">
        <x:v>42</x:v>
      </x:c>
      <x:c r="BU558" s="4" t="str">
        <x:v>TBL</x:v>
      </x:c>
      <x:c r="BV558" s="10"/>
      <x:c r="BW558" s="10"/>
      <x:c r="BX558" s="10" t="n">
        <x:v>125</x:v>
      </x:c>
      <x:c r="BY558" s="4"/>
      <x:c r="BZ558" s="4"/>
      <x:c r="CA558" s="4" t="str">
        <x:v>Declan Carlile</x:v>
      </x:c>
      <x:c r="CB558" s="4" t="str">
        <x:v>carlide01</x:v>
      </x:c>
    </x:row>
    <x:row r="559" ht="22" customHeight="1">
      <x:c r="A559" s="4" t="str">
        <x:v>Declan Chisholm</x:v>
      </x:c>
      <x:c r="B559" s="4" t="str">
        <x:v>declanchisholm</x:v>
      </x:c>
      <x:c r="C559" s="10" t="n">
        <x:v>1</x:v>
      </x:c>
      <x:c r="D559" s="10" t="n">
        <x:v>0</x:v>
      </x:c>
      <x:c r="E559" s="10" t="n">
        <x:v>1</x:v>
      </x:c>
      <x:c r="F559" s="4" t="n">
        <x:f>IF(COUNT(N559,Q559,T559,W559,Z559,AC559,AF559,AI559)=8,N559*Guide!$E$5+Q559*Guide!$E$6+T559*Guide!$E$7+W559*Guide!$E$8+Z559*Guide!$E$9+AC559*Guide!$E$10+AF559*Guide!$E$11+AI559*Guide!$E$12,"")</x:f>
        <x:v>135.5</x:v>
      </x:c>
      <x:c r="G559" s="4" t="str">
        <x:f>IF(COUNT(O559,R559,U559,X559,AA559,AD559,AG559,AJ559)=8,O559*Guide!$E$5+R559*Guide!$E$6+U559*Guide!$E$7+X559*Guide!$E$8+AA559*Guide!$E$9+AD559*Guide!$E$10+AG559*Guide!$E$11+AJ559*Guide!$E$12,"")</x:f>
      </x:c>
      <x:c r="H559" s="4" t="str">
        <x:f>IF(COUNT(G559,F559)=2,G559-F559,"")</x:f>
      </x:c>
      <x:c r="I559" s="4" t="n">
        <x:f>IF(AND(ISNUMBER(F559),K559&gt;0),F559/K559,"")</x:f>
        <x:v>2.0846153846153848</x:v>
      </x:c>
      <x:c r="J559" s="4" t="str">
        <x:f>IF(AND(ISNUMBER(G559),L559&gt;0),G559/L559,"")</x:f>
      </x:c>
      <x:c r="K559" s="10" t="n">
        <x:v>65</x:v>
      </x:c>
      <x:c r="L559" s="10"/>
      <x:c r="M559" s="10" t="str">
        <x:f>IF(COUNT(L559,K559)=2,L559-K559,"")</x:f>
      </x:c>
      <x:c r="N559" s="10" t="n">
        <x:v>3</x:v>
      </x:c>
      <x:c r="O559" s="10"/>
      <x:c r="P559" s="10" t="str">
        <x:f>IF(COUNT(O559,N559)=2,O559-N559,"")</x:f>
      </x:c>
      <x:c r="Q559" s="10" t="n">
        <x:v>14</x:v>
      </x:c>
      <x:c r="R559" s="10"/>
      <x:c r="S559" s="10" t="str">
        <x:f>IF(COUNT(R559,Q559)=2,R559-Q559,"")</x:f>
      </x:c>
      <x:c r="T559" s="10" t="n">
        <x:v>-1</x:v>
      </x:c>
      <x:c r="U559" s="10"/>
      <x:c r="V559" s="10" t="str">
        <x:f>IF(COUNT(U559,T559)=2,U559-T559,"")</x:f>
      </x:c>
      <x:c r="W559" s="10" t="n">
        <x:v>5</x:v>
      </x:c>
      <x:c r="X559" s="10" t="str">
        <x:f>IF(COUNT(AV559,AW559)=2,AV559+AW559,"")</x:f>
      </x:c>
      <x:c r="Y559" s="10" t="str">
        <x:f>IF(COUNT(X559,W559)=2,X559-W559,"")</x:f>
      </x:c>
      <x:c r="Z559" s="10" t="n">
        <x:v>0</x:v>
      </x:c>
      <x:c r="AA559" s="10" t="str">
        <x:f>IF(COUNT(AX559,AY559)=2,AX559+AY559,"")</x:f>
      </x:c>
      <x:c r="AB559" s="10" t="str">
        <x:f>IF(COUNT(AA559,Z559)=2,AA559-Z559,"")</x:f>
      </x:c>
      <x:c r="AC559" s="10" t="n">
        <x:v>64</x:v>
      </x:c>
      <x:c r="AD559" s="10"/>
      <x:c r="AE559" s="10" t="str">
        <x:f>IF(COUNT(AD559,AC559)=2,AD559-AC559,"")</x:f>
      </x:c>
      <x:c r="AF559" s="10" t="n">
        <x:v>30</x:v>
      </x:c>
      <x:c r="AG559" s="10"/>
      <x:c r="AH559" s="10" t="str">
        <x:f>IF(COUNT(AG559,AF559)=2,AG559-AF559,"")</x:f>
      </x:c>
      <x:c r="AI559" s="10" t="n">
        <x:v>72</x:v>
      </x:c>
      <x:c r="AJ559" s="10"/>
      <x:c r="AK559" s="10" t="str">
        <x:f>IF(COUNT(AJ559,AI559)=2,AJ559-AI559,"")</x:f>
      </x:c>
      <x:c r="AL559" s="10" t="n">
        <x:v>26</x:v>
      </x:c>
      <x:c r="AM559" s="10"/>
      <x:c r="AN559" s="4" t="str">
        <x:v>D</x:v>
      </x:c>
      <x:c r="AO559" s="4"/>
      <x:c r="AP559" s="4" t="str">
        <x:v>WSH</x:v>
      </x:c>
      <x:c r="AQ559" s="4"/>
      <x:c r="AR559" s="4" t="n">
        <x:v>17.03</x:v>
      </x:c>
      <x:c r="AS559" s="4"/>
      <x:c r="AT559" s="4" t="n">
        <x:v>1.01</x:v>
      </x:c>
      <x:c r="AU559" s="4"/>
      <x:c r="AV559" s="10"/>
      <x:c r="AW559" s="10"/>
      <x:c r="AX559" s="10"/>
      <x:c r="AY559" s="10"/>
      <x:c r="AZ559" s="10" t="n">
        <x:v>326</x:v>
      </x:c>
      <x:c r="BA559" s="10" t="n">
        <x:v>356</x:v>
      </x:c>
      <x:c r="BB559" s="4" t="n">
        <x:v>47.8</x:v>
      </x:c>
      <x:c r="BC559" s="4" t="n">
        <x:v>-4.7</x:v>
      </x:c>
      <x:c r="BD559" s="10" t="n">
        <x:v>219</x:v>
      </x:c>
      <x:c r="BE559" s="10" t="n">
        <x:v>253</x:v>
      </x:c>
      <x:c r="BF559" s="4" t="n">
        <x:v>46.4</x:v>
      </x:c>
      <x:c r="BG559" s="4" t="n">
        <x:v>-7.4</x:v>
      </x:c>
      <x:c r="BH559" s="4" t="n">
        <x:v>10.9</x:v>
      </x:c>
      <x:c r="BI559" s="4" t="n">
        <x:v>91</x:v>
      </x:c>
      <x:c r="BJ559" s="4" t="n">
        <x:v>101.9</x:v>
      </x:c>
      <x:c r="BK559" s="4" t="n">
        <x:v>45</x:v>
      </x:c>
      <x:c r="BL559" s="4" t="n">
        <x:v>55</x:v>
      </x:c>
      <x:c r="BM559" s="4" t="n">
        <x:v>13.733333333333333</x:v>
      </x:c>
      <x:c r="BN559" s="4" t="n">
        <x:v>13.133333333333333</x:v>
      </x:c>
      <x:c r="BO559" s="10" t="n">
        <x:v>5</x:v>
      </x:c>
      <x:c r="BP559" s="10" t="n">
        <x:v>28</x:v>
      </x:c>
      <x:c r="BQ559" s="4" t="n">
        <x:v>1.6</x:v>
      </x:c>
      <x:c r="BR559" s="10" t="n">
        <x:v>52</x:v>
      </x:c>
      <x:c r="BS559" s="4" t="n">
        <x:v>38.5</x:v>
      </x:c>
      <x:c r="BT559" s="10" t="n">
        <x:v>26</x:v>
      </x:c>
      <x:c r="BU559" s="4" t="str">
        <x:v>WSH</x:v>
      </x:c>
      <x:c r="BV559" s="10" t="n">
        <x:v>589</x:v>
      </x:c>
      <x:c r="BW559" s="10"/>
      <x:c r="BX559" s="10" t="n">
        <x:v>152</x:v>
      </x:c>
      <x:c r="BY559" s="4" t="str">
        <x:v>Declan Chisholm</x:v>
      </x:c>
      <x:c r="BZ559" s="4"/>
      <x:c r="CA559" s="4" t="str">
        <x:v>Declan Chisholm</x:v>
      </x:c>
      <x:c r="CB559" s="4" t="str">
        <x:v>chishde01</x:v>
      </x:c>
    </x:row>
    <x:row r="560" ht="22" customHeight="1">
      <x:c r="A560" s="4" t="str">
        <x:v>Dennis Cholowski</x:v>
      </x:c>
      <x:c r="B560" s="4" t="str">
        <x:v>dennischolowski</x:v>
      </x:c>
      <x:c r="C560" s="10" t="n">
        <x:v>1</x:v>
      </x:c>
      <x:c r="D560" s="10" t="n">
        <x:v>0</x:v>
      </x:c>
      <x:c r="E560" s="10" t="n">
        <x:v>1</x:v>
      </x:c>
      <x:c r="F560" s="4" t="n">
        <x:f>IF(COUNT(N560,Q560,T560,W560,Z560,AC560,AF560,AI560)=8,N560*Guide!$E$5+Q560*Guide!$E$6+T560*Guide!$E$7+W560*Guide!$E$8+Z560*Guide!$E$9+AC560*Guide!$E$10+AF560*Guide!$E$11+AI560*Guide!$E$12,"")</x:f>
        <x:v>96.75</x:v>
      </x:c>
      <x:c r="G560" s="4" t="str">
        <x:f>IF(COUNT(O560,R560,U560,X560,AA560,AD560,AG560,AJ560)=8,O560*Guide!$E$5+R560*Guide!$E$6+U560*Guide!$E$7+X560*Guide!$E$8+AA560*Guide!$E$9+AD560*Guide!$E$10+AG560*Guide!$E$11+AJ560*Guide!$E$12,"")</x:f>
      </x:c>
      <x:c r="H560" s="4" t="str">
        <x:f>IF(COUNT(G560,F560)=2,G560-F560,"")</x:f>
      </x:c>
      <x:c r="I560" s="4" t="n">
        <x:f>IF(AND(ISNUMBER(F560),K560&gt;0),F560/K560,"")</x:f>
        <x:v>1.8254716981132075</x:v>
      </x:c>
      <x:c r="J560" s="4" t="str">
        <x:f>IF(AND(ISNUMBER(G560),L560&gt;0),G560/L560,"")</x:f>
      </x:c>
      <x:c r="K560" s="10" t="n">
        <x:v>53</x:v>
      </x:c>
      <x:c r="L560" s="10"/>
      <x:c r="M560" s="10" t="str">
        <x:f>IF(COUNT(L560,K560)=2,L560-K560,"")</x:f>
      </x:c>
      <x:c r="N560" s="10" t="n">
        <x:v>3</x:v>
      </x:c>
      <x:c r="O560" s="10"/>
      <x:c r="P560" s="10" t="str">
        <x:f>IF(COUNT(O560,N560)=2,O560-N560,"")</x:f>
      </x:c>
      <x:c r="Q560" s="10" t="n">
        <x:v>11</x:v>
      </x:c>
      <x:c r="R560" s="10"/>
      <x:c r="S560" s="10" t="str">
        <x:f>IF(COUNT(R560,Q560)=2,R560-Q560,"")</x:f>
      </x:c>
      <x:c r="T560" s="10" t="n">
        <x:v>-1</x:v>
      </x:c>
      <x:c r="U560" s="10"/>
      <x:c r="V560" s="10" t="str">
        <x:f>IF(COUNT(U560,T560)=2,U560-T560,"")</x:f>
      </x:c>
      <x:c r="W560" s="10" t="n">
        <x:v>5</x:v>
      </x:c>
      <x:c r="X560" s="10" t="str">
        <x:f>IF(COUNT(AV560,AW560)=2,AV560+AW560,"")</x:f>
      </x:c>
      <x:c r="Y560" s="10" t="str">
        <x:f>IF(COUNT(X560,W560)=2,X560-W560,"")</x:f>
      </x:c>
      <x:c r="Z560" s="10" t="n">
        <x:v>0</x:v>
      </x:c>
      <x:c r="AA560" s="10" t="str">
        <x:f>IF(COUNT(AX560,AY560)=2,AX560+AY560,"")</x:f>
      </x:c>
      <x:c r="AB560" s="10" t="str">
        <x:f>IF(COUNT(AA560,Z560)=2,AA560-Z560,"")</x:f>
      </x:c>
      <x:c r="AC560" s="10" t="n">
        <x:v>44</x:v>
      </x:c>
      <x:c r="AD560" s="10"/>
      <x:c r="AE560" s="10" t="str">
        <x:f>IF(COUNT(AD560,AC560)=2,AD560-AC560,"")</x:f>
      </x:c>
      <x:c r="AF560" s="10" t="n">
        <x:v>9</x:v>
      </x:c>
      <x:c r="AG560" s="10"/>
      <x:c r="AH560" s="10" t="str">
        <x:f>IF(COUNT(AG560,AF560)=2,AG560-AF560,"")</x:f>
      </x:c>
      <x:c r="AI560" s="10" t="n">
        <x:v>46</x:v>
      </x:c>
      <x:c r="AJ560" s="10"/>
      <x:c r="AK560" s="10" t="str">
        <x:f>IF(COUNT(AJ560,AI560)=2,AJ560-AI560,"")</x:f>
      </x:c>
      <x:c r="AL560" s="10" t="n">
        <x:v>27</x:v>
      </x:c>
      <x:c r="AM560" s="10"/>
      <x:c r="AN560" s="4" t="str">
        <x:v>D</x:v>
      </x:c>
      <x:c r="AO560" s="4"/>
      <x:c r="AP560" s="4" t="str">
        <x:v>NJ</x:v>
      </x:c>
      <x:c r="AQ560" s="4"/>
      <x:c r="AR560" s="4" t="n">
        <x:v>13.06</x:v>
      </x:c>
      <x:c r="AS560" s="4"/>
      <x:c r="AT560" s="4" t="n">
        <x:v>1.23</x:v>
      </x:c>
      <x:c r="AU560" s="4"/>
      <x:c r="AV560" s="10"/>
      <x:c r="AW560" s="10"/>
      <x:c r="AX560" s="10"/>
      <x:c r="AY560" s="10"/>
      <x:c r="AZ560" s="10" t="n">
        <x:v>195</x:v>
      </x:c>
      <x:c r="BA560" s="10" t="n">
        <x:v>239</x:v>
      </x:c>
      <x:c r="BB560" s="4" t="n">
        <x:v>44.9</x:v>
      </x:c>
      <x:c r="BC560" s="4" t="n">
        <x:v>-9.6</x:v>
      </x:c>
      <x:c r="BD560" s="10" t="n">
        <x:v>150</x:v>
      </x:c>
      <x:c r="BE560" s="10" t="n">
        <x:v>172</x:v>
      </x:c>
      <x:c r="BF560" s="4" t="n">
        <x:v>46.6</x:v>
      </x:c>
      <x:c r="BG560" s="4" t="n">
        <x:v>-8.5</x:v>
      </x:c>
      <x:c r="BH560" s="4" t="n">
        <x:v>6.3</x:v>
      </x:c>
      <x:c r="BI560" s="4" t="n">
        <x:v>88.2</x:v>
      </x:c>
      <x:c r="BJ560" s="4" t="n">
        <x:v>94.4</x:v>
      </x:c>
      <x:c r="BK560" s="4" t="n">
        <x:v>42.2</x:v>
      </x:c>
      <x:c r="BL560" s="4" t="n">
        <x:v>57.8</x:v>
      </x:c>
      <x:c r="BM560" s="4" t="n">
        <x:v>14.666666666666666</x:v>
      </x:c>
      <x:c r="BN560" s="4" t="n">
        <x:v>14.466666666666667</x:v>
      </x:c>
      <x:c r="BO560" s="10" t="n">
        <x:v>5</x:v>
      </x:c>
      <x:c r="BP560" s="10" t="n">
        <x:v>18</x:v>
      </x:c>
      <x:c r="BQ560" s="4" t="n">
        <x:v>-3.5</x:v>
      </x:c>
      <x:c r="BR560" s="10" t="n">
        <x:v>25</x:v>
      </x:c>
      <x:c r="BS560" s="4" t="n">
        <x:v>48</x:v>
      </x:c>
      <x:c r="BT560" s="10" t="n">
        <x:v>17</x:v>
      </x:c>
      <x:c r="BU560" s="4" t="str">
        <x:v>NJD</x:v>
      </x:c>
      <x:c r="BV560" s="10" t="n">
        <x:v>652</x:v>
      </x:c>
      <x:c r="BW560" s="10"/>
      <x:c r="BX560" s="10" t="n">
        <x:v>154</x:v>
      </x:c>
      <x:c r="BY560" s="4" t="str">
        <x:v>Dennis Cholowski</x:v>
      </x:c>
      <x:c r="BZ560" s="4"/>
      <x:c r="CA560" s="4" t="str">
        <x:v>Dennis Cholowski</x:v>
      </x:c>
      <x:c r="CB560" s="4" t="str">
        <x:v>cholode01</x:v>
      </x:c>
    </x:row>
    <x:row r="561" ht="22" customHeight="1">
      <x:c r="A561" s="4" t="str">
        <x:v>Dennis Gilbert</x:v>
      </x:c>
      <x:c r="B561" s="4" t="str">
        <x:v>dennisgilbert</x:v>
      </x:c>
      <x:c r="C561" s="10" t="n">
        <x:v>1</x:v>
      </x:c>
      <x:c r="D561" s="10" t="n">
        <x:v>0</x:v>
      </x:c>
      <x:c r="E561" s="10" t="n">
        <x:v>1</x:v>
      </x:c>
      <x:c r="F561" s="4" t="n">
        <x:f>IF(COUNT(N561,Q561,T561,W561,Z561,AC561,AF561,AI561)=8,N561*Guide!$E$5+Q561*Guide!$E$6+T561*Guide!$E$7+W561*Guide!$E$8+Z561*Guide!$E$9+AC561*Guide!$E$10+AF561*Guide!$E$11+AI561*Guide!$E$12,"")</x:f>
        <x:v>79.75</x:v>
      </x:c>
      <x:c r="G561" s="4" t="str">
        <x:f>IF(COUNT(O561,R561,U561,X561,AA561,AD561,AG561,AJ561)=8,O561*Guide!$E$5+R561*Guide!$E$6+U561*Guide!$E$7+X561*Guide!$E$8+AA561*Guide!$E$9+AD561*Guide!$E$10+AG561*Guide!$E$11+AJ561*Guide!$E$12,"")</x:f>
      </x:c>
      <x:c r="H561" s="4" t="str">
        <x:f>IF(COUNT(G561,F561)=2,G561-F561,"")</x:f>
      </x:c>
      <x:c r="I561" s="4" t="n">
        <x:f>IF(AND(ISNUMBER(F561),K561&gt;0),F561/K561,"")</x:f>
        <x:v>1.8125</x:v>
      </x:c>
      <x:c r="J561" s="4" t="str">
        <x:f>IF(AND(ISNUMBER(G561),L561&gt;0),G561/L561,"")</x:f>
      </x:c>
      <x:c r="K561" s="10" t="n">
        <x:v>44</x:v>
      </x:c>
      <x:c r="L561" s="10"/>
      <x:c r="M561" s="10" t="str">
        <x:f>IF(COUNT(L561,K561)=2,L561-K561,"")</x:f>
      </x:c>
      <x:c r="N561" s="10" t="n">
        <x:v>1</x:v>
      </x:c>
      <x:c r="O561" s="10"/>
      <x:c r="P561" s="10" t="str">
        <x:f>IF(COUNT(O561,N561)=2,O561-N561,"")</x:f>
      </x:c>
      <x:c r="Q561" s="10" t="n">
        <x:v>6</x:v>
      </x:c>
      <x:c r="R561" s="10"/>
      <x:c r="S561" s="10" t="str">
        <x:f>IF(COUNT(R561,Q561)=2,R561-Q561,"")</x:f>
      </x:c>
      <x:c r="T561" s="10" t="n">
        <x:v>-1</x:v>
      </x:c>
      <x:c r="U561" s="10"/>
      <x:c r="V561" s="10" t="str">
        <x:f>IF(COUNT(U561,T561)=2,U561-T561,"")</x:f>
      </x:c>
      <x:c r="W561" s="10" t="n">
        <x:v>0</x:v>
      </x:c>
      <x:c r="X561" s="10" t="str">
        <x:f>IF(COUNT(AV561,AW561)=2,AV561+AW561,"")</x:f>
      </x:c>
      <x:c r="Y561" s="10" t="str">
        <x:f>IF(COUNT(X561,W561)=2,X561-W561,"")</x:f>
      </x:c>
      <x:c r="Z561" s="10" t="n">
        <x:v>0</x:v>
      </x:c>
      <x:c r="AA561" s="10" t="str">
        <x:f>IF(COUNT(AX561,AY561)=2,AX561+AY561,"")</x:f>
      </x:c>
      <x:c r="AB561" s="10" t="str">
        <x:f>IF(COUNT(AA561,Z561)=2,AA561-Z561,"")</x:f>
      </x:c>
      <x:c r="AC561" s="10" t="n">
        <x:v>22</x:v>
      </x:c>
      <x:c r="AD561" s="10"/>
      <x:c r="AE561" s="10" t="str">
        <x:f>IF(COUNT(AD561,AC561)=2,AD561-AC561,"")</x:f>
      </x:c>
      <x:c r="AF561" s="10" t="n">
        <x:v>78</x:v>
      </x:c>
      <x:c r="AG561" s="10"/>
      <x:c r="AH561" s="10" t="str">
        <x:f>IF(COUNT(AG561,AF561)=2,AG561-AF561,"")</x:f>
      </x:c>
      <x:c r="AI561" s="10" t="n">
        <x:v>45</x:v>
      </x:c>
      <x:c r="AJ561" s="10"/>
      <x:c r="AK561" s="10" t="str">
        <x:f>IF(COUNT(AJ561,AI561)=2,AJ561-AI561,"")</x:f>
      </x:c>
      <x:c r="AL561" s="10" t="n">
        <x:v>29</x:v>
      </x:c>
      <x:c r="AM561" s="10"/>
      <x:c r="AN561" s="4" t="str">
        <x:v>D</x:v>
      </x:c>
      <x:c r="AO561" s="4"/>
      <x:c r="AP561" s="4" t="str">
        <x:v>PHI</x:v>
      </x:c>
      <x:c r="AQ561" s="4"/>
      <x:c r="AR561" s="4" t="n">
        <x:v>10.749999999999998</x:v>
      </x:c>
      <x:c r="AS561" s="4"/>
      <x:c r="AT561" s="4" t="n">
        <x:v>0.02</x:v>
      </x:c>
      <x:c r="AU561" s="4"/>
      <x:c r="AV561" s="10"/>
      <x:c r="AW561" s="10"/>
      <x:c r="AX561" s="10"/>
      <x:c r="AY561" s="10"/>
      <x:c r="AZ561" s="10" t="n">
        <x:v>87</x:v>
      </x:c>
      <x:c r="BA561" s="10" t="n">
        <x:v>91</x:v>
      </x:c>
      <x:c r="BB561" s="4" t="n">
        <x:v>48.9</x:v>
      </x:c>
      <x:c r="BC561" s="4" t="n">
        <x:v>-8.5</x:v>
      </x:c>
      <x:c r="BD561" s="10" t="n">
        <x:v>66</x:v>
      </x:c>
      <x:c r="BE561" s="10" t="n">
        <x:v>56</x:v>
      </x:c>
      <x:c r="BF561" s="4" t="n">
        <x:v>54.1</x:v>
      </x:c>
      <x:c r="BG561" s="4" t="n">
        <x:v>-4.5</x:v>
      </x:c>
      <x:c r="BH561" s="4" t="n">
        <x:v>6.7</x:v>
      </x:c>
      <x:c r="BI561" s="4" t="n">
        <x:v>91.2</x:v>
      </x:c>
      <x:c r="BJ561" s="4" t="n">
        <x:v>97.8</x:v>
      </x:c>
      <x:c r="BK561" s="4" t="n">
        <x:v>51.9</x:v>
      </x:c>
      <x:c r="BL561" s="4" t="n">
        <x:v>48.1</x:v>
      </x:c>
      <x:c r="BM561" s="4" t="n">
        <x:v>12.683333333333334</x:v>
      </x:c>
      <x:c r="BN561" s="4" t="n">
        <x:v>12.433333333333334</x:v>
      </x:c>
      <x:c r="BO561" s="10" t="n">
        <x:v>0</x:v>
      </x:c>
      <x:c r="BP561" s="10" t="n">
        <x:v>6</x:v>
      </x:c>
      <x:c r="BQ561" s="4" t="n">
        <x:v>0.4</x:v>
      </x:c>
      <x:c r="BR561" s="10" t="n">
        <x:v>7</x:v>
      </x:c>
      <x:c r="BS561" s="4" t="n">
        <x:v>28.6</x:v>
      </x:c>
      <x:c r="BT561" s="10" t="n">
        <x:v>8</x:v>
      </x:c>
      <x:c r="BU561" s="4" t="str">
        <x:v>OTT</x:v>
      </x:c>
      <x:c r="BV561" s="10" t="n">
        <x:v>755</x:v>
      </x:c>
      <x:c r="BW561" s="10"/>
      <x:c r="BX561" s="10" t="n">
        <x:v>335</x:v>
      </x:c>
      <x:c r="BY561" s="4" t="str">
        <x:v>Dennis Gilbert</x:v>
      </x:c>
      <x:c r="BZ561" s="4"/>
      <x:c r="CA561" s="4" t="str">
        <x:v>Dennis Gilbert</x:v>
      </x:c>
      <x:c r="CB561" s="4" t="str">
        <x:v>gilbede01</x:v>
      </x:c>
    </x:row>
    <x:row r="562" ht="22" customHeight="1">
      <x:c r="A562" s="4" t="str">
        <x:v>Denver Barkey</x:v>
      </x:c>
      <x:c r="B562" s="4" t="str">
        <x:v>denverbarkey</x:v>
      </x:c>
      <x:c r="C562" s="10" t="n">
        <x:v>0</x:v>
      </x:c>
      <x:c r="D562" s="10" t="n">
        <x:v>0</x:v>
      </x:c>
      <x:c r="E562" s="10" t="n">
        <x:v>1</x:v>
      </x:c>
      <x:c r="F562" s="4" t="str">
        <x:f>IF(COUNT(N562,Q562,T562,W562,Z562,AC562,AF562,AI562)=8,N562*Guide!$E$5+Q562*Guide!$E$6+T562*Guide!$E$7+W562*Guide!$E$8+Z562*Guide!$E$9+AC562*Guide!$E$10+AF562*Guide!$E$11+AI562*Guide!$E$12,"")</x:f>
      </x:c>
      <x:c r="G562" s="4" t="str">
        <x:f>IF(COUNT(O562,R562,U562,X562,AA562,AD562,AG562,AJ562)=8,O562*Guide!$E$5+R562*Guide!$E$6+U562*Guide!$E$7+X562*Guide!$E$8+AA562*Guide!$E$9+AD562*Guide!$E$10+AG562*Guide!$E$11+AJ562*Guide!$E$12,"")</x:f>
      </x:c>
      <x:c r="H562" s="4" t="str">
        <x:f>IF(COUNT(G562,F562)=2,G562-F562,"")</x:f>
      </x:c>
      <x:c r="I562" s="4" t="str">
        <x:f>IF(AND(ISNUMBER(F562),K562&gt;0),F562/K562,"")</x:f>
      </x:c>
      <x:c r="J562" s="4" t="str">
        <x:f>IF(AND(ISNUMBER(G562),L562&gt;0),G562/L562,"")</x:f>
      </x:c>
      <x:c r="K562" s="10"/>
      <x:c r="L562" s="10"/>
      <x:c r="M562" s="10" t="str">
        <x:f>IF(COUNT(L562,K562)=2,L562-K562,"")</x:f>
      </x:c>
      <x:c r="N562" s="10"/>
      <x:c r="O562" s="10"/>
      <x:c r="P562" s="10" t="str">
        <x:f>IF(COUNT(O562,N562)=2,O562-N562,"")</x:f>
      </x:c>
      <x:c r="Q562" s="10"/>
      <x:c r="R562" s="10"/>
      <x:c r="S562" s="10" t="str">
        <x:f>IF(COUNT(R562,Q562)=2,R562-Q562,"")</x:f>
      </x:c>
      <x:c r="T562" s="10"/>
      <x:c r="U562" s="10"/>
      <x:c r="V562" s="10" t="str">
        <x:f>IF(COUNT(U562,T562)=2,U562-T562,"")</x:f>
      </x:c>
      <x:c r="W562" s="10"/>
      <x:c r="X562" s="10" t="str">
        <x:f>IF(COUNT(AV562,AW562)=2,AV562+AW562,"")</x:f>
      </x:c>
      <x:c r="Y562" s="10" t="str">
        <x:f>IF(COUNT(X562,W562)=2,X562-W562,"")</x:f>
      </x:c>
      <x:c r="Z562" s="10"/>
      <x:c r="AA562" s="10" t="str">
        <x:f>IF(COUNT(AX562,AY562)=2,AX562+AY562,"")</x:f>
      </x:c>
      <x:c r="AB562" s="10" t="str">
        <x:f>IF(COUNT(AA562,Z562)=2,AA562-Z562,"")</x:f>
      </x:c>
      <x:c r="AC562" s="10"/>
      <x:c r="AD562" s="10"/>
      <x:c r="AE562" s="10" t="str">
        <x:f>IF(COUNT(AD562,AC562)=2,AD562-AC562,"")</x:f>
      </x:c>
      <x:c r="AF562" s="10"/>
      <x:c r="AG562" s="10"/>
      <x:c r="AH562" s="10" t="str">
        <x:f>IF(COUNT(AG562,AF562)=2,AG562-AF562,"")</x:f>
      </x:c>
      <x:c r="AI562" s="10"/>
      <x:c r="AJ562" s="10"/>
      <x:c r="AK562" s="10" t="str">
        <x:f>IF(COUNT(AJ562,AI562)=2,AJ562-AI562,"")</x:f>
      </x:c>
      <x:c r="AL562" s="10"/>
      <x:c r="AM562" s="10"/>
      <x:c r="AN562" s="4"/>
      <x:c r="AO562" s="4"/>
      <x:c r="AP562" s="4"/>
      <x:c r="AQ562" s="4"/>
      <x:c r="AR562" s="4"/>
      <x:c r="AS562" s="4"/>
      <x:c r="AT562" s="4"/>
      <x:c r="AU562" s="4"/>
      <x:c r="AV562" s="10"/>
      <x:c r="AW562" s="10"/>
      <x:c r="AX562" s="10"/>
      <x:c r="AY562" s="10"/>
      <x:c r="AZ562" s="10" t="n">
        <x:v>441</x:v>
      </x:c>
      <x:c r="BA562" s="10" t="n">
        <x:v>444</x:v>
      </x:c>
      <x:c r="BB562" s="4" t="n">
        <x:v>49.8</x:v>
      </x:c>
      <x:c r="BC562" s="4" t="n">
        <x:v>2.4</x:v>
      </x:c>
      <x:c r="BD562" s="10" t="n">
        <x:v>334</x:v>
      </x:c>
      <x:c r="BE562" s="10" t="n">
        <x:v>296</x:v>
      </x:c>
      <x:c r="BF562" s="4" t="n">
        <x:v>53</x:v>
      </x:c>
      <x:c r="BG562" s="4" t="n">
        <x:v>5</x:v>
      </x:c>
      <x:c r="BH562" s="4" t="n">
        <x:v>10.1</x:v>
      </x:c>
      <x:c r="BI562" s="4" t="n">
        <x:v>87</x:v>
      </x:c>
      <x:c r="BJ562" s="4" t="n">
        <x:v>97.1</x:v>
      </x:c>
      <x:c r="BK562" s="4" t="n">
        <x:v>48.2</x:v>
      </x:c>
      <x:c r="BL562" s="4" t="n">
        <x:v>51.8</x:v>
      </x:c>
      <x:c r="BM562" s="4" t="n">
        <x:v>13.4</x:v>
      </x:c>
      <x:c r="BN562" s="4" t="n">
        <x:v>11.8</x:v>
      </x:c>
      <x:c r="BO562" s="10" t="n">
        <x:v>8</x:v>
      </x:c>
      <x:c r="BP562" s="10" t="n">
        <x:v>27</x:v>
      </x:c>
      <x:c r="BQ562" s="4" t="n">
        <x:v>4.4</x:v>
      </x:c>
      <x:c r="BR562" s="10" t="n">
        <x:v>77</x:v>
      </x:c>
      <x:c r="BS562" s="4" t="n">
        <x:v>55.8</x:v>
      </x:c>
      <x:c r="BT562" s="10" t="n">
        <x:v>43</x:v>
      </x:c>
      <x:c r="BU562" s="4" t="str">
        <x:v>PHI</x:v>
      </x:c>
      <x:c r="BV562" s="10"/>
      <x:c r="BW562" s="10"/>
      <x:c r="BX562" s="10" t="n">
        <x:v>30</x:v>
      </x:c>
      <x:c r="BY562" s="4"/>
      <x:c r="BZ562" s="4"/>
      <x:c r="CA562" s="4" t="str">
        <x:v>Denver Barkey</x:v>
      </x:c>
      <x:c r="CB562" s="4" t="str">
        <x:v>barkede01</x:v>
      </x:c>
    </x:row>
    <x:row r="563" ht="22" customHeight="1">
      <x:c r="A563" s="4" t="str">
        <x:v>Derek Forbort</x:v>
      </x:c>
      <x:c r="B563" s="4" t="str">
        <x:v>derekforbort</x:v>
      </x:c>
      <x:c r="C563" s="10" t="n">
        <x:v>1</x:v>
      </x:c>
      <x:c r="D563" s="10" t="n">
        <x:v>0</x:v>
      </x:c>
      <x:c r="E563" s="10" t="n">
        <x:v>1</x:v>
      </x:c>
      <x:c r="F563" s="4" t="n">
        <x:f>IF(COUNT(N563,Q563,T563,W563,Z563,AC563,AF563,AI563)=8,N563*Guide!$E$5+Q563*Guide!$E$6+T563*Guide!$E$7+W563*Guide!$E$8+Z563*Guide!$E$9+AC563*Guide!$E$10+AF563*Guide!$E$11+AI563*Guide!$E$12,"")</x:f>
        <x:v>155.5</x:v>
      </x:c>
      <x:c r="G563" s="4" t="str">
        <x:f>IF(COUNT(O563,R563,U563,X563,AA563,AD563,AG563,AJ563)=8,O563*Guide!$E$5+R563*Guide!$E$6+U563*Guide!$E$7+X563*Guide!$E$8+AA563*Guide!$E$9+AD563*Guide!$E$10+AG563*Guide!$E$11+AJ563*Guide!$E$12,"")</x:f>
      </x:c>
      <x:c r="H563" s="4" t="str">
        <x:f>IF(COUNT(G563,F563)=2,G563-F563,"")</x:f>
      </x:c>
      <x:c r="I563" s="4" t="n">
        <x:f>IF(AND(ISNUMBER(F563),K563&gt;0),F563/K563,"")</x:f>
        <x:v>2.2214285714285715</x:v>
      </x:c>
      <x:c r="J563" s="4" t="str">
        <x:f>IF(AND(ISNUMBER(G563),L563&gt;0),G563/L563,"")</x:f>
      </x:c>
      <x:c r="K563" s="10" t="n">
        <x:v>70</x:v>
      </x:c>
      <x:c r="L563" s="10"/>
      <x:c r="M563" s="10" t="str">
        <x:f>IF(COUNT(L563,K563)=2,L563-K563,"")</x:f>
      </x:c>
      <x:c r="N563" s="10" t="n">
        <x:v>3</x:v>
      </x:c>
      <x:c r="O563" s="10"/>
      <x:c r="P563" s="10" t="str">
        <x:f>IF(COUNT(O563,N563)=2,O563-N563,"")</x:f>
      </x:c>
      <x:c r="Q563" s="10" t="n">
        <x:v>10</x:v>
      </x:c>
      <x:c r="R563" s="10"/>
      <x:c r="S563" s="10" t="str">
        <x:f>IF(COUNT(R563,Q563)=2,R563-Q563,"")</x:f>
      </x:c>
      <x:c r="T563" s="10" t="n">
        <x:v>-1</x:v>
      </x:c>
      <x:c r="U563" s="10"/>
      <x:c r="V563" s="10" t="str">
        <x:f>IF(COUNT(U563,T563)=2,U563-T563,"")</x:f>
      </x:c>
      <x:c r="W563" s="10" t="n">
        <x:v>0</x:v>
      </x:c>
      <x:c r="X563" s="10" t="str">
        <x:f>IF(COUNT(AV563,AW563)=2,AV563+AW563,"")</x:f>
      </x:c>
      <x:c r="Y563" s="10" t="str">
        <x:f>IF(COUNT(X563,W563)=2,X563-W563,"")</x:f>
      </x:c>
      <x:c r="Z563" s="10" t="n">
        <x:v>1</x:v>
      </x:c>
      <x:c r="AA563" s="10" t="str">
        <x:f>IF(COUNT(AX563,AY563)=2,AX563+AY563,"")</x:f>
      </x:c>
      <x:c r="AB563" s="10" t="str">
        <x:f>IF(COUNT(AA563,Z563)=2,AA563-Z563,"")</x:f>
      </x:c>
      <x:c r="AC563" s="10" t="n">
        <x:v>49</x:v>
      </x:c>
      <x:c r="AD563" s="10"/>
      <x:c r="AE563" s="10" t="str">
        <x:f>IF(COUNT(AD563,AC563)=2,AD563-AC563,"")</x:f>
      </x:c>
      <x:c r="AF563" s="10" t="n">
        <x:v>85</x:v>
      </x:c>
      <x:c r="AG563" s="10"/>
      <x:c r="AH563" s="10" t="str">
        <x:f>IF(COUNT(AG563,AF563)=2,AG563-AF563,"")</x:f>
      </x:c>
      <x:c r="AI563" s="10" t="n">
        <x:v>104</x:v>
      </x:c>
      <x:c r="AJ563" s="10"/>
      <x:c r="AK563" s="10" t="str">
        <x:f>IF(COUNT(AJ563,AI563)=2,AJ563-AI563,"")</x:f>
      </x:c>
      <x:c r="AL563" s="10" t="n">
        <x:v>33</x:v>
      </x:c>
      <x:c r="AM563" s="10"/>
      <x:c r="AN563" s="4" t="str">
        <x:v>D</x:v>
      </x:c>
      <x:c r="AO563" s="4"/>
      <x:c r="AP563" s="4" t="str">
        <x:v>VAN</x:v>
      </x:c>
      <x:c r="AQ563" s="4"/>
      <x:c r="AR563" s="4" t="n">
        <x:v>17.28</x:v>
      </x:c>
      <x:c r="AS563" s="4"/>
      <x:c r="AT563" s="4" t="n">
        <x:v>0.07</x:v>
      </x:c>
      <x:c r="AU563" s="4"/>
      <x:c r="AV563" s="10"/>
      <x:c r="AW563" s="10"/>
      <x:c r="AX563" s="10"/>
      <x:c r="AY563" s="10"/>
      <x:c r="AZ563" s="10" t="n">
        <x:v>7</x:v>
      </x:c>
      <x:c r="BA563" s="10" t="n">
        <x:v>17</x:v>
      </x:c>
      <x:c r="BB563" s="4" t="n">
        <x:v>29.2</x:v>
      </x:c>
      <x:c r="BC563" s="4" t="n">
        <x:v>-17.8</x:v>
      </x:c>
      <x:c r="BD563" s="10" t="n">
        <x:v>5</x:v>
      </x:c>
      <x:c r="BE563" s="10" t="n">
        <x:v>10</x:v>
      </x:c>
      <x:c r="BF563" s="4" t="n">
        <x:v>33.3</x:v>
      </x:c>
      <x:c r="BG563" s="4" t="n">
        <x:v>-12.3</x:v>
      </x:c>
      <x:c r="BH563" s="4" t="n">
        <x:v>25</x:v>
      </x:c>
      <x:c r="BI563" s="4" t="n">
        <x:v>87.5</x:v>
      </x:c>
      <x:c r="BJ563" s="4" t="n">
        <x:v>112.5</x:v>
      </x:c>
      <x:c r="BK563" s="4" t="n">
        <x:v>50</x:v>
      </x:c>
      <x:c r="BL563" s="4" t="n">
        <x:v>50</x:v>
      </x:c>
      <x:c r="BM563" s="4" t="n">
        <x:v>13.933333333333334</x:v>
      </x:c>
      <x:c r="BN563" s="4" t="n">
        <x:v>10.916666666666666</x:v>
      </x:c>
      <x:c r="BO563" s="10" t="n">
        <x:v>0</x:v>
      </x:c>
      <x:c r="BP563" s="10" t="n">
        <x:v>5</x:v>
      </x:c>
      <x:c r="BQ563" s="4" t="n">
        <x:v>-0.7</x:v>
      </x:c>
      <x:c r="BR563" s="10" t="n">
        <x:v>1</x:v>
      </x:c>
      <x:c r="BS563" s="4" t="n">
        <x:v>100</x:v>
      </x:c>
      <x:c r="BT563" s="10" t="n">
        <x:v>2</x:v>
      </x:c>
      <x:c r="BU563" s="4" t="str">
        <x:v>VAN</x:v>
      </x:c>
      <x:c r="BV563" s="10" t="n">
        <x:v>667</x:v>
      </x:c>
      <x:c r="BW563" s="10"/>
      <x:c r="BX563" s="10" t="n">
        <x:v>306</x:v>
      </x:c>
      <x:c r="BY563" s="4" t="str">
        <x:v>Derek Forbort</x:v>
      </x:c>
      <x:c r="BZ563" s="4"/>
      <x:c r="CA563" s="4" t="str">
        <x:v>Derek Forbort</x:v>
      </x:c>
      <x:c r="CB563" s="4" t="str">
        <x:v>forbode01</x:v>
      </x:c>
    </x:row>
    <x:row r="564" ht="22" customHeight="1">
      <x:c r="A564" s="4" t="str">
        <x:v>Dmitriy Simashev</x:v>
      </x:c>
      <x:c r="B564" s="4" t="str">
        <x:v>dmitriysimashev</x:v>
      </x:c>
      <x:c r="C564" s="10" t="n">
        <x:v>0</x:v>
      </x:c>
      <x:c r="D564" s="10" t="n">
        <x:v>0</x:v>
      </x:c>
      <x:c r="E564" s="10" t="n">
        <x:v>1</x:v>
      </x:c>
      <x:c r="F564" s="4" t="str">
        <x:f>IF(COUNT(N564,Q564,T564,W564,Z564,AC564,AF564,AI564)=8,N564*Guide!$E$5+Q564*Guide!$E$6+T564*Guide!$E$7+W564*Guide!$E$8+Z564*Guide!$E$9+AC564*Guide!$E$10+AF564*Guide!$E$11+AI564*Guide!$E$12,"")</x:f>
      </x:c>
      <x:c r="G564" s="4" t="str">
        <x:f>IF(COUNT(O564,R564,U564,X564,AA564,AD564,AG564,AJ564)=8,O564*Guide!$E$5+R564*Guide!$E$6+U564*Guide!$E$7+X564*Guide!$E$8+AA564*Guide!$E$9+AD564*Guide!$E$10+AG564*Guide!$E$11+AJ564*Guide!$E$12,"")</x:f>
      </x:c>
      <x:c r="H564" s="4" t="str">
        <x:f>IF(COUNT(G564,F564)=2,G564-F564,"")</x:f>
      </x:c>
      <x:c r="I564" s="4" t="str">
        <x:f>IF(AND(ISNUMBER(F564),K564&gt;0),F564/K564,"")</x:f>
      </x:c>
      <x:c r="J564" s="4" t="str">
        <x:f>IF(AND(ISNUMBER(G564),L564&gt;0),G564/L564,"")</x:f>
      </x:c>
      <x:c r="K564" s="10"/>
      <x:c r="L564" s="10"/>
      <x:c r="M564" s="10" t="str">
        <x:f>IF(COUNT(L564,K564)=2,L564-K564,"")</x:f>
      </x:c>
      <x:c r="N564" s="10"/>
      <x:c r="O564" s="10"/>
      <x:c r="P564" s="10" t="str">
        <x:f>IF(COUNT(O564,N564)=2,O564-N564,"")</x:f>
      </x:c>
      <x:c r="Q564" s="10"/>
      <x:c r="R564" s="10"/>
      <x:c r="S564" s="10" t="str">
        <x:f>IF(COUNT(R564,Q564)=2,R564-Q564,"")</x:f>
      </x:c>
      <x:c r="T564" s="10"/>
      <x:c r="U564" s="10"/>
      <x:c r="V564" s="10" t="str">
        <x:f>IF(COUNT(U564,T564)=2,U564-T564,"")</x:f>
      </x:c>
      <x:c r="W564" s="10"/>
      <x:c r="X564" s="10" t="str">
        <x:f>IF(COUNT(AV564,AW564)=2,AV564+AW564,"")</x:f>
      </x:c>
      <x:c r="Y564" s="10" t="str">
        <x:f>IF(COUNT(X564,W564)=2,X564-W564,"")</x:f>
      </x:c>
      <x:c r="Z564" s="10"/>
      <x:c r="AA564" s="10" t="str">
        <x:f>IF(COUNT(AX564,AY564)=2,AX564+AY564,"")</x:f>
      </x:c>
      <x:c r="AB564" s="10" t="str">
        <x:f>IF(COUNT(AA564,Z564)=2,AA564-Z564,"")</x:f>
      </x:c>
      <x:c r="AC564" s="10"/>
      <x:c r="AD564" s="10"/>
      <x:c r="AE564" s="10" t="str">
        <x:f>IF(COUNT(AD564,AC564)=2,AD564-AC564,"")</x:f>
      </x:c>
      <x:c r="AF564" s="10"/>
      <x:c r="AG564" s="10"/>
      <x:c r="AH564" s="10" t="str">
        <x:f>IF(COUNT(AG564,AF564)=2,AG564-AF564,"")</x:f>
      </x:c>
      <x:c r="AI564" s="10"/>
      <x:c r="AJ564" s="10"/>
      <x:c r="AK564" s="10" t="str">
        <x:f>IF(COUNT(AJ564,AI564)=2,AJ564-AI564,"")</x:f>
      </x:c>
      <x:c r="AL564" s="10"/>
      <x:c r="AM564" s="10"/>
      <x:c r="AN564" s="4"/>
      <x:c r="AO564" s="4"/>
      <x:c r="AP564" s="4"/>
      <x:c r="AQ564" s="4"/>
      <x:c r="AR564" s="4"/>
      <x:c r="AS564" s="4"/>
      <x:c r="AT564" s="4"/>
      <x:c r="AU564" s="4"/>
      <x:c r="AV564" s="10"/>
      <x:c r="AW564" s="10"/>
      <x:c r="AX564" s="10"/>
      <x:c r="AY564" s="10"/>
      <x:c r="AZ564" s="10" t="n">
        <x:v>342</x:v>
      </x:c>
      <x:c r="BA564" s="10" t="n">
        <x:v>384</x:v>
      </x:c>
      <x:c r="BB564" s="4" t="n">
        <x:v>47.1</x:v>
      </x:c>
      <x:c r="BC564" s="4" t="n">
        <x:v>-7.5</x:v>
      </x:c>
      <x:c r="BD564" s="10" t="n">
        <x:v>258</x:v>
      </x:c>
      <x:c r="BE564" s="10" t="n">
        <x:v>268</x:v>
      </x:c>
      <x:c r="BF564" s="4" t="n">
        <x:v>49</x:v>
      </x:c>
      <x:c r="BG564" s="4" t="n">
        <x:v>-6.9</x:v>
      </x:c>
      <x:c r="BH564" s="4" t="n">
        <x:v>4</x:v>
      </x:c>
      <x:c r="BI564" s="4" t="n">
        <x:v>89.9</x:v>
      </x:c>
      <x:c r="BJ564" s="4" t="n">
        <x:v>93.9</x:v>
      </x:c>
      <x:c r="BK564" s="4" t="n">
        <x:v>50.4</x:v>
      </x:c>
      <x:c r="BL564" s="4" t="n">
        <x:v>49.6</x:v>
      </x:c>
      <x:c r="BM564" s="4" t="n">
        <x:v>15.1</x:v>
      </x:c>
      <x:c r="BN564" s="4" t="n">
        <x:v>14.916666666666666</x:v>
      </x:c>
      <x:c r="BO564" s="10" t="n">
        <x:v>1</x:v>
      </x:c>
      <x:c r="BP564" s="10" t="n">
        <x:v>30</x:v>
      </x:c>
      <x:c r="BQ564" s="4" t="n">
        <x:v>-1.2</x:v>
      </x:c>
      <x:c r="BR564" s="10" t="n">
        <x:v>50</x:v>
      </x:c>
      <x:c r="BS564" s="4" t="n">
        <x:v>52</x:v>
      </x:c>
      <x:c r="BT564" s="10" t="n">
        <x:v>28</x:v>
      </x:c>
      <x:c r="BU564" s="4" t="str">
        <x:v>UTA</x:v>
      </x:c>
      <x:c r="BV564" s="10"/>
      <x:c r="BW564" s="10"/>
      <x:c r="BX564" s="10" t="n">
        <x:v>935</x:v>
      </x:c>
      <x:c r="BY564" s="4"/>
      <x:c r="BZ564" s="4"/>
      <x:c r="CA564" s="4" t="str">
        <x:v>Dmitriy Simashev</x:v>
      </x:c>
      <x:c r="CB564" s="4" t="str">
        <x:v>simasdm01</x:v>
      </x:c>
    </x:row>
    <x:row r="565" ht="22" customHeight="1">
      <x:c r="A565" s="4" t="str">
        <x:v>Dmitry Kulikov</x:v>
      </x:c>
      <x:c r="B565" s="4" t="str">
        <x:v>dmitrykulikov</x:v>
      </x:c>
      <x:c r="C565" s="10" t="n">
        <x:v>1</x:v>
      </x:c>
      <x:c r="D565" s="10" t="n">
        <x:v>0</x:v>
      </x:c>
      <x:c r="E565" s="10" t="n">
        <x:v>1</x:v>
      </x:c>
      <x:c r="F565" s="4" t="n">
        <x:f>IF(COUNT(N565,Q565,T565,W565,Z565,AC565,AF565,AI565)=8,N565*Guide!$E$5+Q565*Guide!$E$6+T565*Guide!$E$7+W565*Guide!$E$8+Z565*Guide!$E$9+AC565*Guide!$E$10+AF565*Guide!$E$11+AI565*Guide!$E$12,"")</x:f>
        <x:v>194.25</x:v>
      </x:c>
      <x:c r="G565" s="4" t="str">
        <x:f>IF(COUNT(O565,R565,U565,X565,AA565,AD565,AG565,AJ565)=8,O565*Guide!$E$5+R565*Guide!$E$6+U565*Guide!$E$7+X565*Guide!$E$8+AA565*Guide!$E$9+AD565*Guide!$E$10+AG565*Guide!$E$11+AJ565*Guide!$E$12,"")</x:f>
      </x:c>
      <x:c r="H565" s="4" t="str">
        <x:f>IF(COUNT(G565,F565)=2,G565-F565,"")</x:f>
      </x:c>
      <x:c r="I565" s="4" t="n">
        <x:f>IF(AND(ISNUMBER(F565),K565&gt;0),F565/K565,"")</x:f>
        <x:v>2.4588607594936707</x:v>
      </x:c>
      <x:c r="J565" s="4" t="str">
        <x:f>IF(AND(ISNUMBER(G565),L565&gt;0),G565/L565,"")</x:f>
      </x:c>
      <x:c r="K565" s="10" t="n">
        <x:v>79</x:v>
      </x:c>
      <x:c r="L565" s="10"/>
      <x:c r="M565" s="10" t="str">
        <x:f>IF(COUNT(L565,K565)=2,L565-K565,"")</x:f>
      </x:c>
      <x:c r="N565" s="10" t="n">
        <x:v>4</x:v>
      </x:c>
      <x:c r="O565" s="10"/>
      <x:c r="P565" s="10" t="str">
        <x:f>IF(COUNT(O565,N565)=2,O565-N565,"")</x:f>
      </x:c>
      <x:c r="Q565" s="10" t="n">
        <x:v>16</x:v>
      </x:c>
      <x:c r="R565" s="10"/>
      <x:c r="S565" s="10" t="str">
        <x:f>IF(COUNT(R565,Q565)=2,R565-Q565,"")</x:f>
      </x:c>
      <x:c r="T565" s="10" t="n">
        <x:v>8</x:v>
      </x:c>
      <x:c r="U565" s="10"/>
      <x:c r="V565" s="10" t="str">
        <x:f>IF(COUNT(U565,T565)=2,U565-T565,"")</x:f>
      </x:c>
      <x:c r="W565" s="10" t="n">
        <x:v>1</x:v>
      </x:c>
      <x:c r="X565" s="10" t="str">
        <x:f>IF(COUNT(AV565,AW565)=2,AV565+AW565,"")</x:f>
      </x:c>
      <x:c r="Y565" s="10" t="str">
        <x:f>IF(COUNT(X565,W565)=2,X565-W565,"")</x:f>
      </x:c>
      <x:c r="Z565" s="10" t="n">
        <x:v>1</x:v>
      </x:c>
      <x:c r="AA565" s="10" t="str">
        <x:f>IF(COUNT(AX565,AY565)=2,AX565+AY565,"")</x:f>
      </x:c>
      <x:c r="AB565" s="10" t="str">
        <x:f>IF(COUNT(AA565,Z565)=2,AA565-Z565,"")</x:f>
      </x:c>
      <x:c r="AC565" s="10" t="n">
        <x:v>74</x:v>
      </x:c>
      <x:c r="AD565" s="10"/>
      <x:c r="AE565" s="10" t="str">
        <x:f>IF(COUNT(AD565,AC565)=2,AD565-AC565,"")</x:f>
      </x:c>
      <x:c r="AF565" s="10" t="n">
        <x:v>120</x:v>
      </x:c>
      <x:c r="AG565" s="10"/>
      <x:c r="AH565" s="10" t="str">
        <x:f>IF(COUNT(AG565,AF565)=2,AG565-AF565,"")</x:f>
      </x:c>
      <x:c r="AI565" s="10" t="n">
        <x:v>93</x:v>
      </x:c>
      <x:c r="AJ565" s="10"/>
      <x:c r="AK565" s="10" t="str">
        <x:f>IF(COUNT(AJ565,AI565)=2,AJ565-AI565,"")</x:f>
      </x:c>
      <x:c r="AL565" s="10" t="n">
        <x:v>35</x:v>
      </x:c>
      <x:c r="AM565" s="10"/>
      <x:c r="AN565" s="4" t="str">
        <x:v>D</x:v>
      </x:c>
      <x:c r="AO565" s="4"/>
      <x:c r="AP565" s="4" t="str">
        <x:v>FLA</x:v>
      </x:c>
      <x:c r="AQ565" s="4"/>
      <x:c r="AR565" s="4" t="n">
        <x:v>18.990000000000002</x:v>
      </x:c>
      <x:c r="AS565" s="4"/>
      <x:c r="AT565" s="4" t="n">
        <x:v>0.1</x:v>
      </x:c>
      <x:c r="AU565" s="4"/>
      <x:c r="AV565" s="10"/>
      <x:c r="AW565" s="10"/>
      <x:c r="AX565" s="10"/>
      <x:c r="AY565" s="10"/>
      <x:c r="AZ565" s="10" t="n">
        <x:v>285</x:v>
      </x:c>
      <x:c r="BA565" s="10" t="n">
        <x:v>267</x:v>
      </x:c>
      <x:c r="BB565" s="4" t="n">
        <x:v>51.6</x:v>
      </x:c>
      <x:c r="BC565" s="4" t="n">
        <x:v>-1.3</x:v>
      </x:c>
      <x:c r="BD565" s="10" t="n">
        <x:v>216</x:v>
      </x:c>
      <x:c r="BE565" s="10" t="n">
        <x:v>216</x:v>
      </x:c>
      <x:c r="BF565" s="4" t="n">
        <x:v>50</x:v>
      </x:c>
      <x:c r="BG565" s="4" t="n">
        <x:v>-2</x:v>
      </x:c>
      <x:c r="BH565" s="4" t="n">
        <x:v>8.4</x:v>
      </x:c>
      <x:c r="BI565" s="4" t="n">
        <x:v>90.2</x:v>
      </x:c>
      <x:c r="BJ565" s="4" t="n">
        <x:v>98.6</x:v>
      </x:c>
      <x:c r="BK565" s="4" t="n">
        <x:v>50.6</x:v>
      </x:c>
      <x:c r="BL565" s="4" t="n">
        <x:v>49.4</x:v>
      </x:c>
      <x:c r="BM565" s="4" t="n">
        <x:v>18.033333333333335</x:v>
      </x:c>
      <x:c r="BN565" s="4" t="n">
        <x:v>16.3</x:v>
      </x:c>
      <x:c r="BO565" s="10" t="n">
        <x:v>4</x:v>
      </x:c>
      <x:c r="BP565" s="10" t="n">
        <x:v>18</x:v>
      </x:c>
      <x:c r="BQ565" s="4" t="n">
        <x:v>-3.7</x:v>
      </x:c>
      <x:c r="BR565" s="10" t="n">
        <x:v>38</x:v>
      </x:c>
      <x:c r="BS565" s="4" t="n">
        <x:v>39.5</x:v>
      </x:c>
      <x:c r="BT565" s="10" t="n">
        <x:v>19</x:v>
      </x:c>
      <x:c r="BU565" s="4" t="str">
        <x:v>FLA</x:v>
      </x:c>
      <x:c r="BV565" s="10" t="n">
        <x:v>517</x:v>
      </x:c>
      <x:c r="BW565" s="10"/>
      <x:c r="BX565" s="10" t="n">
        <x:v>550</x:v>
      </x:c>
      <x:c r="BY565" s="4" t="str">
        <x:v>Dmitry Kulikov</x:v>
      </x:c>
      <x:c r="BZ565" s="4"/>
      <x:c r="CA565" s="4" t="str">
        <x:v>Dmitry Kulikov</x:v>
      </x:c>
      <x:c r="CB565" s="4" t="str">
        <x:v>kulikdm01</x:v>
      </x:c>
    </x:row>
    <x:row r="566" ht="22" customHeight="1">
      <x:c r="A566" s="4" t="str">
        <x:v>Domenick Fensore</x:v>
      </x:c>
      <x:c r="B566" s="4" t="str">
        <x:v>domenickfensore</x:v>
      </x:c>
      <x:c r="C566" s="10" t="n">
        <x:v>0</x:v>
      </x:c>
      <x:c r="D566" s="10" t="n">
        <x:v>0</x:v>
      </x:c>
      <x:c r="E566" s="10" t="n">
        <x:v>1</x:v>
      </x:c>
      <x:c r="F566" s="4" t="str">
        <x:f>IF(COUNT(N566,Q566,T566,W566,Z566,AC566,AF566,AI566)=8,N566*Guide!$E$5+Q566*Guide!$E$6+T566*Guide!$E$7+W566*Guide!$E$8+Z566*Guide!$E$9+AC566*Guide!$E$10+AF566*Guide!$E$11+AI566*Guide!$E$12,"")</x:f>
      </x:c>
      <x:c r="G566" s="4" t="str">
        <x:f>IF(COUNT(O566,R566,U566,X566,AA566,AD566,AG566,AJ566)=8,O566*Guide!$E$5+R566*Guide!$E$6+U566*Guide!$E$7+X566*Guide!$E$8+AA566*Guide!$E$9+AD566*Guide!$E$10+AG566*Guide!$E$11+AJ566*Guide!$E$12,"")</x:f>
      </x:c>
      <x:c r="H566" s="4" t="str">
        <x:f>IF(COUNT(G566,F566)=2,G566-F566,"")</x:f>
      </x:c>
      <x:c r="I566" s="4" t="str">
        <x:f>IF(AND(ISNUMBER(F566),K566&gt;0),F566/K566,"")</x:f>
      </x:c>
      <x:c r="J566" s="4" t="str">
        <x:f>IF(AND(ISNUMBER(G566),L566&gt;0),G566/L566,"")</x:f>
      </x:c>
      <x:c r="K566" s="10"/>
      <x:c r="L566" s="10"/>
      <x:c r="M566" s="10" t="str">
        <x:f>IF(COUNT(L566,K566)=2,L566-K566,"")</x:f>
      </x:c>
      <x:c r="N566" s="10"/>
      <x:c r="O566" s="10"/>
      <x:c r="P566" s="10" t="str">
        <x:f>IF(COUNT(O566,N566)=2,O566-N566,"")</x:f>
      </x:c>
      <x:c r="Q566" s="10"/>
      <x:c r="R566" s="10"/>
      <x:c r="S566" s="10" t="str">
        <x:f>IF(COUNT(R566,Q566)=2,R566-Q566,"")</x:f>
      </x:c>
      <x:c r="T566" s="10"/>
      <x:c r="U566" s="10"/>
      <x:c r="V566" s="10" t="str">
        <x:f>IF(COUNT(U566,T566)=2,U566-T566,"")</x:f>
      </x:c>
      <x:c r="W566" s="10"/>
      <x:c r="X566" s="10" t="str">
        <x:f>IF(COUNT(AV566,AW566)=2,AV566+AW566,"")</x:f>
      </x:c>
      <x:c r="Y566" s="10" t="str">
        <x:f>IF(COUNT(X566,W566)=2,X566-W566,"")</x:f>
      </x:c>
      <x:c r="Z566" s="10"/>
      <x:c r="AA566" s="10" t="str">
        <x:f>IF(COUNT(AX566,AY566)=2,AX566+AY566,"")</x:f>
      </x:c>
      <x:c r="AB566" s="10" t="str">
        <x:f>IF(COUNT(AA566,Z566)=2,AA566-Z566,"")</x:f>
      </x:c>
      <x:c r="AC566" s="10"/>
      <x:c r="AD566" s="10"/>
      <x:c r="AE566" s="10" t="str">
        <x:f>IF(COUNT(AD566,AC566)=2,AD566-AC566,"")</x:f>
      </x:c>
      <x:c r="AF566" s="10"/>
      <x:c r="AG566" s="10"/>
      <x:c r="AH566" s="10" t="str">
        <x:f>IF(COUNT(AG566,AF566)=2,AG566-AF566,"")</x:f>
      </x:c>
      <x:c r="AI566" s="10"/>
      <x:c r="AJ566" s="10"/>
      <x:c r="AK566" s="10" t="str">
        <x:f>IF(COUNT(AJ566,AI566)=2,AJ566-AI566,"")</x:f>
      </x:c>
      <x:c r="AL566" s="10"/>
      <x:c r="AM566" s="10"/>
      <x:c r="AN566" s="4"/>
      <x:c r="AO566" s="4"/>
      <x:c r="AP566" s="4"/>
      <x:c r="AQ566" s="4"/>
      <x:c r="AR566" s="4"/>
      <x:c r="AS566" s="4"/>
      <x:c r="AT566" s="4"/>
      <x:c r="AU566" s="4"/>
      <x:c r="AV566" s="10"/>
      <x:c r="AW566" s="10"/>
      <x:c r="AX566" s="10"/>
      <x:c r="AY566" s="10"/>
      <x:c r="AZ566" s="10" t="n">
        <x:v>10</x:v>
      </x:c>
      <x:c r="BA566" s="10" t="n">
        <x:v>21</x:v>
      </x:c>
      <x:c r="BB566" s="4" t="n">
        <x:v>32.3</x:v>
      </x:c>
      <x:c r="BC566" s="4" t="n">
        <x:v>-22.3</x:v>
      </x:c>
      <x:c r="BD566" s="10" t="n">
        <x:v>6</x:v>
      </x:c>
      <x:c r="BE566" s="10" t="n">
        <x:v>15</x:v>
      </x:c>
      <x:c r="BF566" s="4" t="n">
        <x:v>28.6</x:v>
      </x:c>
      <x:c r="BG566" s="4" t="n">
        <x:v>-22.3</x:v>
      </x:c>
      <x:c r="BH566" s="4" t="n">
        <x:v>0</x:v>
      </x:c>
      <x:c r="BI566" s="4" t="n">
        <x:v>80</x:v>
      </x:c>
      <x:c r="BJ566" s="4" t="n">
        <x:v>80</x:v>
      </x:c>
      <x:c r="BK566" s="4" t="n">
        <x:v>54.5</x:v>
      </x:c>
      <x:c r="BL566" s="4" t="n">
        <x:v>45.5</x:v>
      </x:c>
      <x:c r="BM566" s="4" t="n">
        <x:v>19.366666666666667</x:v>
      </x:c>
      <x:c r="BN566" s="4" t="n">
        <x:v>18.283333333333335</x:v>
      </x:c>
      <x:c r="BO566" s="10" t="n">
        <x:v>0</x:v>
      </x:c>
      <x:c r="BP566" s="10" t="n">
        <x:v>0</x:v>
      </x:c>
      <x:c r="BQ566" s="4" t="n">
        <x:v>-0.9</x:v>
      </x:c>
      <x:c r="BR566" s="10" t="n">
        <x:v>5</x:v>
      </x:c>
      <x:c r="BS566" s="4" t="n">
        <x:v>40</x:v>
      </x:c>
      <x:c r="BT566" s="10" t="n">
        <x:v>1</x:v>
      </x:c>
      <x:c r="BU566" s="4" t="str">
        <x:v>CAR</x:v>
      </x:c>
      <x:c r="BV566" s="10"/>
      <x:c r="BW566" s="10"/>
      <x:c r="BX566" s="10" t="n">
        <x:v>288</x:v>
      </x:c>
      <x:c r="BY566" s="4"/>
      <x:c r="BZ566" s="4"/>
      <x:c r="CA566" s="4" t="str">
        <x:v>Domenick Fensore</x:v>
      </x:c>
      <x:c r="CB566" s="4" t="str">
        <x:v>fensodo01</x:v>
      </x:c>
    </x:row>
    <x:row r="567" ht="22" customHeight="1">
      <x:c r="A567" s="4" t="str">
        <x:v>Dominic James</x:v>
      </x:c>
      <x:c r="B567" s="4" t="str">
        <x:v>dominicjames</x:v>
      </x:c>
      <x:c r="C567" s="10" t="n">
        <x:v>0</x:v>
      </x:c>
      <x:c r="D567" s="10" t="n">
        <x:v>0</x:v>
      </x:c>
      <x:c r="E567" s="10" t="n">
        <x:v>1</x:v>
      </x:c>
      <x:c r="F567" s="4" t="str">
        <x:f>IF(COUNT(N567,Q567,T567,W567,Z567,AC567,AF567,AI567)=8,N567*Guide!$E$5+Q567*Guide!$E$6+T567*Guide!$E$7+W567*Guide!$E$8+Z567*Guide!$E$9+AC567*Guide!$E$10+AF567*Guide!$E$11+AI567*Guide!$E$12,"")</x:f>
      </x:c>
      <x:c r="G567" s="4" t="str">
        <x:f>IF(COUNT(O567,R567,U567,X567,AA567,AD567,AG567,AJ567)=8,O567*Guide!$E$5+R567*Guide!$E$6+U567*Guide!$E$7+X567*Guide!$E$8+AA567*Guide!$E$9+AD567*Guide!$E$10+AG567*Guide!$E$11+AJ567*Guide!$E$12,"")</x:f>
      </x:c>
      <x:c r="H567" s="4" t="str">
        <x:f>IF(COUNT(G567,F567)=2,G567-F567,"")</x:f>
      </x:c>
      <x:c r="I567" s="4" t="str">
        <x:f>IF(AND(ISNUMBER(F567),K567&gt;0),F567/K567,"")</x:f>
      </x:c>
      <x:c r="J567" s="4" t="str">
        <x:f>IF(AND(ISNUMBER(G567),L567&gt;0),G567/L567,"")</x:f>
      </x:c>
      <x:c r="K567" s="10"/>
      <x:c r="L567" s="10"/>
      <x:c r="M567" s="10" t="str">
        <x:f>IF(COUNT(L567,K567)=2,L567-K567,"")</x:f>
      </x:c>
      <x:c r="N567" s="10"/>
      <x:c r="O567" s="10"/>
      <x:c r="P567" s="10" t="str">
        <x:f>IF(COUNT(O567,N567)=2,O567-N567,"")</x:f>
      </x:c>
      <x:c r="Q567" s="10"/>
      <x:c r="R567" s="10"/>
      <x:c r="S567" s="10" t="str">
        <x:f>IF(COUNT(R567,Q567)=2,R567-Q567,"")</x:f>
      </x:c>
      <x:c r="T567" s="10"/>
      <x:c r="U567" s="10"/>
      <x:c r="V567" s="10" t="str">
        <x:f>IF(COUNT(U567,T567)=2,U567-T567,"")</x:f>
      </x:c>
      <x:c r="W567" s="10"/>
      <x:c r="X567" s="10" t="str">
        <x:f>IF(COUNT(AV567,AW567)=2,AV567+AW567,"")</x:f>
      </x:c>
      <x:c r="Y567" s="10" t="str">
        <x:f>IF(COUNT(X567,W567)=2,X567-W567,"")</x:f>
      </x:c>
      <x:c r="Z567" s="10"/>
      <x:c r="AA567" s="10" t="str">
        <x:f>IF(COUNT(AX567,AY567)=2,AX567+AY567,"")</x:f>
      </x:c>
      <x:c r="AB567" s="10" t="str">
        <x:f>IF(COUNT(AA567,Z567)=2,AA567-Z567,"")</x:f>
      </x:c>
      <x:c r="AC567" s="10"/>
      <x:c r="AD567" s="10"/>
      <x:c r="AE567" s="10" t="str">
        <x:f>IF(COUNT(AD567,AC567)=2,AD567-AC567,"")</x:f>
      </x:c>
      <x:c r="AF567" s="10"/>
      <x:c r="AG567" s="10"/>
      <x:c r="AH567" s="10" t="str">
        <x:f>IF(COUNT(AG567,AF567)=2,AG567-AF567,"")</x:f>
      </x:c>
      <x:c r="AI567" s="10"/>
      <x:c r="AJ567" s="10"/>
      <x:c r="AK567" s="10" t="str">
        <x:f>IF(COUNT(AJ567,AI567)=2,AJ567-AI567,"")</x:f>
      </x:c>
      <x:c r="AL567" s="10"/>
      <x:c r="AM567" s="10"/>
      <x:c r="AN567" s="4"/>
      <x:c r="AO567" s="4"/>
      <x:c r="AP567" s="4"/>
      <x:c r="AQ567" s="4"/>
      <x:c r="AR567" s="4"/>
      <x:c r="AS567" s="4"/>
      <x:c r="AT567" s="4"/>
      <x:c r="AU567" s="4"/>
      <x:c r="AV567" s="10"/>
      <x:c r="AW567" s="10"/>
      <x:c r="AX567" s="10"/>
      <x:c r="AY567" s="10"/>
      <x:c r="AZ567" s="10" t="n">
        <x:v>463</x:v>
      </x:c>
      <x:c r="BA567" s="10" t="n">
        <x:v>404</x:v>
      </x:c>
      <x:c r="BB567" s="4" t="n">
        <x:v>53.4</x:v>
      </x:c>
      <x:c r="BC567" s="4" t="n">
        <x:v>-1</x:v>
      </x:c>
      <x:c r="BD567" s="10" t="n">
        <x:v>324</x:v>
      </x:c>
      <x:c r="BE567" s="10" t="n">
        <x:v>300</x:v>
      </x:c>
      <x:c r="BF567" s="4" t="n">
        <x:v>51.9</x:v>
      </x:c>
      <x:c r="BG567" s="4" t="n">
        <x:v>-2.5</x:v>
      </x:c>
      <x:c r="BH567" s="4" t="n">
        <x:v>9.7</x:v>
      </x:c>
      <x:c r="BI567" s="4" t="n">
        <x:v>92.1</x:v>
      </x:c>
      <x:c r="BJ567" s="4" t="n">
        <x:v>101.8</x:v>
      </x:c>
      <x:c r="BK567" s="4" t="n">
        <x:v>57.4</x:v>
      </x:c>
      <x:c r="BL567" s="4" t="n">
        <x:v>42.6</x:v>
      </x:c>
      <x:c r="BM567" s="4" t="n">
        <x:v>12.233333333333333</x:v>
      </x:c>
      <x:c r="BN567" s="4" t="n">
        <x:v>11.483333333333333</x:v>
      </x:c>
      <x:c r="BO567" s="10" t="n">
        <x:v>14</x:v>
      </x:c>
      <x:c r="BP567" s="10" t="n">
        <x:v>41</x:v>
      </x:c>
      <x:c r="BQ567" s="4" t="n">
        <x:v>1.6</x:v>
      </x:c>
      <x:c r="BR567" s="10" t="n">
        <x:v>113</x:v>
      </x:c>
      <x:c r="BS567" s="4" t="n">
        <x:v>49.6</x:v>
      </x:c>
      <x:c r="BT567" s="10" t="n">
        <x:v>43</x:v>
      </x:c>
      <x:c r="BU567" s="4" t="str">
        <x:v>TBL</x:v>
      </x:c>
      <x:c r="BV567" s="10"/>
      <x:c r="BW567" s="10"/>
      <x:c r="BX567" s="10" t="n">
        <x:v>453</x:v>
      </x:c>
      <x:c r="BY567" s="4"/>
      <x:c r="BZ567" s="4"/>
      <x:c r="CA567" s="4" t="str">
        <x:v>Dominic James</x:v>
      </x:c>
      <x:c r="CB567" s="4" t="str">
        <x:v>jamesdo01</x:v>
      </x:c>
    </x:row>
    <x:row r="568" ht="22" customHeight="1">
      <x:c r="A568" s="4" t="str">
        <x:v>Dominic Toninato</x:v>
      </x:c>
      <x:c r="B568" s="4" t="str">
        <x:v>dominictoninato</x:v>
      </x:c>
      <x:c r="C568" s="10" t="n">
        <x:v>1</x:v>
      </x:c>
      <x:c r="D568" s="10" t="n">
        <x:v>0</x:v>
      </x:c>
      <x:c r="E568" s="10" t="n">
        <x:v>1</x:v>
      </x:c>
      <x:c r="F568" s="4" t="n">
        <x:f>IF(COUNT(N568,Q568,T568,W568,Z568,AC568,AF568,AI568)=8,N568*Guide!$E$5+Q568*Guide!$E$6+T568*Guide!$E$7+W568*Guide!$E$8+Z568*Guide!$E$9+AC568*Guide!$E$10+AF568*Guide!$E$11+AI568*Guide!$E$12,"")</x:f>
        <x:v>106</x:v>
      </x:c>
      <x:c r="G568" s="4" t="str">
        <x:f>IF(COUNT(O568,R568,U568,X568,AA568,AD568,AG568,AJ568)=8,O568*Guide!$E$5+R568*Guide!$E$6+U568*Guide!$E$7+X568*Guide!$E$8+AA568*Guide!$E$9+AD568*Guide!$E$10+AG568*Guide!$E$11+AJ568*Guide!$E$12,"")</x:f>
      </x:c>
      <x:c r="H568" s="4" t="str">
        <x:f>IF(COUNT(G568,F568)=2,G568-F568,"")</x:f>
      </x:c>
      <x:c r="I568" s="4" t="n">
        <x:f>IF(AND(ISNUMBER(F568),K568&gt;0),F568/K568,"")</x:f>
        <x:v>2.0384615384615383</x:v>
      </x:c>
      <x:c r="J568" s="4" t="str">
        <x:f>IF(AND(ISNUMBER(G568),L568&gt;0),G568/L568,"")</x:f>
      </x:c>
      <x:c r="K568" s="10" t="n">
        <x:v>52</x:v>
      </x:c>
      <x:c r="L568" s="10"/>
      <x:c r="M568" s="10" t="str">
        <x:f>IF(COUNT(L568,K568)=2,L568-K568,"")</x:f>
      </x:c>
      <x:c r="N568" s="10" t="n">
        <x:v>7</x:v>
      </x:c>
      <x:c r="O568" s="10"/>
      <x:c r="P568" s="10" t="str">
        <x:f>IF(COUNT(O568,N568)=2,O568-N568,"")</x:f>
      </x:c>
      <x:c r="Q568" s="10" t="n">
        <x:v>9</x:v>
      </x:c>
      <x:c r="R568" s="10"/>
      <x:c r="S568" s="10" t="str">
        <x:f>IF(COUNT(R568,Q568)=2,R568-Q568,"")</x:f>
      </x:c>
      <x:c r="T568" s="10" t="n">
        <x:v>0</x:v>
      </x:c>
      <x:c r="U568" s="10"/>
      <x:c r="V568" s="10" t="str">
        <x:f>IF(COUNT(U568,T568)=2,U568-T568,"")</x:f>
      </x:c>
      <x:c r="W568" s="10" t="n">
        <x:v>0</x:v>
      </x:c>
      <x:c r="X568" s="10" t="str">
        <x:f>IF(COUNT(AV568,AW568)=2,AV568+AW568,"")</x:f>
      </x:c>
      <x:c r="Y568" s="10" t="str">
        <x:f>IF(COUNT(X568,W568)=2,X568-W568,"")</x:f>
      </x:c>
      <x:c r="Z568" s="10" t="n">
        <x:v>0</x:v>
      </x:c>
      <x:c r="AA568" s="10" t="str">
        <x:f>IF(COUNT(AX568,AY568)=2,AX568+AY568,"")</x:f>
      </x:c>
      <x:c r="AB568" s="10" t="str">
        <x:f>IF(COUNT(AA568,Z568)=2,AA568-Z568,"")</x:f>
      </x:c>
      <x:c r="AC568" s="10" t="n">
        <x:v>50</x:v>
      </x:c>
      <x:c r="AD568" s="10"/>
      <x:c r="AE568" s="10" t="str">
        <x:f>IF(COUNT(AD568,AC568)=2,AD568-AC568,"")</x:f>
      </x:c>
      <x:c r="AF568" s="10" t="n">
        <x:v>76</x:v>
      </x:c>
      <x:c r="AG568" s="10"/>
      <x:c r="AH568" s="10" t="str">
        <x:f>IF(COUNT(AG568,AF568)=2,AG568-AF568,"")</x:f>
      </x:c>
      <x:c r="AI568" s="10" t="n">
        <x:v>26</x:v>
      </x:c>
      <x:c r="AJ568" s="10"/>
      <x:c r="AK568" s="10" t="str">
        <x:f>IF(COUNT(AJ568,AI568)=2,AJ568-AI568,"")</x:f>
      </x:c>
      <x:c r="AL568" s="10" t="n">
        <x:v>31</x:v>
      </x:c>
      <x:c r="AM568" s="10"/>
      <x:c r="AN568" s="4" t="str">
        <x:v>C</x:v>
      </x:c>
      <x:c r="AO568" s="4"/>
      <x:c r="AP568" s="4" t="str">
        <x:v>CHI</x:v>
      </x:c>
      <x:c r="AQ568" s="4"/>
      <x:c r="AR568" s="4" t="n">
        <x:v>10.260000000000002</x:v>
      </x:c>
      <x:c r="AS568" s="4"/>
      <x:c r="AT568" s="4" t="n">
        <x:v>0</x:v>
      </x:c>
      <x:c r="AU568" s="4"/>
      <x:c r="AV568" s="10"/>
      <x:c r="AW568" s="10"/>
      <x:c r="AX568" s="10"/>
      <x:c r="AY568" s="10"/>
      <x:c r="AZ568" s="10" t="n">
        <x:v>68</x:v>
      </x:c>
      <x:c r="BA568" s="10" t="n">
        <x:v>52</x:v>
      </x:c>
      <x:c r="BB568" s="4" t="n">
        <x:v>56.7</x:v>
      </x:c>
      <x:c r="BC568" s="4" t="n">
        <x:v>11.7</x:v>
      </x:c>
      <x:c r="BD568" s="10" t="n">
        <x:v>47</x:v>
      </x:c>
      <x:c r="BE568" s="10" t="n">
        <x:v>39</x:v>
      </x:c>
      <x:c r="BF568" s="4" t="n">
        <x:v>54.7</x:v>
      </x:c>
      <x:c r="BG568" s="4" t="n">
        <x:v>12</x:v>
      </x:c>
      <x:c r="BH568" s="4" t="n">
        <x:v>3.2</x:v>
      </x:c>
      <x:c r="BI568" s="4" t="n">
        <x:v>95.7</x:v>
      </x:c>
      <x:c r="BJ568" s="4" t="n">
        <x:v>98.9</x:v>
      </x:c>
      <x:c r="BK568" s="4" t="n">
        <x:v>50</x:v>
      </x:c>
      <x:c r="BL568" s="4" t="n">
        <x:v>50</x:v>
      </x:c>
      <x:c r="BM568" s="4" t="n">
        <x:v>9.15</x:v>
      </x:c>
      <x:c r="BN568" s="4" t="n">
        <x:v>9.15</x:v>
      </x:c>
      <x:c r="BO568" s="10" t="n">
        <x:v>2</x:v>
      </x:c>
      <x:c r="BP568" s="10" t="n">
        <x:v>2</x:v>
      </x:c>
      <x:c r="BQ568" s="4" t="n">
        <x:v>-0.2</x:v>
      </x:c>
      <x:c r="BR568" s="10" t="n">
        <x:v>16</x:v>
      </x:c>
      <x:c r="BS568" s="4" t="n">
        <x:v>50</x:v>
      </x:c>
      <x:c r="BT568" s="10" t="n">
        <x:v>8</x:v>
      </x:c>
      <x:c r="BU568" s="4" t="str">
        <x:v>CHI</x:v>
      </x:c>
      <x:c r="BV568" s="10" t="n">
        <x:v>618</x:v>
      </x:c>
      <x:c r="BW568" s="10"/>
      <x:c r="BX568" s="10" t="n">
        <x:v>1026</x:v>
      </x:c>
      <x:c r="BY568" s="4" t="str">
        <x:v>Dominic Toninato</x:v>
      </x:c>
      <x:c r="BZ568" s="4"/>
      <x:c r="CA568" s="4" t="str">
        <x:v>Dominic Toninato</x:v>
      </x:c>
      <x:c r="CB568" s="4" t="str">
        <x:v>tonindo01</x:v>
      </x:c>
    </x:row>
    <x:row r="569" ht="22" customHeight="1">
      <x:c r="A569" s="4" t="str">
        <x:v>Dominik Shine</x:v>
      </x:c>
      <x:c r="B569" s="4" t="str">
        <x:v>dominikshine</x:v>
      </x:c>
      <x:c r="C569" s="10" t="n">
        <x:v>0</x:v>
      </x:c>
      <x:c r="D569" s="10" t="n">
        <x:v>0</x:v>
      </x:c>
      <x:c r="E569" s="10" t="n">
        <x:v>1</x:v>
      </x:c>
      <x:c r="F569" s="4" t="str">
        <x:f>IF(COUNT(N569,Q569,T569,W569,Z569,AC569,AF569,AI569)=8,N569*Guide!$E$5+Q569*Guide!$E$6+T569*Guide!$E$7+W569*Guide!$E$8+Z569*Guide!$E$9+AC569*Guide!$E$10+AF569*Guide!$E$11+AI569*Guide!$E$12,"")</x:f>
      </x:c>
      <x:c r="G569" s="4" t="str">
        <x:f>IF(COUNT(O569,R569,U569,X569,AA569,AD569,AG569,AJ569)=8,O569*Guide!$E$5+R569*Guide!$E$6+U569*Guide!$E$7+X569*Guide!$E$8+AA569*Guide!$E$9+AD569*Guide!$E$10+AG569*Guide!$E$11+AJ569*Guide!$E$12,"")</x:f>
      </x:c>
      <x:c r="H569" s="4" t="str">
        <x:f>IF(COUNT(G569,F569)=2,G569-F569,"")</x:f>
      </x:c>
      <x:c r="I569" s="4" t="str">
        <x:f>IF(AND(ISNUMBER(F569),K569&gt;0),F569/K569,"")</x:f>
      </x:c>
      <x:c r="J569" s="4" t="str">
        <x:f>IF(AND(ISNUMBER(G569),L569&gt;0),G569/L569,"")</x:f>
      </x:c>
      <x:c r="K569" s="10"/>
      <x:c r="L569" s="10"/>
      <x:c r="M569" s="10" t="str">
        <x:f>IF(COUNT(L569,K569)=2,L569-K569,"")</x:f>
      </x:c>
      <x:c r="N569" s="10"/>
      <x:c r="O569" s="10"/>
      <x:c r="P569" s="10" t="str">
        <x:f>IF(COUNT(O569,N569)=2,O569-N569,"")</x:f>
      </x:c>
      <x:c r="Q569" s="10"/>
      <x:c r="R569" s="10"/>
      <x:c r="S569" s="10" t="str">
        <x:f>IF(COUNT(R569,Q569)=2,R569-Q569,"")</x:f>
      </x:c>
      <x:c r="T569" s="10"/>
      <x:c r="U569" s="10"/>
      <x:c r="V569" s="10" t="str">
        <x:f>IF(COUNT(U569,T569)=2,U569-T569,"")</x:f>
      </x:c>
      <x:c r="W569" s="10"/>
      <x:c r="X569" s="10" t="str">
        <x:f>IF(COUNT(AV569,AW569)=2,AV569+AW569,"")</x:f>
      </x:c>
      <x:c r="Y569" s="10" t="str">
        <x:f>IF(COUNT(X569,W569)=2,X569-W569,"")</x:f>
      </x:c>
      <x:c r="Z569" s="10"/>
      <x:c r="AA569" s="10" t="str">
        <x:f>IF(COUNT(AX569,AY569)=2,AX569+AY569,"")</x:f>
      </x:c>
      <x:c r="AB569" s="10" t="str">
        <x:f>IF(COUNT(AA569,Z569)=2,AA569-Z569,"")</x:f>
      </x:c>
      <x:c r="AC569" s="10"/>
      <x:c r="AD569" s="10"/>
      <x:c r="AE569" s="10" t="str">
        <x:f>IF(COUNT(AD569,AC569)=2,AD569-AC569,"")</x:f>
      </x:c>
      <x:c r="AF569" s="10"/>
      <x:c r="AG569" s="10"/>
      <x:c r="AH569" s="10" t="str">
        <x:f>IF(COUNT(AG569,AF569)=2,AG569-AF569,"")</x:f>
      </x:c>
      <x:c r="AI569" s="10"/>
      <x:c r="AJ569" s="10"/>
      <x:c r="AK569" s="10" t="str">
        <x:f>IF(COUNT(AJ569,AI569)=2,AJ569-AI569,"")</x:f>
      </x:c>
      <x:c r="AL569" s="10"/>
      <x:c r="AM569" s="10"/>
      <x:c r="AN569" s="4"/>
      <x:c r="AO569" s="4"/>
      <x:c r="AP569" s="4"/>
      <x:c r="AQ569" s="4"/>
      <x:c r="AR569" s="4"/>
      <x:c r="AS569" s="4"/>
      <x:c r="AT569" s="4"/>
      <x:c r="AU569" s="4"/>
      <x:c r="AV569" s="10"/>
      <x:c r="AW569" s="10"/>
      <x:c r="AX569" s="10"/>
      <x:c r="AY569" s="10"/>
      <x:c r="AZ569" s="10" t="n">
        <x:v>85</x:v>
      </x:c>
      <x:c r="BA569" s="10" t="n">
        <x:v>141</x:v>
      </x:c>
      <x:c r="BB569" s="4" t="n">
        <x:v>37.6</x:v>
      </x:c>
      <x:c r="BC569" s="4" t="n">
        <x:v>-10.8</x:v>
      </x:c>
      <x:c r="BD569" s="10" t="n">
        <x:v>65</x:v>
      </x:c>
      <x:c r="BE569" s="10" t="n">
        <x:v>103</x:v>
      </x:c>
      <x:c r="BF569" s="4" t="n">
        <x:v>38.7</x:v>
      </x:c>
      <x:c r="BG569" s="4" t="n">
        <x:v>-11.8</x:v>
      </x:c>
      <x:c r="BH569" s="4" t="n">
        <x:v>8.7</x:v>
      </x:c>
      <x:c r="BI569" s="4" t="n">
        <x:v>93.7</x:v>
      </x:c>
      <x:c r="BJ569" s="4" t="n">
        <x:v>102.3</x:v>
      </x:c>
      <x:c r="BK569" s="4" t="n">
        <x:v>43.8</x:v>
      </x:c>
      <x:c r="BL569" s="4" t="n">
        <x:v>56.3</x:v>
      </x:c>
      <x:c r="BM569" s="4" t="n">
        <x:v>6.933333333333334</x:v>
      </x:c>
      <x:c r="BN569" s="4" t="n">
        <x:v>6.783333333333333</x:v>
      </x:c>
      <x:c r="BO569" s="10" t="n">
        <x:v>6</x:v>
      </x:c>
      <x:c r="BP569" s="10" t="n">
        <x:v>8</x:v>
      </x:c>
      <x:c r="BQ569" s="4" t="n">
        <x:v>-1.1</x:v>
      </x:c>
      <x:c r="BR569" s="10" t="n">
        <x:v>19</x:v>
      </x:c>
      <x:c r="BS569" s="4" t="n">
        <x:v>68.4</x:v>
      </x:c>
      <x:c r="BT569" s="10" t="n">
        <x:v>18</x:v>
      </x:c>
      <x:c r="BU569" s="4" t="str">
        <x:v>DET</x:v>
      </x:c>
      <x:c r="BV569" s="10"/>
      <x:c r="BW569" s="10"/>
      <x:c r="BX569" s="10" t="n">
        <x:v>932</x:v>
      </x:c>
      <x:c r="BY569" s="4"/>
      <x:c r="BZ569" s="4"/>
      <x:c r="CA569" s="4" t="str">
        <x:v>Dominik Shine</x:v>
      </x:c>
      <x:c r="CB569" s="4" t="str">
        <x:v>shinedo01</x:v>
      </x:c>
    </x:row>
    <x:row r="570" ht="22" customHeight="1">
      <x:c r="A570" s="4" t="str">
        <x:v>Donovan Sebrango</x:v>
      </x:c>
      <x:c r="B570" s="4" t="str">
        <x:v>donovansebrango</x:v>
      </x:c>
      <x:c r="C570" s="10" t="n">
        <x:v>0</x:v>
      </x:c>
      <x:c r="D570" s="10" t="n">
        <x:v>0</x:v>
      </x:c>
      <x:c r="E570" s="10" t="n">
        <x:v>1</x:v>
      </x:c>
      <x:c r="F570" s="4" t="str">
        <x:f>IF(COUNT(N570,Q570,T570,W570,Z570,AC570,AF570,AI570)=8,N570*Guide!$E$5+Q570*Guide!$E$6+T570*Guide!$E$7+W570*Guide!$E$8+Z570*Guide!$E$9+AC570*Guide!$E$10+AF570*Guide!$E$11+AI570*Guide!$E$12,"")</x:f>
      </x:c>
      <x:c r="G570" s="4" t="str">
        <x:f>IF(COUNT(O570,R570,U570,X570,AA570,AD570,AG570,AJ570)=8,O570*Guide!$E$5+R570*Guide!$E$6+U570*Guide!$E$7+X570*Guide!$E$8+AA570*Guide!$E$9+AD570*Guide!$E$10+AG570*Guide!$E$11+AJ570*Guide!$E$12,"")</x:f>
      </x:c>
      <x:c r="H570" s="4" t="str">
        <x:f>IF(COUNT(G570,F570)=2,G570-F570,"")</x:f>
      </x:c>
      <x:c r="I570" s="4" t="str">
        <x:f>IF(AND(ISNUMBER(F570),K570&gt;0),F570/K570,"")</x:f>
      </x:c>
      <x:c r="J570" s="4" t="str">
        <x:f>IF(AND(ISNUMBER(G570),L570&gt;0),G570/L570,"")</x:f>
      </x:c>
      <x:c r="K570" s="10"/>
      <x:c r="L570" s="10"/>
      <x:c r="M570" s="10" t="str">
        <x:f>IF(COUNT(L570,K570)=2,L570-K570,"")</x:f>
      </x:c>
      <x:c r="N570" s="10"/>
      <x:c r="O570" s="10"/>
      <x:c r="P570" s="10" t="str">
        <x:f>IF(COUNT(O570,N570)=2,O570-N570,"")</x:f>
      </x:c>
      <x:c r="Q570" s="10"/>
      <x:c r="R570" s="10"/>
      <x:c r="S570" s="10" t="str">
        <x:f>IF(COUNT(R570,Q570)=2,R570-Q570,"")</x:f>
      </x:c>
      <x:c r="T570" s="10"/>
      <x:c r="U570" s="10"/>
      <x:c r="V570" s="10" t="str">
        <x:f>IF(COUNT(U570,T570)=2,U570-T570,"")</x:f>
      </x:c>
      <x:c r="W570" s="10"/>
      <x:c r="X570" s="10" t="str">
        <x:f>IF(COUNT(AV570,AW570)=2,AV570+AW570,"")</x:f>
      </x:c>
      <x:c r="Y570" s="10" t="str">
        <x:f>IF(COUNT(X570,W570)=2,X570-W570,"")</x:f>
      </x:c>
      <x:c r="Z570" s="10"/>
      <x:c r="AA570" s="10" t="str">
        <x:f>IF(COUNT(AX570,AY570)=2,AX570+AY570,"")</x:f>
      </x:c>
      <x:c r="AB570" s="10" t="str">
        <x:f>IF(COUNT(AA570,Z570)=2,AA570-Z570,"")</x:f>
      </x:c>
      <x:c r="AC570" s="10"/>
      <x:c r="AD570" s="10"/>
      <x:c r="AE570" s="10" t="str">
        <x:f>IF(COUNT(AD570,AC570)=2,AD570-AC570,"")</x:f>
      </x:c>
      <x:c r="AF570" s="10"/>
      <x:c r="AG570" s="10"/>
      <x:c r="AH570" s="10" t="str">
        <x:f>IF(COUNT(AG570,AF570)=2,AG570-AF570,"")</x:f>
      </x:c>
      <x:c r="AI570" s="10"/>
      <x:c r="AJ570" s="10"/>
      <x:c r="AK570" s="10" t="str">
        <x:f>IF(COUNT(AJ570,AI570)=2,AJ570-AI570,"")</x:f>
      </x:c>
      <x:c r="AL570" s="10"/>
      <x:c r="AM570" s="10"/>
      <x:c r="AN570" s="4"/>
      <x:c r="AO570" s="4"/>
      <x:c r="AP570" s="4"/>
      <x:c r="AQ570" s="4"/>
      <x:c r="AR570" s="4"/>
      <x:c r="AS570" s="4"/>
      <x:c r="AT570" s="4"/>
      <x:c r="AU570" s="4"/>
      <x:c r="AV570" s="10"/>
      <x:c r="AW570" s="10"/>
      <x:c r="AX570" s="10"/>
      <x:c r="AY570" s="10"/>
      <x:c r="AZ570" s="10" t="n">
        <x:v>562</x:v>
      </x:c>
      <x:c r="BA570" s="10" t="n">
        <x:v>570</x:v>
      </x:c>
      <x:c r="BB570" s="4" t="n">
        <x:v>49.6</x:v>
      </x:c>
      <x:c r="BC570" s="4" t="n">
        <x:v>-2.3</x:v>
      </x:c>
      <x:c r="BD570" s="10" t="n">
        <x:v>414</x:v>
      </x:c>
      <x:c r="BE570" s="10" t="n">
        <x:v>421</x:v>
      </x:c>
      <x:c r="BF570" s="4" t="n">
        <x:v>49.6</x:v>
      </x:c>
      <x:c r="BG570" s="4" t="n">
        <x:v>-1.3</x:v>
      </x:c>
      <x:c r="BH570" s="4" t="n">
        <x:v>11.5</x:v>
      </x:c>
      <x:c r="BI570" s="4" t="n">
        <x:v>88.5</x:v>
      </x:c>
      <x:c r="BJ570" s="4" t="n">
        <x:v>100</x:v>
      </x:c>
      <x:c r="BK570" s="4" t="n">
        <x:v>52.4</x:v>
      </x:c>
      <x:c r="BL570" s="4" t="n">
        <x:v>47.6</x:v>
      </x:c>
      <x:c r="BM570" s="4" t="n">
        <x:v>15.1</x:v>
      </x:c>
      <x:c r="BN570" s="4" t="n">
        <x:v>14.3</x:v>
      </x:c>
      <x:c r="BO570" s="10" t="n">
        <x:v>5</x:v>
      </x:c>
      <x:c r="BP570" s="10" t="n">
        <x:v>27</x:v>
      </x:c>
      <x:c r="BQ570" s="4" t="n">
        <x:v>-6.9</x:v>
      </x:c>
      <x:c r="BR570" s="10" t="n">
        <x:v>100</x:v>
      </x:c>
      <x:c r="BS570" s="4" t="n">
        <x:v>33</x:v>
      </x:c>
      <x:c r="BT570" s="10" t="n">
        <x:v>42</x:v>
      </x:c>
      <x:c r="BU570" s="4" t="str">
        <x:v>TOT</x:v>
      </x:c>
      <x:c r="BV570" s="10"/>
      <x:c r="BW570" s="10"/>
      <x:c r="BX570" s="10" t="n">
        <x:v>915</x:v>
      </x:c>
      <x:c r="BY570" s="4"/>
      <x:c r="BZ570" s="4"/>
      <x:c r="CA570" s="4" t="str">
        <x:v>Donovan Sebrango</x:v>
      </x:c>
      <x:c r="CB570" s="4" t="str">
        <x:v>sebrado01</x:v>
      </x:c>
    </x:row>
    <x:row r="571" ht="22" customHeight="1">
      <x:c r="A571" s="4" t="str">
        <x:v>Drew Fortescue</x:v>
      </x:c>
      <x:c r="B571" s="4" t="str">
        <x:v>drewfortescue</x:v>
      </x:c>
      <x:c r="C571" s="10" t="n">
        <x:v>0</x:v>
      </x:c>
      <x:c r="D571" s="10" t="n">
        <x:v>0</x:v>
      </x:c>
      <x:c r="E571" s="10" t="n">
        <x:v>1</x:v>
      </x:c>
      <x:c r="F571" s="4" t="str">
        <x:f>IF(COUNT(N571,Q571,T571,W571,Z571,AC571,AF571,AI571)=8,N571*Guide!$E$5+Q571*Guide!$E$6+T571*Guide!$E$7+W571*Guide!$E$8+Z571*Guide!$E$9+AC571*Guide!$E$10+AF571*Guide!$E$11+AI571*Guide!$E$12,"")</x:f>
      </x:c>
      <x:c r="G571" s="4" t="str">
        <x:f>IF(COUNT(O571,R571,U571,X571,AA571,AD571,AG571,AJ571)=8,O571*Guide!$E$5+R571*Guide!$E$6+U571*Guide!$E$7+X571*Guide!$E$8+AA571*Guide!$E$9+AD571*Guide!$E$10+AG571*Guide!$E$11+AJ571*Guide!$E$12,"")</x:f>
      </x:c>
      <x:c r="H571" s="4" t="str">
        <x:f>IF(COUNT(G571,F571)=2,G571-F571,"")</x:f>
      </x:c>
      <x:c r="I571" s="4" t="str">
        <x:f>IF(AND(ISNUMBER(F571),K571&gt;0),F571/K571,"")</x:f>
      </x:c>
      <x:c r="J571" s="4" t="str">
        <x:f>IF(AND(ISNUMBER(G571),L571&gt;0),G571/L571,"")</x:f>
      </x:c>
      <x:c r="K571" s="10"/>
      <x:c r="L571" s="10"/>
      <x:c r="M571" s="10" t="str">
        <x:f>IF(COUNT(L571,K571)=2,L571-K571,"")</x:f>
      </x:c>
      <x:c r="N571" s="10"/>
      <x:c r="O571" s="10"/>
      <x:c r="P571" s="10" t="str">
        <x:f>IF(COUNT(O571,N571)=2,O571-N571,"")</x:f>
      </x:c>
      <x:c r="Q571" s="10"/>
      <x:c r="R571" s="10"/>
      <x:c r="S571" s="10" t="str">
        <x:f>IF(COUNT(R571,Q571)=2,R571-Q571,"")</x:f>
      </x:c>
      <x:c r="T571" s="10"/>
      <x:c r="U571" s="10"/>
      <x:c r="V571" s="10" t="str">
        <x:f>IF(COUNT(U571,T571)=2,U571-T571,"")</x:f>
      </x:c>
      <x:c r="W571" s="10"/>
      <x:c r="X571" s="10" t="str">
        <x:f>IF(COUNT(AV571,AW571)=2,AV571+AW571,"")</x:f>
      </x:c>
      <x:c r="Y571" s="10" t="str">
        <x:f>IF(COUNT(X571,W571)=2,X571-W571,"")</x:f>
      </x:c>
      <x:c r="Z571" s="10"/>
      <x:c r="AA571" s="10" t="str">
        <x:f>IF(COUNT(AX571,AY571)=2,AX571+AY571,"")</x:f>
      </x:c>
      <x:c r="AB571" s="10" t="str">
        <x:f>IF(COUNT(AA571,Z571)=2,AA571-Z571,"")</x:f>
      </x:c>
      <x:c r="AC571" s="10"/>
      <x:c r="AD571" s="10"/>
      <x:c r="AE571" s="10" t="str">
        <x:f>IF(COUNT(AD571,AC571)=2,AD571-AC571,"")</x:f>
      </x:c>
      <x:c r="AF571" s="10"/>
      <x:c r="AG571" s="10"/>
      <x:c r="AH571" s="10" t="str">
        <x:f>IF(COUNT(AG571,AF571)=2,AG571-AF571,"")</x:f>
      </x:c>
      <x:c r="AI571" s="10"/>
      <x:c r="AJ571" s="10"/>
      <x:c r="AK571" s="10" t="str">
        <x:f>IF(COUNT(AJ571,AI571)=2,AJ571-AI571,"")</x:f>
      </x:c>
      <x:c r="AL571" s="10"/>
      <x:c r="AM571" s="10"/>
      <x:c r="AN571" s="4"/>
      <x:c r="AO571" s="4"/>
      <x:c r="AP571" s="4"/>
      <x:c r="AQ571" s="4"/>
      <x:c r="AR571" s="4"/>
      <x:c r="AS571" s="4"/>
      <x:c r="AT571" s="4"/>
      <x:c r="AU571" s="4"/>
      <x:c r="AV571" s="10"/>
      <x:c r="AW571" s="10"/>
      <x:c r="AX571" s="10"/>
      <x:c r="AY571" s="10"/>
      <x:c r="AZ571" s="10" t="n">
        <x:v>110</x:v>
      </x:c>
      <x:c r="BA571" s="10" t="n">
        <x:v>134</x:v>
      </x:c>
      <x:c r="BB571" s="4" t="n">
        <x:v>45.1</x:v>
      </x:c>
      <x:c r="BC571" s="4" t="n">
        <x:v>-4.9</x:v>
      </x:c>
      <x:c r="BD571" s="10" t="n">
        <x:v>78</x:v>
      </x:c>
      <x:c r="BE571" s="10" t="n">
        <x:v>96</x:v>
      </x:c>
      <x:c r="BF571" s="4" t="n">
        <x:v>44.8</x:v>
      </x:c>
      <x:c r="BG571" s="4" t="n">
        <x:v>-5.5</x:v>
      </x:c>
      <x:c r="BH571" s="4" t="n">
        <x:v>17.4</x:v>
      </x:c>
      <x:c r="BI571" s="4" t="n">
        <x:v>93.3</x:v>
      </x:c>
      <x:c r="BJ571" s="4" t="n">
        <x:v>110.7</x:v>
      </x:c>
      <x:c r="BK571" s="4" t="n">
        <x:v>40</x:v>
      </x:c>
      <x:c r="BL571" s="4" t="n">
        <x:v>60</x:v>
      </x:c>
      <x:c r="BM571" s="4" t="n">
        <x:v>14.85</x:v>
      </x:c>
      <x:c r="BN571" s="4" t="n">
        <x:v>14.633333333333333</x:v>
      </x:c>
      <x:c r="BO571" s="10" t="n">
        <x:v>0</x:v>
      </x:c>
      <x:c r="BP571" s="10" t="n">
        <x:v>5</x:v>
      </x:c>
      <x:c r="BQ571" s="4" t="n">
        <x:v>-0.1</x:v>
      </x:c>
      <x:c r="BR571" s="10" t="n">
        <x:v>13</x:v>
      </x:c>
      <x:c r="BS571" s="4" t="n">
        <x:v>23.1</x:v>
      </x:c>
      <x:c r="BT571" s="10" t="n">
        <x:v>9</x:v>
      </x:c>
      <x:c r="BU571" s="4" t="str">
        <x:v>NYR</x:v>
      </x:c>
      <x:c r="BV571" s="10"/>
      <x:c r="BW571" s="10"/>
      <x:c r="BX571" s="10" t="n">
        <x:v>310</x:v>
      </x:c>
      <x:c r="BY571" s="4"/>
      <x:c r="BZ571" s="4"/>
      <x:c r="CA571" s="4" t="str">
        <x:v>Drew Fortescue</x:v>
      </x:c>
      <x:c r="CB571" s="4" t="str">
        <x:v>fortedr01</x:v>
      </x:c>
    </x:row>
    <x:row r="572" ht="22" customHeight="1">
      <x:c r="A572" s="4" t="str">
        <x:v>Drew Helleson</x:v>
      </x:c>
      <x:c r="B572" s="4" t="str">
        <x:v>drewhelleson</x:v>
      </x:c>
      <x:c r="C572" s="10" t="n">
        <x:v>1</x:v>
      </x:c>
      <x:c r="D572" s="10" t="n">
        <x:v>0</x:v>
      </x:c>
      <x:c r="E572" s="10" t="n">
        <x:v>1</x:v>
      </x:c>
      <x:c r="F572" s="4" t="n">
        <x:f>IF(COUNT(N572,Q572,T572,W572,Z572,AC572,AF572,AI572)=8,N572*Guide!$E$5+Q572*Guide!$E$6+T572*Guide!$E$7+W572*Guide!$E$8+Z572*Guide!$E$9+AC572*Guide!$E$10+AF572*Guide!$E$11+AI572*Guide!$E$12,"")</x:f>
        <x:v>140</x:v>
      </x:c>
      <x:c r="G572" s="4" t="str">
        <x:f>IF(COUNT(O572,R572,U572,X572,AA572,AD572,AG572,AJ572)=8,O572*Guide!$E$5+R572*Guide!$E$6+U572*Guide!$E$7+X572*Guide!$E$8+AA572*Guide!$E$9+AD572*Guide!$E$10+AG572*Guide!$E$11+AJ572*Guide!$E$12,"")</x:f>
      </x:c>
      <x:c r="H572" s="4" t="str">
        <x:f>IF(COUNT(G572,F572)=2,G572-F572,"")</x:f>
      </x:c>
      <x:c r="I572" s="4" t="n">
        <x:f>IF(AND(ISNUMBER(F572),K572&gt;0),F572/K572,"")</x:f>
        <x:v>2.2222222222222223</x:v>
      </x:c>
      <x:c r="J572" s="4" t="str">
        <x:f>IF(AND(ISNUMBER(G572),L572&gt;0),G572/L572,"")</x:f>
      </x:c>
      <x:c r="K572" s="10" t="n">
        <x:v>63</x:v>
      </x:c>
      <x:c r="L572" s="10"/>
      <x:c r="M572" s="10" t="str">
        <x:f>IF(COUNT(L572,K572)=2,L572-K572,"")</x:f>
      </x:c>
      <x:c r="N572" s="10" t="n">
        <x:v>4</x:v>
      </x:c>
      <x:c r="O572" s="10"/>
      <x:c r="P572" s="10" t="str">
        <x:f>IF(COUNT(O572,N572)=2,O572-N572,"")</x:f>
      </x:c>
      <x:c r="Q572" s="10" t="n">
        <x:v>9</x:v>
      </x:c>
      <x:c r="R572" s="10"/>
      <x:c r="S572" s="10" t="str">
        <x:f>IF(COUNT(R572,Q572)=2,R572-Q572,"")</x:f>
      </x:c>
      <x:c r="T572" s="10" t="n">
        <x:v>-9</x:v>
      </x:c>
      <x:c r="U572" s="10"/>
      <x:c r="V572" s="10" t="str">
        <x:f>IF(COUNT(U572,T572)=2,U572-T572,"")</x:f>
      </x:c>
      <x:c r="W572" s="10" t="n">
        <x:v>0</x:v>
      </x:c>
      <x:c r="X572" s="10" t="str">
        <x:f>IF(COUNT(AV572,AW572)=2,AV572+AW572,"")</x:f>
      </x:c>
      <x:c r="Y572" s="10" t="str">
        <x:f>IF(COUNT(X572,W572)=2,X572-W572,"")</x:f>
      </x:c>
      <x:c r="Z572" s="10" t="n">
        <x:v>0</x:v>
      </x:c>
      <x:c r="AA572" s="10" t="str">
        <x:f>IF(COUNT(AX572,AY572)=2,AX572+AY572,"")</x:f>
      </x:c>
      <x:c r="AB572" s="10" t="str">
        <x:f>IF(COUNT(AA572,Z572)=2,AA572-Z572,"")</x:f>
      </x:c>
      <x:c r="AC572" s="10" t="n">
        <x:v>71</x:v>
      </x:c>
      <x:c r="AD572" s="10"/>
      <x:c r="AE572" s="10" t="str">
        <x:f>IF(COUNT(AD572,AC572)=2,AD572-AC572,"")</x:f>
      </x:c>
      <x:c r="AF572" s="10" t="n">
        <x:v>107</x:v>
      </x:c>
      <x:c r="AG572" s="10"/>
      <x:c r="AH572" s="10" t="str">
        <x:f>IF(COUNT(AG572,AF572)=2,AG572-AF572,"")</x:f>
      </x:c>
      <x:c r="AI572" s="10" t="n">
        <x:v>82</x:v>
      </x:c>
      <x:c r="AJ572" s="10"/>
      <x:c r="AK572" s="10" t="str">
        <x:f>IF(COUNT(AJ572,AI572)=2,AJ572-AI572,"")</x:f>
      </x:c>
      <x:c r="AL572" s="10" t="n">
        <x:v>24</x:v>
      </x:c>
      <x:c r="AM572" s="10"/>
      <x:c r="AN572" s="4" t="str">
        <x:v>D</x:v>
      </x:c>
      <x:c r="AO572" s="4"/>
      <x:c r="AP572" s="4" t="str">
        <x:v>ANA</x:v>
      </x:c>
      <x:c r="AQ572" s="4"/>
      <x:c r="AR572" s="4" t="n">
        <x:v>16.349999999999998</x:v>
      </x:c>
      <x:c r="AS572" s="4"/>
      <x:c r="AT572" s="4" t="n">
        <x:v>0.02</x:v>
      </x:c>
      <x:c r="AU572" s="4"/>
      <x:c r="AV572" s="10"/>
      <x:c r="AW572" s="10"/>
      <x:c r="AX572" s="10"/>
      <x:c r="AY572" s="10"/>
      <x:c r="AZ572" s="10" t="n">
        <x:v>877</x:v>
      </x:c>
      <x:c r="BA572" s="10" t="n">
        <x:v>909</x:v>
      </x:c>
      <x:c r="BB572" s="4" t="n">
        <x:v>49.1</x:v>
      </x:c>
      <x:c r="BC572" s="4" t="n">
        <x:v>-5.1</x:v>
      </x:c>
      <x:c r="BD572" s="10" t="n">
        <x:v>644</x:v>
      </x:c>
      <x:c r="BE572" s="10" t="n">
        <x:v>656</x:v>
      </x:c>
      <x:c r="BF572" s="4" t="n">
        <x:v>49.5</x:v>
      </x:c>
      <x:c r="BG572" s="4" t="n">
        <x:v>-4.7</x:v>
      </x:c>
      <x:c r="BH572" s="4" t="n">
        <x:v>10.6</x:v>
      </x:c>
      <x:c r="BI572" s="4" t="n">
        <x:v>88.6</x:v>
      </x:c>
      <x:c r="BJ572" s="4" t="n">
        <x:v>99.1</x:v>
      </x:c>
      <x:c r="BK572" s="4" t="n">
        <x:v>53.1</x:v>
      </x:c>
      <x:c r="BL572" s="4" t="n">
        <x:v>46.9</x:v>
      </x:c>
      <x:c r="BM572" s="4" t="n">
        <x:v>16.966666666666665</x:v>
      </x:c>
      <x:c r="BN572" s="4" t="n">
        <x:v>15.4</x:v>
      </x:c>
      <x:c r="BO572" s="10" t="n">
        <x:v>25</x:v>
      </x:c>
      <x:c r="BP572" s="10" t="n">
        <x:v>43</x:v>
      </x:c>
      <x:c r="BQ572" s="4" t="n">
        <x:v>-5.2</x:v>
      </x:c>
      <x:c r="BR572" s="10" t="n">
        <x:v>127</x:v>
      </x:c>
      <x:c r="BS572" s="4" t="n">
        <x:v>30.7</x:v>
      </x:c>
      <x:c r="BT572" s="10" t="n">
        <x:v>60</x:v>
      </x:c>
      <x:c r="BU572" s="4" t="str">
        <x:v>ANA</x:v>
      </x:c>
      <x:c r="BV572" s="10" t="n">
        <x:v>664</x:v>
      </x:c>
      <x:c r="BW572" s="10"/>
      <x:c r="BX572" s="10" t="n">
        <x:v>409</x:v>
      </x:c>
      <x:c r="BY572" s="4" t="str">
        <x:v>Drew Helleson</x:v>
      </x:c>
      <x:c r="BZ572" s="4"/>
      <x:c r="CA572" s="4" t="str">
        <x:v>Drew Helleson</x:v>
      </x:c>
      <x:c r="CB572" s="4" t="str">
        <x:v>helledr01</x:v>
      </x:c>
    </x:row>
    <x:row r="573" ht="22" customHeight="1">
      <x:c r="A573" s="4" t="str">
        <x:v>Dryden Hunt</x:v>
      </x:c>
      <x:c r="B573" s="4" t="str">
        <x:v>drydenhunt</x:v>
      </x:c>
      <x:c r="C573" s="10" t="n">
        <x:v>0</x:v>
      </x:c>
      <x:c r="D573" s="10" t="n">
        <x:v>0</x:v>
      </x:c>
      <x:c r="E573" s="10" t="n">
        <x:v>1</x:v>
      </x:c>
      <x:c r="F573" s="4" t="str">
        <x:f>IF(COUNT(N573,Q573,T573,W573,Z573,AC573,AF573,AI573)=8,N573*Guide!$E$5+Q573*Guide!$E$6+T573*Guide!$E$7+W573*Guide!$E$8+Z573*Guide!$E$9+AC573*Guide!$E$10+AF573*Guide!$E$11+AI573*Guide!$E$12,"")</x:f>
      </x:c>
      <x:c r="G573" s="4" t="str">
        <x:f>IF(COUNT(O573,R573,U573,X573,AA573,AD573,AG573,AJ573)=8,O573*Guide!$E$5+R573*Guide!$E$6+U573*Guide!$E$7+X573*Guide!$E$8+AA573*Guide!$E$9+AD573*Guide!$E$10+AG573*Guide!$E$11+AJ573*Guide!$E$12,"")</x:f>
      </x:c>
      <x:c r="H573" s="4" t="str">
        <x:f>IF(COUNT(G573,F573)=2,G573-F573,"")</x:f>
      </x:c>
      <x:c r="I573" s="4" t="str">
        <x:f>IF(AND(ISNUMBER(F573),K573&gt;0),F573/K573,"")</x:f>
      </x:c>
      <x:c r="J573" s="4" t="str">
        <x:f>IF(AND(ISNUMBER(G573),L573&gt;0),G573/L573,"")</x:f>
      </x:c>
      <x:c r="K573" s="10"/>
      <x:c r="L573" s="10"/>
      <x:c r="M573" s="10" t="str">
        <x:f>IF(COUNT(L573,K573)=2,L573-K573,"")</x:f>
      </x:c>
      <x:c r="N573" s="10"/>
      <x:c r="O573" s="10"/>
      <x:c r="P573" s="10" t="str">
        <x:f>IF(COUNT(O573,N573)=2,O573-N573,"")</x:f>
      </x:c>
      <x:c r="Q573" s="10"/>
      <x:c r="R573" s="10"/>
      <x:c r="S573" s="10" t="str">
        <x:f>IF(COUNT(R573,Q573)=2,R573-Q573,"")</x:f>
      </x:c>
      <x:c r="T573" s="10"/>
      <x:c r="U573" s="10"/>
      <x:c r="V573" s="10" t="str">
        <x:f>IF(COUNT(U573,T573)=2,U573-T573,"")</x:f>
      </x:c>
      <x:c r="W573" s="10"/>
      <x:c r="X573" s="10" t="str">
        <x:f>IF(COUNT(AV573,AW573)=2,AV573+AW573,"")</x:f>
      </x:c>
      <x:c r="Y573" s="10" t="str">
        <x:f>IF(COUNT(X573,W573)=2,X573-W573,"")</x:f>
      </x:c>
      <x:c r="Z573" s="10"/>
      <x:c r="AA573" s="10" t="str">
        <x:f>IF(COUNT(AX573,AY573)=2,AX573+AY573,"")</x:f>
      </x:c>
      <x:c r="AB573" s="10" t="str">
        <x:f>IF(COUNT(AA573,Z573)=2,AA573-Z573,"")</x:f>
      </x:c>
      <x:c r="AC573" s="10"/>
      <x:c r="AD573" s="10"/>
      <x:c r="AE573" s="10" t="str">
        <x:f>IF(COUNT(AD573,AC573)=2,AD573-AC573,"")</x:f>
      </x:c>
      <x:c r="AF573" s="10"/>
      <x:c r="AG573" s="10"/>
      <x:c r="AH573" s="10" t="str">
        <x:f>IF(COUNT(AG573,AF573)=2,AG573-AF573,"")</x:f>
      </x:c>
      <x:c r="AI573" s="10"/>
      <x:c r="AJ573" s="10"/>
      <x:c r="AK573" s="10" t="str">
        <x:f>IF(COUNT(AJ573,AI573)=2,AJ573-AI573,"")</x:f>
      </x:c>
      <x:c r="AL573" s="10"/>
      <x:c r="AM573" s="10"/>
      <x:c r="AN573" s="4"/>
      <x:c r="AO573" s="4"/>
      <x:c r="AP573" s="4"/>
      <x:c r="AQ573" s="4"/>
      <x:c r="AR573" s="4"/>
      <x:c r="AS573" s="4"/>
      <x:c r="AT573" s="4"/>
      <x:c r="AU573" s="4"/>
      <x:c r="AV573" s="10"/>
      <x:c r="AW573" s="10"/>
      <x:c r="AX573" s="10"/>
      <x:c r="AY573" s="10"/>
      <x:c r="AZ573" s="10" t="n">
        <x:v>22</x:v>
      </x:c>
      <x:c r="BA573" s="10" t="n">
        <x:v>31</x:v>
      </x:c>
      <x:c r="BB573" s="4" t="n">
        <x:v>41.5</x:v>
      </x:c>
      <x:c r="BC573" s="4" t="n">
        <x:v>-3.6</x:v>
      </x:c>
      <x:c r="BD573" s="10" t="n">
        <x:v>16</x:v>
      </x:c>
      <x:c r="BE573" s="10" t="n">
        <x:v>18</x:v>
      </x:c>
      <x:c r="BF573" s="4" t="n">
        <x:v>47.1</x:v>
      </x:c>
      <x:c r="BG573" s="4" t="n">
        <x:v>2.1</x:v>
      </x:c>
      <x:c r="BH573" s="4" t="n">
        <x:v>0</x:v>
      </x:c>
      <x:c r="BI573" s="4" t="n">
        <x:v>72.7</x:v>
      </x:c>
      <x:c r="BJ573" s="4" t="n">
        <x:v>72.7</x:v>
      </x:c>
      <x:c r="BK573" s="4" t="n">
        <x:v>26.3</x:v>
      </x:c>
      <x:c r="BL573" s="4" t="n">
        <x:v>73.7</x:v>
      </x:c>
      <x:c r="BM573" s="4" t="n">
        <x:v>8.933333333333334</x:v>
      </x:c>
      <x:c r="BN573" s="4" t="n">
        <x:v>8.933333333333334</x:v>
      </x:c>
      <x:c r="BO573" s="10" t="n">
        <x:v>0</x:v>
      </x:c>
      <x:c r="BP573" s="10" t="n">
        <x:v>3</x:v>
      </x:c>
      <x:c r="BQ573" s="4" t="n">
        <x:v>0</x:v>
      </x:c>
      <x:c r="BR573" s="10" t="n">
        <x:v>5</x:v>
      </x:c>
      <x:c r="BS573" s="4" t="n">
        <x:v>80</x:v>
      </x:c>
      <x:c r="BT573" s="10" t="n">
        <x:v>3</x:v>
      </x:c>
      <x:c r="BU573" s="4" t="str">
        <x:v>CGY</x:v>
      </x:c>
      <x:c r="BV573" s="10"/>
      <x:c r="BW573" s="10"/>
      <x:c r="BX573" s="10" t="n">
        <x:v>440</x:v>
      </x:c>
      <x:c r="BY573" s="4"/>
      <x:c r="BZ573" s="4"/>
      <x:c r="CA573" s="4" t="str">
        <x:v>Dryden Hunt</x:v>
      </x:c>
      <x:c r="CB573" s="4" t="str">
        <x:v>huntdr01</x:v>
      </x:c>
    </x:row>
    <x:row r="574" ht="22" customHeight="1">
      <x:c r="A574" s="4" t="str">
        <x:v>Dylan Coghlan</x:v>
      </x:c>
      <x:c r="B574" s="4" t="str">
        <x:v>dylancoghlan</x:v>
      </x:c>
      <x:c r="C574" s="10" t="n">
        <x:v>0</x:v>
      </x:c>
      <x:c r="D574" s="10" t="n">
        <x:v>0</x:v>
      </x:c>
      <x:c r="E574" s="10" t="n">
        <x:v>1</x:v>
      </x:c>
      <x:c r="F574" s="4" t="str">
        <x:f>IF(COUNT(N574,Q574,T574,W574,Z574,AC574,AF574,AI574)=8,N574*Guide!$E$5+Q574*Guide!$E$6+T574*Guide!$E$7+W574*Guide!$E$8+Z574*Guide!$E$9+AC574*Guide!$E$10+AF574*Guide!$E$11+AI574*Guide!$E$12,"")</x:f>
      </x:c>
      <x:c r="G574" s="4" t="str">
        <x:f>IF(COUNT(O574,R574,U574,X574,AA574,AD574,AG574,AJ574)=8,O574*Guide!$E$5+R574*Guide!$E$6+U574*Guide!$E$7+X574*Guide!$E$8+AA574*Guide!$E$9+AD574*Guide!$E$10+AG574*Guide!$E$11+AJ574*Guide!$E$12,"")</x:f>
      </x:c>
      <x:c r="H574" s="4" t="str">
        <x:f>IF(COUNT(G574,F574)=2,G574-F574,"")</x:f>
      </x:c>
      <x:c r="I574" s="4" t="str">
        <x:f>IF(AND(ISNUMBER(F574),K574&gt;0),F574/K574,"")</x:f>
      </x:c>
      <x:c r="J574" s="4" t="str">
        <x:f>IF(AND(ISNUMBER(G574),L574&gt;0),G574/L574,"")</x:f>
      </x:c>
      <x:c r="K574" s="10"/>
      <x:c r="L574" s="10"/>
      <x:c r="M574" s="10" t="str">
        <x:f>IF(COUNT(L574,K574)=2,L574-K574,"")</x:f>
      </x:c>
      <x:c r="N574" s="10"/>
      <x:c r="O574" s="10"/>
      <x:c r="P574" s="10" t="str">
        <x:f>IF(COUNT(O574,N574)=2,O574-N574,"")</x:f>
      </x:c>
      <x:c r="Q574" s="10"/>
      <x:c r="R574" s="10"/>
      <x:c r="S574" s="10" t="str">
        <x:f>IF(COUNT(R574,Q574)=2,R574-Q574,"")</x:f>
      </x:c>
      <x:c r="T574" s="10"/>
      <x:c r="U574" s="10"/>
      <x:c r="V574" s="10" t="str">
        <x:f>IF(COUNT(U574,T574)=2,U574-T574,"")</x:f>
      </x:c>
      <x:c r="W574" s="10"/>
      <x:c r="X574" s="10" t="str">
        <x:f>IF(COUNT(AV574,AW574)=2,AV574+AW574,"")</x:f>
      </x:c>
      <x:c r="Y574" s="10" t="str">
        <x:f>IF(COUNT(X574,W574)=2,X574-W574,"")</x:f>
      </x:c>
      <x:c r="Z574" s="10"/>
      <x:c r="AA574" s="10" t="str">
        <x:f>IF(COUNT(AX574,AY574)=2,AX574+AY574,"")</x:f>
      </x:c>
      <x:c r="AB574" s="10" t="str">
        <x:f>IF(COUNT(AA574,Z574)=2,AA574-Z574,"")</x:f>
      </x:c>
      <x:c r="AC574" s="10"/>
      <x:c r="AD574" s="10"/>
      <x:c r="AE574" s="10" t="str">
        <x:f>IF(COUNT(AD574,AC574)=2,AD574-AC574,"")</x:f>
      </x:c>
      <x:c r="AF574" s="10"/>
      <x:c r="AG574" s="10"/>
      <x:c r="AH574" s="10" t="str">
        <x:f>IF(COUNT(AG574,AF574)=2,AG574-AF574,"")</x:f>
      </x:c>
      <x:c r="AI574" s="10"/>
      <x:c r="AJ574" s="10"/>
      <x:c r="AK574" s="10" t="str">
        <x:f>IF(COUNT(AJ574,AI574)=2,AJ574-AI574,"")</x:f>
      </x:c>
      <x:c r="AL574" s="10"/>
      <x:c r="AM574" s="10"/>
      <x:c r="AN574" s="4"/>
      <x:c r="AO574" s="4"/>
      <x:c r="AP574" s="4"/>
      <x:c r="AQ574" s="4"/>
      <x:c r="AR574" s="4"/>
      <x:c r="AS574" s="4"/>
      <x:c r="AT574" s="4"/>
      <x:c r="AU574" s="4"/>
      <x:c r="AV574" s="10"/>
      <x:c r="AW574" s="10"/>
      <x:c r="AX574" s="10"/>
      <x:c r="AY574" s="10"/>
      <x:c r="AZ574" s="10" t="n">
        <x:v>43</x:v>
      </x:c>
      <x:c r="BA574" s="10" t="n">
        <x:v>45</x:v>
      </x:c>
      <x:c r="BB574" s="4" t="n">
        <x:v>48.9</x:v>
      </x:c>
      <x:c r="BC574" s="4" t="n">
        <x:v>0.4</x:v>
      </x:c>
      <x:c r="BD574" s="10" t="n">
        <x:v>30</x:v>
      </x:c>
      <x:c r="BE574" s="10" t="n">
        <x:v>33</x:v>
      </x:c>
      <x:c r="BF574" s="4" t="n">
        <x:v>47.6</x:v>
      </x:c>
      <x:c r="BG574" s="4" t="n">
        <x:v>-5</x:v>
      </x:c>
      <x:c r="BH574" s="4" t="n">
        <x:v>15.8</x:v>
      </x:c>
      <x:c r="BI574" s="4" t="n">
        <x:v>88.9</x:v>
      </x:c>
      <x:c r="BJ574" s="4" t="n">
        <x:v>104.7</x:v>
      </x:c>
      <x:c r="BK574" s="4" t="n">
        <x:v>70.4</x:v>
      </x:c>
      <x:c r="BL574" s="4" t="n">
        <x:v>29.6</x:v>
      </x:c>
      <x:c r="BM574" s="4" t="n">
        <x:v>15.05</x:v>
      </x:c>
      <x:c r="BN574" s="4" t="n">
        <x:v>14.933333333333334</x:v>
      </x:c>
      <x:c r="BO574" s="10" t="n">
        <x:v>0</x:v>
      </x:c>
      <x:c r="BP574" s="10" t="n">
        <x:v>2</x:v>
      </x:c>
      <x:c r="BQ574" s="4" t="n">
        <x:v>-0.2</x:v>
      </x:c>
      <x:c r="BR574" s="10" t="n">
        <x:v>7</x:v>
      </x:c>
      <x:c r="BS574" s="4" t="n">
        <x:v>28.6</x:v>
      </x:c>
      <x:c r="BT574" s="10" t="n">
        <x:v>3</x:v>
      </x:c>
      <x:c r="BU574" s="4" t="str">
        <x:v>VEG</x:v>
      </x:c>
      <x:c r="BV574" s="10"/>
      <x:c r="BW574" s="10"/>
      <x:c r="BX574" s="10" t="n">
        <x:v>163</x:v>
      </x:c>
      <x:c r="BY574" s="4"/>
      <x:c r="BZ574" s="4"/>
      <x:c r="CA574" s="4" t="str">
        <x:v>Dylan Coghlan</x:v>
      </x:c>
      <x:c r="CB574" s="4" t="str">
        <x:v>coghldy01</x:v>
      </x:c>
    </x:row>
    <x:row r="575" ht="22" customHeight="1">
      <x:c r="A575" s="4" t="str">
        <x:v>Dylan Duke</x:v>
      </x:c>
      <x:c r="B575" s="4" t="str">
        <x:v>dylanduke</x:v>
      </x:c>
      <x:c r="C575" s="10" t="n">
        <x:v>0</x:v>
      </x:c>
      <x:c r="D575" s="10" t="n">
        <x:v>0</x:v>
      </x:c>
      <x:c r="E575" s="10" t="n">
        <x:v>1</x:v>
      </x:c>
      <x:c r="F575" s="4" t="str">
        <x:f>IF(COUNT(N575,Q575,T575,W575,Z575,AC575,AF575,AI575)=8,N575*Guide!$E$5+Q575*Guide!$E$6+T575*Guide!$E$7+W575*Guide!$E$8+Z575*Guide!$E$9+AC575*Guide!$E$10+AF575*Guide!$E$11+AI575*Guide!$E$12,"")</x:f>
      </x:c>
      <x:c r="G575" s="4" t="str">
        <x:f>IF(COUNT(O575,R575,U575,X575,AA575,AD575,AG575,AJ575)=8,O575*Guide!$E$5+R575*Guide!$E$6+U575*Guide!$E$7+X575*Guide!$E$8+AA575*Guide!$E$9+AD575*Guide!$E$10+AG575*Guide!$E$11+AJ575*Guide!$E$12,"")</x:f>
      </x:c>
      <x:c r="H575" s="4" t="str">
        <x:f>IF(COUNT(G575,F575)=2,G575-F575,"")</x:f>
      </x:c>
      <x:c r="I575" s="4" t="str">
        <x:f>IF(AND(ISNUMBER(F575),K575&gt;0),F575/K575,"")</x:f>
      </x:c>
      <x:c r="J575" s="4" t="str">
        <x:f>IF(AND(ISNUMBER(G575),L575&gt;0),G575/L575,"")</x:f>
      </x:c>
      <x:c r="K575" s="10"/>
      <x:c r="L575" s="10"/>
      <x:c r="M575" s="10" t="str">
        <x:f>IF(COUNT(L575,K575)=2,L575-K575,"")</x:f>
      </x:c>
      <x:c r="N575" s="10"/>
      <x:c r="O575" s="10"/>
      <x:c r="P575" s="10" t="str">
        <x:f>IF(COUNT(O575,N575)=2,O575-N575,"")</x:f>
      </x:c>
      <x:c r="Q575" s="10"/>
      <x:c r="R575" s="10"/>
      <x:c r="S575" s="10" t="str">
        <x:f>IF(COUNT(R575,Q575)=2,R575-Q575,"")</x:f>
      </x:c>
      <x:c r="T575" s="10"/>
      <x:c r="U575" s="10"/>
      <x:c r="V575" s="10" t="str">
        <x:f>IF(COUNT(U575,T575)=2,U575-T575,"")</x:f>
      </x:c>
      <x:c r="W575" s="10"/>
      <x:c r="X575" s="10" t="str">
        <x:f>IF(COUNT(AV575,AW575)=2,AV575+AW575,"")</x:f>
      </x:c>
      <x:c r="Y575" s="10" t="str">
        <x:f>IF(COUNT(X575,W575)=2,X575-W575,"")</x:f>
      </x:c>
      <x:c r="Z575" s="10"/>
      <x:c r="AA575" s="10" t="str">
        <x:f>IF(COUNT(AX575,AY575)=2,AX575+AY575,"")</x:f>
      </x:c>
      <x:c r="AB575" s="10" t="str">
        <x:f>IF(COUNT(AA575,Z575)=2,AA575-Z575,"")</x:f>
      </x:c>
      <x:c r="AC575" s="10"/>
      <x:c r="AD575" s="10"/>
      <x:c r="AE575" s="10" t="str">
        <x:f>IF(COUNT(AD575,AC575)=2,AD575-AC575,"")</x:f>
      </x:c>
      <x:c r="AF575" s="10"/>
      <x:c r="AG575" s="10"/>
      <x:c r="AH575" s="10" t="str">
        <x:f>IF(COUNT(AG575,AF575)=2,AG575-AF575,"")</x:f>
      </x:c>
      <x:c r="AI575" s="10"/>
      <x:c r="AJ575" s="10"/>
      <x:c r="AK575" s="10" t="str">
        <x:f>IF(COUNT(AJ575,AI575)=2,AJ575-AI575,"")</x:f>
      </x:c>
      <x:c r="AL575" s="10"/>
      <x:c r="AM575" s="10"/>
      <x:c r="AN575" s="4"/>
      <x:c r="AO575" s="4"/>
      <x:c r="AP575" s="4"/>
      <x:c r="AQ575" s="4"/>
      <x:c r="AR575" s="4"/>
      <x:c r="AS575" s="4"/>
      <x:c r="AT575" s="4"/>
      <x:c r="AU575" s="4"/>
      <x:c r="AV575" s="10"/>
      <x:c r="AW575" s="10"/>
      <x:c r="AX575" s="10"/>
      <x:c r="AY575" s="10"/>
      <x:c r="AZ575" s="10" t="n">
        <x:v>5</x:v>
      </x:c>
      <x:c r="BA575" s="10" t="n">
        <x:v>9</x:v>
      </x:c>
      <x:c r="BB575" s="4" t="n">
        <x:v>35.7</x:v>
      </x:c>
      <x:c r="BC575" s="4" t="n">
        <x:v>-18.1</x:v>
      </x:c>
      <x:c r="BD575" s="10" t="n">
        <x:v>3</x:v>
      </x:c>
      <x:c r="BE575" s="10" t="n">
        <x:v>9</x:v>
      </x:c>
      <x:c r="BF575" s="4" t="n">
        <x:v>25</x:v>
      </x:c>
      <x:c r="BG575" s="4" t="n">
        <x:v>-29.2</x:v>
      </x:c>
      <x:c r="BH575" s="4" t="n">
        <x:v>0</x:v>
      </x:c>
      <x:c r="BI575" s="4" t="n">
        <x:v>83.3</x:v>
      </x:c>
      <x:c r="BJ575" s="4" t="n">
        <x:v>83.3</x:v>
      </x:c>
      <x:c r="BK575" s="4" t="n">
        <x:v>83.3</x:v>
      </x:c>
      <x:c r="BL575" s="4" t="n">
        <x:v>16.7</x:v>
      </x:c>
      <x:c r="BM575" s="4" t="n">
        <x:v>9.366666666666667</x:v>
      </x:c>
      <x:c r="BN575" s="4" t="n">
        <x:v>8.683333333333334</x:v>
      </x:c>
      <x:c r="BO575" s="10" t="n">
        <x:v>1</x:v>
      </x:c>
      <x:c r="BP575" s="10" t="n">
        <x:v>1</x:v>
      </x:c>
      <x:c r="BQ575" s="4" t="n">
        <x:v>-0.3</x:v>
      </x:c>
      <x:c r="BR575" s="10" t="n">
        <x:v>2</x:v>
      </x:c>
      <x:c r="BS575" s="4" t="n">
        <x:v>50</x:v>
      </x:c>
      <x:c r="BT575" s="10" t="n">
        <x:v>1</x:v>
      </x:c>
      <x:c r="BU575" s="4" t="str">
        <x:v>TBL</x:v>
      </x:c>
      <x:c r="BV575" s="10"/>
      <x:c r="BW575" s="10"/>
      <x:c r="BX575" s="10" t="n">
        <x:v>247</x:v>
      </x:c>
      <x:c r="BY575" s="4"/>
      <x:c r="BZ575" s="4"/>
      <x:c r="CA575" s="4" t="str">
        <x:v>Dylan Duke</x:v>
      </x:c>
      <x:c r="CB575" s="4" t="str">
        <x:v>dukedy01</x:v>
      </x:c>
    </x:row>
    <x:row r="576" ht="22" customHeight="1">
      <x:c r="A576" s="4" t="str">
        <x:v>Dylan McIlrath</x:v>
      </x:c>
      <x:c r="B576" s="4" t="str">
        <x:v>dylanmcilrath</x:v>
      </x:c>
      <x:c r="C576" s="10" t="n">
        <x:v>0</x:v>
      </x:c>
      <x:c r="D576" s="10" t="n">
        <x:v>0</x:v>
      </x:c>
      <x:c r="E576" s="10" t="n">
        <x:v>1</x:v>
      </x:c>
      <x:c r="F576" s="4" t="str">
        <x:f>IF(COUNT(N576,Q576,T576,W576,Z576,AC576,AF576,AI576)=8,N576*Guide!$E$5+Q576*Guide!$E$6+T576*Guide!$E$7+W576*Guide!$E$8+Z576*Guide!$E$9+AC576*Guide!$E$10+AF576*Guide!$E$11+AI576*Guide!$E$12,"")</x:f>
      </x:c>
      <x:c r="G576" s="4" t="str">
        <x:f>IF(COUNT(O576,R576,U576,X576,AA576,AD576,AG576,AJ576)=8,O576*Guide!$E$5+R576*Guide!$E$6+U576*Guide!$E$7+X576*Guide!$E$8+AA576*Guide!$E$9+AD576*Guide!$E$10+AG576*Guide!$E$11+AJ576*Guide!$E$12,"")</x:f>
      </x:c>
      <x:c r="H576" s="4" t="str">
        <x:f>IF(COUNT(G576,F576)=2,G576-F576,"")</x:f>
      </x:c>
      <x:c r="I576" s="4" t="str">
        <x:f>IF(AND(ISNUMBER(F576),K576&gt;0),F576/K576,"")</x:f>
      </x:c>
      <x:c r="J576" s="4" t="str">
        <x:f>IF(AND(ISNUMBER(G576),L576&gt;0),G576/L576,"")</x:f>
      </x:c>
      <x:c r="K576" s="10"/>
      <x:c r="L576" s="10"/>
      <x:c r="M576" s="10" t="str">
        <x:f>IF(COUNT(L576,K576)=2,L576-K576,"")</x:f>
      </x:c>
      <x:c r="N576" s="10"/>
      <x:c r="O576" s="10"/>
      <x:c r="P576" s="10" t="str">
        <x:f>IF(COUNT(O576,N576)=2,O576-N576,"")</x:f>
      </x:c>
      <x:c r="Q576" s="10"/>
      <x:c r="R576" s="10"/>
      <x:c r="S576" s="10" t="str">
        <x:f>IF(COUNT(R576,Q576)=2,R576-Q576,"")</x:f>
      </x:c>
      <x:c r="T576" s="10"/>
      <x:c r="U576" s="10"/>
      <x:c r="V576" s="10" t="str">
        <x:f>IF(COUNT(U576,T576)=2,U576-T576,"")</x:f>
      </x:c>
      <x:c r="W576" s="10"/>
      <x:c r="X576" s="10" t="str">
        <x:f>IF(COUNT(AV576,AW576)=2,AV576+AW576,"")</x:f>
      </x:c>
      <x:c r="Y576" s="10" t="str">
        <x:f>IF(COUNT(X576,W576)=2,X576-W576,"")</x:f>
      </x:c>
      <x:c r="Z576" s="10"/>
      <x:c r="AA576" s="10" t="str">
        <x:f>IF(COUNT(AX576,AY576)=2,AX576+AY576,"")</x:f>
      </x:c>
      <x:c r="AB576" s="10" t="str">
        <x:f>IF(COUNT(AA576,Z576)=2,AA576-Z576,"")</x:f>
      </x:c>
      <x:c r="AC576" s="10"/>
      <x:c r="AD576" s="10"/>
      <x:c r="AE576" s="10" t="str">
        <x:f>IF(COUNT(AD576,AC576)=2,AD576-AC576,"")</x:f>
      </x:c>
      <x:c r="AF576" s="10"/>
      <x:c r="AG576" s="10"/>
      <x:c r="AH576" s="10" t="str">
        <x:f>IF(COUNT(AG576,AF576)=2,AG576-AF576,"")</x:f>
      </x:c>
      <x:c r="AI576" s="10"/>
      <x:c r="AJ576" s="10"/>
      <x:c r="AK576" s="10" t="str">
        <x:f>IF(COUNT(AJ576,AI576)=2,AJ576-AI576,"")</x:f>
      </x:c>
      <x:c r="AL576" s="10"/>
      <x:c r="AM576" s="10"/>
      <x:c r="AN576" s="4"/>
      <x:c r="AO576" s="4"/>
      <x:c r="AP576" s="4"/>
      <x:c r="AQ576" s="4"/>
      <x:c r="AR576" s="4"/>
      <x:c r="AS576" s="4"/>
      <x:c r="AT576" s="4"/>
      <x:c r="AU576" s="4"/>
      <x:c r="AV576" s="10"/>
      <x:c r="AW576" s="10"/>
      <x:c r="AX576" s="10"/>
      <x:c r="AY576" s="10"/>
      <x:c r="AZ576" s="10" t="n">
        <x:v>81</x:v>
      </x:c>
      <x:c r="BA576" s="10" t="n">
        <x:v>114</x:v>
      </x:c>
      <x:c r="BB576" s="4" t="n">
        <x:v>41.5</x:v>
      </x:c>
      <x:c r="BC576" s="4" t="n">
        <x:v>-8.7</x:v>
      </x:c>
      <x:c r="BD576" s="10" t="n">
        <x:v>56</x:v>
      </x:c>
      <x:c r="BE576" s="10" t="n">
        <x:v>75</x:v>
      </x:c>
      <x:c r="BF576" s="4" t="n">
        <x:v>42.7</x:v>
      </x:c>
      <x:c r="BG576" s="4" t="n">
        <x:v>-8.6</x:v>
      </x:c>
      <x:c r="BH576" s="4" t="n">
        <x:v>2.9</x:v>
      </x:c>
      <x:c r="BI576" s="4" t="n">
        <x:v>96</x:v>
      </x:c>
      <x:c r="BJ576" s="4" t="n">
        <x:v>98.9</x:v>
      </x:c>
      <x:c r="BK576" s="4" t="n">
        <x:v>32.3</x:v>
      </x:c>
      <x:c r="BL576" s="4" t="n">
        <x:v>67.7</x:v>
      </x:c>
      <x:c r="BM576" s="4" t="n">
        <x:v>9.316666666666666</x:v>
      </x:c>
      <x:c r="BN576" s="4" t="n">
        <x:v>9.15</x:v>
      </x:c>
      <x:c r="BO576" s="10" t="n">
        <x:v>0</x:v>
      </x:c>
      <x:c r="BP576" s="10" t="n">
        <x:v>7</x:v>
      </x:c>
      <x:c r="BQ576" s="4" t="n">
        <x:v>0.3</x:v>
      </x:c>
      <x:c r="BR576" s="10" t="n">
        <x:v>15</x:v>
      </x:c>
      <x:c r="BS576" s="4" t="n">
        <x:v>33.3</x:v>
      </x:c>
      <x:c r="BT576" s="10" t="n">
        <x:v>13</x:v>
      </x:c>
      <x:c r="BU576" s="4" t="str">
        <x:v>WSH</x:v>
      </x:c>
      <x:c r="BV576" s="10"/>
      <x:c r="BW576" s="10"/>
      <x:c r="BX576" s="10" t="n">
        <x:v>674</x:v>
      </x:c>
      <x:c r="BY576" s="4"/>
      <x:c r="BZ576" s="4"/>
      <x:c r="CA576" s="4" t="str">
        <x:v>Dylan McIlrath</x:v>
      </x:c>
      <x:c r="CB576" s="4" t="str">
        <x:v>mcilrdy01</x:v>
      </x:c>
    </x:row>
    <x:row r="577" ht="22" customHeight="1">
      <x:c r="A577" s="4" t="str">
        <x:v>Dylan Samberg</x:v>
      </x:c>
      <x:c r="B577" s="4" t="str">
        <x:v>dylansamberg</x:v>
      </x:c>
      <x:c r="C577" s="10" t="n">
        <x:v>1</x:v>
      </x:c>
      <x:c r="D577" s="10" t="n">
        <x:v>0</x:v>
      </x:c>
      <x:c r="E577" s="10" t="n">
        <x:v>1</x:v>
      </x:c>
      <x:c r="F577" s="4" t="n">
        <x:f>IF(COUNT(N577,Q577,T577,W577,Z577,AC577,AF577,AI577)=8,N577*Guide!$E$5+Q577*Guide!$E$6+T577*Guide!$E$7+W577*Guide!$E$8+Z577*Guide!$E$9+AC577*Guide!$E$10+AF577*Guide!$E$11+AI577*Guide!$E$12,"")</x:f>
        <x:v>239.25</x:v>
      </x:c>
      <x:c r="G577" s="4" t="str">
        <x:f>IF(COUNT(O577,R577,U577,X577,AA577,AD577,AG577,AJ577)=8,O577*Guide!$E$5+R577*Guide!$E$6+U577*Guide!$E$7+X577*Guide!$E$8+AA577*Guide!$E$9+AD577*Guide!$E$10+AG577*Guide!$E$11+AJ577*Guide!$E$12,"")</x:f>
      </x:c>
      <x:c r="H577" s="4" t="str">
        <x:f>IF(COUNT(G577,F577)=2,G577-F577,"")</x:f>
      </x:c>
      <x:c r="I577" s="4" t="n">
        <x:f>IF(AND(ISNUMBER(F577),K577&gt;0),F577/K577,"")</x:f>
        <x:v>3.0673076923076925</x:v>
      </x:c>
      <x:c r="J577" s="4" t="str">
        <x:f>IF(AND(ISNUMBER(G577),L577&gt;0),G577/L577,"")</x:f>
      </x:c>
      <x:c r="K577" s="10" t="n">
        <x:v>78</x:v>
      </x:c>
      <x:c r="L577" s="10"/>
      <x:c r="M577" s="10" t="str">
        <x:f>IF(COUNT(L577,K577)=2,L577-K577,"")</x:f>
      </x:c>
      <x:c r="N577" s="10" t="n">
        <x:v>5</x:v>
      </x:c>
      <x:c r="O577" s="10"/>
      <x:c r="P577" s="10" t="str">
        <x:f>IF(COUNT(O577,N577)=2,O577-N577,"")</x:f>
      </x:c>
      <x:c r="Q577" s="10" t="n">
        <x:v>17</x:v>
      </x:c>
      <x:c r="R577" s="10"/>
      <x:c r="S577" s="10" t="str">
        <x:f>IF(COUNT(R577,Q577)=2,R577-Q577,"")</x:f>
      </x:c>
      <x:c r="T577" s="10" t="n">
        <x:v>14</x:v>
      </x:c>
      <x:c r="U577" s="10"/>
      <x:c r="V577" s="10" t="str">
        <x:f>IF(COUNT(U577,T577)=2,U577-T577,"")</x:f>
      </x:c>
      <x:c r="W577" s="10" t="n">
        <x:v>1</x:v>
      </x:c>
      <x:c r="X577" s="10" t="str">
        <x:f>IF(COUNT(AV577,AW577)=2,AV577+AW577,"")</x:f>
      </x:c>
      <x:c r="Y577" s="10" t="str">
        <x:f>IF(COUNT(X577,W577)=2,X577-W577,"")</x:f>
      </x:c>
      <x:c r="Z577" s="10" t="n">
        <x:v>1</x:v>
      </x:c>
      <x:c r="AA577" s="10" t="str">
        <x:f>IF(COUNT(AX577,AY577)=2,AX577+AY577,"")</x:f>
      </x:c>
      <x:c r="AB577" s="10" t="str">
        <x:f>IF(COUNT(AA577,Z577)=2,AA577-Z577,"")</x:f>
      </x:c>
      <x:c r="AC577" s="10" t="n">
        <x:v>106</x:v>
      </x:c>
      <x:c r="AD577" s="10"/>
      <x:c r="AE577" s="10" t="str">
        <x:f>IF(COUNT(AD577,AC577)=2,AD577-AC577,"")</x:f>
      </x:c>
      <x:c r="AF577" s="10" t="n">
        <x:v>72</x:v>
      </x:c>
      <x:c r="AG577" s="10"/>
      <x:c r="AH577" s="10" t="str">
        <x:f>IF(COUNT(AG577,AF577)=2,AG577-AF577,"")</x:f>
      </x:c>
      <x:c r="AI577" s="10" t="n">
        <x:v>141</x:v>
      </x:c>
      <x:c r="AJ577" s="10"/>
      <x:c r="AK577" s="10" t="str">
        <x:f>IF(COUNT(AJ577,AI577)=2,AJ577-AI577,"")</x:f>
      </x:c>
      <x:c r="AL577" s="10" t="n">
        <x:v>27</x:v>
      </x:c>
      <x:c r="AM577" s="10"/>
      <x:c r="AN577" s="4" t="str">
        <x:v>D</x:v>
      </x:c>
      <x:c r="AO577" s="4"/>
      <x:c r="AP577" s="4" t="str">
        <x:v>WPG</x:v>
      </x:c>
      <x:c r="AQ577" s="4"/>
      <x:c r="AR577" s="4" t="n">
        <x:v>20.35</x:v>
      </x:c>
      <x:c r="AS577" s="4"/>
      <x:c r="AT577" s="4" t="n">
        <x:v>0.11</x:v>
      </x:c>
      <x:c r="AU577" s="4"/>
      <x:c r="AV577" s="10"/>
      <x:c r="AW577" s="10"/>
      <x:c r="AX577" s="10"/>
      <x:c r="AY577" s="10"/>
      <x:c r="AZ577" s="10" t="n">
        <x:v>1162</x:v>
      </x:c>
      <x:c r="BA577" s="10" t="n">
        <x:v>1117</x:v>
      </x:c>
      <x:c r="BB577" s="4" t="n">
        <x:v>51</x:v>
      </x:c>
      <x:c r="BC577" s="4" t="n">
        <x:v>1.6</x:v>
      </x:c>
      <x:c r="BD577" s="10" t="n">
        <x:v>859</x:v>
      </x:c>
      <x:c r="BE577" s="10" t="n">
        <x:v>803</x:v>
      </x:c>
      <x:c r="BF577" s="4" t="n">
        <x:v>51.7</x:v>
      </x:c>
      <x:c r="BG577" s="4" t="n">
        <x:v>3.3</x:v>
      </x:c>
      <x:c r="BH577" s="4" t="n">
        <x:v>8.9</x:v>
      </x:c>
      <x:c r="BI577" s="4" t="n">
        <x:v>90.9</x:v>
      </x:c>
      <x:c r="BJ577" s="4" t="n">
        <x:v>99.9</x:v>
      </x:c>
      <x:c r="BK577" s="4" t="n">
        <x:v>45.3</x:v>
      </x:c>
      <x:c r="BL577" s="4" t="n">
        <x:v>54.7</x:v>
      </x:c>
      <x:c r="BM577" s="4" t="n">
        <x:v>21.816666666666666</x:v>
      </x:c>
      <x:c r="BN577" s="4" t="n">
        <x:v>19.166666666666668</x:v>
      </x:c>
      <x:c r="BO577" s="10" t="n">
        <x:v>27</x:v>
      </x:c>
      <x:c r="BP577" s="10" t="n">
        <x:v>66</x:v>
      </x:c>
      <x:c r="BQ577" s="4" t="n">
        <x:v>3.5</x:v>
      </x:c>
      <x:c r="BR577" s="10" t="n">
        <x:v>208</x:v>
      </x:c>
      <x:c r="BS577" s="4" t="n">
        <x:v>41.8</x:v>
      </x:c>
      <x:c r="BT577" s="10" t="n">
        <x:v>66</x:v>
      </x:c>
      <x:c r="BU577" s="4" t="str">
        <x:v>WPG</x:v>
      </x:c>
      <x:c r="BV577" s="10" t="n">
        <x:v>478</x:v>
      </x:c>
      <x:c r="BW577" s="10"/>
      <x:c r="BX577" s="10" t="n">
        <x:v>891</x:v>
      </x:c>
      <x:c r="BY577" s="4" t="str">
        <x:v>Dylan Samberg</x:v>
      </x:c>
      <x:c r="BZ577" s="4"/>
      <x:c r="CA577" s="4" t="str">
        <x:v>Dylan Samberg</x:v>
      </x:c>
      <x:c r="CB577" s="4" t="str">
        <x:v>sambedy01</x:v>
      </x:c>
    </x:row>
    <x:row r="578" ht="22" customHeight="1">
      <x:c r="A578" s="4" t="str">
        <x:v>Dysin Mayo</x:v>
      </x:c>
      <x:c r="B578" s="4" t="str">
        <x:v>dysinmayo</x:v>
      </x:c>
      <x:c r="C578" s="10" t="n">
        <x:v>0</x:v>
      </x:c>
      <x:c r="D578" s="10" t="n">
        <x:v>0</x:v>
      </x:c>
      <x:c r="E578" s="10" t="n">
        <x:v>1</x:v>
      </x:c>
      <x:c r="F578" s="4" t="str">
        <x:f>IF(COUNT(N578,Q578,T578,W578,Z578,AC578,AF578,AI578)=8,N578*Guide!$E$5+Q578*Guide!$E$6+T578*Guide!$E$7+W578*Guide!$E$8+Z578*Guide!$E$9+AC578*Guide!$E$10+AF578*Guide!$E$11+AI578*Guide!$E$12,"")</x:f>
      </x:c>
      <x:c r="G578" s="4" t="str">
        <x:f>IF(COUNT(O578,R578,U578,X578,AA578,AD578,AG578,AJ578)=8,O578*Guide!$E$5+R578*Guide!$E$6+U578*Guide!$E$7+X578*Guide!$E$8+AA578*Guide!$E$9+AD578*Guide!$E$10+AG578*Guide!$E$11+AJ578*Guide!$E$12,"")</x:f>
      </x:c>
      <x:c r="H578" s="4" t="str">
        <x:f>IF(COUNT(G578,F578)=2,G578-F578,"")</x:f>
      </x:c>
      <x:c r="I578" s="4" t="str">
        <x:f>IF(AND(ISNUMBER(F578),K578&gt;0),F578/K578,"")</x:f>
      </x:c>
      <x:c r="J578" s="4" t="str">
        <x:f>IF(AND(ISNUMBER(G578),L578&gt;0),G578/L578,"")</x:f>
      </x:c>
      <x:c r="K578" s="10"/>
      <x:c r="L578" s="10"/>
      <x:c r="M578" s="10" t="str">
        <x:f>IF(COUNT(L578,K578)=2,L578-K578,"")</x:f>
      </x:c>
      <x:c r="N578" s="10"/>
      <x:c r="O578" s="10"/>
      <x:c r="P578" s="10" t="str">
        <x:f>IF(COUNT(O578,N578)=2,O578-N578,"")</x:f>
      </x:c>
      <x:c r="Q578" s="10"/>
      <x:c r="R578" s="10"/>
      <x:c r="S578" s="10" t="str">
        <x:f>IF(COUNT(R578,Q578)=2,R578-Q578,"")</x:f>
      </x:c>
      <x:c r="T578" s="10"/>
      <x:c r="U578" s="10"/>
      <x:c r="V578" s="10" t="str">
        <x:f>IF(COUNT(U578,T578)=2,U578-T578,"")</x:f>
      </x:c>
      <x:c r="W578" s="10"/>
      <x:c r="X578" s="10" t="str">
        <x:f>IF(COUNT(AV578,AW578)=2,AV578+AW578,"")</x:f>
      </x:c>
      <x:c r="Y578" s="10" t="str">
        <x:f>IF(COUNT(X578,W578)=2,X578-W578,"")</x:f>
      </x:c>
      <x:c r="Z578" s="10"/>
      <x:c r="AA578" s="10" t="str">
        <x:f>IF(COUNT(AX578,AY578)=2,AX578+AY578,"")</x:f>
      </x:c>
      <x:c r="AB578" s="10" t="str">
        <x:f>IF(COUNT(AA578,Z578)=2,AA578-Z578,"")</x:f>
      </x:c>
      <x:c r="AC578" s="10"/>
      <x:c r="AD578" s="10"/>
      <x:c r="AE578" s="10" t="str">
        <x:f>IF(COUNT(AD578,AC578)=2,AD578-AC578,"")</x:f>
      </x:c>
      <x:c r="AF578" s="10"/>
      <x:c r="AG578" s="10"/>
      <x:c r="AH578" s="10" t="str">
        <x:f>IF(COUNT(AG578,AF578)=2,AG578-AF578,"")</x:f>
      </x:c>
      <x:c r="AI578" s="10"/>
      <x:c r="AJ578" s="10"/>
      <x:c r="AK578" s="10" t="str">
        <x:f>IF(COUNT(AJ578,AI578)=2,AJ578-AI578,"")</x:f>
      </x:c>
      <x:c r="AL578" s="10"/>
      <x:c r="AM578" s="10"/>
      <x:c r="AN578" s="4"/>
      <x:c r="AO578" s="4"/>
      <x:c r="AP578" s="4"/>
      <x:c r="AQ578" s="4"/>
      <x:c r="AR578" s="4"/>
      <x:c r="AS578" s="4"/>
      <x:c r="AT578" s="4"/>
      <x:c r="AU578" s="4"/>
      <x:c r="AV578" s="10"/>
      <x:c r="AW578" s="10"/>
      <x:c r="AX578" s="10"/>
      <x:c r="AY578" s="10"/>
      <x:c r="AZ578" s="10" t="n">
        <x:v>35</x:v>
      </x:c>
      <x:c r="BA578" s="10" t="n">
        <x:v>13</x:v>
      </x:c>
      <x:c r="BB578" s="4" t="n">
        <x:v>72.9</x:v>
      </x:c>
      <x:c r="BC578" s="4" t="n">
        <x:v>16.6</x:v>
      </x:c>
      <x:c r="BD578" s="10" t="n">
        <x:v>28</x:v>
      </x:c>
      <x:c r="BE578" s="10" t="n">
        <x:v>10</x:v>
      </x:c>
      <x:c r="BF578" s="4" t="n">
        <x:v>73.7</x:v>
      </x:c>
      <x:c r="BG578" s="4" t="n">
        <x:v>17.1</x:v>
      </x:c>
      <x:c r="BH578" s="4" t="n">
        <x:v>11.8</x:v>
      </x:c>
      <x:c r="BI578" s="4" t="n">
        <x:v>85.7</x:v>
      </x:c>
      <x:c r="BJ578" s="4" t="n">
        <x:v>97.5</x:v>
      </x:c>
      <x:c r="BK578" s="4" t="n">
        <x:v>66.7</x:v>
      </x:c>
      <x:c r="BL578" s="4" t="n">
        <x:v>33.3</x:v>
      </x:c>
      <x:c r="BM578" s="4" t="n">
        <x:v>8.4</x:v>
      </x:c>
      <x:c r="BN578" s="4" t="n">
        <x:v>8.4</x:v>
      </x:c>
      <x:c r="BO578" s="10" t="n">
        <x:v>0</x:v>
      </x:c>
      <x:c r="BP578" s="10" t="n">
        <x:v>0</x:v>
      </x:c>
      <x:c r="BQ578" s="4" t="n">
        <x:v>0.4</x:v>
      </x:c>
      <x:c r="BR578" s="10" t="n">
        <x:v>7</x:v>
      </x:c>
      <x:c r="BS578" s="4" t="n">
        <x:v>71.4</x:v>
      </x:c>
      <x:c r="BT578" s="10" t="n">
        <x:v>3</x:v>
      </x:c>
      <x:c r="BU578" s="4" t="str">
        <x:v>CBJ</x:v>
      </x:c>
      <x:c r="BV578" s="10"/>
      <x:c r="BW578" s="10"/>
      <x:c r="BX578" s="10" t="n">
        <x:v>660</x:v>
      </x:c>
      <x:c r="BY578" s="4"/>
      <x:c r="BZ578" s="4"/>
      <x:c r="CA578" s="4" t="str">
        <x:v>Dysin Mayo</x:v>
      </x:c>
      <x:c r="CB578" s="4" t="str">
        <x:v>mayody01</x:v>
      </x:c>
    </x:row>
    <x:row r="579" ht="22" customHeight="1">
      <x:c r="A579" s="4" t="str">
        <x:v>Easton Cowan</x:v>
      </x:c>
      <x:c r="B579" s="4" t="str">
        <x:v>eastoncowan</x:v>
      </x:c>
      <x:c r="C579" s="10" t="n">
        <x:v>0</x:v>
      </x:c>
      <x:c r="D579" s="10" t="n">
        <x:v>1</x:v>
      </x:c>
      <x:c r="E579" s="10" t="n">
        <x:v>1</x:v>
      </x:c>
      <x:c r="F579" s="4" t="str">
        <x:f>IF(COUNT(N579,Q579,T579,W579,Z579,AC579,AF579,AI579)=8,N579*Guide!$E$5+Q579*Guide!$E$6+T579*Guide!$E$7+W579*Guide!$E$8+Z579*Guide!$E$9+AC579*Guide!$E$10+AF579*Guide!$E$11+AI579*Guide!$E$12,"")</x:f>
      </x:c>
      <x:c r="G579" s="4" t="n">
        <x:f>IF(COUNT(O579,R579,U579,X579,AA579,AD579,AG579,AJ579)=8,O579*Guide!$E$5+R579*Guide!$E$6+U579*Guide!$E$7+X579*Guide!$E$8+AA579*Guide!$E$9+AD579*Guide!$E$10+AG579*Guide!$E$11+AJ579*Guide!$E$12,"")</x:f>
        <x:v>164</x:v>
      </x:c>
      <x:c r="H579" s="4" t="str">
        <x:f>IF(COUNT(G579,F579)=2,G579-F579,"")</x:f>
      </x:c>
      <x:c r="I579" s="4" t="str">
        <x:f>IF(AND(ISNUMBER(F579),K579&gt;0),F579/K579,"")</x:f>
      </x:c>
      <x:c r="J579" s="4" t="n">
        <x:f>IF(AND(ISNUMBER(G579),L579&gt;0),G579/L579,"")</x:f>
        <x:v>2.484848484848485</x:v>
      </x:c>
      <x:c r="K579" s="10"/>
      <x:c r="L579" s="10" t="n">
        <x:v>66</x:v>
      </x:c>
      <x:c r="M579" s="10" t="str">
        <x:f>IF(COUNT(L579,K579)=2,L579-K579,"")</x:f>
      </x:c>
      <x:c r="N579" s="10"/>
      <x:c r="O579" s="10" t="n">
        <x:v>11</x:v>
      </x:c>
      <x:c r="P579" s="10" t="str">
        <x:f>IF(COUNT(O579,N579)=2,O579-N579,"")</x:f>
      </x:c>
      <x:c r="Q579" s="10"/>
      <x:c r="R579" s="10" t="n">
        <x:v>18</x:v>
      </x:c>
      <x:c r="S579" s="10" t="str">
        <x:f>IF(COUNT(R579,Q579)=2,R579-Q579,"")</x:f>
      </x:c>
      <x:c r="T579" s="10"/>
      <x:c r="U579" s="10" t="n">
        <x:v>-5</x:v>
      </x:c>
      <x:c r="V579" s="10" t="str">
        <x:f>IF(COUNT(U579,T579)=2,U579-T579,"")</x:f>
      </x:c>
      <x:c r="W579" s="10"/>
      <x:c r="X579" s="10" t="n">
        <x:f>IF(COUNT(AV579,AW579)=2,AV579+AW579,"")</x:f>
        <x:v>6</x:v>
      </x:c>
      <x:c r="Y579" s="10" t="str">
        <x:f>IF(COUNT(X579,W579)=2,X579-W579,"")</x:f>
      </x:c>
      <x:c r="Z579" s="10"/>
      <x:c r="AA579" s="10" t="n">
        <x:f>IF(COUNT(AX579,AY579)=2,AX579+AY579,"")</x:f>
        <x:v>0</x:v>
      </x:c>
      <x:c r="AB579" s="10" t="str">
        <x:f>IF(COUNT(AA579,Z579)=2,AA579-Z579,"")</x:f>
      </x:c>
      <x:c r="AC579" s="10"/>
      <x:c r="AD579" s="10" t="n">
        <x:v>92</x:v>
      </x:c>
      <x:c r="AE579" s="10" t="str">
        <x:f>IF(COUNT(AD579,AC579)=2,AD579-AC579,"")</x:f>
      </x:c>
      <x:c r="AF579" s="10"/>
      <x:c r="AG579" s="10" t="n">
        <x:v>72</x:v>
      </x:c>
      <x:c r="AH579" s="10" t="str">
        <x:f>IF(COUNT(AG579,AF579)=2,AG579-AF579,"")</x:f>
      </x:c>
      <x:c r="AI579" s="10"/>
      <x:c r="AJ579" s="10" t="n">
        <x:v>32</x:v>
      </x:c>
      <x:c r="AK579" s="10" t="str">
        <x:f>IF(COUNT(AJ579,AI579)=2,AJ579-AI579,"")</x:f>
      </x:c>
      <x:c r="AL579" s="10"/>
      <x:c r="AM579" s="10" t="n">
        <x:v>20</x:v>
      </x:c>
      <x:c r="AN579" s="4"/>
      <x:c r="AO579" s="4" t="str">
        <x:v>RW</x:v>
      </x:c>
      <x:c r="AP579" s="4"/>
      <x:c r="AQ579" s="4" t="str">
        <x:v>TOR</x:v>
      </x:c>
      <x:c r="AR579" s="4"/>
      <x:c r="AS579" s="4" t="n">
        <x:v>14.716666666666667</x:v>
      </x:c>
      <x:c r="AT579" s="4"/>
      <x:c r="AU579" s="4" t="n">
        <x:v>12</x:v>
      </x:c>
      <x:c r="AV579" s="10" t="n">
        <x:v>2</x:v>
      </x:c>
      <x:c r="AW579" s="10" t="n">
        <x:v>4</x:v>
      </x:c>
      <x:c r="AX579" s="10" t="n">
        <x:v>0</x:v>
      </x:c>
      <x:c r="AY579" s="10" t="n">
        <x:v>0</x:v>
      </x:c>
      <x:c r="AZ579" s="10" t="n">
        <x:v>789</x:v>
      </x:c>
      <x:c r="BA579" s="10" t="n">
        <x:v>937</x:v>
      </x:c>
      <x:c r="BB579" s="4" t="n">
        <x:v>45.7</x:v>
      </x:c>
      <x:c r="BC579" s="4" t="n">
        <x:v>1.3</x:v>
      </x:c>
      <x:c r="BD579" s="10" t="n">
        <x:v>569</x:v>
      </x:c>
      <x:c r="BE579" s="10" t="n">
        <x:v>706</x:v>
      </x:c>
      <x:c r="BF579" s="4" t="n">
        <x:v>44.6</x:v>
      </x:c>
      <x:c r="BG579" s="4" t="n">
        <x:v>-0.5</x:v>
      </x:c>
      <x:c r="BH579" s="4" t="n">
        <x:v>10.3</x:v>
      </x:c>
      <x:c r="BI579" s="4" t="n">
        <x:v>91.4</x:v>
      </x:c>
      <x:c r="BJ579" s="4" t="n">
        <x:v>101.7</x:v>
      </x:c>
      <x:c r="BK579" s="4" t="n">
        <x:v>55.8</x:v>
      </x:c>
      <x:c r="BL579" s="4" t="n">
        <x:v>44.2</x:v>
      </x:c>
      <x:c r="BM579" s="4" t="n">
        <x:v>14.716666666666667</x:v>
      </x:c>
      <x:c r="BN579" s="4" t="n">
        <x:v>13.15</x:v>
      </x:c>
      <x:c r="BO579" s="10" t="n">
        <x:v>13</x:v>
      </x:c>
      <x:c r="BP579" s="10" t="n">
        <x:v>79</x:v>
      </x:c>
      <x:c r="BQ579" s="4" t="n">
        <x:v>-4.5</x:v>
      </x:c>
      <x:c r="BR579" s="10" t="n">
        <x:v>185</x:v>
      </x:c>
      <x:c r="BS579" s="4" t="n">
        <x:v>50.3</x:v>
      </x:c>
      <x:c r="BT579" s="10" t="n">
        <x:v>66</x:v>
      </x:c>
      <x:c r="BU579" s="4" t="str">
        <x:v>TOR</x:v>
      </x:c>
      <x:c r="BV579" s="10"/>
      <x:c r="BW579" s="10" t="n">
        <x:v>339</x:v>
      </x:c>
      <x:c r="BX579" s="10" t="n">
        <x:v>178</x:v>
      </x:c>
      <x:c r="BY579" s="4"/>
      <x:c r="BZ579" s="4" t="str">
        <x:v>Easton Cowan</x:v>
      </x:c>
      <x:c r="CA579" s="4" t="str">
        <x:v>Easton Cowan</x:v>
      </x:c>
      <x:c r="CB579" s="4" t="str">
        <x:v>cowanea01</x:v>
      </x:c>
    </x:row>
    <x:row r="580" ht="22" customHeight="1">
      <x:c r="A580" s="4" t="str">
        <x:v>Egor Afanasyev</x:v>
      </x:c>
      <x:c r="B580" s="4" t="str">
        <x:v>egorafanasyev</x:v>
      </x:c>
      <x:c r="C580" s="10" t="n">
        <x:v>1</x:v>
      </x:c>
      <x:c r="D580" s="10" t="n">
        <x:v>0</x:v>
      </x:c>
      <x:c r="E580" s="10" t="n">
        <x:v>0</x:v>
      </x:c>
      <x:c r="F580" s="4" t="n">
        <x:f>IF(COUNT(N580,Q580,T580,W580,Z580,AC580,AF580,AI580)=8,N580*Guide!$E$5+Q580*Guide!$E$6+T580*Guide!$E$7+W580*Guide!$E$8+Z580*Guide!$E$9+AC580*Guide!$E$10+AF580*Guide!$E$11+AI580*Guide!$E$12,"")</x:f>
        <x:v>132.5</x:v>
      </x:c>
      <x:c r="G580" s="4" t="str">
        <x:f>IF(COUNT(O580,R580,U580,X580,AA580,AD580,AG580,AJ580)=8,O580*Guide!$E$5+R580*Guide!$E$6+U580*Guide!$E$7+X580*Guide!$E$8+AA580*Guide!$E$9+AD580*Guide!$E$10+AG580*Guide!$E$11+AJ580*Guide!$E$12,"")</x:f>
      </x:c>
      <x:c r="H580" s="4" t="str">
        <x:f>IF(COUNT(G580,F580)=2,G580-F580,"")</x:f>
      </x:c>
      <x:c r="I580" s="4" t="n">
        <x:f>IF(AND(ISNUMBER(F580),K580&gt;0),F580/K580,"")</x:f>
        <x:v>1.9485294117647058</x:v>
      </x:c>
      <x:c r="J580" s="4" t="str">
        <x:f>IF(AND(ISNUMBER(G580),L580&gt;0),G580/L580,"")</x:f>
      </x:c>
      <x:c r="K580" s="10" t="n">
        <x:v>68</x:v>
      </x:c>
      <x:c r="L580" s="10"/>
      <x:c r="M580" s="10" t="str">
        <x:f>IF(COUNT(L580,K580)=2,L580-K580,"")</x:f>
      </x:c>
      <x:c r="N580" s="10" t="n">
        <x:v>8</x:v>
      </x:c>
      <x:c r="O580" s="10"/>
      <x:c r="P580" s="10" t="str">
        <x:f>IF(COUNT(O580,N580)=2,O580-N580,"")</x:f>
      </x:c>
      <x:c r="Q580" s="10" t="n">
        <x:v>10</x:v>
      </x:c>
      <x:c r="R580" s="10"/>
      <x:c r="S580" s="10" t="str">
        <x:f>IF(COUNT(R580,Q580)=2,R580-Q580,"")</x:f>
      </x:c>
      <x:c r="T580" s="10" t="n">
        <x:v>-3</x:v>
      </x:c>
      <x:c r="U580" s="10"/>
      <x:c r="V580" s="10" t="str">
        <x:f>IF(COUNT(U580,T580)=2,U580-T580,"")</x:f>
      </x:c>
      <x:c r="W580" s="10" t="n">
        <x:v>1</x:v>
      </x:c>
      <x:c r="X580" s="10" t="str">
        <x:f>IF(COUNT(AV580,AW580)=2,AV580+AW580,"")</x:f>
      </x:c>
      <x:c r="Y580" s="10" t="str">
        <x:f>IF(COUNT(X580,W580)=2,X580-W580,"")</x:f>
      </x:c>
      <x:c r="Z580" s="10" t="n">
        <x:v>0</x:v>
      </x:c>
      <x:c r="AA580" s="10" t="str">
        <x:f>IF(COUNT(AX580,AY580)=2,AX580+AY580,"")</x:f>
      </x:c>
      <x:c r="AB580" s="10" t="str">
        <x:f>IF(COUNT(AA580,Z580)=2,AA580-Z580,"")</x:f>
      </x:c>
      <x:c r="AC580" s="10" t="n">
        <x:v>73</x:v>
      </x:c>
      <x:c r="AD580" s="10"/>
      <x:c r="AE580" s="10" t="str">
        <x:f>IF(COUNT(AD580,AC580)=2,AD580-AC580,"")</x:f>
      </x:c>
      <x:c r="AF580" s="10" t="n">
        <x:v>88</x:v>
      </x:c>
      <x:c r="AG580" s="10"/>
      <x:c r="AH580" s="10" t="str">
        <x:f>IF(COUNT(AG580,AF580)=2,AG580-AF580,"")</x:f>
      </x:c>
      <x:c r="AI580" s="10" t="n">
        <x:v>43</x:v>
      </x:c>
      <x:c r="AJ580" s="10"/>
      <x:c r="AK580" s="10" t="str">
        <x:f>IF(COUNT(AJ580,AI580)=2,AJ580-AI580,"")</x:f>
      </x:c>
      <x:c r="AL580" s="10" t="n">
        <x:v>25</x:v>
      </x:c>
      <x:c r="AM580" s="10"/>
      <x:c r="AN580" s="4" t="str">
        <x:v>LW</x:v>
      </x:c>
      <x:c r="AO580" s="4"/>
      <x:c r="AP580" s="4" t="str">
        <x:v>SJ</x:v>
      </x:c>
      <x:c r="AQ580" s="4"/>
      <x:c r="AR580" s="4" t="n">
        <x:v>11.05</x:v>
      </x:c>
      <x:c r="AS580" s="4"/>
      <x:c r="AT580" s="4" t="n">
        <x:v>0.21</x:v>
      </x:c>
      <x:c r="AU580" s="4"/>
      <x:c r="AV580" s="10"/>
      <x:c r="AW580" s="10"/>
      <x:c r="AX580" s="10"/>
      <x:c r="AY580" s="10"/>
      <x:c r="AZ580" s="10"/>
      <x:c r="BA580" s="10"/>
      <x:c r="BB580" s="4"/>
      <x:c r="BC580" s="4"/>
      <x:c r="BD580" s="10"/>
      <x:c r="BE580" s="10"/>
      <x:c r="BF580" s="4"/>
      <x:c r="BG580" s="4"/>
      <x:c r="BH580" s="4"/>
      <x:c r="BI580" s="4"/>
      <x:c r="BJ580" s="4"/>
      <x:c r="BK580" s="4"/>
      <x:c r="BL580" s="4"/>
      <x:c r="BM580" s="4"/>
      <x:c r="BN580" s="4"/>
      <x:c r="BO580" s="10"/>
      <x:c r="BP580" s="10"/>
      <x:c r="BQ580" s="4"/>
      <x:c r="BR580" s="10"/>
      <x:c r="BS580" s="4"/>
      <x:c r="BT580" s="10"/>
      <x:c r="BU580" s="4"/>
      <x:c r="BV580" s="10" t="n">
        <x:v>576</x:v>
      </x:c>
      <x:c r="BW580" s="10"/>
      <x:c r="BX580" s="10"/>
      <x:c r="BY580" s="4" t="str">
        <x:v>Egor Afanasyev</x:v>
      </x:c>
      <x:c r="BZ580" s="4"/>
      <x:c r="CA580" s="4"/>
      <x:c r="CB580" s="4"/>
    </x:row>
    <x:row r="581" ht="22" customHeight="1">
      <x:c r="A581" s="4" t="str">
        <x:v>Egor Zamula</x:v>
      </x:c>
      <x:c r="B581" s="4" t="str">
        <x:v>egorzamula</x:v>
      </x:c>
      <x:c r="C581" s="10" t="n">
        <x:v>1</x:v>
      </x:c>
      <x:c r="D581" s="10" t="n">
        <x:v>0</x:v>
      </x:c>
      <x:c r="E581" s="10" t="n">
        <x:v>1</x:v>
      </x:c>
      <x:c r="F581" s="4" t="n">
        <x:f>IF(COUNT(N581,Q581,T581,W581,Z581,AC581,AF581,AI581)=8,N581*Guide!$E$5+Q581*Guide!$E$6+T581*Guide!$E$7+W581*Guide!$E$8+Z581*Guide!$E$9+AC581*Guide!$E$10+AF581*Guide!$E$11+AI581*Guide!$E$12,"")</x:f>
        <x:v>158.25</x:v>
      </x:c>
      <x:c r="G581" s="4" t="str">
        <x:f>IF(COUNT(O581,R581,U581,X581,AA581,AD581,AG581,AJ581)=8,O581*Guide!$E$5+R581*Guide!$E$6+U581*Guide!$E$7+X581*Guide!$E$8+AA581*Guide!$E$9+AD581*Guide!$E$10+AG581*Guide!$E$11+AJ581*Guide!$E$12,"")</x:f>
      </x:c>
      <x:c r="H581" s="4" t="str">
        <x:f>IF(COUNT(G581,F581)=2,G581-F581,"")</x:f>
      </x:c>
      <x:c r="I581" s="4" t="n">
        <x:f>IF(AND(ISNUMBER(F581),K581&gt;0),F581/K581,"")</x:f>
        <x:v>2.2288732394366195</x:v>
      </x:c>
      <x:c r="J581" s="4" t="str">
        <x:f>IF(AND(ISNUMBER(G581),L581&gt;0),G581/L581,"")</x:f>
      </x:c>
      <x:c r="K581" s="10" t="n">
        <x:v>71</x:v>
      </x:c>
      <x:c r="L581" s="10"/>
      <x:c r="M581" s="10" t="str">
        <x:f>IF(COUNT(L581,K581)=2,L581-K581,"")</x:f>
      </x:c>
      <x:c r="N581" s="10" t="n">
        <x:v>3</x:v>
      </x:c>
      <x:c r="O581" s="10"/>
      <x:c r="P581" s="10" t="str">
        <x:f>IF(COUNT(O581,N581)=2,O581-N581,"")</x:f>
      </x:c>
      <x:c r="Q581" s="10" t="n">
        <x:v>16</x:v>
      </x:c>
      <x:c r="R581" s="10"/>
      <x:c r="S581" s="10" t="str">
        <x:f>IF(COUNT(R581,Q581)=2,R581-Q581,"")</x:f>
      </x:c>
      <x:c r="T581" s="10" t="n">
        <x:v>5</x:v>
      </x:c>
      <x:c r="U581" s="10"/>
      <x:c r="V581" s="10" t="str">
        <x:f>IF(COUNT(U581,T581)=2,U581-T581,"")</x:f>
      </x:c>
      <x:c r="W581" s="10" t="n">
        <x:v>4</x:v>
      </x:c>
      <x:c r="X581" s="10" t="str">
        <x:f>IF(COUNT(AV581,AW581)=2,AV581+AW581,"")</x:f>
      </x:c>
      <x:c r="Y581" s="10" t="str">
        <x:f>IF(COUNT(X581,W581)=2,X581-W581,"")</x:f>
      </x:c>
      <x:c r="Z581" s="10" t="n">
        <x:v>0</x:v>
      </x:c>
      <x:c r="AA581" s="10" t="str">
        <x:f>IF(COUNT(AX581,AY581)=2,AX581+AY581,"")</x:f>
      </x:c>
      <x:c r="AB581" s="10" t="str">
        <x:f>IF(COUNT(AA581,Z581)=2,AA581-Z581,"")</x:f>
      </x:c>
      <x:c r="AC581" s="10" t="n">
        <x:v>51</x:v>
      </x:c>
      <x:c r="AD581" s="10"/>
      <x:c r="AE581" s="10" t="str">
        <x:f>IF(COUNT(AD581,AC581)=2,AD581-AC581,"")</x:f>
      </x:c>
      <x:c r="AF581" s="10" t="n">
        <x:v>30</x:v>
      </x:c>
      <x:c r="AG581" s="10"/>
      <x:c r="AH581" s="10" t="str">
        <x:f>IF(COUNT(AG581,AF581)=2,AG581-AF581,"")</x:f>
      </x:c>
      <x:c r="AI581" s="10" t="n">
        <x:v>92</x:v>
      </x:c>
      <x:c r="AJ581" s="10"/>
      <x:c r="AK581" s="10" t="str">
        <x:f>IF(COUNT(AJ581,AI581)=2,AJ581-AI581,"")</x:f>
      </x:c>
      <x:c r="AL581" s="10" t="n">
        <x:v>25</x:v>
      </x:c>
      <x:c r="AM581" s="10"/>
      <x:c r="AN581" s="4" t="str">
        <x:v>D</x:v>
      </x:c>
      <x:c r="AO581" s="4"/>
      <x:c r="AP581" s="4" t="str">
        <x:v>PHI</x:v>
      </x:c>
      <x:c r="AQ581" s="4"/>
      <x:c r="AR581" s="4" t="n">
        <x:v>16.45</x:v>
      </x:c>
      <x:c r="AS581" s="4"/>
      <x:c r="AT581" s="4" t="n">
        <x:v>0.72</x:v>
      </x:c>
      <x:c r="AU581" s="4"/>
      <x:c r="AV581" s="10"/>
      <x:c r="AW581" s="10"/>
      <x:c r="AX581" s="10"/>
      <x:c r="AY581" s="10"/>
      <x:c r="AZ581" s="10" t="n">
        <x:v>352</x:v>
      </x:c>
      <x:c r="BA581" s="10" t="n">
        <x:v>372</x:v>
      </x:c>
      <x:c r="BB581" s="4" t="n">
        <x:v>48.6</x:v>
      </x:c>
      <x:c r="BC581" s="4" t="n">
        <x:v>-1.3</x:v>
      </x:c>
      <x:c r="BD581" s="10" t="n">
        <x:v>245</x:v>
      </x:c>
      <x:c r="BE581" s="10" t="n">
        <x:v>259</x:v>
      </x:c>
      <x:c r="BF581" s="4" t="n">
        <x:v>48.6</x:v>
      </x:c>
      <x:c r="BG581" s="4" t="n">
        <x:v>-2.3</x:v>
      </x:c>
      <x:c r="BH581" s="4" t="n">
        <x:v>11.4</x:v>
      </x:c>
      <x:c r="BI581" s="4" t="n">
        <x:v>91.9</x:v>
      </x:c>
      <x:c r="BJ581" s="4" t="n">
        <x:v>103.4</x:v>
      </x:c>
      <x:c r="BK581" s="4" t="n">
        <x:v>57.2</x:v>
      </x:c>
      <x:c r="BL581" s="4" t="n">
        <x:v>42.8</x:v>
      </x:c>
      <x:c r="BM581" s="4" t="n">
        <x:v>13.066666666666666</x:v>
      </x:c>
      <x:c r="BN581" s="4" t="n">
        <x:v>12.616666666666667</x:v>
      </x:c>
      <x:c r="BO581" s="10" t="n">
        <x:v>6</x:v>
      </x:c>
      <x:c r="BP581" s="10" t="n">
        <x:v>27</x:v>
      </x:c>
      <x:c r="BQ581" s="4" t="n">
        <x:v>-0.7</x:v>
      </x:c>
      <x:c r="BR581" s="10" t="n">
        <x:v>51</x:v>
      </x:c>
      <x:c r="BS581" s="4" t="n">
        <x:v>35.3</x:v>
      </x:c>
      <x:c r="BT581" s="10" t="n">
        <x:v>33</x:v>
      </x:c>
      <x:c r="BU581" s="4" t="str">
        <x:v>TOT</x:v>
      </x:c>
      <x:c r="BV581" s="10" t="n">
        <x:v>544</x:v>
      </x:c>
      <x:c r="BW581" s="10"/>
      <x:c r="BX581" s="10" t="n">
        <x:v>1095</x:v>
      </x:c>
      <x:c r="BY581" s="4" t="str">
        <x:v>Egor Zamula</x:v>
      </x:c>
      <x:c r="BZ581" s="4"/>
      <x:c r="CA581" s="4" t="str">
        <x:v>Egor Zamula</x:v>
      </x:c>
      <x:c r="CB581" s="4" t="str">
        <x:v>zamulye01</x:v>
      </x:c>
    </x:row>
    <x:row r="582" ht="22" customHeight="1">
      <x:c r="A582" s="4" t="str">
        <x:v>Elias Pettersson (D)</x:v>
      </x:c>
      <x:c r="B582" s="4" t="str">
        <x:v>eliaspetterssond</x:v>
      </x:c>
      <x:c r="C582" s="10" t="n">
        <x:v>1</x:v>
      </x:c>
      <x:c r="D582" s="10" t="n">
        <x:v>0</x:v>
      </x:c>
      <x:c r="E582" s="10" t="n">
        <x:v>1</x:v>
      </x:c>
      <x:c r="F582" s="4" t="n">
        <x:f>IF(COUNT(N582,Q582,T582,W582,Z582,AC582,AF582,AI582)=8,N582*Guide!$E$5+Q582*Guide!$E$6+T582*Guide!$E$7+W582*Guide!$E$8+Z582*Guide!$E$9+AC582*Guide!$E$10+AF582*Guide!$E$11+AI582*Guide!$E$12,"")</x:f>
        <x:v>133.5</x:v>
      </x:c>
      <x:c r="G582" s="4" t="str">
        <x:f>IF(COUNT(O582,R582,U582,X582,AA582,AD582,AG582,AJ582)=8,O582*Guide!$E$5+R582*Guide!$E$6+U582*Guide!$E$7+X582*Guide!$E$8+AA582*Guide!$E$9+AD582*Guide!$E$10+AG582*Guide!$E$11+AJ582*Guide!$E$12,"")</x:f>
      </x:c>
      <x:c r="H582" s="4" t="str">
        <x:f>IF(COUNT(G582,F582)=2,G582-F582,"")</x:f>
      </x:c>
      <x:c r="I582" s="4" t="n">
        <x:f>IF(AND(ISNUMBER(F582),K582&gt;0),F582/K582,"")</x:f>
        <x:v>2.225</x:v>
      </x:c>
      <x:c r="J582" s="4" t="str">
        <x:f>IF(AND(ISNUMBER(G582),L582&gt;0),G582/L582,"")</x:f>
      </x:c>
      <x:c r="K582" s="10" t="n">
        <x:v>60</x:v>
      </x:c>
      <x:c r="L582" s="10"/>
      <x:c r="M582" s="10" t="str">
        <x:f>IF(COUNT(L582,K582)=2,L582-K582,"")</x:f>
      </x:c>
      <x:c r="N582" s="10" t="n">
        <x:v>4</x:v>
      </x:c>
      <x:c r="O582" s="10"/>
      <x:c r="P582" s="10" t="str">
        <x:f>IF(COUNT(O582,N582)=2,O582-N582,"")</x:f>
      </x:c>
      <x:c r="Q582" s="10" t="n">
        <x:v>11</x:v>
      </x:c>
      <x:c r="R582" s="10"/>
      <x:c r="S582" s="10" t="str">
        <x:f>IF(COUNT(R582,Q582)=2,R582-Q582,"")</x:f>
      </x:c>
      <x:c r="T582" s="10" t="n">
        <x:v>-2</x:v>
      </x:c>
      <x:c r="U582" s="10"/>
      <x:c r="V582" s="10" t="str">
        <x:f>IF(COUNT(U582,T582)=2,U582-T582,"")</x:f>
      </x:c>
      <x:c r="W582" s="10" t="n">
        <x:v>0</x:v>
      </x:c>
      <x:c r="X582" s="10" t="str">
        <x:f>IF(COUNT(AV582,AW582)=2,AV582+AW582,"")</x:f>
      </x:c>
      <x:c r="Y582" s="10" t="str">
        <x:f>IF(COUNT(X582,W582)=2,X582-W582,"")</x:f>
      </x:c>
      <x:c r="Z582" s="10" t="n">
        <x:v>0</x:v>
      </x:c>
      <x:c r="AA582" s="10" t="str">
        <x:f>IF(COUNT(AX582,AY582)=2,AX582+AY582,"")</x:f>
      </x:c>
      <x:c r="AB582" s="10" t="str">
        <x:f>IF(COUNT(AA582,Z582)=2,AA582-Z582,"")</x:f>
      </x:c>
      <x:c r="AC582" s="10" t="n">
        <x:v>64</x:v>
      </x:c>
      <x:c r="AD582" s="10"/>
      <x:c r="AE582" s="10" t="str">
        <x:f>IF(COUNT(AD582,AC582)=2,AD582-AC582,"")</x:f>
      </x:c>
      <x:c r="AF582" s="10" t="n">
        <x:v>102</x:v>
      </x:c>
      <x:c r="AG582" s="10"/>
      <x:c r="AH582" s="10" t="str">
        <x:f>IF(COUNT(AG582,AF582)=2,AG582-AF582,"")</x:f>
      </x:c>
      <x:c r="AI582" s="10" t="n">
        <x:v>60</x:v>
      </x:c>
      <x:c r="AJ582" s="10"/>
      <x:c r="AK582" s="10" t="str">
        <x:f>IF(COUNT(AJ582,AI582)=2,AJ582-AI582,"")</x:f>
      </x:c>
      <x:c r="AL582" s="10" t="n">
        <x:v>21</x:v>
      </x:c>
      <x:c r="AM582" s="10"/>
      <x:c r="AN582" s="4" t="str">
        <x:v>D</x:v>
      </x:c>
      <x:c r="AO582" s="4"/>
      <x:c r="AP582" s="4" t="str">
        <x:v>VAN</x:v>
      </x:c>
      <x:c r="AQ582" s="4"/>
      <x:c r="AR582" s="4" t="n">
        <x:v>16.81</x:v>
      </x:c>
      <x:c r="AS582" s="4"/>
      <x:c r="AT582" s="4" t="n">
        <x:v>0.02</x:v>
      </x:c>
      <x:c r="AU582" s="4"/>
      <x:c r="AV582" s="10"/>
      <x:c r="AW582" s="10"/>
      <x:c r="AX582" s="10"/>
      <x:c r="AY582" s="10"/>
      <x:c r="AZ582" s="10" t="n">
        <x:v>746</x:v>
      </x:c>
      <x:c r="BA582" s="10" t="n">
        <x:v>999</x:v>
      </x:c>
      <x:c r="BB582" s="4" t="n">
        <x:v>42.8</x:v>
      </x:c>
      <x:c r="BC582" s="4" t="n">
        <x:v>-4.5</x:v>
      </x:c>
      <x:c r="BD582" s="10" t="n">
        <x:v>553</x:v>
      </x:c>
      <x:c r="BE582" s="10" t="n">
        <x:v>724</x:v>
      </x:c>
      <x:c r="BF582" s="4" t="n">
        <x:v>43.3</x:v>
      </x:c>
      <x:c r="BG582" s="4" t="n">
        <x:v>-3.3</x:v>
      </x:c>
      <x:c r="BH582" s="4" t="n">
        <x:v>8.7</x:v>
      </x:c>
      <x:c r="BI582" s="4" t="n">
        <x:v>89.2</x:v>
      </x:c>
      <x:c r="BJ582" s="4" t="n">
        <x:v>97.9</x:v>
      </x:c>
      <x:c r="BK582" s="4" t="n">
        <x:v>41.6</x:v>
      </x:c>
      <x:c r="BL582" s="4" t="n">
        <x:v>58.4</x:v>
      </x:c>
      <x:c r="BM582" s="4" t="n">
        <x:v>14.983333333333333</x:v>
      </x:c>
      <x:c r="BN582" s="4" t="n">
        <x:v>13.766666666666667</x:v>
      </x:c>
      <x:c r="BO582" s="10" t="n">
        <x:v>14</x:v>
      </x:c>
      <x:c r="BP582" s="10" t="n">
        <x:v>68</x:v>
      </x:c>
      <x:c r="BQ582" s="4" t="n">
        <x:v>-17.6</x:v>
      </x:c>
      <x:c r="BR582" s="10" t="n">
        <x:v>135</x:v>
      </x:c>
      <x:c r="BS582" s="4" t="n">
        <x:v>34.1</x:v>
      </x:c>
      <x:c r="BT582" s="10" t="n">
        <x:v>70</x:v>
      </x:c>
      <x:c r="BU582" s="4" t="str">
        <x:v>VAN</x:v>
      </x:c>
      <x:c r="BV582" s="10" t="n">
        <x:v>626</x:v>
      </x:c>
      <x:c r="BW582" s="10"/>
      <x:c r="BX582" s="10" t="n">
        <x:v>811</x:v>
      </x:c>
      <x:c r="BY582" s="4" t="str">
        <x:v>Elias Pettersson (D)</x:v>
      </x:c>
      <x:c r="BZ582" s="4"/>
      <x:c r="CA582" s="4" t="str">
        <x:v>Elias Pettersson</x:v>
      </x:c>
      <x:c r="CB582" s="4" t="str">
        <x:v>petteel02</x:v>
      </x:c>
    </x:row>
    <x:row r="583" ht="22" customHeight="1">
      <x:c r="A583" s="4" t="str">
        <x:v>Elias Salomonsson</x:v>
      </x:c>
      <x:c r="B583" s="4" t="str">
        <x:v>eliassalomonsson</x:v>
      </x:c>
      <x:c r="C583" s="10" t="n">
        <x:v>0</x:v>
      </x:c>
      <x:c r="D583" s="10" t="n">
        <x:v>0</x:v>
      </x:c>
      <x:c r="E583" s="10" t="n">
        <x:v>1</x:v>
      </x:c>
      <x:c r="F583" s="4" t="str">
        <x:f>IF(COUNT(N583,Q583,T583,W583,Z583,AC583,AF583,AI583)=8,N583*Guide!$E$5+Q583*Guide!$E$6+T583*Guide!$E$7+W583*Guide!$E$8+Z583*Guide!$E$9+AC583*Guide!$E$10+AF583*Guide!$E$11+AI583*Guide!$E$12,"")</x:f>
      </x:c>
      <x:c r="G583" s="4" t="str">
        <x:f>IF(COUNT(O583,R583,U583,X583,AA583,AD583,AG583,AJ583)=8,O583*Guide!$E$5+R583*Guide!$E$6+U583*Guide!$E$7+X583*Guide!$E$8+AA583*Guide!$E$9+AD583*Guide!$E$10+AG583*Guide!$E$11+AJ583*Guide!$E$12,"")</x:f>
      </x:c>
      <x:c r="H583" s="4" t="str">
        <x:f>IF(COUNT(G583,F583)=2,G583-F583,"")</x:f>
      </x:c>
      <x:c r="I583" s="4" t="str">
        <x:f>IF(AND(ISNUMBER(F583),K583&gt;0),F583/K583,"")</x:f>
      </x:c>
      <x:c r="J583" s="4" t="str">
        <x:f>IF(AND(ISNUMBER(G583),L583&gt;0),G583/L583,"")</x:f>
      </x:c>
      <x:c r="K583" s="10"/>
      <x:c r="L583" s="10"/>
      <x:c r="M583" s="10" t="str">
        <x:f>IF(COUNT(L583,K583)=2,L583-K583,"")</x:f>
      </x:c>
      <x:c r="N583" s="10"/>
      <x:c r="O583" s="10"/>
      <x:c r="P583" s="10" t="str">
        <x:f>IF(COUNT(O583,N583)=2,O583-N583,"")</x:f>
      </x:c>
      <x:c r="Q583" s="10"/>
      <x:c r="R583" s="10"/>
      <x:c r="S583" s="10" t="str">
        <x:f>IF(COUNT(R583,Q583)=2,R583-Q583,"")</x:f>
      </x:c>
      <x:c r="T583" s="10"/>
      <x:c r="U583" s="10"/>
      <x:c r="V583" s="10" t="str">
        <x:f>IF(COUNT(U583,T583)=2,U583-T583,"")</x:f>
      </x:c>
      <x:c r="W583" s="10"/>
      <x:c r="X583" s="10" t="str">
        <x:f>IF(COUNT(AV583,AW583)=2,AV583+AW583,"")</x:f>
      </x:c>
      <x:c r="Y583" s="10" t="str">
        <x:f>IF(COUNT(X583,W583)=2,X583-W583,"")</x:f>
      </x:c>
      <x:c r="Z583" s="10"/>
      <x:c r="AA583" s="10" t="str">
        <x:f>IF(COUNT(AX583,AY583)=2,AX583+AY583,"")</x:f>
      </x:c>
      <x:c r="AB583" s="10" t="str">
        <x:f>IF(COUNT(AA583,Z583)=2,AA583-Z583,"")</x:f>
      </x:c>
      <x:c r="AC583" s="10"/>
      <x:c r="AD583" s="10"/>
      <x:c r="AE583" s="10" t="str">
        <x:f>IF(COUNT(AD583,AC583)=2,AD583-AC583,"")</x:f>
      </x:c>
      <x:c r="AF583" s="10"/>
      <x:c r="AG583" s="10"/>
      <x:c r="AH583" s="10" t="str">
        <x:f>IF(COUNT(AG583,AF583)=2,AG583-AF583,"")</x:f>
      </x:c>
      <x:c r="AI583" s="10"/>
      <x:c r="AJ583" s="10"/>
      <x:c r="AK583" s="10" t="str">
        <x:f>IF(COUNT(AJ583,AI583)=2,AJ583-AI583,"")</x:f>
      </x:c>
      <x:c r="AL583" s="10"/>
      <x:c r="AM583" s="10"/>
      <x:c r="AN583" s="4"/>
      <x:c r="AO583" s="4"/>
      <x:c r="AP583" s="4"/>
      <x:c r="AQ583" s="4"/>
      <x:c r="AR583" s="4"/>
      <x:c r="AS583" s="4"/>
      <x:c r="AT583" s="4"/>
      <x:c r="AU583" s="4"/>
      <x:c r="AV583" s="10"/>
      <x:c r="AW583" s="10"/>
      <x:c r="AX583" s="10"/>
      <x:c r="AY583" s="10"/>
      <x:c r="AZ583" s="10" t="n">
        <x:v>524</x:v>
      </x:c>
      <x:c r="BA583" s="10" t="n">
        <x:v>487</x:v>
      </x:c>
      <x:c r="BB583" s="4" t="n">
        <x:v>51.8</x:v>
      </x:c>
      <x:c r="BC583" s="4" t="n">
        <x:v>4.1</x:v>
      </x:c>
      <x:c r="BD583" s="10" t="n">
        <x:v>370</x:v>
      </x:c>
      <x:c r="BE583" s="10" t="n">
        <x:v>374</x:v>
      </x:c>
      <x:c r="BF583" s="4" t="n">
        <x:v>49.7</x:v>
      </x:c>
      <x:c r="BG583" s="4" t="n">
        <x:v>2.3</x:v>
      </x:c>
      <x:c r="BH583" s="4" t="n">
        <x:v>6.9</x:v>
      </x:c>
      <x:c r="BI583" s="4" t="n">
        <x:v>91.2</x:v>
      </x:c>
      <x:c r="BJ583" s="4" t="n">
        <x:v>98.1</x:v>
      </x:c>
      <x:c r="BK583" s="4" t="n">
        <x:v>50.2</x:v>
      </x:c>
      <x:c r="BL583" s="4" t="n">
        <x:v>49.8</x:v>
      </x:c>
      <x:c r="BM583" s="4" t="n">
        <x:v>17.966666666666665</x:v>
      </x:c>
      <x:c r="BN583" s="4" t="n">
        <x:v>16.783333333333335</x:v>
      </x:c>
      <x:c r="BO583" s="10" t="n">
        <x:v>2</x:v>
      </x:c>
      <x:c r="BP583" s="10" t="n">
        <x:v>35</x:v>
      </x:c>
      <x:c r="BQ583" s="4" t="n">
        <x:v>-0.9</x:v>
      </x:c>
      <x:c r="BR583" s="10" t="n">
        <x:v>111</x:v>
      </x:c>
      <x:c r="BS583" s="4" t="n">
        <x:v>33.3</x:v>
      </x:c>
      <x:c r="BT583" s="10" t="n">
        <x:v>32</x:v>
      </x:c>
      <x:c r="BU583" s="4" t="str">
        <x:v>WPG</x:v>
      </x:c>
      <x:c r="BV583" s="10"/>
      <x:c r="BW583" s="10"/>
      <x:c r="BX583" s="10" t="n">
        <x:v>889</x:v>
      </x:c>
      <x:c r="BY583" s="4"/>
      <x:c r="BZ583" s="4"/>
      <x:c r="CA583" s="4" t="str">
        <x:v>Elias Salomonsson</x:v>
      </x:c>
      <x:c r="CB583" s="4" t="str">
        <x:v>salomel01</x:v>
      </x:c>
    </x:row>
    <x:row r="584" ht="22" customHeight="1">
      <x:c r="A584" s="4" t="str">
        <x:v>Elmer Soderblom</x:v>
      </x:c>
      <x:c r="B584" s="4" t="str">
        <x:v>elmersoderblom</x:v>
      </x:c>
      <x:c r="C584" s="10" t="n">
        <x:v>1</x:v>
      </x:c>
      <x:c r="D584" s="10" t="n">
        <x:v>0</x:v>
      </x:c>
      <x:c r="E584" s="10" t="n">
        <x:v>1</x:v>
      </x:c>
      <x:c r="F584" s="4" t="n">
        <x:f>IF(COUNT(N584,Q584,T584,W584,Z584,AC584,AF584,AI584)=8,N584*Guide!$E$5+Q584*Guide!$E$6+T584*Guide!$E$7+W584*Guide!$E$8+Z584*Guide!$E$9+AC584*Guide!$E$10+AF584*Guide!$E$11+AI584*Guide!$E$12,"")</x:f>
        <x:v>215</x:v>
      </x:c>
      <x:c r="G584" s="4" t="str">
        <x:f>IF(COUNT(O584,R584,U584,X584,AA584,AD584,AG584,AJ584)=8,O584*Guide!$E$5+R584*Guide!$E$6+U584*Guide!$E$7+X584*Guide!$E$8+AA584*Guide!$E$9+AD584*Guide!$E$10+AG584*Guide!$E$11+AJ584*Guide!$E$12,"")</x:f>
      </x:c>
      <x:c r="H584" s="4" t="str">
        <x:f>IF(COUNT(G584,F584)=2,G584-F584,"")</x:f>
      </x:c>
      <x:c r="I584" s="4" t="n">
        <x:f>IF(AND(ISNUMBER(F584),K584&gt;0),F584/K584,"")</x:f>
        <x:v>2.9054054054054053</x:v>
      </x:c>
      <x:c r="J584" s="4" t="str">
        <x:f>IF(AND(ISNUMBER(G584),L584&gt;0),G584/L584,"")</x:f>
      </x:c>
      <x:c r="K584" s="10" t="n">
        <x:v>74</x:v>
      </x:c>
      <x:c r="L584" s="10"/>
      <x:c r="M584" s="10" t="str">
        <x:f>IF(COUNT(L584,K584)=2,L584-K584,"")</x:f>
      </x:c>
      <x:c r="N584" s="10" t="n">
        <x:v>17</x:v>
      </x:c>
      <x:c r="O584" s="10"/>
      <x:c r="P584" s="10" t="str">
        <x:f>IF(COUNT(O584,N584)=2,O584-N584,"")</x:f>
      </x:c>
      <x:c r="Q584" s="10" t="n">
        <x:v>19</x:v>
      </x:c>
      <x:c r="R584" s="10"/>
      <x:c r="S584" s="10" t="str">
        <x:f>IF(COUNT(R584,Q584)=2,R584-Q584,"")</x:f>
      </x:c>
      <x:c r="T584" s="10" t="n">
        <x:v>1</x:v>
      </x:c>
      <x:c r="U584" s="10"/>
      <x:c r="V584" s="10" t="str">
        <x:f>IF(COUNT(U584,T584)=2,U584-T584,"")</x:f>
      </x:c>
      <x:c r="W584" s="10" t="n">
        <x:v>3</x:v>
      </x:c>
      <x:c r="X584" s="10" t="str">
        <x:f>IF(COUNT(AV584,AW584)=2,AV584+AW584,"")</x:f>
      </x:c>
      <x:c r="Y584" s="10" t="str">
        <x:f>IF(COUNT(X584,W584)=2,X584-W584,"")</x:f>
      </x:c>
      <x:c r="Z584" s="10" t="n">
        <x:v>0</x:v>
      </x:c>
      <x:c r="AA584" s="10" t="str">
        <x:f>IF(COUNT(AX584,AY584)=2,AX584+AY584,"")</x:f>
      </x:c>
      <x:c r="AB584" s="10" t="str">
        <x:f>IF(COUNT(AA584,Z584)=2,AA584-Z584,"")</x:f>
      </x:c>
      <x:c r="AC584" s="10" t="n">
        <x:v>117</x:v>
      </x:c>
      <x:c r="AD584" s="10"/>
      <x:c r="AE584" s="10" t="str">
        <x:f>IF(COUNT(AD584,AC584)=2,AD584-AC584,"")</x:f>
      </x:c>
      <x:c r="AF584" s="10" t="n">
        <x:v>113</x:v>
      </x:c>
      <x:c r="AG584" s="10"/>
      <x:c r="AH584" s="10" t="str">
        <x:f>IF(COUNT(AG584,AF584)=2,AG584-AF584,"")</x:f>
      </x:c>
      <x:c r="AI584" s="10" t="n">
        <x:v>38</x:v>
      </x:c>
      <x:c r="AJ584" s="10"/>
      <x:c r="AK584" s="10" t="str">
        <x:f>IF(COUNT(AJ584,AI584)=2,AJ584-AI584,"")</x:f>
      </x:c>
      <x:c r="AL584" s="10" t="n">
        <x:v>24</x:v>
      </x:c>
      <x:c r="AM584" s="10"/>
      <x:c r="AN584" s="4" t="str">
        <x:v>LW</x:v>
      </x:c>
      <x:c r="AO584" s="4"/>
      <x:c r="AP584" s="4" t="str">
        <x:v>DET</x:v>
      </x:c>
      <x:c r="AQ584" s="4"/>
      <x:c r="AR584" s="4" t="n">
        <x:v>13.559999999999999</x:v>
      </x:c>
      <x:c r="AS584" s="4"/>
      <x:c r="AT584" s="4" t="n">
        <x:v>0.53</x:v>
      </x:c>
      <x:c r="AU584" s="4"/>
      <x:c r="AV584" s="10"/>
      <x:c r="AW584" s="10"/>
      <x:c r="AX584" s="10"/>
      <x:c r="AY584" s="10"/>
      <x:c r="AZ584" s="10" t="n">
        <x:v>548</x:v>
      </x:c>
      <x:c r="BA584" s="10" t="n">
        <x:v>625</x:v>
      </x:c>
      <x:c r="BB584" s="4" t="n">
        <x:v>46.7</x:v>
      </x:c>
      <x:c r="BC584" s="4" t="n">
        <x:v>-2.3</x:v>
      </x:c>
      <x:c r="BD584" s="10" t="n">
        <x:v>390</x:v>
      </x:c>
      <x:c r="BE584" s="10" t="n">
        <x:v>430</x:v>
      </x:c>
      <x:c r="BF584" s="4" t="n">
        <x:v>47.6</x:v>
      </x:c>
      <x:c r="BG584" s="4" t="n">
        <x:v>-2</x:v>
      </x:c>
      <x:c r="BH584" s="4" t="n">
        <x:v>8.2</x:v>
      </x:c>
      <x:c r="BI584" s="4" t="n">
        <x:v>92.4</x:v>
      </x:c>
      <x:c r="BJ584" s="4" t="n">
        <x:v>100.6</x:v>
      </x:c>
      <x:c r="BK584" s="4" t="n">
        <x:v>38.2</x:v>
      </x:c>
      <x:c r="BL584" s="4" t="n">
        <x:v>61.8</x:v>
      </x:c>
      <x:c r="BM584" s="4" t="n">
        <x:v>11.116666666666667</x:v>
      </x:c>
      <x:c r="BN584" s="4" t="n">
        <x:v>10.866666666666667</x:v>
      </x:c>
      <x:c r="BO584" s="10" t="n">
        <x:v>13</x:v>
      </x:c>
      <x:c r="BP584" s="10" t="n">
        <x:v>46</x:v>
      </x:c>
      <x:c r="BQ584" s="4" t="n">
        <x:v>1.9</x:v>
      </x:c>
      <x:c r="BR584" s="10" t="n">
        <x:v>145</x:v>
      </x:c>
      <x:c r="BS584" s="4" t="n">
        <x:v>47.6</x:v>
      </x:c>
      <x:c r="BT584" s="10" t="n">
        <x:v>59</x:v>
      </x:c>
      <x:c r="BU584" s="4" t="str">
        <x:v>TOT</x:v>
      </x:c>
      <x:c r="BV584" s="10" t="n">
        <x:v>297</x:v>
      </x:c>
      <x:c r="BW584" s="10"/>
      <x:c r="BX584" s="10" t="n">
        <x:v>952</x:v>
      </x:c>
      <x:c r="BY584" s="4" t="str">
        <x:v>Elmer Soderblom</x:v>
      </x:c>
      <x:c r="BZ584" s="4"/>
      <x:c r="CA584" s="4" t="str">
        <x:v>Elmer Söderblom</x:v>
      </x:c>
      <x:c r="CB584" s="4" t="str">
        <x:v>soderel01</x:v>
      </x:c>
    </x:row>
    <x:row r="585" ht="22" customHeight="1">
      <x:c r="A585" s="4" t="str">
        <x:v>Emil Andrae</x:v>
      </x:c>
      <x:c r="B585" s="4" t="str">
        <x:v>emilandrae</x:v>
      </x:c>
      <x:c r="C585" s="10" t="n">
        <x:v>1</x:v>
      </x:c>
      <x:c r="D585" s="10" t="n">
        <x:v>0</x:v>
      </x:c>
      <x:c r="E585" s="10" t="n">
        <x:v>1</x:v>
      </x:c>
      <x:c r="F585" s="4" t="n">
        <x:f>IF(COUNT(N585,Q585,T585,W585,Z585,AC585,AF585,AI585)=8,N585*Guide!$E$5+Q585*Guide!$E$6+T585*Guide!$E$7+W585*Guide!$E$8+Z585*Guide!$E$9+AC585*Guide!$E$10+AF585*Guide!$E$11+AI585*Guide!$E$12,"")</x:f>
        <x:v>134.75</x:v>
      </x:c>
      <x:c r="G585" s="4" t="str">
        <x:f>IF(COUNT(O585,R585,U585,X585,AA585,AD585,AG585,AJ585)=8,O585*Guide!$E$5+R585*Guide!$E$6+U585*Guide!$E$7+X585*Guide!$E$8+AA585*Guide!$E$9+AD585*Guide!$E$10+AG585*Guide!$E$11+AJ585*Guide!$E$12,"")</x:f>
      </x:c>
      <x:c r="H585" s="4" t="str">
        <x:f>IF(COUNT(G585,F585)=2,G585-F585,"")</x:f>
      </x:c>
      <x:c r="I585" s="4" t="n">
        <x:f>IF(AND(ISNUMBER(F585),K585&gt;0),F585/K585,"")</x:f>
        <x:v>2.4953703703703702</x:v>
      </x:c>
      <x:c r="J585" s="4" t="str">
        <x:f>IF(AND(ISNUMBER(G585),L585&gt;0),G585/L585,"")</x:f>
      </x:c>
      <x:c r="K585" s="10" t="n">
        <x:v>54</x:v>
      </x:c>
      <x:c r="L585" s="10"/>
      <x:c r="M585" s="10" t="str">
        <x:f>IF(COUNT(L585,K585)=2,L585-K585,"")</x:f>
      </x:c>
      <x:c r="N585" s="10" t="n">
        <x:v>3</x:v>
      </x:c>
      <x:c r="O585" s="10"/>
      <x:c r="P585" s="10" t="str">
        <x:f>IF(COUNT(O585,N585)=2,O585-N585,"")</x:f>
      </x:c>
      <x:c r="Q585" s="10" t="n">
        <x:v>12</x:v>
      </x:c>
      <x:c r="R585" s="10"/>
      <x:c r="S585" s="10" t="str">
        <x:f>IF(COUNT(R585,Q585)=2,R585-Q585,"")</x:f>
      </x:c>
      <x:c r="T585" s="10" t="n">
        <x:v>3</x:v>
      </x:c>
      <x:c r="U585" s="10"/>
      <x:c r="V585" s="10" t="str">
        <x:f>IF(COUNT(U585,T585)=2,U585-T585,"")</x:f>
      </x:c>
      <x:c r="W585" s="10" t="n">
        <x:v>5</x:v>
      </x:c>
      <x:c r="X585" s="10" t="str">
        <x:f>IF(COUNT(AV585,AW585)=2,AV585+AW585,"")</x:f>
      </x:c>
      <x:c r="Y585" s="10" t="str">
        <x:f>IF(COUNT(X585,W585)=2,X585-W585,"")</x:f>
      </x:c>
      <x:c r="Z585" s="10" t="n">
        <x:v>0</x:v>
      </x:c>
      <x:c r="AA585" s="10" t="str">
        <x:f>IF(COUNT(AX585,AY585)=2,AX585+AY585,"")</x:f>
      </x:c>
      <x:c r="AB585" s="10" t="str">
        <x:f>IF(COUNT(AA585,Z585)=2,AA585-Z585,"")</x:f>
      </x:c>
      <x:c r="AC585" s="10" t="n">
        <x:v>69</x:v>
      </x:c>
      <x:c r="AD585" s="10"/>
      <x:c r="AE585" s="10" t="str">
        <x:f>IF(COUNT(AD585,AC585)=2,AD585-AC585,"")</x:f>
      </x:c>
      <x:c r="AF585" s="10" t="n">
        <x:v>57</x:v>
      </x:c>
      <x:c r="AG585" s="10"/>
      <x:c r="AH585" s="10" t="str">
        <x:f>IF(COUNT(AG585,AF585)=2,AG585-AF585,"")</x:f>
      </x:c>
      <x:c r="AI585" s="10" t="n">
        <x:v>63</x:v>
      </x:c>
      <x:c r="AJ585" s="10"/>
      <x:c r="AK585" s="10" t="str">
        <x:f>IF(COUNT(AJ585,AI585)=2,AJ585-AI585,"")</x:f>
      </x:c>
      <x:c r="AL585" s="10" t="n">
        <x:v>23</x:v>
      </x:c>
      <x:c r="AM585" s="10"/>
      <x:c r="AN585" s="4" t="str">
        <x:v>D</x:v>
      </x:c>
      <x:c r="AO585" s="4"/>
      <x:c r="AP585" s="4" t="str">
        <x:v>PHI</x:v>
      </x:c>
      <x:c r="AQ585" s="4"/>
      <x:c r="AR585" s="4" t="n">
        <x:v>17.33</x:v>
      </x:c>
      <x:c r="AS585" s="4"/>
      <x:c r="AT585" s="4" t="n">
        <x:v>1.32</x:v>
      </x:c>
      <x:c r="AU585" s="4"/>
      <x:c r="AV585" s="10"/>
      <x:c r="AW585" s="10"/>
      <x:c r="AX585" s="10"/>
      <x:c r="AY585" s="10"/>
      <x:c r="AZ585" s="10" t="n">
        <x:v>775</x:v>
      </x:c>
      <x:c r="BA585" s="10" t="n">
        <x:v>786</x:v>
      </x:c>
      <x:c r="BB585" s="4" t="n">
        <x:v>49.6</x:v>
      </x:c>
      <x:c r="BC585" s="4" t="n">
        <x:v>2.4</x:v>
      </x:c>
      <x:c r="BD585" s="10" t="n">
        <x:v>544</x:v>
      </x:c>
      <x:c r="BE585" s="10" t="n">
        <x:v>569</x:v>
      </x:c>
      <x:c r="BF585" s="4" t="n">
        <x:v>48.9</x:v>
      </x:c>
      <x:c r="BG585" s="4" t="n">
        <x:v>0.6</x:v>
      </x:c>
      <x:c r="BH585" s="4" t="n">
        <x:v>10.8</x:v>
      </x:c>
      <x:c r="BI585" s="4" t="n">
        <x:v>93.3</x:v>
      </x:c>
      <x:c r="BJ585" s="4" t="n">
        <x:v>104.1</x:v>
      </x:c>
      <x:c r="BK585" s="4" t="n">
        <x:v>55.8</x:v>
      </x:c>
      <x:c r="BL585" s="4" t="n">
        <x:v>44.2</x:v>
      </x:c>
      <x:c r="BM585" s="4" t="n">
        <x:v>15.333333333333334</x:v>
      </x:c>
      <x:c r="BN585" s="4" t="n">
        <x:v>14.766666666666667</x:v>
      </x:c>
      <x:c r="BO585" s="10" t="n">
        <x:v>7</x:v>
      </x:c>
      <x:c r="BP585" s="10" t="n">
        <x:v>46</x:v>
      </x:c>
      <x:c r="BQ585" s="4" t="n">
        <x:v>3.7</x:v>
      </x:c>
      <x:c r="BR585" s="10" t="n">
        <x:v>117</x:v>
      </x:c>
      <x:c r="BS585" s="4" t="n">
        <x:v>30.8</x:v>
      </x:c>
      <x:c r="BT585" s="10" t="n">
        <x:v>61</x:v>
      </x:c>
      <x:c r="BU585" s="4" t="str">
        <x:v>PHI</x:v>
      </x:c>
      <x:c r="BV585" s="10" t="n">
        <x:v>629</x:v>
      </x:c>
      <x:c r="BW585" s="10"/>
      <x:c r="BX585" s="10" t="n">
        <x:v>16</x:v>
      </x:c>
      <x:c r="BY585" s="4" t="str">
        <x:v>Emil Andrae</x:v>
      </x:c>
      <x:c r="BZ585" s="4"/>
      <x:c r="CA585" s="4" t="str">
        <x:v>Emil Andrae</x:v>
      </x:c>
      <x:c r="CB585" s="4" t="str">
        <x:v>andraem01</x:v>
      </x:c>
    </x:row>
    <x:row r="586" ht="22" customHeight="1">
      <x:c r="A586" s="4" t="str">
        <x:v>Emil Lilleberg</x:v>
      </x:c>
      <x:c r="B586" s="4" t="str">
        <x:v>emillilleberg</x:v>
      </x:c>
      <x:c r="C586" s="10" t="n">
        <x:v>1</x:v>
      </x:c>
      <x:c r="D586" s="10" t="n">
        <x:v>0</x:v>
      </x:c>
      <x:c r="E586" s="10" t="n">
        <x:v>0</x:v>
      </x:c>
      <x:c r="F586" s="4" t="n">
        <x:f>IF(COUNT(N586,Q586,T586,W586,Z586,AC586,AF586,AI586)=8,N586*Guide!$E$5+Q586*Guide!$E$6+T586*Guide!$E$7+W586*Guide!$E$8+Z586*Guide!$E$9+AC586*Guide!$E$10+AF586*Guide!$E$11+AI586*Guide!$E$12,"")</x:f>
        <x:v>143.5</x:v>
      </x:c>
      <x:c r="G586" s="4" t="str">
        <x:f>IF(COUNT(O586,R586,U586,X586,AA586,AD586,AG586,AJ586)=8,O586*Guide!$E$5+R586*Guide!$E$6+U586*Guide!$E$7+X586*Guide!$E$8+AA586*Guide!$E$9+AD586*Guide!$E$10+AG586*Guide!$E$11+AJ586*Guide!$E$12,"")</x:f>
      </x:c>
      <x:c r="H586" s="4" t="str">
        <x:f>IF(COUNT(G586,F586)=2,G586-F586,"")</x:f>
      </x:c>
      <x:c r="I586" s="4" t="n">
        <x:f>IF(AND(ISNUMBER(F586),K586&gt;0),F586/K586,"")</x:f>
        <x:v>1.9657534246575343</x:v>
      </x:c>
      <x:c r="J586" s="4" t="str">
        <x:f>IF(AND(ISNUMBER(G586),L586&gt;0),G586/L586,"")</x:f>
      </x:c>
      <x:c r="K586" s="10" t="n">
        <x:v>73</x:v>
      </x:c>
      <x:c r="L586" s="10"/>
      <x:c r="M586" s="10" t="str">
        <x:f>IF(COUNT(L586,K586)=2,L586-K586,"")</x:f>
      </x:c>
      <x:c r="N586" s="10" t="n">
        <x:v>2</x:v>
      </x:c>
      <x:c r="O586" s="10"/>
      <x:c r="P586" s="10" t="str">
        <x:f>IF(COUNT(O586,N586)=2,O586-N586,"")</x:f>
      </x:c>
      <x:c r="Q586" s="10" t="n">
        <x:v>14</x:v>
      </x:c>
      <x:c r="R586" s="10"/>
      <x:c r="S586" s="10" t="str">
        <x:f>IF(COUNT(R586,Q586)=2,R586-Q586,"")</x:f>
      </x:c>
      <x:c r="T586" s="10" t="n">
        <x:v>-1</x:v>
      </x:c>
      <x:c r="U586" s="10"/>
      <x:c r="V586" s="10" t="str">
        <x:f>IF(COUNT(U586,T586)=2,U586-T586,"")</x:f>
      </x:c>
      <x:c r="W586" s="10" t="n">
        <x:v>0</x:v>
      </x:c>
      <x:c r="X586" s="10" t="str">
        <x:f>IF(COUNT(AV586,AW586)=2,AV586+AW586,"")</x:f>
      </x:c>
      <x:c r="Y586" s="10" t="str">
        <x:f>IF(COUNT(X586,W586)=2,X586-W586,"")</x:f>
      </x:c>
      <x:c r="Z586" s="10" t="n">
        <x:v>0</x:v>
      </x:c>
      <x:c r="AA586" s="10" t="str">
        <x:f>IF(COUNT(AX586,AY586)=2,AX586+AY586,"")</x:f>
      </x:c>
      <x:c r="AB586" s="10" t="str">
        <x:f>IF(COUNT(AA586,Z586)=2,AA586-Z586,"")</x:f>
      </x:c>
      <x:c r="AC586" s="10" t="n">
        <x:v>54</x:v>
      </x:c>
      <x:c r="AD586" s="10"/>
      <x:c r="AE586" s="10" t="str">
        <x:f>IF(COUNT(AD586,AC586)=2,AD586-AC586,"")</x:f>
      </x:c>
      <x:c r="AF586" s="10" t="n">
        <x:v>117</x:v>
      </x:c>
      <x:c r="AG586" s="10"/>
      <x:c r="AH586" s="10" t="str">
        <x:f>IF(COUNT(AG586,AF586)=2,AG586-AF586,"")</x:f>
      </x:c>
      <x:c r="AI586" s="10" t="n">
        <x:v>69</x:v>
      </x:c>
      <x:c r="AJ586" s="10"/>
      <x:c r="AK586" s="10" t="str">
        <x:f>IF(COUNT(AJ586,AI586)=2,AJ586-AI586,"")</x:f>
      </x:c>
      <x:c r="AL586" s="10" t="n">
        <x:v>24</x:v>
      </x:c>
      <x:c r="AM586" s="10"/>
      <x:c r="AN586" s="4" t="str">
        <x:v>D</x:v>
      </x:c>
      <x:c r="AO586" s="4"/>
      <x:c r="AP586" s="4" t="str">
        <x:v>TB</x:v>
      </x:c>
      <x:c r="AQ586" s="4"/>
      <x:c r="AR586" s="4" t="n">
        <x:v>15.479999999999999</x:v>
      </x:c>
      <x:c r="AS586" s="4"/>
      <x:c r="AT586" s="4" t="n">
        <x:v>0.04</x:v>
      </x:c>
      <x:c r="AU586" s="4"/>
      <x:c r="AV586" s="10"/>
      <x:c r="AW586" s="10"/>
      <x:c r="AX586" s="10"/>
      <x:c r="AY586" s="10"/>
      <x:c r="AZ586" s="10"/>
      <x:c r="BA586" s="10"/>
      <x:c r="BB586" s="4"/>
      <x:c r="BC586" s="4"/>
      <x:c r="BD586" s="10"/>
      <x:c r="BE586" s="10"/>
      <x:c r="BF586" s="4"/>
      <x:c r="BG586" s="4"/>
      <x:c r="BH586" s="4"/>
      <x:c r="BI586" s="4"/>
      <x:c r="BJ586" s="4"/>
      <x:c r="BK586" s="4"/>
      <x:c r="BL586" s="4"/>
      <x:c r="BM586" s="4"/>
      <x:c r="BN586" s="4"/>
      <x:c r="BO586" s="10"/>
      <x:c r="BP586" s="10"/>
      <x:c r="BQ586" s="4"/>
      <x:c r="BR586" s="10"/>
      <x:c r="BS586" s="4"/>
      <x:c r="BT586" s="10"/>
      <x:c r="BU586" s="4"/>
      <x:c r="BV586" s="10" t="n">
        <x:v>602</x:v>
      </x:c>
      <x:c r="BW586" s="10"/>
      <x:c r="BX586" s="10"/>
      <x:c r="BY586" s="4" t="str">
        <x:v>Emil Lilleberg</x:v>
      </x:c>
      <x:c r="BZ586" s="4"/>
      <x:c r="CA586" s="4"/>
      <x:c r="CB586" s="4"/>
    </x:row>
    <x:row r="587" ht="22" customHeight="1">
      <x:c r="A587" s="4" t="str">
        <x:v>Emil Martinsen Lilleberg</x:v>
      </x:c>
      <x:c r="B587" s="4" t="str">
        <x:v>emilmartinsenlilleberg</x:v>
      </x:c>
      <x:c r="C587" s="10" t="n">
        <x:v>0</x:v>
      </x:c>
      <x:c r="D587" s="10" t="n">
        <x:v>0</x:v>
      </x:c>
      <x:c r="E587" s="10" t="n">
        <x:v>1</x:v>
      </x:c>
      <x:c r="F587" s="4" t="str">
        <x:f>IF(COUNT(N587,Q587,T587,W587,Z587,AC587,AF587,AI587)=8,N587*Guide!$E$5+Q587*Guide!$E$6+T587*Guide!$E$7+W587*Guide!$E$8+Z587*Guide!$E$9+AC587*Guide!$E$10+AF587*Guide!$E$11+AI587*Guide!$E$12,"")</x:f>
      </x:c>
      <x:c r="G587" s="4" t="str">
        <x:f>IF(COUNT(O587,R587,U587,X587,AA587,AD587,AG587,AJ587)=8,O587*Guide!$E$5+R587*Guide!$E$6+U587*Guide!$E$7+X587*Guide!$E$8+AA587*Guide!$E$9+AD587*Guide!$E$10+AG587*Guide!$E$11+AJ587*Guide!$E$12,"")</x:f>
      </x:c>
      <x:c r="H587" s="4" t="str">
        <x:f>IF(COUNT(G587,F587)=2,G587-F587,"")</x:f>
      </x:c>
      <x:c r="I587" s="4" t="str">
        <x:f>IF(AND(ISNUMBER(F587),K587&gt;0),F587/K587,"")</x:f>
      </x:c>
      <x:c r="J587" s="4" t="str">
        <x:f>IF(AND(ISNUMBER(G587),L587&gt;0),G587/L587,"")</x:f>
      </x:c>
      <x:c r="K587" s="10"/>
      <x:c r="L587" s="10"/>
      <x:c r="M587" s="10" t="str">
        <x:f>IF(COUNT(L587,K587)=2,L587-K587,"")</x:f>
      </x:c>
      <x:c r="N587" s="10"/>
      <x:c r="O587" s="10"/>
      <x:c r="P587" s="10" t="str">
        <x:f>IF(COUNT(O587,N587)=2,O587-N587,"")</x:f>
      </x:c>
      <x:c r="Q587" s="10"/>
      <x:c r="R587" s="10"/>
      <x:c r="S587" s="10" t="str">
        <x:f>IF(COUNT(R587,Q587)=2,R587-Q587,"")</x:f>
      </x:c>
      <x:c r="T587" s="10"/>
      <x:c r="U587" s="10"/>
      <x:c r="V587" s="10" t="str">
        <x:f>IF(COUNT(U587,T587)=2,U587-T587,"")</x:f>
      </x:c>
      <x:c r="W587" s="10"/>
      <x:c r="X587" s="10" t="str">
        <x:f>IF(COUNT(AV587,AW587)=2,AV587+AW587,"")</x:f>
      </x:c>
      <x:c r="Y587" s="10" t="str">
        <x:f>IF(COUNT(X587,W587)=2,X587-W587,"")</x:f>
      </x:c>
      <x:c r="Z587" s="10"/>
      <x:c r="AA587" s="10" t="str">
        <x:f>IF(COUNT(AX587,AY587)=2,AX587+AY587,"")</x:f>
      </x:c>
      <x:c r="AB587" s="10" t="str">
        <x:f>IF(COUNT(AA587,Z587)=2,AA587-Z587,"")</x:f>
      </x:c>
      <x:c r="AC587" s="10"/>
      <x:c r="AD587" s="10"/>
      <x:c r="AE587" s="10" t="str">
        <x:f>IF(COUNT(AD587,AC587)=2,AD587-AC587,"")</x:f>
      </x:c>
      <x:c r="AF587" s="10"/>
      <x:c r="AG587" s="10"/>
      <x:c r="AH587" s="10" t="str">
        <x:f>IF(COUNT(AG587,AF587)=2,AG587-AF587,"")</x:f>
      </x:c>
      <x:c r="AI587" s="10"/>
      <x:c r="AJ587" s="10"/>
      <x:c r="AK587" s="10" t="str">
        <x:f>IF(COUNT(AJ587,AI587)=2,AJ587-AI587,"")</x:f>
      </x:c>
      <x:c r="AL587" s="10"/>
      <x:c r="AM587" s="10"/>
      <x:c r="AN587" s="4"/>
      <x:c r="AO587" s="4"/>
      <x:c r="AP587" s="4"/>
      <x:c r="AQ587" s="4"/>
      <x:c r="AR587" s="4"/>
      <x:c r="AS587" s="4"/>
      <x:c r="AT587" s="4"/>
      <x:c r="AU587" s="4"/>
      <x:c r="AV587" s="10"/>
      <x:c r="AW587" s="10"/>
      <x:c r="AX587" s="10"/>
      <x:c r="AY587" s="10"/>
      <x:c r="AZ587" s="10" t="n">
        <x:v>710</x:v>
      </x:c>
      <x:c r="BA587" s="10" t="n">
        <x:v>676</x:v>
      </x:c>
      <x:c r="BB587" s="4" t="n">
        <x:v>51.2</x:v>
      </x:c>
      <x:c r="BC587" s="4" t="n">
        <x:v>-2.8</x:v>
      </x:c>
      <x:c r="BD587" s="10" t="n">
        <x:v>515</x:v>
      </x:c>
      <x:c r="BE587" s="10" t="n">
        <x:v>498</x:v>
      </x:c>
      <x:c r="BF587" s="4" t="n">
        <x:v>50.8</x:v>
      </x:c>
      <x:c r="BG587" s="4" t="n">
        <x:v>-2.2</x:v>
      </x:c>
      <x:c r="BH587" s="4" t="n">
        <x:v>12.2</x:v>
      </x:c>
      <x:c r="BI587" s="4" t="n">
        <x:v>91.1</x:v>
      </x:c>
      <x:c r="BJ587" s="4" t="n">
        <x:v>103.3</x:v>
      </x:c>
      <x:c r="BK587" s="4" t="n">
        <x:v>52.6</x:v>
      </x:c>
      <x:c r="BL587" s="4" t="n">
        <x:v>47.4</x:v>
      </x:c>
      <x:c r="BM587" s="4" t="n">
        <x:v>17.3</x:v>
      </x:c>
      <x:c r="BN587" s="4" t="n">
        <x:v>15.666666666666666</x:v>
      </x:c>
      <x:c r="BO587" s="10" t="n">
        <x:v>6</x:v>
      </x:c>
      <x:c r="BP587" s="10" t="n">
        <x:v>42</x:v>
      </x:c>
      <x:c r="BQ587" s="4" t="n">
        <x:v>2.6</x:v>
      </x:c>
      <x:c r="BR587" s="10" t="n">
        <x:v>98</x:v>
      </x:c>
      <x:c r="BS587" s="4" t="n">
        <x:v>43.9</x:v>
      </x:c>
      <x:c r="BT587" s="10" t="n">
        <x:v>50</x:v>
      </x:c>
      <x:c r="BU587" s="4" t="str">
        <x:v>TBL</x:v>
      </x:c>
      <x:c r="BV587" s="10"/>
      <x:c r="BW587" s="10"/>
      <x:c r="BX587" s="10" t="n">
        <x:v>653</x:v>
      </x:c>
      <x:c r="BY587" s="4"/>
      <x:c r="BZ587" s="4"/>
      <x:c r="CA587" s="4" t="str">
        <x:v>Emil Martinsen Lilleberg</x:v>
      </x:c>
      <x:c r="CB587" s="4" t="str">
        <x:v>martiem01</x:v>
      </x:c>
    </x:row>
    <x:row r="588" ht="22" customHeight="1">
      <x:c r="A588" s="4" t="str">
        <x:v>Emmitt Finnie</x:v>
      </x:c>
      <x:c r="B588" s="4" t="str">
        <x:v>emmittfinnie</x:v>
      </x:c>
      <x:c r="C588" s="10" t="n">
        <x:v>0</x:v>
      </x:c>
      <x:c r="D588" s="10" t="n">
        <x:v>1</x:v>
      </x:c>
      <x:c r="E588" s="10" t="n">
        <x:v>1</x:v>
      </x:c>
      <x:c r="F588" s="4" t="str">
        <x:f>IF(COUNT(N588,Q588,T588,W588,Z588,AC588,AF588,AI588)=8,N588*Guide!$E$5+Q588*Guide!$E$6+T588*Guide!$E$7+W588*Guide!$E$8+Z588*Guide!$E$9+AC588*Guide!$E$10+AF588*Guide!$E$11+AI588*Guide!$E$12,"")</x:f>
      </x:c>
      <x:c r="G588" s="4" t="n">
        <x:f>IF(COUNT(O588,R588,U588,X588,AA588,AD588,AG588,AJ588)=8,O588*Guide!$E$5+R588*Guide!$E$6+U588*Guide!$E$7+X588*Guide!$E$8+AA588*Guide!$E$9+AD588*Guide!$E$10+AG588*Guide!$E$11+AJ588*Guide!$E$12,"")</x:f>
        <x:v>194.5</x:v>
      </x:c>
      <x:c r="H588" s="4" t="str">
        <x:f>IF(COUNT(G588,F588)=2,G588-F588,"")</x:f>
      </x:c>
      <x:c r="I588" s="4" t="str">
        <x:f>IF(AND(ISNUMBER(F588),K588&gt;0),F588/K588,"")</x:f>
      </x:c>
      <x:c r="J588" s="4" t="n">
        <x:f>IF(AND(ISNUMBER(G588),L588&gt;0),G588/L588,"")</x:f>
        <x:v>2.3719512195121952</x:v>
      </x:c>
      <x:c r="K588" s="10"/>
      <x:c r="L588" s="10" t="n">
        <x:v>82</x:v>
      </x:c>
      <x:c r="M588" s="10" t="str">
        <x:f>IF(COUNT(L588,K588)=2,L588-K588,"")</x:f>
      </x:c>
      <x:c r="N588" s="10"/>
      <x:c r="O588" s="10" t="n">
        <x:v>13</x:v>
      </x:c>
      <x:c r="P588" s="10" t="str">
        <x:f>IF(COUNT(O588,N588)=2,O588-N588,"")</x:f>
      </x:c>
      <x:c r="Q588" s="10"/>
      <x:c r="R588" s="10" t="n">
        <x:v>17</x:v>
      </x:c>
      <x:c r="S588" s="10" t="str">
        <x:f>IF(COUNT(R588,Q588)=2,R588-Q588,"")</x:f>
      </x:c>
      <x:c r="T588" s="10"/>
      <x:c r="U588" s="10" t="n">
        <x:v>-10</x:v>
      </x:c>
      <x:c r="V588" s="10" t="str">
        <x:f>IF(COUNT(U588,T588)=2,U588-T588,"")</x:f>
      </x:c>
      <x:c r="W588" s="10"/>
      <x:c r="X588" s="10" t="n">
        <x:f>IF(COUNT(AV588,AW588)=2,AV588+AW588,"")</x:f>
        <x:v>8</x:v>
      </x:c>
      <x:c r="Y588" s="10" t="str">
        <x:f>IF(COUNT(X588,W588)=2,X588-W588,"")</x:f>
      </x:c>
      <x:c r="Z588" s="10"/>
      <x:c r="AA588" s="10" t="n">
        <x:f>IF(COUNT(AX588,AY588)=2,AX588+AY588,"")</x:f>
        <x:v>0</x:v>
      </x:c>
      <x:c r="AB588" s="10" t="str">
        <x:f>IF(COUNT(AA588,Z588)=2,AA588-Z588,"")</x:f>
      </x:c>
      <x:c r="AC588" s="10"/>
      <x:c r="AD588" s="10" t="n">
        <x:v>120</x:v>
      </x:c>
      <x:c r="AE588" s="10" t="str">
        <x:f>IF(COUNT(AD588,AC588)=2,AD588-AC588,"")</x:f>
      </x:c>
      <x:c r="AF588" s="10"/>
      <x:c r="AG588" s="10" t="n">
        <x:v>131</x:v>
      </x:c>
      <x:c r="AH588" s="10" t="str">
        <x:f>IF(COUNT(AG588,AF588)=2,AG588-AF588,"")</x:f>
      </x:c>
      <x:c r="AI588" s="10"/>
      <x:c r="AJ588" s="10" t="n">
        <x:v>41</x:v>
      </x:c>
      <x:c r="AK588" s="10" t="str">
        <x:f>IF(COUNT(AJ588,AI588)=2,AJ588-AI588,"")</x:f>
      </x:c>
      <x:c r="AL588" s="10"/>
      <x:c r="AM588" s="10" t="n">
        <x:v>20</x:v>
      </x:c>
      <x:c r="AN588" s="4"/>
      <x:c r="AO588" s="4" t="str">
        <x:v>C</x:v>
      </x:c>
      <x:c r="AP588" s="4"/>
      <x:c r="AQ588" s="4" t="str">
        <x:v>DET</x:v>
      </x:c>
      <x:c r="AR588" s="4"/>
      <x:c r="AS588" s="4" t="n">
        <x:v>15.5</x:v>
      </x:c>
      <x:c r="AT588" s="4"/>
      <x:c r="AU588" s="4" t="n">
        <x:v>10.8</x:v>
      </x:c>
      <x:c r="AV588" s="10" t="n">
        <x:v>4</x:v>
      </x:c>
      <x:c r="AW588" s="10" t="n">
        <x:v>4</x:v>
      </x:c>
      <x:c r="AX588" s="10" t="n">
        <x:v>0</x:v>
      </x:c>
      <x:c r="AY588" s="10" t="n">
        <x:v>0</x:v>
      </x:c>
      <x:c r="AZ588" s="10" t="n">
        <x:v>1038</x:v>
      </x:c>
      <x:c r="BA588" s="10" t="n">
        <x:v>1065</x:v>
      </x:c>
      <x:c r="BB588" s="4" t="n">
        <x:v>49.4</x:v>
      </x:c>
      <x:c r="BC588" s="4" t="n">
        <x:v>0.5</x:v>
      </x:c>
      <x:c r="BD588" s="10" t="n">
        <x:v>747</x:v>
      </x:c>
      <x:c r="BE588" s="10" t="n">
        <x:v>771</x:v>
      </x:c>
      <x:c r="BF588" s="4" t="n">
        <x:v>49.2</x:v>
      </x:c>
      <x:c r="BG588" s="4" t="n">
        <x:v>-0.9</x:v>
      </x:c>
      <x:c r="BH588" s="4" t="n">
        <x:v>9.6</x:v>
      </x:c>
      <x:c r="BI588" s="4" t="n">
        <x:v>89.3</x:v>
      </x:c>
      <x:c r="BJ588" s="4" t="n">
        <x:v>98.9</x:v>
      </x:c>
      <x:c r="BK588" s="4" t="n">
        <x:v>47.1</x:v>
      </x:c>
      <x:c r="BL588" s="4" t="n">
        <x:v>52.9</x:v>
      </x:c>
      <x:c r="BM588" s="4" t="n">
        <x:v>15.5</x:v>
      </x:c>
      <x:c r="BN588" s="4" t="n">
        <x:v>13.433333333333334</x:v>
      </x:c>
      <x:c r="BO588" s="10" t="n">
        <x:v>24</x:v>
      </x:c>
      <x:c r="BP588" s="10" t="n">
        <x:v>74</x:v>
      </x:c>
      <x:c r="BQ588" s="4" t="n">
        <x:v>-4.3</x:v>
      </x:c>
      <x:c r="BR588" s="10" t="n">
        <x:v>213</x:v>
      </x:c>
      <x:c r="BS588" s="4" t="n">
        <x:v>56.3</x:v>
      </x:c>
      <x:c r="BT588" s="10" t="n">
        <x:v>82</x:v>
      </x:c>
      <x:c r="BU588" s="4" t="str">
        <x:v>DET</x:v>
      </x:c>
      <x:c r="BV588" s="10"/>
      <x:c r="BW588" s="10" t="n">
        <x:v>329</x:v>
      </x:c>
      <x:c r="BX588" s="10" t="n">
        <x:v>294</x:v>
      </x:c>
      <x:c r="BY588" s="4"/>
      <x:c r="BZ588" s="4" t="str">
        <x:v>Emmitt Finnie</x:v>
      </x:c>
      <x:c r="CA588" s="4" t="str">
        <x:v>Emmitt Finnie</x:v>
      </x:c>
      <x:c r="CB588" s="4" t="str">
        <x:v>finniem01</x:v>
      </x:c>
    </x:row>
    <x:row r="589" ht="22" customHeight="1">
      <x:c r="A589" s="4" t="str">
        <x:v>Erik Cernak</x:v>
      </x:c>
      <x:c r="B589" s="4" t="str">
        <x:v>erikcernak</x:v>
      </x:c>
      <x:c r="C589" s="10" t="n">
        <x:v>1</x:v>
      </x:c>
      <x:c r="D589" s="10" t="n">
        <x:v>0</x:v>
      </x:c>
      <x:c r="E589" s="10" t="n">
        <x:v>1</x:v>
      </x:c>
      <x:c r="F589" s="4" t="n">
        <x:f>IF(COUNT(N589,Q589,T589,W589,Z589,AC589,AF589,AI589)=8,N589*Guide!$E$5+Q589*Guide!$E$6+T589*Guide!$E$7+W589*Guide!$E$8+Z589*Guide!$E$9+AC589*Guide!$E$10+AF589*Guide!$E$11+AI589*Guide!$E$12,"")</x:f>
        <x:v>198.75</x:v>
      </x:c>
      <x:c r="G589" s="4" t="str">
        <x:f>IF(COUNT(O589,R589,U589,X589,AA589,AD589,AG589,AJ589)=8,O589*Guide!$E$5+R589*Guide!$E$6+U589*Guide!$E$7+X589*Guide!$E$8+AA589*Guide!$E$9+AD589*Guide!$E$10+AG589*Guide!$E$11+AJ589*Guide!$E$12,"")</x:f>
      </x:c>
      <x:c r="H589" s="4" t="str">
        <x:f>IF(COUNT(G589,F589)=2,G589-F589,"")</x:f>
      </x:c>
      <x:c r="I589" s="4" t="n">
        <x:f>IF(AND(ISNUMBER(F589),K589&gt;0),F589/K589,"")</x:f>
        <x:v>2.685810810810811</x:v>
      </x:c>
      <x:c r="J589" s="4" t="str">
        <x:f>IF(AND(ISNUMBER(G589),L589&gt;0),G589/L589,"")</x:f>
      </x:c>
      <x:c r="K589" s="10" t="n">
        <x:v>74</x:v>
      </x:c>
      <x:c r="L589" s="10"/>
      <x:c r="M589" s="10" t="str">
        <x:f>IF(COUNT(L589,K589)=2,L589-K589,"")</x:f>
      </x:c>
      <x:c r="N589" s="10" t="n">
        <x:v>3</x:v>
      </x:c>
      <x:c r="O589" s="10"/>
      <x:c r="P589" s="10" t="str">
        <x:f>IF(COUNT(O589,N589)=2,O589-N589,"")</x:f>
      </x:c>
      <x:c r="Q589" s="10" t="n">
        <x:v>15</x:v>
      </x:c>
      <x:c r="R589" s="10"/>
      <x:c r="S589" s="10" t="str">
        <x:f>IF(COUNT(R589,Q589)=2,R589-Q589,"")</x:f>
      </x:c>
      <x:c r="T589" s="10" t="n">
        <x:v>11</x:v>
      </x:c>
      <x:c r="U589" s="10"/>
      <x:c r="V589" s="10" t="str">
        <x:f>IF(COUNT(U589,T589)=2,U589-T589,"")</x:f>
      </x:c>
      <x:c r="W589" s="10" t="n">
        <x:v>0</x:v>
      </x:c>
      <x:c r="X589" s="10" t="str">
        <x:f>IF(COUNT(AV589,AW589)=2,AV589+AW589,"")</x:f>
      </x:c>
      <x:c r="Y589" s="10" t="str">
        <x:f>IF(COUNT(X589,W589)=2,X589-W589,"")</x:f>
      </x:c>
      <x:c r="Z589" s="10" t="n">
        <x:v>1</x:v>
      </x:c>
      <x:c r="AA589" s="10" t="str">
        <x:f>IF(COUNT(AX589,AY589)=2,AX589+AY589,"")</x:f>
      </x:c>
      <x:c r="AB589" s="10" t="str">
        <x:f>IF(COUNT(AA589,Z589)=2,AA589-Z589,"")</x:f>
      </x:c>
      <x:c r="AC589" s="10" t="n">
        <x:v>63</x:v>
      </x:c>
      <x:c r="AD589" s="10"/>
      <x:c r="AE589" s="10" t="str">
        <x:f>IF(COUNT(AD589,AC589)=2,AD589-AC589,"")</x:f>
      </x:c>
      <x:c r="AF589" s="10" t="n">
        <x:v>151</x:v>
      </x:c>
      <x:c r="AG589" s="10"/>
      <x:c r="AH589" s="10" t="str">
        <x:f>IF(COUNT(AG589,AF589)=2,AG589-AF589,"")</x:f>
      </x:c>
      <x:c r="AI589" s="10" t="n">
        <x:v>99</x:v>
      </x:c>
      <x:c r="AJ589" s="10"/>
      <x:c r="AK589" s="10" t="str">
        <x:f>IF(COUNT(AJ589,AI589)=2,AJ589-AI589,"")</x:f>
      </x:c>
      <x:c r="AL589" s="10" t="n">
        <x:v>28</x:v>
      </x:c>
      <x:c r="AM589" s="10"/>
      <x:c r="AN589" s="4" t="str">
        <x:v>D</x:v>
      </x:c>
      <x:c r="AO589" s="4"/>
      <x:c r="AP589" s="4" t="str">
        <x:v>TB</x:v>
      </x:c>
      <x:c r="AQ589" s="4"/>
      <x:c r="AR589" s="4" t="n">
        <x:v>18.46</x:v>
      </x:c>
      <x:c r="AS589" s="4"/>
      <x:c r="AT589" s="4" t="n">
        <x:v>0.05</x:v>
      </x:c>
      <x:c r="AU589" s="4"/>
      <x:c r="AV589" s="10"/>
      <x:c r="AW589" s="10"/>
      <x:c r="AX589" s="10"/>
      <x:c r="AY589" s="10"/>
      <x:c r="AZ589" s="10" t="n">
        <x:v>780</x:v>
      </x:c>
      <x:c r="BA589" s="10" t="n">
        <x:v>828</x:v>
      </x:c>
      <x:c r="BB589" s="4" t="n">
        <x:v>48.5</x:v>
      </x:c>
      <x:c r="BC589" s="4" t="n">
        <x:v>-6</x:v>
      </x:c>
      <x:c r="BD589" s="10" t="n">
        <x:v>549</x:v>
      </x:c>
      <x:c r="BE589" s="10" t="n">
        <x:v>585</x:v>
      </x:c>
      <x:c r="BF589" s="4" t="n">
        <x:v>48.4</x:v>
      </x:c>
      <x:c r="BG589" s="4" t="n">
        <x:v>-5.6</x:v>
      </x:c>
      <x:c r="BH589" s="4" t="n">
        <x:v>12.4</x:v>
      </x:c>
      <x:c r="BI589" s="4" t="n">
        <x:v>88.8</x:v>
      </x:c>
      <x:c r="BJ589" s="4" t="n">
        <x:v>101.2</x:v>
      </x:c>
      <x:c r="BK589" s="4" t="n">
        <x:v>41</x:v>
      </x:c>
      <x:c r="BL589" s="4" t="n">
        <x:v>59</x:v>
      </x:c>
      <x:c r="BM589" s="4" t="n">
        <x:v>17.616666666666667</x:v>
      </x:c>
      <x:c r="BN589" s="4" t="n">
        <x:v>14.933333333333334</x:v>
      </x:c>
      <x:c r="BO589" s="10" t="n">
        <x:v>15</x:v>
      </x:c>
      <x:c r="BP589" s="10" t="n">
        <x:v>55</x:v>
      </x:c>
      <x:c r="BQ589" s="4" t="n">
        <x:v>-1.7</x:v>
      </x:c>
      <x:c r="BR589" s="10" t="n">
        <x:v>123</x:v>
      </x:c>
      <x:c r="BS589" s="4" t="n">
        <x:v>43.1</x:v>
      </x:c>
      <x:c r="BT589" s="10" t="n">
        <x:v>61</x:v>
      </x:c>
      <x:c r="BU589" s="4" t="str">
        <x:v>TBL</x:v>
      </x:c>
      <x:c r="BV589" s="10" t="n">
        <x:v>561</x:v>
      </x:c>
      <x:c r="BW589" s="10"/>
      <x:c r="BX589" s="10" t="n">
        <x:v>142</x:v>
      </x:c>
      <x:c r="BY589" s="4" t="str">
        <x:v>Erik Cernak</x:v>
      </x:c>
      <x:c r="BZ589" s="4"/>
      <x:c r="CA589" s="4" t="str">
        <x:v>Erik Černák</x:v>
      </x:c>
      <x:c r="CB589" s="4" t="str">
        <x:v>cernaer01</x:v>
      </x:c>
    </x:row>
    <x:row r="590" ht="22" customHeight="1">
      <x:c r="A590" s="4" t="str">
        <x:v>Erik Gudbranson</x:v>
      </x:c>
      <x:c r="B590" s="4" t="str">
        <x:v>erikgudbranson</x:v>
      </x:c>
      <x:c r="C590" s="10" t="n">
        <x:v>1</x:v>
      </x:c>
      <x:c r="D590" s="10" t="n">
        <x:v>0</x:v>
      </x:c>
      <x:c r="E590" s="10" t="n">
        <x:v>1</x:v>
      </x:c>
      <x:c r="F590" s="4" t="n">
        <x:f>IF(COUNT(N590,Q590,T590,W590,Z590,AC590,AF590,AI590)=8,N590*Guide!$E$5+Q590*Guide!$E$6+T590*Guide!$E$7+W590*Guide!$E$8+Z590*Guide!$E$9+AC590*Guide!$E$10+AF590*Guide!$E$11+AI590*Guide!$E$12,"")</x:f>
        <x:v>189.5</x:v>
      </x:c>
      <x:c r="G590" s="4" t="str">
        <x:f>IF(COUNT(O590,R590,U590,X590,AA590,AD590,AG590,AJ590)=8,O590*Guide!$E$5+R590*Guide!$E$6+U590*Guide!$E$7+X590*Guide!$E$8+AA590*Guide!$E$9+AD590*Guide!$E$10+AG590*Guide!$E$11+AJ590*Guide!$E$12,"")</x:f>
      </x:c>
      <x:c r="H590" s="4" t="str">
        <x:f>IF(COUNT(G590,F590)=2,G590-F590,"")</x:f>
      </x:c>
      <x:c r="I590" s="4" t="n">
        <x:f>IF(AND(ISNUMBER(F590),K590&gt;0),F590/K590,"")</x:f>
        <x:v>2.3987341772151898</x:v>
      </x:c>
      <x:c r="J590" s="4" t="str">
        <x:f>IF(AND(ISNUMBER(G590),L590&gt;0),G590/L590,"")</x:f>
      </x:c>
      <x:c r="K590" s="10" t="n">
        <x:v>79</x:v>
      </x:c>
      <x:c r="L590" s="10"/>
      <x:c r="M590" s="10" t="str">
        <x:f>IF(COUNT(L590,K590)=2,L590-K590,"")</x:f>
      </x:c>
      <x:c r="N590" s="10" t="n">
        <x:v>3</x:v>
      </x:c>
      <x:c r="O590" s="10"/>
      <x:c r="P590" s="10" t="str">
        <x:f>IF(COUNT(O590,N590)=2,O590-N590,"")</x:f>
      </x:c>
      <x:c r="Q590" s="10" t="n">
        <x:v>16</x:v>
      </x:c>
      <x:c r="R590" s="10"/>
      <x:c r="S590" s="10" t="str">
        <x:f>IF(COUNT(R590,Q590)=2,R590-Q590,"")</x:f>
      </x:c>
      <x:c r="T590" s="10" t="n">
        <x:v>-6</x:v>
      </x:c>
      <x:c r="U590" s="10"/>
      <x:c r="V590" s="10" t="str">
        <x:f>IF(COUNT(U590,T590)=2,U590-T590,"")</x:f>
      </x:c>
      <x:c r="W590" s="10" t="n">
        <x:v>1</x:v>
      </x:c>
      <x:c r="X590" s="10" t="str">
        <x:f>IF(COUNT(AV590,AW590)=2,AV590+AW590,"")</x:f>
      </x:c>
      <x:c r="Y590" s="10" t="str">
        <x:f>IF(COUNT(X590,W590)=2,X590-W590,"")</x:f>
      </x:c>
      <x:c r="Z590" s="10" t="n">
        <x:v>1</x:v>
      </x:c>
      <x:c r="AA590" s="10" t="str">
        <x:f>IF(COUNT(AX590,AY590)=2,AX590+AY590,"")</x:f>
      </x:c>
      <x:c r="AB590" s="10" t="str">
        <x:f>IF(COUNT(AA590,Z590)=2,AA590-Z590,"")</x:f>
      </x:c>
      <x:c r="AC590" s="10" t="n">
        <x:v>71</x:v>
      </x:c>
      <x:c r="AD590" s="10"/>
      <x:c r="AE590" s="10" t="str">
        <x:f>IF(COUNT(AD590,AC590)=2,AD590-AC590,"")</x:f>
      </x:c>
      <x:c r="AF590" s="10" t="n">
        <x:v>101</x:v>
      </x:c>
      <x:c r="AG590" s="10"/>
      <x:c r="AH590" s="10" t="str">
        <x:f>IF(COUNT(AG590,AF590)=2,AG590-AF590,"")</x:f>
      </x:c>
      <x:c r="AI590" s="10" t="n">
        <x:v>118</x:v>
      </x:c>
      <x:c r="AJ590" s="10"/>
      <x:c r="AK590" s="10" t="str">
        <x:f>IF(COUNT(AJ590,AI590)=2,AJ590-AI590,"")</x:f>
      </x:c>
      <x:c r="AL590" s="10" t="n">
        <x:v>34</x:v>
      </x:c>
      <x:c r="AM590" s="10"/>
      <x:c r="AN590" s="4" t="str">
        <x:v>D</x:v>
      </x:c>
      <x:c r="AO590" s="4"/>
      <x:c r="AP590" s="4" t="str">
        <x:v>CBJ</x:v>
      </x:c>
      <x:c r="AQ590" s="4"/>
      <x:c r="AR590" s="4" t="n">
        <x:v>18.009999999999998</x:v>
      </x:c>
      <x:c r="AS590" s="4"/>
      <x:c r="AT590" s="4" t="n">
        <x:v>0.12</x:v>
      </x:c>
      <x:c r="AU590" s="4"/>
      <x:c r="AV590" s="10"/>
      <x:c r="AW590" s="10"/>
      <x:c r="AX590" s="10"/>
      <x:c r="AY590" s="10"/>
      <x:c r="AZ590" s="10" t="n">
        <x:v>427</x:v>
      </x:c>
      <x:c r="BA590" s="10" t="n">
        <x:v>625</x:v>
      </x:c>
      <x:c r="BB590" s="4" t="n">
        <x:v>40.6</x:v>
      </x:c>
      <x:c r="BC590" s="4" t="n">
        <x:v>-14.4</x:v>
      </x:c>
      <x:c r="BD590" s="10" t="n">
        <x:v>309</x:v>
      </x:c>
      <x:c r="BE590" s="10" t="n">
        <x:v>445</x:v>
      </x:c>
      <x:c r="BF590" s="4" t="n">
        <x:v>41</x:v>
      </x:c>
      <x:c r="BG590" s="4" t="n">
        <x:v>-14</x:v>
      </x:c>
      <x:c r="BH590" s="4" t="n">
        <x:v>12.4</x:v>
      </x:c>
      <x:c r="BI590" s="4" t="n">
        <x:v>92.1</x:v>
      </x:c>
      <x:c r="BJ590" s="4" t="n">
        <x:v>104.5</x:v>
      </x:c>
      <x:c r="BK590" s="4" t="n">
        <x:v>37.3</x:v>
      </x:c>
      <x:c r="BL590" s="4" t="n">
        <x:v>62.7</x:v>
      </x:c>
      <x:c r="BM590" s="4" t="n">
        <x:v>17.766666666666666</x:v>
      </x:c>
      <x:c r="BN590" s="4" t="n">
        <x:v>15.016666666666667</x:v>
      </x:c>
      <x:c r="BO590" s="10" t="n">
        <x:v>7</x:v>
      </x:c>
      <x:c r="BP590" s="10" t="n">
        <x:v>33</x:v>
      </x:c>
      <x:c r="BQ590" s="4" t="n">
        <x:v>-8.2</x:v>
      </x:c>
      <x:c r="BR590" s="10" t="n">
        <x:v>88</x:v>
      </x:c>
      <x:c r="BS590" s="4" t="n">
        <x:v>38.6</x:v>
      </x:c>
      <x:c r="BT590" s="10" t="n">
        <x:v>37</x:v>
      </x:c>
      <x:c r="BU590" s="4" t="str">
        <x:v>CBJ</x:v>
      </x:c>
      <x:c r="BV590" s="10" t="n">
        <x:v>535</x:v>
      </x:c>
      <x:c r="BW590" s="10"/>
      <x:c r="BX590" s="10" t="n">
        <x:v>369</x:v>
      </x:c>
      <x:c r="BY590" s="4" t="str">
        <x:v>Erik Gudbranson</x:v>
      </x:c>
      <x:c r="BZ590" s="4"/>
      <x:c r="CA590" s="4" t="str">
        <x:v>Erik Gudbranson</x:v>
      </x:c>
      <x:c r="CB590" s="4" t="str">
        <x:v>gudbrer01</x:v>
      </x:c>
    </x:row>
    <x:row r="591" ht="22" customHeight="1">
      <x:c r="A591" s="4" t="str">
        <x:v>Erik Gustafsson</x:v>
      </x:c>
      <x:c r="B591" s="4" t="str">
        <x:v>erikgustafsson</x:v>
      </x:c>
      <x:c r="C591" s="10" t="n">
        <x:v>1</x:v>
      </x:c>
      <x:c r="D591" s="10" t="n">
        <x:v>0</x:v>
      </x:c>
      <x:c r="E591" s="10" t="n">
        <x:v>1</x:v>
      </x:c>
      <x:c r="F591" s="4" t="n">
        <x:f>IF(COUNT(N591,Q591,T591,W591,Z591,AC591,AF591,AI591)=8,N591*Guide!$E$5+Q591*Guide!$E$6+T591*Guide!$E$7+W591*Guide!$E$8+Z591*Guide!$E$9+AC591*Guide!$E$10+AF591*Guide!$E$11+AI591*Guide!$E$12,"")</x:f>
        <x:v>173.75</x:v>
      </x:c>
      <x:c r="G591" s="4" t="str">
        <x:f>IF(COUNT(O591,R591,U591,X591,AA591,AD591,AG591,AJ591)=8,O591*Guide!$E$5+R591*Guide!$E$6+U591*Guide!$E$7+X591*Guide!$E$8+AA591*Guide!$E$9+AD591*Guide!$E$10+AG591*Guide!$E$11+AJ591*Guide!$E$12,"")</x:f>
      </x:c>
      <x:c r="H591" s="4" t="str">
        <x:f>IF(COUNT(G591,F591)=2,G591-F591,"")</x:f>
      </x:c>
      <x:c r="I591" s="4" t="n">
        <x:f>IF(AND(ISNUMBER(F591),K591&gt;0),F591/K591,"")</x:f>
        <x:v>2.347972972972973</x:v>
      </x:c>
      <x:c r="J591" s="4" t="str">
        <x:f>IF(AND(ISNUMBER(G591),L591&gt;0),G591/L591,"")</x:f>
      </x:c>
      <x:c r="K591" s="10" t="n">
        <x:v>74</x:v>
      </x:c>
      <x:c r="L591" s="10"/>
      <x:c r="M591" s="10" t="str">
        <x:f>IF(COUNT(L591,K591)=2,L591-K591,"")</x:f>
      </x:c>
      <x:c r="N591" s="10" t="n">
        <x:v>5</x:v>
      </x:c>
      <x:c r="O591" s="10"/>
      <x:c r="P591" s="10" t="str">
        <x:f>IF(COUNT(O591,N591)=2,O591-N591,"")</x:f>
      </x:c>
      <x:c r="Q591" s="10" t="n">
        <x:v>23</x:v>
      </x:c>
      <x:c r="R591" s="10"/>
      <x:c r="S591" s="10" t="str">
        <x:f>IF(COUNT(R591,Q591)=2,R591-Q591,"")</x:f>
      </x:c>
      <x:c r="T591" s="10" t="n">
        <x:v>0</x:v>
      </x:c>
      <x:c r="U591" s="10"/>
      <x:c r="V591" s="10" t="str">
        <x:f>IF(COUNT(U591,T591)=2,U591-T591,"")</x:f>
      </x:c>
      <x:c r="W591" s="10" t="n">
        <x:v>10</x:v>
      </x:c>
      <x:c r="X591" s="10" t="str">
        <x:f>IF(COUNT(AV591,AW591)=2,AV591+AW591,"")</x:f>
      </x:c>
      <x:c r="Y591" s="10" t="str">
        <x:f>IF(COUNT(X591,W591)=2,X591-W591,"")</x:f>
      </x:c>
      <x:c r="Z591" s="10" t="n">
        <x:v>0</x:v>
      </x:c>
      <x:c r="AA591" s="10" t="str">
        <x:f>IF(COUNT(AX591,AY591)=2,AX591+AY591,"")</x:f>
      </x:c>
      <x:c r="AB591" s="10" t="str">
        <x:f>IF(COUNT(AA591,Z591)=2,AA591-Z591,"")</x:f>
      </x:c>
      <x:c r="AC591" s="10" t="n">
        <x:v>87</x:v>
      </x:c>
      <x:c r="AD591" s="10"/>
      <x:c r="AE591" s="10" t="str">
        <x:f>IF(COUNT(AD591,AC591)=2,AD591-AC591,"")</x:f>
      </x:c>
      <x:c r="AF591" s="10" t="n">
        <x:v>38</x:v>
      </x:c>
      <x:c r="AG591" s="10"/>
      <x:c r="AH591" s="10" t="str">
        <x:f>IF(COUNT(AG591,AF591)=2,AG591-AF591,"")</x:f>
      </x:c>
      <x:c r="AI591" s="10" t="n">
        <x:v>58</x:v>
      </x:c>
      <x:c r="AJ591" s="10"/>
      <x:c r="AK591" s="10" t="str">
        <x:f>IF(COUNT(AJ591,AI591)=2,AJ591-AI591,"")</x:f>
      </x:c>
      <x:c r="AL591" s="10" t="n">
        <x:v>33</x:v>
      </x:c>
      <x:c r="AM591" s="10"/>
      <x:c r="AN591" s="4" t="str">
        <x:v>D</x:v>
      </x:c>
      <x:c r="AO591" s="4"/>
      <x:c r="AP591" s="4" t="str">
        <x:v>DET</x:v>
      </x:c>
      <x:c r="AQ591" s="4"/>
      <x:c r="AR591" s="4" t="n">
        <x:v>16.51</x:v>
      </x:c>
      <x:c r="AS591" s="4"/>
      <x:c r="AT591" s="4" t="n">
        <x:v>1.56</x:v>
      </x:c>
      <x:c r="AU591" s="4"/>
      <x:c r="AV591" s="10"/>
      <x:c r="AW591" s="10"/>
      <x:c r="AX591" s="10"/>
      <x:c r="AY591" s="10"/>
      <x:c r="AZ591" s="10" t="n">
        <x:v>32</x:v>
      </x:c>
      <x:c r="BA591" s="10" t="n">
        <x:v>31</x:v>
      </x:c>
      <x:c r="BB591" s="4" t="n">
        <x:v>50.8</x:v>
      </x:c>
      <x:c r="BC591" s="4" t="n">
        <x:v>3.9</x:v>
      </x:c>
      <x:c r="BD591" s="10" t="n">
        <x:v>24</x:v>
      </x:c>
      <x:c r="BE591" s="10" t="n">
        <x:v>22</x:v>
      </x:c>
      <x:c r="BF591" s="4" t="n">
        <x:v>52.2</x:v>
      </x:c>
      <x:c r="BG591" s="4" t="n">
        <x:v>1.7</x:v>
      </x:c>
      <x:c r="BH591" s="4" t="n">
        <x:v>0</x:v>
      </x:c>
      <x:c r="BI591" s="4" t="n">
        <x:v>83.3</x:v>
      </x:c>
      <x:c r="BJ591" s="4" t="n">
        <x:v>83.3</x:v>
      </x:c>
      <x:c r="BK591" s="4" t="n">
        <x:v>70.4</x:v>
      </x:c>
      <x:c r="BL591" s="4" t="n">
        <x:v>29.6</x:v>
      </x:c>
      <x:c r="BM591" s="4" t="n">
        <x:v>18.75</x:v>
      </x:c>
      <x:c r="BN591" s="4" t="n">
        <x:v>17.616666666666667</x:v>
      </x:c>
      <x:c r="BO591" s="10" t="n">
        <x:v>1</x:v>
      </x:c>
      <x:c r="BP591" s="10" t="n">
        <x:v>3</x:v>
      </x:c>
      <x:c r="BQ591" s="4" t="n">
        <x:v>0.3</x:v>
      </x:c>
      <x:c r="BR591" s="10" t="n">
        <x:v>8</x:v>
      </x:c>
      <x:c r="BS591" s="4" t="n">
        <x:v>37.5</x:v>
      </x:c>
      <x:c r="BT591" s="10" t="n">
        <x:v>2</x:v>
      </x:c>
      <x:c r="BU591" s="4" t="str">
        <x:v>DET</x:v>
      </x:c>
      <x:c r="BV591" s="10" t="n">
        <x:v>398</x:v>
      </x:c>
      <x:c r="BW591" s="10"/>
      <x:c r="BX591" s="10" t="n">
        <x:v>373</x:v>
      </x:c>
      <x:c r="BY591" s="4" t="str">
        <x:v>Erik Gustafsson</x:v>
      </x:c>
      <x:c r="BZ591" s="4"/>
      <x:c r="CA591" s="4" t="str">
        <x:v>Erik Gustafsson</x:v>
      </x:c>
      <x:c r="CB591" s="4" t="str">
        <x:v>gustaer02</x:v>
      </x:c>
    </x:row>
    <x:row r="592" ht="22" customHeight="1">
      <x:c r="A592" s="4" t="str">
        <x:v>Ethan Bear</x:v>
      </x:c>
      <x:c r="B592" s="4" t="str">
        <x:v>ethanbear</x:v>
      </x:c>
      <x:c r="C592" s="10" t="n">
        <x:v>1</x:v>
      </x:c>
      <x:c r="D592" s="10" t="n">
        <x:v>0</x:v>
      </x:c>
      <x:c r="E592" s="10" t="n">
        <x:v>0</x:v>
      </x:c>
      <x:c r="F592" s="4" t="n">
        <x:f>IF(COUNT(N592,Q592,T592,W592,Z592,AC592,AF592,AI592)=8,N592*Guide!$E$5+Q592*Guide!$E$6+T592*Guide!$E$7+W592*Guide!$E$8+Z592*Guide!$E$9+AC592*Guide!$E$10+AF592*Guide!$E$11+AI592*Guide!$E$12,"")</x:f>
        <x:v>60.25</x:v>
      </x:c>
      <x:c r="G592" s="4" t="str">
        <x:f>IF(COUNT(O592,R592,U592,X592,AA592,AD592,AG592,AJ592)=8,O592*Guide!$E$5+R592*Guide!$E$6+U592*Guide!$E$7+X592*Guide!$E$8+AA592*Guide!$E$9+AD592*Guide!$E$10+AG592*Guide!$E$11+AJ592*Guide!$E$12,"")</x:f>
      </x:c>
      <x:c r="H592" s="4" t="str">
        <x:f>IF(COUNT(G592,F592)=2,G592-F592,"")</x:f>
      </x:c>
      <x:c r="I592" s="4" t="n">
        <x:f>IF(AND(ISNUMBER(F592),K592&gt;0),F592/K592,"")</x:f>
        <x:v>2.0083333333333333</x:v>
      </x:c>
      <x:c r="J592" s="4" t="str">
        <x:f>IF(AND(ISNUMBER(G592),L592&gt;0),G592/L592,"")</x:f>
      </x:c>
      <x:c r="K592" s="10" t="n">
        <x:v>30</x:v>
      </x:c>
      <x:c r="L592" s="10"/>
      <x:c r="M592" s="10" t="str">
        <x:f>IF(COUNT(L592,K592)=2,L592-K592,"")</x:f>
      </x:c>
      <x:c r="N592" s="10" t="n">
        <x:v>2</x:v>
      </x:c>
      <x:c r="O592" s="10"/>
      <x:c r="P592" s="10" t="str">
        <x:f>IF(COUNT(O592,N592)=2,O592-N592,"")</x:f>
      </x:c>
      <x:c r="Q592" s="10" t="n">
        <x:v>5</x:v>
      </x:c>
      <x:c r="R592" s="10"/>
      <x:c r="S592" s="10" t="str">
        <x:f>IF(COUNT(R592,Q592)=2,R592-Q592,"")</x:f>
      </x:c>
      <x:c r="T592" s="10" t="n">
        <x:v>-2</x:v>
      </x:c>
      <x:c r="U592" s="10"/>
      <x:c r="V592" s="10" t="str">
        <x:f>IF(COUNT(U592,T592)=2,U592-T592,"")</x:f>
      </x:c>
      <x:c r="W592" s="10" t="n">
        <x:v>1</x:v>
      </x:c>
      <x:c r="X592" s="10" t="str">
        <x:f>IF(COUNT(AV592,AW592)=2,AV592+AW592,"")</x:f>
      </x:c>
      <x:c r="Y592" s="10" t="str">
        <x:f>IF(COUNT(X592,W592)=2,X592-W592,"")</x:f>
      </x:c>
      <x:c r="Z592" s="10" t="n">
        <x:v>0</x:v>
      </x:c>
      <x:c r="AA592" s="10" t="str">
        <x:f>IF(COUNT(AX592,AY592)=2,AX592+AY592,"")</x:f>
      </x:c>
      <x:c r="AB592" s="10" t="str">
        <x:f>IF(COUNT(AA592,Z592)=2,AA592-Z592,"")</x:f>
      </x:c>
      <x:c r="AC592" s="10" t="n">
        <x:v>32</x:v>
      </x:c>
      <x:c r="AD592" s="10"/>
      <x:c r="AE592" s="10" t="str">
        <x:f>IF(COUNT(AD592,AC592)=2,AD592-AC592,"")</x:f>
      </x:c>
      <x:c r="AF592" s="10" t="n">
        <x:v>16</x:v>
      </x:c>
      <x:c r="AG592" s="10"/>
      <x:c r="AH592" s="10" t="str">
        <x:f>IF(COUNT(AG592,AF592)=2,AG592-AF592,"")</x:f>
      </x:c>
      <x:c r="AI592" s="10" t="n">
        <x:v>35</x:v>
      </x:c>
      <x:c r="AJ592" s="10"/>
      <x:c r="AK592" s="10" t="str">
        <x:f>IF(COUNT(AJ592,AI592)=2,AJ592-AI592,"")</x:f>
      </x:c>
      <x:c r="AL592" s="10" t="n">
        <x:v>28</x:v>
      </x:c>
      <x:c r="AM592" s="10"/>
      <x:c r="AN592" s="4" t="str">
        <x:v>D</x:v>
      </x:c>
      <x:c r="AO592" s="4"/>
      <x:c r="AP592" s="4" t="str">
        <x:v>WSH</x:v>
      </x:c>
      <x:c r="AQ592" s="4"/>
      <x:c r="AR592" s="4" t="n">
        <x:v>15.57</x:v>
      </x:c>
      <x:c r="AS592" s="4"/>
      <x:c r="AT592" s="4" t="n">
        <x:v>0.41</x:v>
      </x:c>
      <x:c r="AU592" s="4"/>
      <x:c r="AV592" s="10"/>
      <x:c r="AW592" s="10"/>
      <x:c r="AX592" s="10"/>
      <x:c r="AY592" s="10"/>
      <x:c r="AZ592" s="10"/>
      <x:c r="BA592" s="10"/>
      <x:c r="BB592" s="4"/>
      <x:c r="BC592" s="4"/>
      <x:c r="BD592" s="10"/>
      <x:c r="BE592" s="10"/>
      <x:c r="BF592" s="4"/>
      <x:c r="BG592" s="4"/>
      <x:c r="BH592" s="4"/>
      <x:c r="BI592" s="4"/>
      <x:c r="BJ592" s="4"/>
      <x:c r="BK592" s="4"/>
      <x:c r="BL592" s="4"/>
      <x:c r="BM592" s="4"/>
      <x:c r="BN592" s="4"/>
      <x:c r="BO592" s="10"/>
      <x:c r="BP592" s="10"/>
      <x:c r="BQ592" s="4"/>
      <x:c r="BR592" s="10"/>
      <x:c r="BS592" s="4"/>
      <x:c r="BT592" s="10"/>
      <x:c r="BU592" s="4"/>
      <x:c r="BV592" s="10" t="n">
        <x:v>757</x:v>
      </x:c>
      <x:c r="BW592" s="10"/>
      <x:c r="BX592" s="10"/>
      <x:c r="BY592" s="4" t="str">
        <x:v>Ethan Bear</x:v>
      </x:c>
      <x:c r="BZ592" s="4"/>
      <x:c r="CA592" s="4"/>
      <x:c r="CB592" s="4"/>
    </x:row>
    <x:row r="593" ht="22" customHeight="1">
      <x:c r="A593" s="4" t="str">
        <x:v>Ethan Cardwell</x:v>
      </x:c>
      <x:c r="B593" s="4" t="str">
        <x:v>ethancardwell</x:v>
      </x:c>
      <x:c r="C593" s="10" t="n">
        <x:v>0</x:v>
      </x:c>
      <x:c r="D593" s="10" t="n">
        <x:v>0</x:v>
      </x:c>
      <x:c r="E593" s="10" t="n">
        <x:v>1</x:v>
      </x:c>
      <x:c r="F593" s="4" t="str">
        <x:f>IF(COUNT(N593,Q593,T593,W593,Z593,AC593,AF593,AI593)=8,N593*Guide!$E$5+Q593*Guide!$E$6+T593*Guide!$E$7+W593*Guide!$E$8+Z593*Guide!$E$9+AC593*Guide!$E$10+AF593*Guide!$E$11+AI593*Guide!$E$12,"")</x:f>
      </x:c>
      <x:c r="G593" s="4" t="str">
        <x:f>IF(COUNT(O593,R593,U593,X593,AA593,AD593,AG593,AJ593)=8,O593*Guide!$E$5+R593*Guide!$E$6+U593*Guide!$E$7+X593*Guide!$E$8+AA593*Guide!$E$9+AD593*Guide!$E$10+AG593*Guide!$E$11+AJ593*Guide!$E$12,"")</x:f>
      </x:c>
      <x:c r="H593" s="4" t="str">
        <x:f>IF(COUNT(G593,F593)=2,G593-F593,"")</x:f>
      </x:c>
      <x:c r="I593" s="4" t="str">
        <x:f>IF(AND(ISNUMBER(F593),K593&gt;0),F593/K593,"")</x:f>
      </x:c>
      <x:c r="J593" s="4" t="str">
        <x:f>IF(AND(ISNUMBER(G593),L593&gt;0),G593/L593,"")</x:f>
      </x:c>
      <x:c r="K593" s="10"/>
      <x:c r="L593" s="10"/>
      <x:c r="M593" s="10" t="str">
        <x:f>IF(COUNT(L593,K593)=2,L593-K593,"")</x:f>
      </x:c>
      <x:c r="N593" s="10"/>
      <x:c r="O593" s="10"/>
      <x:c r="P593" s="10" t="str">
        <x:f>IF(COUNT(O593,N593)=2,O593-N593,"")</x:f>
      </x:c>
      <x:c r="Q593" s="10"/>
      <x:c r="R593" s="10"/>
      <x:c r="S593" s="10" t="str">
        <x:f>IF(COUNT(R593,Q593)=2,R593-Q593,"")</x:f>
      </x:c>
      <x:c r="T593" s="10"/>
      <x:c r="U593" s="10"/>
      <x:c r="V593" s="10" t="str">
        <x:f>IF(COUNT(U593,T593)=2,U593-T593,"")</x:f>
      </x:c>
      <x:c r="W593" s="10"/>
      <x:c r="X593" s="10" t="str">
        <x:f>IF(COUNT(AV593,AW593)=2,AV593+AW593,"")</x:f>
      </x:c>
      <x:c r="Y593" s="10" t="str">
        <x:f>IF(COUNT(X593,W593)=2,X593-W593,"")</x:f>
      </x:c>
      <x:c r="Z593" s="10"/>
      <x:c r="AA593" s="10" t="str">
        <x:f>IF(COUNT(AX593,AY593)=2,AX593+AY593,"")</x:f>
      </x:c>
      <x:c r="AB593" s="10" t="str">
        <x:f>IF(COUNT(AA593,Z593)=2,AA593-Z593,"")</x:f>
      </x:c>
      <x:c r="AC593" s="10"/>
      <x:c r="AD593" s="10"/>
      <x:c r="AE593" s="10" t="str">
        <x:f>IF(COUNT(AD593,AC593)=2,AD593-AC593,"")</x:f>
      </x:c>
      <x:c r="AF593" s="10"/>
      <x:c r="AG593" s="10"/>
      <x:c r="AH593" s="10" t="str">
        <x:f>IF(COUNT(AG593,AF593)=2,AG593-AF593,"")</x:f>
      </x:c>
      <x:c r="AI593" s="10"/>
      <x:c r="AJ593" s="10"/>
      <x:c r="AK593" s="10" t="str">
        <x:f>IF(COUNT(AJ593,AI593)=2,AJ593-AI593,"")</x:f>
      </x:c>
      <x:c r="AL593" s="10"/>
      <x:c r="AM593" s="10"/>
      <x:c r="AN593" s="4"/>
      <x:c r="AO593" s="4"/>
      <x:c r="AP593" s="4"/>
      <x:c r="AQ593" s="4"/>
      <x:c r="AR593" s="4"/>
      <x:c r="AS593" s="4"/>
      <x:c r="AT593" s="4"/>
      <x:c r="AU593" s="4"/>
      <x:c r="AV593" s="10"/>
      <x:c r="AW593" s="10"/>
      <x:c r="AX593" s="10"/>
      <x:c r="AY593" s="10"/>
      <x:c r="AZ593" s="10" t="n">
        <x:v>67</x:v>
      </x:c>
      <x:c r="BA593" s="10" t="n">
        <x:v>84</x:v>
      </x:c>
      <x:c r="BB593" s="4" t="n">
        <x:v>44.4</x:v>
      </x:c>
      <x:c r="BC593" s="4" t="n">
        <x:v>-3.9</x:v>
      </x:c>
      <x:c r="BD593" s="10" t="n">
        <x:v>43</x:v>
      </x:c>
      <x:c r="BE593" s="10" t="n">
        <x:v>68</x:v>
      </x:c>
      <x:c r="BF593" s="4" t="n">
        <x:v>38.7</x:v>
      </x:c>
      <x:c r="BG593" s="4" t="n">
        <x:v>-9.3</x:v>
      </x:c>
      <x:c r="BH593" s="4" t="n">
        <x:v>8.3</x:v>
      </x:c>
      <x:c r="BI593" s="4" t="n">
        <x:v>88.6</x:v>
      </x:c>
      <x:c r="BJ593" s="4" t="n">
        <x:v>97</x:v>
      </x:c>
      <x:c r="BK593" s="4" t="n">
        <x:v>37</x:v>
      </x:c>
      <x:c r="BL593" s="4" t="n">
        <x:v>63</x:v>
      </x:c>
      <x:c r="BM593" s="4" t="n">
        <x:v>11.933333333333334</x:v>
      </x:c>
      <x:c r="BN593" s="4" t="n">
        <x:v>11.483333333333333</x:v>
      </x:c>
      <x:c r="BO593" s="10" t="n">
        <x:v>3</x:v>
      </x:c>
      <x:c r="BP593" s="10" t="n">
        <x:v>5</x:v>
      </x:c>
      <x:c r="BQ593" s="4" t="n">
        <x:v>-2.5</x:v>
      </x:c>
      <x:c r="BR593" s="10" t="n">
        <x:v>19</x:v>
      </x:c>
      <x:c r="BS593" s="4" t="n">
        <x:v>31.6</x:v>
      </x:c>
      <x:c r="BT593" s="10" t="n">
        <x:v>7</x:v>
      </x:c>
      <x:c r="BU593" s="4" t="str">
        <x:v>SJS</x:v>
      </x:c>
      <x:c r="BV593" s="10"/>
      <x:c r="BW593" s="10"/>
      <x:c r="BX593" s="10" t="n">
        <x:v>124</x:v>
      </x:c>
      <x:c r="BY593" s="4"/>
      <x:c r="BZ593" s="4"/>
      <x:c r="CA593" s="4" t="str">
        <x:v>Ethan Cardwell</x:v>
      </x:c>
      <x:c r="CB593" s="4" t="str">
        <x:v>cardwet01</x:v>
      </x:c>
    </x:row>
    <x:row r="594" ht="22" customHeight="1">
      <x:c r="A594" s="4" t="str">
        <x:v>Ethan Del Mastro</x:v>
      </x:c>
      <x:c r="B594" s="4" t="str">
        <x:v>ethandelmastro</x:v>
      </x:c>
      <x:c r="C594" s="10" t="n">
        <x:v>1</x:v>
      </x:c>
      <x:c r="D594" s="10" t="n">
        <x:v>0</x:v>
      </x:c>
      <x:c r="E594" s="10" t="n">
        <x:v>1</x:v>
      </x:c>
      <x:c r="F594" s="4" t="n">
        <x:f>IF(COUNT(N594,Q594,T594,W594,Z594,AC594,AF594,AI594)=8,N594*Guide!$E$5+Q594*Guide!$E$6+T594*Guide!$E$7+W594*Guide!$E$8+Z594*Guide!$E$9+AC594*Guide!$E$10+AF594*Guide!$E$11+AI594*Guide!$E$12,"")</x:f>
        <x:v>152.5</x:v>
      </x:c>
      <x:c r="G594" s="4" t="str">
        <x:f>IF(COUNT(O594,R594,U594,X594,AA594,AD594,AG594,AJ594)=8,O594*Guide!$E$5+R594*Guide!$E$6+U594*Guide!$E$7+X594*Guide!$E$8+AA594*Guide!$E$9+AD594*Guide!$E$10+AG594*Guide!$E$11+AJ594*Guide!$E$12,"")</x:f>
      </x:c>
      <x:c r="H594" s="4" t="str">
        <x:f>IF(COUNT(G594,F594)=2,G594-F594,"")</x:f>
      </x:c>
      <x:c r="I594" s="4" t="n">
        <x:f>IF(AND(ISNUMBER(F594),K594&gt;0),F594/K594,"")</x:f>
        <x:v>2.3461538461538463</x:v>
      </x:c>
      <x:c r="J594" s="4" t="str">
        <x:f>IF(AND(ISNUMBER(G594),L594&gt;0),G594/L594,"")</x:f>
      </x:c>
      <x:c r="K594" s="10" t="n">
        <x:v>65</x:v>
      </x:c>
      <x:c r="L594" s="10"/>
      <x:c r="M594" s="10" t="str">
        <x:f>IF(COUNT(L594,K594)=2,L594-K594,"")</x:f>
      </x:c>
      <x:c r="N594" s="10" t="n">
        <x:v>5</x:v>
      </x:c>
      <x:c r="O594" s="10"/>
      <x:c r="P594" s="10" t="str">
        <x:f>IF(COUNT(O594,N594)=2,O594-N594,"")</x:f>
      </x:c>
      <x:c r="Q594" s="10" t="n">
        <x:v>14</x:v>
      </x:c>
      <x:c r="R594" s="10"/>
      <x:c r="S594" s="10" t="str">
        <x:f>IF(COUNT(R594,Q594)=2,R594-Q594,"")</x:f>
      </x:c>
      <x:c r="T594" s="10" t="n">
        <x:v>-2</x:v>
      </x:c>
      <x:c r="U594" s="10"/>
      <x:c r="V594" s="10" t="str">
        <x:f>IF(COUNT(U594,T594)=2,U594-T594,"")</x:f>
      </x:c>
      <x:c r="W594" s="10" t="n">
        <x:v>0</x:v>
      </x:c>
      <x:c r="X594" s="10" t="str">
        <x:f>IF(COUNT(AV594,AW594)=2,AV594+AW594,"")</x:f>
      </x:c>
      <x:c r="Y594" s="10" t="str">
        <x:f>IF(COUNT(X594,W594)=2,X594-W594,"")</x:f>
      </x:c>
      <x:c r="Z594" s="10" t="n">
        <x:v>0</x:v>
      </x:c>
      <x:c r="AA594" s="10" t="str">
        <x:f>IF(COUNT(AX594,AY594)=2,AX594+AY594,"")</x:f>
      </x:c>
      <x:c r="AB594" s="10" t="str">
        <x:f>IF(COUNT(AA594,Z594)=2,AA594-Z594,"")</x:f>
      </x:c>
      <x:c r="AC594" s="10" t="n">
        <x:v>57</x:v>
      </x:c>
      <x:c r="AD594" s="10"/>
      <x:c r="AE594" s="10" t="str">
        <x:f>IF(COUNT(AD594,AC594)=2,AD594-AC594,"")</x:f>
      </x:c>
      <x:c r="AF594" s="10" t="n">
        <x:v>106</x:v>
      </x:c>
      <x:c r="AG594" s="10"/>
      <x:c r="AH594" s="10" t="str">
        <x:f>IF(COUNT(AG594,AF594)=2,AG594-AF594,"")</x:f>
      </x:c>
      <x:c r="AI594" s="10" t="n">
        <x:v>69</x:v>
      </x:c>
      <x:c r="AJ594" s="10"/>
      <x:c r="AK594" s="10" t="str">
        <x:f>IF(COUNT(AJ594,AI594)=2,AJ594-AI594,"")</x:f>
      </x:c>
      <x:c r="AL594" s="10" t="n">
        <x:v>23</x:v>
      </x:c>
      <x:c r="AM594" s="10"/>
      <x:c r="AN594" s="4" t="str">
        <x:v>D</x:v>
      </x:c>
      <x:c r="AO594" s="4"/>
      <x:c r="AP594" s="4" t="str">
        <x:v>CHI</x:v>
      </x:c>
      <x:c r="AQ594" s="4"/>
      <x:c r="AR594" s="4" t="n">
        <x:v>18.3</x:v>
      </x:c>
      <x:c r="AS594" s="4"/>
      <x:c r="AT594" s="4" t="n">
        <x:v>0.04</x:v>
      </x:c>
      <x:c r="AU594" s="4"/>
      <x:c r="AV594" s="10"/>
      <x:c r="AW594" s="10"/>
      <x:c r="AX594" s="10"/>
      <x:c r="AY594" s="10"/>
      <x:c r="AZ594" s="10" t="n">
        <x:v>200</x:v>
      </x:c>
      <x:c r="BA594" s="10" t="n">
        <x:v>241</x:v>
      </x:c>
      <x:c r="BB594" s="4" t="n">
        <x:v>45.4</x:v>
      </x:c>
      <x:c r="BC594" s="4" t="n">
        <x:v>3.1</x:v>
      </x:c>
      <x:c r="BD594" s="10" t="n">
        <x:v>146</x:v>
      </x:c>
      <x:c r="BE594" s="10" t="n">
        <x:v>177</x:v>
      </x:c>
      <x:c r="BF594" s="4" t="n">
        <x:v>45.2</x:v>
      </x:c>
      <x:c r="BG594" s="4" t="n">
        <x:v>3.8</x:v>
      </x:c>
      <x:c r="BH594" s="4" t="n">
        <x:v>3.1</x:v>
      </x:c>
      <x:c r="BI594" s="4" t="n">
        <x:v>88</x:v>
      </x:c>
      <x:c r="BJ594" s="4" t="n">
        <x:v>91.1</x:v>
      </x:c>
      <x:c r="BK594" s="4" t="n">
        <x:v>36.4</x:v>
      </x:c>
      <x:c r="BL594" s="4" t="n">
        <x:v>63.6</x:v>
      </x:c>
      <x:c r="BM594" s="4" t="n">
        <x:v>14.133333333333333</x:v>
      </x:c>
      <x:c r="BN594" s="4" t="n">
        <x:v>13.35</x:v>
      </x:c>
      <x:c r="BO594" s="10" t="n">
        <x:v>5</x:v>
      </x:c>
      <x:c r="BP594" s="10" t="n">
        <x:v>16</x:v>
      </x:c>
      <x:c r="BQ594" s="4" t="n">
        <x:v>-3.7</x:v>
      </x:c>
      <x:c r="BR594" s="10" t="n">
        <x:v>39</x:v>
      </x:c>
      <x:c r="BS594" s="4" t="n">
        <x:v>46.2</x:v>
      </x:c>
      <x:c r="BT594" s="10" t="n">
        <x:v>19</x:v>
      </x:c>
      <x:c r="BU594" s="4" t="str">
        <x:v>CHI</x:v>
      </x:c>
      <x:c r="BV594" s="10" t="n">
        <x:v>541</x:v>
      </x:c>
      <x:c r="BW594" s="10"/>
      <x:c r="BX594" s="10" t="n">
        <x:v>205</x:v>
      </x:c>
      <x:c r="BY594" s="4" t="str">
        <x:v>Ethan Del Mastro</x:v>
      </x:c>
      <x:c r="BZ594" s="4"/>
      <x:c r="CA594" s="4" t="str">
        <x:v>Ethan Del Mastro</x:v>
      </x:c>
      <x:c r="CB594" s="4" t="str">
        <x:v>delmaet01</x:v>
      </x:c>
    </x:row>
    <x:row r="595" ht="22" customHeight="1">
      <x:c r="A595" s="4" t="str">
        <x:v>Evgenii Dadonov</x:v>
      </x:c>
      <x:c r="B595" s="4" t="str">
        <x:v>evgeniidadonov</x:v>
      </x:c>
      <x:c r="C595" s="10" t="n">
        <x:v>1</x:v>
      </x:c>
      <x:c r="D595" s="10" t="n">
        <x:v>0</x:v>
      </x:c>
      <x:c r="E595" s="10" t="n">
        <x:v>1</x:v>
      </x:c>
      <x:c r="F595" s="4" t="n">
        <x:f>IF(COUNT(N595,Q595,T595,W595,Z595,AC595,AF595,AI595)=8,N595*Guide!$E$5+Q595*Guide!$E$6+T595*Guide!$E$7+W595*Guide!$E$8+Z595*Guide!$E$9+AC595*Guide!$E$10+AF595*Guide!$E$11+AI595*Guide!$E$12,"")</x:f>
        <x:v>193.25</x:v>
      </x:c>
      <x:c r="G595" s="4" t="str">
        <x:f>IF(COUNT(O595,R595,U595,X595,AA595,AD595,AG595,AJ595)=8,O595*Guide!$E$5+R595*Guide!$E$6+U595*Guide!$E$7+X595*Guide!$E$8+AA595*Guide!$E$9+AD595*Guide!$E$10+AG595*Guide!$E$11+AJ595*Guide!$E$12,"")</x:f>
      </x:c>
      <x:c r="H595" s="4" t="str">
        <x:f>IF(COUNT(G595,F595)=2,G595-F595,"")</x:f>
      </x:c>
      <x:c r="I595" s="4" t="n">
        <x:f>IF(AND(ISNUMBER(F595),K595&gt;0),F595/K595,"")</x:f>
        <x:v>2.415625</x:v>
      </x:c>
      <x:c r="J595" s="4" t="str">
        <x:f>IF(AND(ISNUMBER(G595),L595&gt;0),G595/L595,"")</x:f>
      </x:c>
      <x:c r="K595" s="10" t="n">
        <x:v>80</x:v>
      </x:c>
      <x:c r="L595" s="10"/>
      <x:c r="M595" s="10" t="str">
        <x:f>IF(COUNT(L595,K595)=2,L595-K595,"")</x:f>
      </x:c>
      <x:c r="N595" s="10" t="n">
        <x:v>16</x:v>
      </x:c>
      <x:c r="O595" s="10"/>
      <x:c r="P595" s="10" t="str">
        <x:f>IF(COUNT(O595,N595)=2,O595-N595,"")</x:f>
      </x:c>
      <x:c r="Q595" s="10" t="n">
        <x:v>19</x:v>
      </x:c>
      <x:c r="R595" s="10"/>
      <x:c r="S595" s="10" t="str">
        <x:f>IF(COUNT(R595,Q595)=2,R595-Q595,"")</x:f>
      </x:c>
      <x:c r="T595" s="10" t="n">
        <x:v>0</x:v>
      </x:c>
      <x:c r="U595" s="10"/>
      <x:c r="V595" s="10" t="str">
        <x:f>IF(COUNT(U595,T595)=2,U595-T595,"")</x:f>
      </x:c>
      <x:c r="W595" s="10" t="n">
        <x:v>6</x:v>
      </x:c>
      <x:c r="X595" s="10" t="str">
        <x:f>IF(COUNT(AV595,AW595)=2,AV595+AW595,"")</x:f>
      </x:c>
      <x:c r="Y595" s="10" t="str">
        <x:f>IF(COUNT(X595,W595)=2,X595-W595,"")</x:f>
      </x:c>
      <x:c r="Z595" s="10" t="n">
        <x:v>0</x:v>
      </x:c>
      <x:c r="AA595" s="10" t="str">
        <x:f>IF(COUNT(AX595,AY595)=2,AX595+AY595,"")</x:f>
      </x:c>
      <x:c r="AB595" s="10" t="str">
        <x:f>IF(COUNT(AA595,Z595)=2,AA595-Z595,"")</x:f>
      </x:c>
      <x:c r="AC595" s="10" t="n">
        <x:v>110</x:v>
      </x:c>
      <x:c r="AD595" s="10"/>
      <x:c r="AE595" s="10" t="str">
        <x:f>IF(COUNT(AD595,AC595)=2,AD595-AC595,"")</x:f>
      </x:c>
      <x:c r="AF595" s="10" t="n">
        <x:v>44</x:v>
      </x:c>
      <x:c r="AG595" s="10"/>
      <x:c r="AH595" s="10" t="str">
        <x:f>IF(COUNT(AG595,AF595)=2,AG595-AF595,"")</x:f>
      </x:c>
      <x:c r="AI595" s="10" t="n">
        <x:v>37</x:v>
      </x:c>
      <x:c r="AJ595" s="10"/>
      <x:c r="AK595" s="10" t="str">
        <x:f>IF(COUNT(AJ595,AI595)=2,AJ595-AI595,"")</x:f>
      </x:c>
      <x:c r="AL595" s="10" t="n">
        <x:v>36</x:v>
      </x:c>
      <x:c r="AM595" s="10"/>
      <x:c r="AN595" s="4" t="str">
        <x:v>RW</x:v>
      </x:c>
      <x:c r="AO595" s="4"/>
      <x:c r="AP595" s="4" t="str">
        <x:v>NJ</x:v>
      </x:c>
      <x:c r="AQ595" s="4"/>
      <x:c r="AR595" s="4" t="n">
        <x:v>13.239999999999998</x:v>
      </x:c>
      <x:c r="AS595" s="4"/>
      <x:c r="AT595" s="4" t="n">
        <x:v>0.94</x:v>
      </x:c>
      <x:c r="AU595" s="4"/>
      <x:c r="AV595" s="10"/>
      <x:c r="AW595" s="10"/>
      <x:c r="AX595" s="10"/>
      <x:c r="AY595" s="10"/>
      <x:c r="AZ595" s="10" t="n">
        <x:v>205</x:v>
      </x:c>
      <x:c r="BA595" s="10" t="n">
        <x:v>274</x:v>
      </x:c>
      <x:c r="BB595" s="4" t="n">
        <x:v>42.8</x:v>
      </x:c>
      <x:c r="BC595" s="4" t="n">
        <x:v>-10.1</x:v>
      </x:c>
      <x:c r="BD595" s="10" t="n">
        <x:v>140</x:v>
      </x:c>
      <x:c r="BE595" s="10" t="n">
        <x:v>200</x:v>
      </x:c>
      <x:c r="BF595" s="4" t="n">
        <x:v>41.2</x:v>
      </x:c>
      <x:c r="BG595" s="4" t="n">
        <x:v>-10.9</x:v>
      </x:c>
      <x:c r="BH595" s="4" t="n">
        <x:v>4.5</x:v>
      </x:c>
      <x:c r="BI595" s="4" t="n">
        <x:v>91.7</x:v>
      </x:c>
      <x:c r="BJ595" s="4" t="n">
        <x:v>96.3</x:v>
      </x:c>
      <x:c r="BK595" s="4" t="n">
        <x:v>50.4</x:v>
      </x:c>
      <x:c r="BL595" s="4" t="n">
        <x:v>49.6</x:v>
      </x:c>
      <x:c r="BM595" s="4" t="n">
        <x:v>10.65</x:v>
      </x:c>
      <x:c r="BN595" s="4" t="n">
        <x:v>9.983333333333333</x:v>
      </x:c>
      <x:c r="BO595" s="10" t="n">
        <x:v>2</x:v>
      </x:c>
      <x:c r="BP595" s="10" t="n">
        <x:v>15</x:v>
      </x:c>
      <x:c r="BQ595" s="4" t="n">
        <x:v>-4.8</x:v>
      </x:c>
      <x:c r="BR595" s="10" t="n">
        <x:v>39</x:v>
      </x:c>
      <x:c r="BS595" s="4" t="n">
        <x:v>51.3</x:v>
      </x:c>
      <x:c r="BT595" s="10" t="n">
        <x:v>24</x:v>
      </x:c>
      <x:c r="BU595" s="4" t="str">
        <x:v>NJD</x:v>
      </x:c>
      <x:c r="BV595" s="10" t="n">
        <x:v>310</x:v>
      </x:c>
      <x:c r="BW595" s="10"/>
      <x:c r="BX595" s="10" t="n">
        <x:v>193</x:v>
      </x:c>
      <x:c r="BY595" s="4" t="str">
        <x:v>Evgenii Dadonov</x:v>
      </x:c>
      <x:c r="BZ595" s="4"/>
      <x:c r="CA595" s="4" t="str">
        <x:v>Evgenii Dadonov</x:v>
      </x:c>
      <x:c r="CB595" s="4" t="str">
        <x:v>dadonev01</x:v>
      </x:c>
    </x:row>
    <x:row r="596" ht="22" customHeight="1">
      <x:c r="A596" s="4" t="str">
        <x:v>Fedor Svechkov</x:v>
      </x:c>
      <x:c r="B596" s="4" t="str">
        <x:v>fedorsvechkov</x:v>
      </x:c>
      <x:c r="C596" s="10" t="n">
        <x:v>1</x:v>
      </x:c>
      <x:c r="D596" s="10" t="n">
        <x:v>0</x:v>
      </x:c>
      <x:c r="E596" s="10" t="n">
        <x:v>1</x:v>
      </x:c>
      <x:c r="F596" s="4" t="n">
        <x:f>IF(COUNT(N596,Q596,T596,W596,Z596,AC596,AF596,AI596)=8,N596*Guide!$E$5+Q596*Guide!$E$6+T596*Guide!$E$7+W596*Guide!$E$8+Z596*Guide!$E$9+AC596*Guide!$E$10+AF596*Guide!$E$11+AI596*Guide!$E$12,"")</x:f>
        <x:v>235</x:v>
      </x:c>
      <x:c r="G596" s="4" t="str">
        <x:f>IF(COUNT(O596,R596,U596,X596,AA596,AD596,AG596,AJ596)=8,O596*Guide!$E$5+R596*Guide!$E$6+U596*Guide!$E$7+X596*Guide!$E$8+AA596*Guide!$E$9+AD596*Guide!$E$10+AG596*Guide!$E$11+AJ596*Guide!$E$12,"")</x:f>
      </x:c>
      <x:c r="H596" s="4" t="str">
        <x:f>IF(COUNT(G596,F596)=2,G596-F596,"")</x:f>
      </x:c>
      <x:c r="I596" s="4" t="n">
        <x:f>IF(AND(ISNUMBER(F596),K596&gt;0),F596/K596,"")</x:f>
        <x:v>3.051948051948052</x:v>
      </x:c>
      <x:c r="J596" s="4" t="str">
        <x:f>IF(AND(ISNUMBER(G596),L596&gt;0),G596/L596,"")</x:f>
      </x:c>
      <x:c r="K596" s="10" t="n">
        <x:v>77</x:v>
      </x:c>
      <x:c r="L596" s="10"/>
      <x:c r="M596" s="10" t="str">
        <x:f>IF(COUNT(L596,K596)=2,L596-K596,"")</x:f>
      </x:c>
      <x:c r="N596" s="10" t="n">
        <x:v>20</x:v>
      </x:c>
      <x:c r="O596" s="10"/>
      <x:c r="P596" s="10" t="str">
        <x:f>IF(COUNT(O596,N596)=2,O596-N596,"")</x:f>
      </x:c>
      <x:c r="Q596" s="10" t="n">
        <x:v>23</x:v>
      </x:c>
      <x:c r="R596" s="10"/>
      <x:c r="S596" s="10" t="str">
        <x:f>IF(COUNT(R596,Q596)=2,R596-Q596,"")</x:f>
      </x:c>
      <x:c r="T596" s="10" t="n">
        <x:v>-7</x:v>
      </x:c>
      <x:c r="U596" s="10"/>
      <x:c r="V596" s="10" t="str">
        <x:f>IF(COUNT(U596,T596)=2,U596-T596,"")</x:f>
      </x:c>
      <x:c r="W596" s="10" t="n">
        <x:v>13</x:v>
      </x:c>
      <x:c r="X596" s="10" t="str">
        <x:f>IF(COUNT(AV596,AW596)=2,AV596+AW596,"")</x:f>
      </x:c>
      <x:c r="Y596" s="10" t="str">
        <x:f>IF(COUNT(X596,W596)=2,X596-W596,"")</x:f>
      </x:c>
      <x:c r="Z596" s="10" t="n">
        <x:v>0</x:v>
      </x:c>
      <x:c r="AA596" s="10" t="str">
        <x:f>IF(COUNT(AX596,AY596)=2,AX596+AY596,"")</x:f>
      </x:c>
      <x:c r="AB596" s="10" t="str">
        <x:f>IF(COUNT(AA596,Z596)=2,AA596-Z596,"")</x:f>
      </x:c>
      <x:c r="AC596" s="10" t="n">
        <x:v>133</x:v>
      </x:c>
      <x:c r="AD596" s="10"/>
      <x:c r="AE596" s="10" t="str">
        <x:f>IF(COUNT(AD596,AC596)=2,AD596-AC596,"")</x:f>
      </x:c>
      <x:c r="AF596" s="10" t="n">
        <x:v>58</x:v>
      </x:c>
      <x:c r="AG596" s="10"/>
      <x:c r="AH596" s="10" t="str">
        <x:f>IF(COUNT(AG596,AF596)=2,AG596-AF596,"")</x:f>
      </x:c>
      <x:c r="AI596" s="10" t="n">
        <x:v>43</x:v>
      </x:c>
      <x:c r="AJ596" s="10"/>
      <x:c r="AK596" s="10" t="str">
        <x:f>IF(COUNT(AJ596,AI596)=2,AJ596-AI596,"")</x:f>
      </x:c>
      <x:c r="AL596" s="10" t="n">
        <x:v>22</x:v>
      </x:c>
      <x:c r="AM596" s="10"/>
      <x:c r="AN596" s="4" t="str">
        <x:v>C</x:v>
      </x:c>
      <x:c r="AO596" s="4"/>
      <x:c r="AP596" s="4" t="str">
        <x:v>NSH</x:v>
      </x:c>
      <x:c r="AQ596" s="4"/>
      <x:c r="AR596" s="4" t="n">
        <x:v>15.74</x:v>
      </x:c>
      <x:c r="AS596" s="4"/>
      <x:c r="AT596" s="4" t="n">
        <x:v>1.85</x:v>
      </x:c>
      <x:c r="AU596" s="4"/>
      <x:c r="AV596" s="10"/>
      <x:c r="AW596" s="10"/>
      <x:c r="AX596" s="10"/>
      <x:c r="AY596" s="10"/>
      <x:c r="AZ596" s="10" t="n">
        <x:v>745</x:v>
      </x:c>
      <x:c r="BA596" s="10" t="n">
        <x:v>753</x:v>
      </x:c>
      <x:c r="BB596" s="4" t="n">
        <x:v>49.7</x:v>
      </x:c>
      <x:c r="BC596" s="4" t="n">
        <x:v>-0.3</x:v>
      </x:c>
      <x:c r="BD596" s="10" t="n">
        <x:v>517</x:v>
      </x:c>
      <x:c r="BE596" s="10" t="n">
        <x:v>566</x:v>
      </x:c>
      <x:c r="BF596" s="4" t="n">
        <x:v>47.7</x:v>
      </x:c>
      <x:c r="BG596" s="4" t="n">
        <x:v>-1.2</x:v>
      </x:c>
      <x:c r="BH596" s="4" t="n">
        <x:v>8.5</x:v>
      </x:c>
      <x:c r="BI596" s="4" t="n">
        <x:v>90.2</x:v>
      </x:c>
      <x:c r="BJ596" s="4" t="n">
        <x:v>98.7</x:v>
      </x:c>
      <x:c r="BK596" s="4" t="n">
        <x:v>55.3</x:v>
      </x:c>
      <x:c r="BL596" s="4" t="n">
        <x:v>44.7</x:v>
      </x:c>
      <x:c r="BM596" s="4" t="n">
        <x:v>12.083333333333334</x:v>
      </x:c>
      <x:c r="BN596" s="4" t="n">
        <x:v>11.466666666666667</x:v>
      </x:c>
      <x:c r="BO596" s="10" t="n">
        <x:v>19</x:v>
      </x:c>
      <x:c r="BP596" s="10" t="n">
        <x:v>49</x:v>
      </x:c>
      <x:c r="BQ596" s="4" t="n">
        <x:v>0.5</x:v>
      </x:c>
      <x:c r="BR596" s="10" t="n">
        <x:v>143</x:v>
      </x:c>
      <x:c r="BS596" s="4" t="n">
        <x:v>49</x:v>
      </x:c>
      <x:c r="BT596" s="10" t="n">
        <x:v>70</x:v>
      </x:c>
      <x:c r="BU596" s="4" t="str">
        <x:v>NSH</x:v>
      </x:c>
      <x:c r="BV596" s="10" t="n">
        <x:v>217</x:v>
      </x:c>
      <x:c r="BW596" s="10"/>
      <x:c r="BX596" s="10" t="n">
        <x:v>999</x:v>
      </x:c>
      <x:c r="BY596" s="4" t="str">
        <x:v>Fedor Svechkov</x:v>
      </x:c>
      <x:c r="BZ596" s="4"/>
      <x:c r="CA596" s="4" t="str">
        <x:v>Fedor Svechkov</x:v>
      </x:c>
      <x:c r="CB596" s="4" t="str">
        <x:v>svechfe01</x:v>
      </x:c>
    </x:row>
    <x:row r="597" ht="22" customHeight="1">
      <x:c r="A597" s="4" t="str">
        <x:v>Felix Unger Sorum</x:v>
      </x:c>
      <x:c r="B597" s="4" t="str">
        <x:v>felixungersorum</x:v>
      </x:c>
      <x:c r="C597" s="10" t="n">
        <x:v>0</x:v>
      </x:c>
      <x:c r="D597" s="10" t="n">
        <x:v>0</x:v>
      </x:c>
      <x:c r="E597" s="10" t="n">
        <x:v>1</x:v>
      </x:c>
      <x:c r="F597" s="4" t="str">
        <x:f>IF(COUNT(N597,Q597,T597,W597,Z597,AC597,AF597,AI597)=8,N597*Guide!$E$5+Q597*Guide!$E$6+T597*Guide!$E$7+W597*Guide!$E$8+Z597*Guide!$E$9+AC597*Guide!$E$10+AF597*Guide!$E$11+AI597*Guide!$E$12,"")</x:f>
      </x:c>
      <x:c r="G597" s="4" t="str">
        <x:f>IF(COUNT(O597,R597,U597,X597,AA597,AD597,AG597,AJ597)=8,O597*Guide!$E$5+R597*Guide!$E$6+U597*Guide!$E$7+X597*Guide!$E$8+AA597*Guide!$E$9+AD597*Guide!$E$10+AG597*Guide!$E$11+AJ597*Guide!$E$12,"")</x:f>
      </x:c>
      <x:c r="H597" s="4" t="str">
        <x:f>IF(COUNT(G597,F597)=2,G597-F597,"")</x:f>
      </x:c>
      <x:c r="I597" s="4" t="str">
        <x:f>IF(AND(ISNUMBER(F597),K597&gt;0),F597/K597,"")</x:f>
      </x:c>
      <x:c r="J597" s="4" t="str">
        <x:f>IF(AND(ISNUMBER(G597),L597&gt;0),G597/L597,"")</x:f>
      </x:c>
      <x:c r="K597" s="10"/>
      <x:c r="L597" s="10"/>
      <x:c r="M597" s="10" t="str">
        <x:f>IF(COUNT(L597,K597)=2,L597-K597,"")</x:f>
      </x:c>
      <x:c r="N597" s="10"/>
      <x:c r="O597" s="10"/>
      <x:c r="P597" s="10" t="str">
        <x:f>IF(COUNT(O597,N597)=2,O597-N597,"")</x:f>
      </x:c>
      <x:c r="Q597" s="10"/>
      <x:c r="R597" s="10"/>
      <x:c r="S597" s="10" t="str">
        <x:f>IF(COUNT(R597,Q597)=2,R597-Q597,"")</x:f>
      </x:c>
      <x:c r="T597" s="10"/>
      <x:c r="U597" s="10"/>
      <x:c r="V597" s="10" t="str">
        <x:f>IF(COUNT(U597,T597)=2,U597-T597,"")</x:f>
      </x:c>
      <x:c r="W597" s="10"/>
      <x:c r="X597" s="10" t="str">
        <x:f>IF(COUNT(AV597,AW597)=2,AV597+AW597,"")</x:f>
      </x:c>
      <x:c r="Y597" s="10" t="str">
        <x:f>IF(COUNT(X597,W597)=2,X597-W597,"")</x:f>
      </x:c>
      <x:c r="Z597" s="10"/>
      <x:c r="AA597" s="10" t="str">
        <x:f>IF(COUNT(AX597,AY597)=2,AX597+AY597,"")</x:f>
      </x:c>
      <x:c r="AB597" s="10" t="str">
        <x:f>IF(COUNT(AA597,Z597)=2,AA597-Z597,"")</x:f>
      </x:c>
      <x:c r="AC597" s="10"/>
      <x:c r="AD597" s="10"/>
      <x:c r="AE597" s="10" t="str">
        <x:f>IF(COUNT(AD597,AC597)=2,AD597-AC597,"")</x:f>
      </x:c>
      <x:c r="AF597" s="10"/>
      <x:c r="AG597" s="10"/>
      <x:c r="AH597" s="10" t="str">
        <x:f>IF(COUNT(AG597,AF597)=2,AG597-AF597,"")</x:f>
      </x:c>
      <x:c r="AI597" s="10"/>
      <x:c r="AJ597" s="10"/>
      <x:c r="AK597" s="10" t="str">
        <x:f>IF(COUNT(AJ597,AI597)=2,AJ597-AI597,"")</x:f>
      </x:c>
      <x:c r="AL597" s="10"/>
      <x:c r="AM597" s="10"/>
      <x:c r="AN597" s="4"/>
      <x:c r="AO597" s="4"/>
      <x:c r="AP597" s="4"/>
      <x:c r="AQ597" s="4"/>
      <x:c r="AR597" s="4"/>
      <x:c r="AS597" s="4"/>
      <x:c r="AT597" s="4"/>
      <x:c r="AU597" s="4"/>
      <x:c r="AV597" s="10"/>
      <x:c r="AW597" s="10"/>
      <x:c r="AX597" s="10"/>
      <x:c r="AY597" s="10"/>
      <x:c r="AZ597" s="10" t="n">
        <x:v>6</x:v>
      </x:c>
      <x:c r="BA597" s="10" t="n">
        <x:v>10</x:v>
      </x:c>
      <x:c r="BB597" s="4" t="n">
        <x:v>37.5</x:v>
      </x:c>
      <x:c r="BC597" s="4" t="n">
        <x:v>-6.9</x:v>
      </x:c>
      <x:c r="BD597" s="10" t="n">
        <x:v>6</x:v>
      </x:c>
      <x:c r="BE597" s="10" t="n">
        <x:v>6</x:v>
      </x:c>
      <x:c r="BF597" s="4" t="n">
        <x:v>50</x:v>
      </x:c>
      <x:c r="BG597" s="4" t="n">
        <x:v>2.5</x:v>
      </x:c>
      <x:c r="BH597" s="4" t="n">
        <x:v>25</x:v>
      </x:c>
      <x:c r="BI597" s="4" t="n">
        <x:v>100</x:v>
      </x:c>
      <x:c r="BJ597" s="4" t="n">
        <x:v>125</x:v>
      </x:c>
      <x:c r="BK597" s="4" t="n">
        <x:v>40</x:v>
      </x:c>
      <x:c r="BL597" s="4" t="n">
        <x:v>60</x:v>
      </x:c>
      <x:c r="BM597" s="4" t="n">
        <x:v>14.583333333333334</x:v>
      </x:c>
      <x:c r="BN597" s="4" t="n">
        <x:v>13.766666666666667</x:v>
      </x:c>
      <x:c r="BO597" s="10" t="n">
        <x:v>0</x:v>
      </x:c>
      <x:c r="BP597" s="10" t="n">
        <x:v>3</x:v>
      </x:c>
      <x:c r="BQ597" s="4" t="n">
        <x:v>-0.2</x:v>
      </x:c>
      <x:c r="BR597" s="10" t="n">
        <x:v>2</x:v>
      </x:c>
      <x:c r="BS597" s="4" t="n">
        <x:v>0</x:v>
      </x:c>
      <x:c r="BT597" s="10" t="n">
        <x:v>1</x:v>
      </x:c>
      <x:c r="BU597" s="4" t="str">
        <x:v>CAR</x:v>
      </x:c>
      <x:c r="BV597" s="10"/>
      <x:c r="BW597" s="10"/>
      <x:c r="BX597" s="10" t="n">
        <x:v>1043</x:v>
      </x:c>
      <x:c r="BY597" s="4"/>
      <x:c r="BZ597" s="4"/>
      <x:c r="CA597" s="4" t="str">
        <x:v>Felix Unger Sorum</x:v>
      </x:c>
      <x:c r="CB597" s="4" t="str">
        <x:v>ungerfe01</x:v>
      </x:c>
    </x:row>
    <x:row r="598" ht="22" customHeight="1">
      <x:c r="A598" s="4" t="str">
        <x:v>Filip Chytil</x:v>
      </x:c>
      <x:c r="B598" s="4" t="str">
        <x:v>filipchytil</x:v>
      </x:c>
      <x:c r="C598" s="10" t="n">
        <x:v>1</x:v>
      </x:c>
      <x:c r="D598" s="10" t="n">
        <x:v>0</x:v>
      </x:c>
      <x:c r="E598" s="10" t="n">
        <x:v>1</x:v>
      </x:c>
      <x:c r="F598" s="4" t="n">
        <x:f>IF(COUNT(N598,Q598,T598,W598,Z598,AC598,AF598,AI598)=8,N598*Guide!$E$5+Q598*Guide!$E$6+T598*Guide!$E$7+W598*Guide!$E$8+Z598*Guide!$E$9+AC598*Guide!$E$10+AF598*Guide!$E$11+AI598*Guide!$E$12,"")</x:f>
        <x:v>208.5</x:v>
      </x:c>
      <x:c r="G598" s="4" t="str">
        <x:f>IF(COUNT(O598,R598,U598,X598,AA598,AD598,AG598,AJ598)=8,O598*Guide!$E$5+R598*Guide!$E$6+U598*Guide!$E$7+X598*Guide!$E$8+AA598*Guide!$E$9+AD598*Guide!$E$10+AG598*Guide!$E$11+AJ598*Guide!$E$12,"")</x:f>
      </x:c>
      <x:c r="H598" s="4" t="str">
        <x:f>IF(COUNT(G598,F598)=2,G598-F598,"")</x:f>
      </x:c>
      <x:c r="I598" s="4" t="n">
        <x:f>IF(AND(ISNUMBER(F598),K598&gt;0),F598/K598,"")</x:f>
        <x:v>2.9785714285714286</x:v>
      </x:c>
      <x:c r="J598" s="4" t="str">
        <x:f>IF(AND(ISNUMBER(G598),L598&gt;0),G598/L598,"")</x:f>
      </x:c>
      <x:c r="K598" s="10" t="n">
        <x:v>70</x:v>
      </x:c>
      <x:c r="L598" s="10"/>
      <x:c r="M598" s="10" t="str">
        <x:f>IF(COUNT(L598,K598)=2,L598-K598,"")</x:f>
      </x:c>
      <x:c r="N598" s="10" t="n">
        <x:v>19</x:v>
      </x:c>
      <x:c r="O598" s="10"/>
      <x:c r="P598" s="10" t="str">
        <x:f>IF(COUNT(O598,N598)=2,O598-N598,"")</x:f>
      </x:c>
      <x:c r="Q598" s="10" t="n">
        <x:v>20</x:v>
      </x:c>
      <x:c r="R598" s="10"/>
      <x:c r="S598" s="10" t="str">
        <x:f>IF(COUNT(R598,Q598)=2,R598-Q598,"")</x:f>
      </x:c>
      <x:c r="T598" s="10" t="n">
        <x:v>0</x:v>
      </x:c>
      <x:c r="U598" s="10"/>
      <x:c r="V598" s="10" t="str">
        <x:f>IF(COUNT(U598,T598)=2,U598-T598,"")</x:f>
      </x:c>
      <x:c r="W598" s="10" t="n">
        <x:v>8</x:v>
      </x:c>
      <x:c r="X598" s="10" t="str">
        <x:f>IF(COUNT(AV598,AW598)=2,AV598+AW598,"")</x:f>
      </x:c>
      <x:c r="Y598" s="10" t="str">
        <x:f>IF(COUNT(X598,W598)=2,X598-W598,"")</x:f>
      </x:c>
      <x:c r="Z598" s="10" t="n">
        <x:v>0</x:v>
      </x:c>
      <x:c r="AA598" s="10" t="str">
        <x:f>IF(COUNT(AX598,AY598)=2,AX598+AY598,"")</x:f>
      </x:c>
      <x:c r="AB598" s="10" t="str">
        <x:f>IF(COUNT(AA598,Z598)=2,AA598-Z598,"")</x:f>
      </x:c>
      <x:c r="AC598" s="10" t="n">
        <x:v>159</x:v>
      </x:c>
      <x:c r="AD598" s="10"/>
      <x:c r="AE598" s="10" t="str">
        <x:f>IF(COUNT(AD598,AC598)=2,AD598-AC598,"")</x:f>
      </x:c>
      <x:c r="AF598" s="10" t="n">
        <x:v>27</x:v>
      </x:c>
      <x:c r="AG598" s="10"/>
      <x:c r="AH598" s="10" t="str">
        <x:f>IF(COUNT(AG598,AF598)=2,AG598-AF598,"")</x:f>
      </x:c>
      <x:c r="AI598" s="10" t="n">
        <x:v>24</x:v>
      </x:c>
      <x:c r="AJ598" s="10"/>
      <x:c r="AK598" s="10" t="str">
        <x:f>IF(COUNT(AJ598,AI598)=2,AJ598-AI598,"")</x:f>
      </x:c>
      <x:c r="AL598" s="10" t="n">
        <x:v>26</x:v>
      </x:c>
      <x:c r="AM598" s="10"/>
      <x:c r="AN598" s="4" t="str">
        <x:v>C</x:v>
      </x:c>
      <x:c r="AO598" s="4"/>
      <x:c r="AP598" s="4" t="str">
        <x:v>VAN</x:v>
      </x:c>
      <x:c r="AQ598" s="4"/>
      <x:c r="AR598" s="4" t="n">
        <x:v>15.069999999999999</x:v>
      </x:c>
      <x:c r="AS598" s="4"/>
      <x:c r="AT598" s="4" t="n">
        <x:v>1.52</x:v>
      </x:c>
      <x:c r="AU598" s="4"/>
      <x:c r="AV598" s="10"/>
      <x:c r="AW598" s="10"/>
      <x:c r="AX598" s="10"/>
      <x:c r="AY598" s="10"/>
      <x:c r="AZ598" s="10" t="n">
        <x:v>165</x:v>
      </x:c>
      <x:c r="BA598" s="10" t="n">
        <x:v>173</x:v>
      </x:c>
      <x:c r="BB598" s="4" t="n">
        <x:v>48.8</x:v>
      </x:c>
      <x:c r="BC598" s="4" t="n">
        <x:v>7</x:v>
      </x:c>
      <x:c r="BD598" s="10" t="n">
        <x:v>123</x:v>
      </x:c>
      <x:c r="BE598" s="10" t="n">
        <x:v>134</x:v>
      </x:c>
      <x:c r="BF598" s="4" t="n">
        <x:v>47.9</x:v>
      </x:c>
      <x:c r="BG598" s="4" t="n">
        <x:v>5</x:v>
      </x:c>
      <x:c r="BH598" s="4" t="n">
        <x:v>6.3</x:v>
      </x:c>
      <x:c r="BI598" s="4" t="n">
        <x:v>85.9</x:v>
      </x:c>
      <x:c r="BJ598" s="4" t="n">
        <x:v>92.2</x:v>
      </x:c>
      <x:c r="BK598" s="4" t="n">
        <x:v>60.9</x:v>
      </x:c>
      <x:c r="BL598" s="4" t="n">
        <x:v>39.1</x:v>
      </x:c>
      <x:c r="BM598" s="4" t="n">
        <x:v>15</x:v>
      </x:c>
      <x:c r="BN598" s="4" t="n">
        <x:v>13.766666666666667</x:v>
      </x:c>
      <x:c r="BO598" s="10" t="n">
        <x:v>4</x:v>
      </x:c>
      <x:c r="BP598" s="10" t="n">
        <x:v>12</x:v>
      </x:c>
      <x:c r="BQ598" s="4" t="n">
        <x:v>-0.8</x:v>
      </x:c>
      <x:c r="BR598" s="10" t="n">
        <x:v>40</x:v>
      </x:c>
      <x:c r="BS598" s="4" t="n">
        <x:v>60</x:v>
      </x:c>
      <x:c r="BT598" s="10" t="n">
        <x:v>12</x:v>
      </x:c>
      <x:c r="BU598" s="4" t="str">
        <x:v>VAN</x:v>
      </x:c>
      <x:c r="BV598" s="10" t="n">
        <x:v>265</x:v>
      </x:c>
      <x:c r="BW598" s="10"/>
      <x:c r="BX598" s="10" t="n">
        <x:v>157</x:v>
      </x:c>
      <x:c r="BY598" s="4" t="str">
        <x:v>Filip Chytil</x:v>
      </x:c>
      <x:c r="BZ598" s="4"/>
      <x:c r="CA598" s="4" t="str">
        <x:v>Filip Chytil</x:v>
      </x:c>
      <x:c r="CB598" s="4" t="str">
        <x:v>chytifi01</x:v>
      </x:c>
    </x:row>
    <x:row r="599" ht="22" customHeight="1">
      <x:c r="A599" s="4" t="str">
        <x:v>Filip Hallander</x:v>
      </x:c>
      <x:c r="B599" s="4" t="str">
        <x:v>filiphallander</x:v>
      </x:c>
      <x:c r="C599" s="10" t="n">
        <x:v>0</x:v>
      </x:c>
      <x:c r="D599" s="10" t="n">
        <x:v>0</x:v>
      </x:c>
      <x:c r="E599" s="10" t="n">
        <x:v>1</x:v>
      </x:c>
      <x:c r="F599" s="4" t="str">
        <x:f>IF(COUNT(N599,Q599,T599,W599,Z599,AC599,AF599,AI599)=8,N599*Guide!$E$5+Q599*Guide!$E$6+T599*Guide!$E$7+W599*Guide!$E$8+Z599*Guide!$E$9+AC599*Guide!$E$10+AF599*Guide!$E$11+AI599*Guide!$E$12,"")</x:f>
      </x:c>
      <x:c r="G599" s="4" t="str">
        <x:f>IF(COUNT(O599,R599,U599,X599,AA599,AD599,AG599,AJ599)=8,O599*Guide!$E$5+R599*Guide!$E$6+U599*Guide!$E$7+X599*Guide!$E$8+AA599*Guide!$E$9+AD599*Guide!$E$10+AG599*Guide!$E$11+AJ599*Guide!$E$12,"")</x:f>
      </x:c>
      <x:c r="H599" s="4" t="str">
        <x:f>IF(COUNT(G599,F599)=2,G599-F599,"")</x:f>
      </x:c>
      <x:c r="I599" s="4" t="str">
        <x:f>IF(AND(ISNUMBER(F599),K599&gt;0),F599/K599,"")</x:f>
      </x:c>
      <x:c r="J599" s="4" t="str">
        <x:f>IF(AND(ISNUMBER(G599),L599&gt;0),G599/L599,"")</x:f>
      </x:c>
      <x:c r="K599" s="10"/>
      <x:c r="L599" s="10"/>
      <x:c r="M599" s="10" t="str">
        <x:f>IF(COUNT(L599,K599)=2,L599-K599,"")</x:f>
      </x:c>
      <x:c r="N599" s="10"/>
      <x:c r="O599" s="10"/>
      <x:c r="P599" s="10" t="str">
        <x:f>IF(COUNT(O599,N599)=2,O599-N599,"")</x:f>
      </x:c>
      <x:c r="Q599" s="10"/>
      <x:c r="R599" s="10"/>
      <x:c r="S599" s="10" t="str">
        <x:f>IF(COUNT(R599,Q599)=2,R599-Q599,"")</x:f>
      </x:c>
      <x:c r="T599" s="10"/>
      <x:c r="U599" s="10"/>
      <x:c r="V599" s="10" t="str">
        <x:f>IF(COUNT(U599,T599)=2,U599-T599,"")</x:f>
      </x:c>
      <x:c r="W599" s="10"/>
      <x:c r="X599" s="10" t="str">
        <x:f>IF(COUNT(AV599,AW599)=2,AV599+AW599,"")</x:f>
      </x:c>
      <x:c r="Y599" s="10" t="str">
        <x:f>IF(COUNT(X599,W599)=2,X599-W599,"")</x:f>
      </x:c>
      <x:c r="Z599" s="10"/>
      <x:c r="AA599" s="10" t="str">
        <x:f>IF(COUNT(AX599,AY599)=2,AX599+AY599,"")</x:f>
      </x:c>
      <x:c r="AB599" s="10" t="str">
        <x:f>IF(COUNT(AA599,Z599)=2,AA599-Z599,"")</x:f>
      </x:c>
      <x:c r="AC599" s="10"/>
      <x:c r="AD599" s="10"/>
      <x:c r="AE599" s="10" t="str">
        <x:f>IF(COUNT(AD599,AC599)=2,AD599-AC599,"")</x:f>
      </x:c>
      <x:c r="AF599" s="10"/>
      <x:c r="AG599" s="10"/>
      <x:c r="AH599" s="10" t="str">
        <x:f>IF(COUNT(AG599,AF599)=2,AG599-AF599,"")</x:f>
      </x:c>
      <x:c r="AI599" s="10"/>
      <x:c r="AJ599" s="10"/>
      <x:c r="AK599" s="10" t="str">
        <x:f>IF(COUNT(AJ599,AI599)=2,AJ599-AI599,"")</x:f>
      </x:c>
      <x:c r="AL599" s="10"/>
      <x:c r="AM599" s="10"/>
      <x:c r="AN599" s="4"/>
      <x:c r="AO599" s="4"/>
      <x:c r="AP599" s="4"/>
      <x:c r="AQ599" s="4"/>
      <x:c r="AR599" s="4"/>
      <x:c r="AS599" s="4"/>
      <x:c r="AT599" s="4"/>
      <x:c r="AU599" s="4"/>
      <x:c r="AV599" s="10"/>
      <x:c r="AW599" s="10"/>
      <x:c r="AX599" s="10"/>
      <x:c r="AY599" s="10"/>
      <x:c r="AZ599" s="10" t="n">
        <x:v>157</x:v>
      </x:c>
      <x:c r="BA599" s="10" t="n">
        <x:v>173</x:v>
      </x:c>
      <x:c r="BB599" s="4" t="n">
        <x:v>47.6</x:v>
      </x:c>
      <x:c r="BC599" s="4" t="n">
        <x:v>1.8</x:v>
      </x:c>
      <x:c r="BD599" s="10" t="n">
        <x:v>103</x:v>
      </x:c>
      <x:c r="BE599" s="10" t="n">
        <x:v>123</x:v>
      </x:c>
      <x:c r="BF599" s="4" t="n">
        <x:v>45.6</x:v>
      </x:c>
      <x:c r="BG599" s="4" t="n">
        <x:v>-1.2</x:v>
      </x:c>
      <x:c r="BH599" s="4" t="n">
        <x:v>9.2</x:v>
      </x:c>
      <x:c r="BI599" s="4" t="n">
        <x:v>95.2</x:v>
      </x:c>
      <x:c r="BJ599" s="4" t="n">
        <x:v>104.4</x:v>
      </x:c>
      <x:c r="BK599" s="4" t="n">
        <x:v>48.8</x:v>
      </x:c>
      <x:c r="BL599" s="4" t="n">
        <x:v>51.2</x:v>
      </x:c>
      <x:c r="BM599" s="4" t="n">
        <x:v>13.15</x:v>
      </x:c>
      <x:c r="BN599" s="4" t="n">
        <x:v>11.85</x:v>
      </x:c>
      <x:c r="BO599" s="10" t="n">
        <x:v>2</x:v>
      </x:c>
      <x:c r="BP599" s="10" t="n">
        <x:v>12</x:v>
      </x:c>
      <x:c r="BQ599" s="4" t="n">
        <x:v>0.8</x:v>
      </x:c>
      <x:c r="BR599" s="10" t="n">
        <x:v>47</x:v>
      </x:c>
      <x:c r="BS599" s="4" t="n">
        <x:v>46.8</x:v>
      </x:c>
      <x:c r="BT599" s="10" t="n">
        <x:v>13</x:v>
      </x:c>
      <x:c r="BU599" s="4" t="str">
        <x:v>PIT</x:v>
      </x:c>
      <x:c r="BV599" s="10"/>
      <x:c r="BW599" s="10"/>
      <x:c r="BX599" s="10" t="n">
        <x:v>380</x:v>
      </x:c>
      <x:c r="BY599" s="4"/>
      <x:c r="BZ599" s="4"/>
      <x:c r="CA599" s="4" t="str">
        <x:v>Filip Hallander</x:v>
      </x:c>
      <x:c r="CB599" s="4" t="str">
        <x:v>hallafi01</x:v>
      </x:c>
    </x:row>
    <x:row r="600" ht="22" customHeight="1">
      <x:c r="A600" s="4" t="str">
        <x:v>Florian Xhekaj</x:v>
      </x:c>
      <x:c r="B600" s="4" t="str">
        <x:v>florianxhekaj</x:v>
      </x:c>
      <x:c r="C600" s="10" t="n">
        <x:v>0</x:v>
      </x:c>
      <x:c r="D600" s="10" t="n">
        <x:v>0</x:v>
      </x:c>
      <x:c r="E600" s="10" t="n">
        <x:v>1</x:v>
      </x:c>
      <x:c r="F600" s="4" t="str">
        <x:f>IF(COUNT(N600,Q600,T600,W600,Z600,AC600,AF600,AI600)=8,N600*Guide!$E$5+Q600*Guide!$E$6+T600*Guide!$E$7+W600*Guide!$E$8+Z600*Guide!$E$9+AC600*Guide!$E$10+AF600*Guide!$E$11+AI600*Guide!$E$12,"")</x:f>
      </x:c>
      <x:c r="G600" s="4" t="str">
        <x:f>IF(COUNT(O600,R600,U600,X600,AA600,AD600,AG600,AJ600)=8,O600*Guide!$E$5+R600*Guide!$E$6+U600*Guide!$E$7+X600*Guide!$E$8+AA600*Guide!$E$9+AD600*Guide!$E$10+AG600*Guide!$E$11+AJ600*Guide!$E$12,"")</x:f>
      </x:c>
      <x:c r="H600" s="4" t="str">
        <x:f>IF(COUNT(G600,F600)=2,G600-F600,"")</x:f>
      </x:c>
      <x:c r="I600" s="4" t="str">
        <x:f>IF(AND(ISNUMBER(F600),K600&gt;0),F600/K600,"")</x:f>
      </x:c>
      <x:c r="J600" s="4" t="str">
        <x:f>IF(AND(ISNUMBER(G600),L600&gt;0),G600/L600,"")</x:f>
      </x:c>
      <x:c r="K600" s="10"/>
      <x:c r="L600" s="10"/>
      <x:c r="M600" s="10" t="str">
        <x:f>IF(COUNT(L600,K600)=2,L600-K600,"")</x:f>
      </x:c>
      <x:c r="N600" s="10"/>
      <x:c r="O600" s="10"/>
      <x:c r="P600" s="10" t="str">
        <x:f>IF(COUNT(O600,N600)=2,O600-N600,"")</x:f>
      </x:c>
      <x:c r="Q600" s="10"/>
      <x:c r="R600" s="10"/>
      <x:c r="S600" s="10" t="str">
        <x:f>IF(COUNT(R600,Q600)=2,R600-Q600,"")</x:f>
      </x:c>
      <x:c r="T600" s="10"/>
      <x:c r="U600" s="10"/>
      <x:c r="V600" s="10" t="str">
        <x:f>IF(COUNT(U600,T600)=2,U600-T600,"")</x:f>
      </x:c>
      <x:c r="W600" s="10"/>
      <x:c r="X600" s="10" t="str">
        <x:f>IF(COUNT(AV600,AW600)=2,AV600+AW600,"")</x:f>
      </x:c>
      <x:c r="Y600" s="10" t="str">
        <x:f>IF(COUNT(X600,W600)=2,X600-W600,"")</x:f>
      </x:c>
      <x:c r="Z600" s="10"/>
      <x:c r="AA600" s="10" t="str">
        <x:f>IF(COUNT(AX600,AY600)=2,AX600+AY600,"")</x:f>
      </x:c>
      <x:c r="AB600" s="10" t="str">
        <x:f>IF(COUNT(AA600,Z600)=2,AA600-Z600,"")</x:f>
      </x:c>
      <x:c r="AC600" s="10"/>
      <x:c r="AD600" s="10"/>
      <x:c r="AE600" s="10" t="str">
        <x:f>IF(COUNT(AD600,AC600)=2,AD600-AC600,"")</x:f>
      </x:c>
      <x:c r="AF600" s="10"/>
      <x:c r="AG600" s="10"/>
      <x:c r="AH600" s="10" t="str">
        <x:f>IF(COUNT(AG600,AF600)=2,AG600-AF600,"")</x:f>
      </x:c>
      <x:c r="AI600" s="10"/>
      <x:c r="AJ600" s="10"/>
      <x:c r="AK600" s="10" t="str">
        <x:f>IF(COUNT(AJ600,AI600)=2,AJ600-AI600,"")</x:f>
      </x:c>
      <x:c r="AL600" s="10"/>
      <x:c r="AM600" s="10"/>
      <x:c r="AN600" s="4"/>
      <x:c r="AO600" s="4"/>
      <x:c r="AP600" s="4"/>
      <x:c r="AQ600" s="4"/>
      <x:c r="AR600" s="4"/>
      <x:c r="AS600" s="4"/>
      <x:c r="AT600" s="4"/>
      <x:c r="AU600" s="4"/>
      <x:c r="AV600" s="10"/>
      <x:c r="AW600" s="10"/>
      <x:c r="AX600" s="10"/>
      <x:c r="AY600" s="10"/>
      <x:c r="AZ600" s="10" t="n">
        <x:v>29</x:v>
      </x:c>
      <x:c r="BA600" s="10" t="n">
        <x:v>47</x:v>
      </x:c>
      <x:c r="BB600" s="4" t="n">
        <x:v>38.2</x:v>
      </x:c>
      <x:c r="BC600" s="4" t="n">
        <x:v>-3.7</x:v>
      </x:c>
      <x:c r="BD600" s="10" t="n">
        <x:v>18</x:v>
      </x:c>
      <x:c r="BE600" s="10" t="n">
        <x:v>31</x:v>
      </x:c>
      <x:c r="BF600" s="4" t="n">
        <x:v>36.7</x:v>
      </x:c>
      <x:c r="BG600" s="4" t="n">
        <x:v>-4.7</x:v>
      </x:c>
      <x:c r="BH600" s="4" t="n">
        <x:v>7.7</x:v>
      </x:c>
      <x:c r="BI600" s="4" t="n">
        <x:v>89.5</x:v>
      </x:c>
      <x:c r="BJ600" s="4" t="n">
        <x:v>97.2</x:v>
      </x:c>
      <x:c r="BK600" s="4" t="n">
        <x:v>43.5</x:v>
      </x:c>
      <x:c r="BL600" s="4" t="n">
        <x:v>56.5</x:v>
      </x:c>
      <x:c r="BM600" s="4" t="n">
        <x:v>9.6</x:v>
      </x:c>
      <x:c r="BN600" s="4" t="n">
        <x:v>9.583333333333334</x:v>
      </x:c>
      <x:c r="BO600" s="10" t="n">
        <x:v>0</x:v>
      </x:c>
      <x:c r="BP600" s="10" t="n">
        <x:v>4</x:v>
      </x:c>
      <x:c r="BQ600" s="4" t="n">
        <x:v>-1.1</x:v>
      </x:c>
      <x:c r="BR600" s="10" t="n">
        <x:v>8</x:v>
      </x:c>
      <x:c r="BS600" s="4" t="n">
        <x:v>50</x:v>
      </x:c>
      <x:c r="BT600" s="10" t="n">
        <x:v>5</x:v>
      </x:c>
      <x:c r="BU600" s="4" t="str">
        <x:v>MTL</x:v>
      </x:c>
      <x:c r="BV600" s="10"/>
      <x:c r="BW600" s="10"/>
      <x:c r="BX600" s="10" t="n">
        <x:v>1087</x:v>
      </x:c>
      <x:c r="BY600" s="4"/>
      <x:c r="BZ600" s="4"/>
      <x:c r="CA600" s="4" t="str">
        <x:v>Florian Xhekaj</x:v>
      </x:c>
      <x:c r="CB600" s="4" t="str">
        <x:v>xhekafl01</x:v>
      </x:c>
    </x:row>
    <x:row r="601" ht="22" customHeight="1">
      <x:c r="A601" s="4" t="str">
        <x:v>Frank Vatrano</x:v>
      </x:c>
      <x:c r="B601" s="4" t="str">
        <x:v>frankvatrano</x:v>
      </x:c>
      <x:c r="C601" s="10" t="n">
        <x:v>1</x:v>
      </x:c>
      <x:c r="D601" s="10" t="n">
        <x:v>0</x:v>
      </x:c>
      <x:c r="E601" s="10" t="n">
        <x:v>1</x:v>
      </x:c>
      <x:c r="F601" s="4" t="n">
        <x:f>IF(COUNT(N601,Q601,T601,W601,Z601,AC601,AF601,AI601)=8,N601*Guide!$E$5+Q601*Guide!$E$6+T601*Guide!$E$7+W601*Guide!$E$8+Z601*Guide!$E$9+AC601*Guide!$E$10+AF601*Guide!$E$11+AI601*Guide!$E$12,"")</x:f>
        <x:v>323.75</x:v>
      </x:c>
      <x:c r="G601" s="4" t="str">
        <x:f>IF(COUNT(O601,R601,U601,X601,AA601,AD601,AG601,AJ601)=8,O601*Guide!$E$5+R601*Guide!$E$6+U601*Guide!$E$7+X601*Guide!$E$8+AA601*Guide!$E$9+AD601*Guide!$E$10+AG601*Guide!$E$11+AJ601*Guide!$E$12,"")</x:f>
      </x:c>
      <x:c r="H601" s="4" t="str">
        <x:f>IF(COUNT(G601,F601)=2,G601-F601,"")</x:f>
      </x:c>
      <x:c r="I601" s="4" t="n">
        <x:f>IF(AND(ISNUMBER(F601),K601&gt;0),F601/K601,"")</x:f>
        <x:v>4.046875</x:v>
      </x:c>
      <x:c r="J601" s="4" t="str">
        <x:f>IF(AND(ISNUMBER(G601),L601&gt;0),G601/L601,"")</x:f>
      </x:c>
      <x:c r="K601" s="10" t="n">
        <x:v>80</x:v>
      </x:c>
      <x:c r="L601" s="10"/>
      <x:c r="M601" s="10" t="str">
        <x:f>IF(COUNT(L601,K601)=2,L601-K601,"")</x:f>
      </x:c>
      <x:c r="N601" s="10" t="n">
        <x:v>25</x:v>
      </x:c>
      <x:c r="O601" s="10"/>
      <x:c r="P601" s="10" t="str">
        <x:f>IF(COUNT(O601,N601)=2,O601-N601,"")</x:f>
      </x:c>
      <x:c r="Q601" s="10" t="n">
        <x:v>26</x:v>
      </x:c>
      <x:c r="R601" s="10"/>
      <x:c r="S601" s="10" t="str">
        <x:f>IF(COUNT(R601,Q601)=2,R601-Q601,"")</x:f>
      </x:c>
      <x:c r="T601" s="10" t="n">
        <x:v>-14</x:v>
      </x:c>
      <x:c r="U601" s="10"/>
      <x:c r="V601" s="10" t="str">
        <x:f>IF(COUNT(U601,T601)=2,U601-T601,"")</x:f>
      </x:c>
      <x:c r="W601" s="10" t="n">
        <x:v>13</x:v>
      </x:c>
      <x:c r="X601" s="10" t="str">
        <x:f>IF(COUNT(AV601,AW601)=2,AV601+AW601,"")</x:f>
      </x:c>
      <x:c r="Y601" s="10" t="str">
        <x:f>IF(COUNT(X601,W601)=2,X601-W601,"")</x:f>
      </x:c>
      <x:c r="Z601" s="10" t="n">
        <x:v>1</x:v>
      </x:c>
      <x:c r="AA601" s="10" t="str">
        <x:f>IF(COUNT(AX601,AY601)=2,AX601+AY601,"")</x:f>
      </x:c>
      <x:c r="AB601" s="10" t="str">
        <x:f>IF(COUNT(AA601,Z601)=2,AA601-Z601,"")</x:f>
      </x:c>
      <x:c r="AC601" s="10" t="n">
        <x:v>216</x:v>
      </x:c>
      <x:c r="AD601" s="10"/>
      <x:c r="AE601" s="10" t="str">
        <x:f>IF(COUNT(AD601,AC601)=2,AD601-AC601,"")</x:f>
      </x:c>
      <x:c r="AF601" s="10" t="n">
        <x:v>149</x:v>
      </x:c>
      <x:c r="AG601" s="10"/>
      <x:c r="AH601" s="10" t="str">
        <x:f>IF(COUNT(AG601,AF601)=2,AG601-AF601,"")</x:f>
      </x:c>
      <x:c r="AI601" s="10" t="n">
        <x:v>70</x:v>
      </x:c>
      <x:c r="AJ601" s="10"/>
      <x:c r="AK601" s="10" t="str">
        <x:f>IF(COUNT(AJ601,AI601)=2,AJ601-AI601,"")</x:f>
      </x:c>
      <x:c r="AL601" s="10" t="n">
        <x:v>31</x:v>
      </x:c>
      <x:c r="AM601" s="10"/>
      <x:c r="AN601" s="4" t="str">
        <x:v>C,LW</x:v>
      </x:c>
      <x:c r="AO601" s="4"/>
      <x:c r="AP601" s="4" t="str">
        <x:v>ANA</x:v>
      </x:c>
      <x:c r="AQ601" s="4"/>
      <x:c r="AR601" s="4" t="n">
        <x:v>17.39</x:v>
      </x:c>
      <x:c r="AS601" s="4"/>
      <x:c r="AT601" s="4" t="n">
        <x:v>2.44</x:v>
      </x:c>
      <x:c r="AU601" s="4"/>
      <x:c r="AV601" s="10"/>
      <x:c r="AW601" s="10"/>
      <x:c r="AX601" s="10"/>
      <x:c r="AY601" s="10"/>
      <x:c r="AZ601" s="10" t="n">
        <x:v>506</x:v>
      </x:c>
      <x:c r="BA601" s="10" t="n">
        <x:v>546</x:v>
      </x:c>
      <x:c r="BB601" s="4" t="n">
        <x:v>48.1</x:v>
      </x:c>
      <x:c r="BC601" s="4" t="n">
        <x:v>-5</x:v>
      </x:c>
      <x:c r="BD601" s="10" t="n">
        <x:v>361</x:v>
      </x:c>
      <x:c r="BE601" s="10" t="n">
        <x:v>400</x:v>
      </x:c>
      <x:c r="BF601" s="4" t="n">
        <x:v>47.4</x:v>
      </x:c>
      <x:c r="BG601" s="4" t="n">
        <x:v>-5.7</x:v>
      </x:c>
      <x:c r="BH601" s="4" t="n">
        <x:v>6.6</x:v>
      </x:c>
      <x:c r="BI601" s="4" t="n">
        <x:v>87.9</x:v>
      </x:c>
      <x:c r="BJ601" s="4" t="n">
        <x:v>94.5</x:v>
      </x:c>
      <x:c r="BK601" s="4" t="n">
        <x:v>44.9</x:v>
      </x:c>
      <x:c r="BL601" s="4" t="n">
        <x:v>55.1</x:v>
      </x:c>
      <x:c r="BM601" s="4" t="n">
        <x:v>11.816666666666666</x:v>
      </x:c>
      <x:c r="BN601" s="4" t="n">
        <x:v>10.266666666666667</x:v>
      </x:c>
      <x:c r="BO601" s="10" t="n">
        <x:v>6</x:v>
      </x:c>
      <x:c r="BP601" s="10" t="n">
        <x:v>17</x:v>
      </x:c>
      <x:c r="BQ601" s="4" t="n">
        <x:v>-7.2</x:v>
      </x:c>
      <x:c r="BR601" s="10" t="n">
        <x:v>148</x:v>
      </x:c>
      <x:c r="BS601" s="4" t="n">
        <x:v>53.4</x:v>
      </x:c>
      <x:c r="BT601" s="10" t="n">
        <x:v>50</x:v>
      </x:c>
      <x:c r="BU601" s="4" t="str">
        <x:v>ANA</x:v>
      </x:c>
      <x:c r="BV601" s="10" t="n">
        <x:v>143</x:v>
      </x:c>
      <x:c r="BW601" s="10"/>
      <x:c r="BX601" s="10" t="n">
        <x:v>1047</x:v>
      </x:c>
      <x:c r="BY601" s="4" t="str">
        <x:v>Frank Vatrano</x:v>
      </x:c>
      <x:c r="BZ601" s="4"/>
      <x:c r="CA601" s="4" t="str">
        <x:v>Frank Vatrano</x:v>
      </x:c>
      <x:c r="CB601" s="4" t="str">
        <x:v>vatrafr01</x:v>
      </x:c>
    </x:row>
    <x:row r="602" ht="22" customHeight="1">
      <x:c r="A602" s="4" t="str">
        <x:v>Garnet Hathaway</x:v>
      </x:c>
      <x:c r="B602" s="4" t="str">
        <x:v>garnethathaway</x:v>
      </x:c>
      <x:c r="C602" s="10" t="n">
        <x:v>1</x:v>
      </x:c>
      <x:c r="D602" s="10" t="n">
        <x:v>0</x:v>
      </x:c>
      <x:c r="E602" s="10" t="n">
        <x:v>1</x:v>
      </x:c>
      <x:c r="F602" s="4" t="n">
        <x:f>IF(COUNT(N602,Q602,T602,W602,Z602,AC602,AF602,AI602)=8,N602*Guide!$E$5+Q602*Guide!$E$6+T602*Guide!$E$7+W602*Guide!$E$8+Z602*Guide!$E$9+AC602*Guide!$E$10+AF602*Guide!$E$11+AI602*Guide!$E$12,"")</x:f>
        <x:v>222.75</x:v>
      </x:c>
      <x:c r="G602" s="4" t="str">
        <x:f>IF(COUNT(O602,R602,U602,X602,AA602,AD602,AG602,AJ602)=8,O602*Guide!$E$5+R602*Guide!$E$6+U602*Guide!$E$7+X602*Guide!$E$8+AA602*Guide!$E$9+AD602*Guide!$E$10+AG602*Guide!$E$11+AJ602*Guide!$E$12,"")</x:f>
      </x:c>
      <x:c r="H602" s="4" t="str">
        <x:f>IF(COUNT(G602,F602)=2,G602-F602,"")</x:f>
      </x:c>
      <x:c r="I602" s="4" t="n">
        <x:f>IF(AND(ISNUMBER(F602),K602&gt;0),F602/K602,"")</x:f>
        <x:v>2.784375</x:v>
      </x:c>
      <x:c r="J602" s="4" t="str">
        <x:f>IF(AND(ISNUMBER(G602),L602&gt;0),G602/L602,"")</x:f>
      </x:c>
      <x:c r="K602" s="10" t="n">
        <x:v>80</x:v>
      </x:c>
      <x:c r="L602" s="10"/>
      <x:c r="M602" s="10" t="str">
        <x:f>IF(COUNT(L602,K602)=2,L602-K602,"")</x:f>
      </x:c>
      <x:c r="N602" s="10" t="n">
        <x:v>10</x:v>
      </x:c>
      <x:c r="O602" s="10"/>
      <x:c r="P602" s="10" t="str">
        <x:f>IF(COUNT(O602,N602)=2,O602-N602,"")</x:f>
      </x:c>
      <x:c r="Q602" s="10" t="n">
        <x:v>10</x:v>
      </x:c>
      <x:c r="R602" s="10"/>
      <x:c r="S602" s="10" t="str">
        <x:f>IF(COUNT(R602,Q602)=2,R602-Q602,"")</x:f>
      </x:c>
      <x:c r="T602" s="10" t="n">
        <x:v>3</x:v>
      </x:c>
      <x:c r="U602" s="10"/>
      <x:c r="V602" s="10" t="str">
        <x:f>IF(COUNT(U602,T602)=2,U602-T602,"")</x:f>
      </x:c>
      <x:c r="W602" s="10" t="n">
        <x:v>0</x:v>
      </x:c>
      <x:c r="X602" s="10" t="str">
        <x:f>IF(COUNT(AV602,AW602)=2,AV602+AW602,"")</x:f>
      </x:c>
      <x:c r="Y602" s="10" t="str">
        <x:f>IF(COUNT(X602,W602)=2,X602-W602,"")</x:f>
      </x:c>
      <x:c r="Z602" s="10" t="n">
        <x:v>2</x:v>
      </x:c>
      <x:c r="AA602" s="10" t="str">
        <x:f>IF(COUNT(AX602,AY602)=2,AX602+AY602,"")</x:f>
      </x:c>
      <x:c r="AB602" s="10" t="str">
        <x:f>IF(COUNT(AA602,Z602)=2,AA602-Z602,"")</x:f>
      </x:c>
      <x:c r="AC602" s="10" t="n">
        <x:v>86</x:v>
      </x:c>
      <x:c r="AD602" s="10"/>
      <x:c r="AE602" s="10" t="str">
        <x:f>IF(COUNT(AD602,AC602)=2,AD602-AC602,"")</x:f>
      </x:c>
      <x:c r="AF602" s="10" t="n">
        <x:v>285</x:v>
      </x:c>
      <x:c r="AG602" s="10"/>
      <x:c r="AH602" s="10" t="str">
        <x:f>IF(COUNT(AG602,AF602)=2,AG602-AF602,"")</x:f>
      </x:c>
      <x:c r="AI602" s="10" t="n">
        <x:v>68</x:v>
      </x:c>
      <x:c r="AJ602" s="10"/>
      <x:c r="AK602" s="10" t="str">
        <x:f>IF(COUNT(AJ602,AI602)=2,AJ602-AI602,"")</x:f>
      </x:c>
      <x:c r="AL602" s="10" t="n">
        <x:v>34</x:v>
      </x:c>
      <x:c r="AM602" s="10"/>
      <x:c r="AN602" s="4" t="str">
        <x:v>RW</x:v>
      </x:c>
      <x:c r="AO602" s="4"/>
      <x:c r="AP602" s="4" t="str">
        <x:v>PHI</x:v>
      </x:c>
      <x:c r="AQ602" s="4"/>
      <x:c r="AR602" s="4" t="n">
        <x:v>11.66</x:v>
      </x:c>
      <x:c r="AS602" s="4"/>
      <x:c r="AT602" s="4" t="n">
        <x:v>0.13</x:v>
      </x:c>
      <x:c r="AU602" s="4"/>
      <x:c r="AV602" s="10"/>
      <x:c r="AW602" s="10"/>
      <x:c r="AX602" s="10"/>
      <x:c r="AY602" s="10"/>
      <x:c r="AZ602" s="10" t="n">
        <x:v>436</x:v>
      </x:c>
      <x:c r="BA602" s="10" t="n">
        <x:v>528</x:v>
      </x:c>
      <x:c r="BB602" s="4" t="n">
        <x:v>45.2</x:v>
      </x:c>
      <x:c r="BC602" s="4" t="n">
        <x:v>-2.9</x:v>
      </x:c>
      <x:c r="BD602" s="10" t="n">
        <x:v>305</x:v>
      </x:c>
      <x:c r="BE602" s="10" t="n">
        <x:v>346</x:v>
      </x:c>
      <x:c r="BF602" s="4" t="n">
        <x:v>46.9</x:v>
      </x:c>
      <x:c r="BG602" s="4" t="n">
        <x:v>-1.6</x:v>
      </x:c>
      <x:c r="BH602" s="4" t="n">
        <x:v>7</x:v>
      </x:c>
      <x:c r="BI602" s="4" t="n">
        <x:v>90.5</x:v>
      </x:c>
      <x:c r="BJ602" s="4" t="n">
        <x:v>97.6</x:v>
      </x:c>
      <x:c r="BK602" s="4" t="n">
        <x:v>39.7</x:v>
      </x:c>
      <x:c r="BL602" s="4" t="n">
        <x:v>60.3</x:v>
      </x:c>
      <x:c r="BM602" s="4" t="n">
        <x:v>10.4</x:v>
      </x:c>
      <x:c r="BN602" s="4" t="n">
        <x:v>9.216666666666667</x:v>
      </x:c>
      <x:c r="BO602" s="10" t="n">
        <x:v>9</x:v>
      </x:c>
      <x:c r="BP602" s="10" t="n">
        <x:v>35</x:v>
      </x:c>
      <x:c r="BQ602" s="4" t="n">
        <x:v>0.3</x:v>
      </x:c>
      <x:c r="BR602" s="10" t="n">
        <x:v>73</x:v>
      </x:c>
      <x:c r="BS602" s="4" t="n">
        <x:v>46.6</x:v>
      </x:c>
      <x:c r="BT602" s="10" t="n">
        <x:v>66</x:v>
      </x:c>
      <x:c r="BU602" s="4" t="str">
        <x:v>PHI</x:v>
      </x:c>
      <x:c r="BV602" s="10" t="n">
        <x:v>513</x:v>
      </x:c>
      <x:c r="BW602" s="10"/>
      <x:c r="BX602" s="10" t="n">
        <x:v>393</x:v>
      </x:c>
      <x:c r="BY602" s="4" t="str">
        <x:v>Garnet Hathaway</x:v>
      </x:c>
      <x:c r="BZ602" s="4"/>
      <x:c r="CA602" s="4" t="str">
        <x:v>Garnet Hathaway</x:v>
      </x:c>
      <x:c r="CB602" s="4" t="str">
        <x:v>hathaga01</x:v>
      </x:c>
    </x:row>
    <x:row r="603" ht="22" customHeight="1">
      <x:c r="A603" s="4" t="str">
        <x:v>Garrett Wilson</x:v>
      </x:c>
      <x:c r="B603" s="4" t="str">
        <x:v>garrettwilson</x:v>
      </x:c>
      <x:c r="C603" s="10" t="n">
        <x:v>0</x:v>
      </x:c>
      <x:c r="D603" s="10" t="n">
        <x:v>0</x:v>
      </x:c>
      <x:c r="E603" s="10" t="n">
        <x:v>1</x:v>
      </x:c>
      <x:c r="F603" s="4" t="str">
        <x:f>IF(COUNT(N603,Q603,T603,W603,Z603,AC603,AF603,AI603)=8,N603*Guide!$E$5+Q603*Guide!$E$6+T603*Guide!$E$7+W603*Guide!$E$8+Z603*Guide!$E$9+AC603*Guide!$E$10+AF603*Guide!$E$11+AI603*Guide!$E$12,"")</x:f>
      </x:c>
      <x:c r="G603" s="4" t="str">
        <x:f>IF(COUNT(O603,R603,U603,X603,AA603,AD603,AG603,AJ603)=8,O603*Guide!$E$5+R603*Guide!$E$6+U603*Guide!$E$7+X603*Guide!$E$8+AA603*Guide!$E$9+AD603*Guide!$E$10+AG603*Guide!$E$11+AJ603*Guide!$E$12,"")</x:f>
      </x:c>
      <x:c r="H603" s="4" t="str">
        <x:f>IF(COUNT(G603,F603)=2,G603-F603,"")</x:f>
      </x:c>
      <x:c r="I603" s="4" t="str">
        <x:f>IF(AND(ISNUMBER(F603),K603&gt;0),F603/K603,"")</x:f>
      </x:c>
      <x:c r="J603" s="4" t="str">
        <x:f>IF(AND(ISNUMBER(G603),L603&gt;0),G603/L603,"")</x:f>
      </x:c>
      <x:c r="K603" s="10"/>
      <x:c r="L603" s="10"/>
      <x:c r="M603" s="10" t="str">
        <x:f>IF(COUNT(L603,K603)=2,L603-K603,"")</x:f>
      </x:c>
      <x:c r="N603" s="10"/>
      <x:c r="O603" s="10"/>
      <x:c r="P603" s="10" t="str">
        <x:f>IF(COUNT(O603,N603)=2,O603-N603,"")</x:f>
      </x:c>
      <x:c r="Q603" s="10"/>
      <x:c r="R603" s="10"/>
      <x:c r="S603" s="10" t="str">
        <x:f>IF(COUNT(R603,Q603)=2,R603-Q603,"")</x:f>
      </x:c>
      <x:c r="T603" s="10"/>
      <x:c r="U603" s="10"/>
      <x:c r="V603" s="10" t="str">
        <x:f>IF(COUNT(U603,T603)=2,U603-T603,"")</x:f>
      </x:c>
      <x:c r="W603" s="10"/>
      <x:c r="X603" s="10" t="str">
        <x:f>IF(COUNT(AV603,AW603)=2,AV603+AW603,"")</x:f>
      </x:c>
      <x:c r="Y603" s="10" t="str">
        <x:f>IF(COUNT(X603,W603)=2,X603-W603,"")</x:f>
      </x:c>
      <x:c r="Z603" s="10"/>
      <x:c r="AA603" s="10" t="str">
        <x:f>IF(COUNT(AX603,AY603)=2,AX603+AY603,"")</x:f>
      </x:c>
      <x:c r="AB603" s="10" t="str">
        <x:f>IF(COUNT(AA603,Z603)=2,AA603-Z603,"")</x:f>
      </x:c>
      <x:c r="AC603" s="10"/>
      <x:c r="AD603" s="10"/>
      <x:c r="AE603" s="10" t="str">
        <x:f>IF(COUNT(AD603,AC603)=2,AD603-AC603,"")</x:f>
      </x:c>
      <x:c r="AF603" s="10"/>
      <x:c r="AG603" s="10"/>
      <x:c r="AH603" s="10" t="str">
        <x:f>IF(COUNT(AG603,AF603)=2,AG603-AF603,"")</x:f>
      </x:c>
      <x:c r="AI603" s="10"/>
      <x:c r="AJ603" s="10"/>
      <x:c r="AK603" s="10" t="str">
        <x:f>IF(COUNT(AJ603,AI603)=2,AJ603-AI603,"")</x:f>
      </x:c>
      <x:c r="AL603" s="10"/>
      <x:c r="AM603" s="10"/>
      <x:c r="AN603" s="4"/>
      <x:c r="AO603" s="4"/>
      <x:c r="AP603" s="4"/>
      <x:c r="AQ603" s="4"/>
      <x:c r="AR603" s="4"/>
      <x:c r="AS603" s="4"/>
      <x:c r="AT603" s="4"/>
      <x:c r="AU603" s="4"/>
      <x:c r="AV603" s="10"/>
      <x:c r="AW603" s="10"/>
      <x:c r="AX603" s="10"/>
      <x:c r="AY603" s="10"/>
      <x:c r="AZ603" s="10" t="n">
        <x:v>13</x:v>
      </x:c>
      <x:c r="BA603" s="10" t="n">
        <x:v>24</x:v>
      </x:c>
      <x:c r="BB603" s="4" t="n">
        <x:v>35.1</x:v>
      </x:c>
      <x:c r="BC603" s="4" t="n">
        <x:v>-9.8</x:v>
      </x:c>
      <x:c r="BD603" s="10" t="n">
        <x:v>10</x:v>
      </x:c>
      <x:c r="BE603" s="10" t="n">
        <x:v>18</x:v>
      </x:c>
      <x:c r="BF603" s="4" t="n">
        <x:v>35.7</x:v>
      </x:c>
      <x:c r="BG603" s="4" t="n">
        <x:v>-10.4</x:v>
      </x:c>
      <x:c r="BH603" s="4" t="n">
        <x:v>12.5</x:v>
      </x:c>
      <x:c r="BI603" s="4" t="n">
        <x:v>91.7</x:v>
      </x:c>
      <x:c r="BJ603" s="4" t="n">
        <x:v>104.2</x:v>
      </x:c>
      <x:c r="BK603" s="4" t="n">
        <x:v>54.5</x:v>
      </x:c>
      <x:c r="BL603" s="4" t="n">
        <x:v>45.5</x:v>
      </x:c>
      <x:c r="BM603" s="4" t="n">
        <x:v>8.683333333333334</x:v>
      </x:c>
      <x:c r="BN603" s="4" t="n">
        <x:v>8.683333333333334</x:v>
      </x:c>
      <x:c r="BO603" s="10" t="n">
        <x:v>1</x:v>
      </x:c>
      <x:c r="BP603" s="10" t="n">
        <x:v>1</x:v>
      </x:c>
      <x:c r="BQ603" s="4" t="n">
        <x:v>0</x:v>
      </x:c>
      <x:c r="BR603" s="10" t="n">
        <x:v>3</x:v>
      </x:c>
      <x:c r="BS603" s="4" t="n">
        <x:v>100</x:v>
      </x:c>
      <x:c r="BT603" s="10" t="n">
        <x:v>3</x:v>
      </x:c>
      <x:c r="BU603" s="4" t="str">
        <x:v>PHI</x:v>
      </x:c>
      <x:c r="BV603" s="10"/>
      <x:c r="BW603" s="10"/>
      <x:c r="BX603" s="10" t="n">
        <x:v>1078</x:v>
      </x:c>
      <x:c r="BY603" s="4"/>
      <x:c r="BZ603" s="4"/>
      <x:c r="CA603" s="4" t="str">
        <x:v>Garrett Wilson</x:v>
      </x:c>
      <x:c r="CB603" s="4" t="str">
        <x:v>wilsoga01</x:v>
      </x:c>
    </x:row>
    <x:row r="604" ht="22" customHeight="1">
      <x:c r="A604" s="4" t="str">
        <x:v>Gavin Brindley</x:v>
      </x:c>
      <x:c r="B604" s="4" t="str">
        <x:v>gavinbrindley</x:v>
      </x:c>
      <x:c r="C604" s="10" t="n">
        <x:v>0</x:v>
      </x:c>
      <x:c r="D604" s="10" t="n">
        <x:v>0</x:v>
      </x:c>
      <x:c r="E604" s="10" t="n">
        <x:v>1</x:v>
      </x:c>
      <x:c r="F604" s="4" t="str">
        <x:f>IF(COUNT(N604,Q604,T604,W604,Z604,AC604,AF604,AI604)=8,N604*Guide!$E$5+Q604*Guide!$E$6+T604*Guide!$E$7+W604*Guide!$E$8+Z604*Guide!$E$9+AC604*Guide!$E$10+AF604*Guide!$E$11+AI604*Guide!$E$12,"")</x:f>
      </x:c>
      <x:c r="G604" s="4" t="str">
        <x:f>IF(COUNT(O604,R604,U604,X604,AA604,AD604,AG604,AJ604)=8,O604*Guide!$E$5+R604*Guide!$E$6+U604*Guide!$E$7+X604*Guide!$E$8+AA604*Guide!$E$9+AD604*Guide!$E$10+AG604*Guide!$E$11+AJ604*Guide!$E$12,"")</x:f>
      </x:c>
      <x:c r="H604" s="4" t="str">
        <x:f>IF(COUNT(G604,F604)=2,G604-F604,"")</x:f>
      </x:c>
      <x:c r="I604" s="4" t="str">
        <x:f>IF(AND(ISNUMBER(F604),K604&gt;0),F604/K604,"")</x:f>
      </x:c>
      <x:c r="J604" s="4" t="str">
        <x:f>IF(AND(ISNUMBER(G604),L604&gt;0),G604/L604,"")</x:f>
      </x:c>
      <x:c r="K604" s="10"/>
      <x:c r="L604" s="10"/>
      <x:c r="M604" s="10" t="str">
        <x:f>IF(COUNT(L604,K604)=2,L604-K604,"")</x:f>
      </x:c>
      <x:c r="N604" s="10"/>
      <x:c r="O604" s="10"/>
      <x:c r="P604" s="10" t="str">
        <x:f>IF(COUNT(O604,N604)=2,O604-N604,"")</x:f>
      </x:c>
      <x:c r="Q604" s="10"/>
      <x:c r="R604" s="10"/>
      <x:c r="S604" s="10" t="str">
        <x:f>IF(COUNT(R604,Q604)=2,R604-Q604,"")</x:f>
      </x:c>
      <x:c r="T604" s="10"/>
      <x:c r="U604" s="10"/>
      <x:c r="V604" s="10" t="str">
        <x:f>IF(COUNT(U604,T604)=2,U604-T604,"")</x:f>
      </x:c>
      <x:c r="W604" s="10"/>
      <x:c r="X604" s="10" t="str">
        <x:f>IF(COUNT(AV604,AW604)=2,AV604+AW604,"")</x:f>
      </x:c>
      <x:c r="Y604" s="10" t="str">
        <x:f>IF(COUNT(X604,W604)=2,X604-W604,"")</x:f>
      </x:c>
      <x:c r="Z604" s="10"/>
      <x:c r="AA604" s="10" t="str">
        <x:f>IF(COUNT(AX604,AY604)=2,AX604+AY604,"")</x:f>
      </x:c>
      <x:c r="AB604" s="10" t="str">
        <x:f>IF(COUNT(AA604,Z604)=2,AA604-Z604,"")</x:f>
      </x:c>
      <x:c r="AC604" s="10"/>
      <x:c r="AD604" s="10"/>
      <x:c r="AE604" s="10" t="str">
        <x:f>IF(COUNT(AD604,AC604)=2,AD604-AC604,"")</x:f>
      </x:c>
      <x:c r="AF604" s="10"/>
      <x:c r="AG604" s="10"/>
      <x:c r="AH604" s="10" t="str">
        <x:f>IF(COUNT(AG604,AF604)=2,AG604-AF604,"")</x:f>
      </x:c>
      <x:c r="AI604" s="10"/>
      <x:c r="AJ604" s="10"/>
      <x:c r="AK604" s="10" t="str">
        <x:f>IF(COUNT(AJ604,AI604)=2,AJ604-AI604,"")</x:f>
      </x:c>
      <x:c r="AL604" s="10"/>
      <x:c r="AM604" s="10"/>
      <x:c r="AN604" s="4"/>
      <x:c r="AO604" s="4"/>
      <x:c r="AP604" s="4"/>
      <x:c r="AQ604" s="4"/>
      <x:c r="AR604" s="4"/>
      <x:c r="AS604" s="4"/>
      <x:c r="AT604" s="4"/>
      <x:c r="AU604" s="4"/>
      <x:c r="AV604" s="10"/>
      <x:c r="AW604" s="10"/>
      <x:c r="AX604" s="10"/>
      <x:c r="AY604" s="10"/>
      <x:c r="AZ604" s="10" t="n">
        <x:v>491</x:v>
      </x:c>
      <x:c r="BA604" s="10" t="n">
        <x:v>421</x:v>
      </x:c>
      <x:c r="BB604" s="4" t="n">
        <x:v>53.8</x:v>
      </x:c>
      <x:c r="BC604" s="4" t="n">
        <x:v>-3.9</x:v>
      </x:c>
      <x:c r="BD604" s="10" t="n">
        <x:v>346</x:v>
      </x:c>
      <x:c r="BE604" s="10" t="n">
        <x:v>304</x:v>
      </x:c>
      <x:c r="BF604" s="4" t="n">
        <x:v>53.2</x:v>
      </x:c>
      <x:c r="BG604" s="4" t="n">
        <x:v>-3.3</x:v>
      </x:c>
      <x:c r="BH604" s="4" t="n">
        <x:v>10.5</x:v>
      </x:c>
      <x:c r="BI604" s="4" t="n">
        <x:v>89</x:v>
      </x:c>
      <x:c r="BJ604" s="4" t="n">
        <x:v>99.5</x:v>
      </x:c>
      <x:c r="BK604" s="4" t="n">
        <x:v>50.6</x:v>
      </x:c>
      <x:c r="BL604" s="4" t="n">
        <x:v>49.4</x:v>
      </x:c>
      <x:c r="BM604" s="4" t="n">
        <x:v>9.55</x:v>
      </x:c>
      <x:c r="BN604" s="4" t="n">
        <x:v>8.466666666666667</x:v>
      </x:c>
      <x:c r="BO604" s="10" t="n">
        <x:v>5</x:v>
      </x:c>
      <x:c r="BP604" s="10" t="n">
        <x:v>20</x:v>
      </x:c>
      <x:c r="BQ604" s="4" t="n">
        <x:v>2.2</x:v>
      </x:c>
      <x:c r="BR604" s="10" t="n">
        <x:v>109</x:v>
      </x:c>
      <x:c r="BS604" s="4" t="n">
        <x:v>56.9</x:v>
      </x:c>
      <x:c r="BT604" s="10" t="n">
        <x:v>56</x:v>
      </x:c>
      <x:c r="BU604" s="4" t="str">
        <x:v>COL</x:v>
      </x:c>
      <x:c r="BV604" s="10"/>
      <x:c r="BW604" s="10"/>
      <x:c r="BX604" s="10" t="n">
        <x:v>92</x:v>
      </x:c>
      <x:c r="BY604" s="4"/>
      <x:c r="BZ604" s="4"/>
      <x:c r="CA604" s="4" t="str">
        <x:v>Gavin Brindley</x:v>
      </x:c>
      <x:c r="CB604" s="4" t="str">
        <x:v>brindga01</x:v>
      </x:c>
    </x:row>
    <x:row r="605" ht="22" customHeight="1">
      <x:c r="A605" s="4" t="str">
        <x:v>Georgii Merkulov</x:v>
      </x:c>
      <x:c r="B605" s="4" t="str">
        <x:v>georgiimerkulov</x:v>
      </x:c>
      <x:c r="C605" s="10" t="n">
        <x:v>0</x:v>
      </x:c>
      <x:c r="D605" s="10" t="n">
        <x:v>0</x:v>
      </x:c>
      <x:c r="E605" s="10" t="n">
        <x:v>1</x:v>
      </x:c>
      <x:c r="F605" s="4" t="str">
        <x:f>IF(COUNT(N605,Q605,T605,W605,Z605,AC605,AF605,AI605)=8,N605*Guide!$E$5+Q605*Guide!$E$6+T605*Guide!$E$7+W605*Guide!$E$8+Z605*Guide!$E$9+AC605*Guide!$E$10+AF605*Guide!$E$11+AI605*Guide!$E$12,"")</x:f>
      </x:c>
      <x:c r="G605" s="4" t="str">
        <x:f>IF(COUNT(O605,R605,U605,X605,AA605,AD605,AG605,AJ605)=8,O605*Guide!$E$5+R605*Guide!$E$6+U605*Guide!$E$7+X605*Guide!$E$8+AA605*Guide!$E$9+AD605*Guide!$E$10+AG605*Guide!$E$11+AJ605*Guide!$E$12,"")</x:f>
      </x:c>
      <x:c r="H605" s="4" t="str">
        <x:f>IF(COUNT(G605,F605)=2,G605-F605,"")</x:f>
      </x:c>
      <x:c r="I605" s="4" t="str">
        <x:f>IF(AND(ISNUMBER(F605),K605&gt;0),F605/K605,"")</x:f>
      </x:c>
      <x:c r="J605" s="4" t="str">
        <x:f>IF(AND(ISNUMBER(G605),L605&gt;0),G605/L605,"")</x:f>
      </x:c>
      <x:c r="K605" s="10"/>
      <x:c r="L605" s="10"/>
      <x:c r="M605" s="10" t="str">
        <x:f>IF(COUNT(L605,K605)=2,L605-K605,"")</x:f>
      </x:c>
      <x:c r="N605" s="10"/>
      <x:c r="O605" s="10"/>
      <x:c r="P605" s="10" t="str">
        <x:f>IF(COUNT(O605,N605)=2,O605-N605,"")</x:f>
      </x:c>
      <x:c r="Q605" s="10"/>
      <x:c r="R605" s="10"/>
      <x:c r="S605" s="10" t="str">
        <x:f>IF(COUNT(R605,Q605)=2,R605-Q605,"")</x:f>
      </x:c>
      <x:c r="T605" s="10"/>
      <x:c r="U605" s="10"/>
      <x:c r="V605" s="10" t="str">
        <x:f>IF(COUNT(U605,T605)=2,U605-T605,"")</x:f>
      </x:c>
      <x:c r="W605" s="10"/>
      <x:c r="X605" s="10" t="str">
        <x:f>IF(COUNT(AV605,AW605)=2,AV605+AW605,"")</x:f>
      </x:c>
      <x:c r="Y605" s="10" t="str">
        <x:f>IF(COUNT(X605,W605)=2,X605-W605,"")</x:f>
      </x:c>
      <x:c r="Z605" s="10"/>
      <x:c r="AA605" s="10" t="str">
        <x:f>IF(COUNT(AX605,AY605)=2,AX605+AY605,"")</x:f>
      </x:c>
      <x:c r="AB605" s="10" t="str">
        <x:f>IF(COUNT(AA605,Z605)=2,AA605-Z605,"")</x:f>
      </x:c>
      <x:c r="AC605" s="10"/>
      <x:c r="AD605" s="10"/>
      <x:c r="AE605" s="10" t="str">
        <x:f>IF(COUNT(AD605,AC605)=2,AD605-AC605,"")</x:f>
      </x:c>
      <x:c r="AF605" s="10"/>
      <x:c r="AG605" s="10"/>
      <x:c r="AH605" s="10" t="str">
        <x:f>IF(COUNT(AG605,AF605)=2,AG605-AF605,"")</x:f>
      </x:c>
      <x:c r="AI605" s="10"/>
      <x:c r="AJ605" s="10"/>
      <x:c r="AK605" s="10" t="str">
        <x:f>IF(COUNT(AJ605,AI605)=2,AJ605-AI605,"")</x:f>
      </x:c>
      <x:c r="AL605" s="10"/>
      <x:c r="AM605" s="10"/>
      <x:c r="AN605" s="4"/>
      <x:c r="AO605" s="4"/>
      <x:c r="AP605" s="4"/>
      <x:c r="AQ605" s="4"/>
      <x:c r="AR605" s="4"/>
      <x:c r="AS605" s="4"/>
      <x:c r="AT605" s="4"/>
      <x:c r="AU605" s="4"/>
      <x:c r="AV605" s="10"/>
      <x:c r="AW605" s="10"/>
      <x:c r="AX605" s="10"/>
      <x:c r="AY605" s="10"/>
      <x:c r="AZ605" s="10" t="n">
        <x:v>9</x:v>
      </x:c>
      <x:c r="BA605" s="10" t="n">
        <x:v>11</x:v>
      </x:c>
      <x:c r="BB605" s="4" t="n">
        <x:v>45</x:v>
      </x:c>
      <x:c r="BC605" s="4" t="n">
        <x:v>-5</x:v>
      </x:c>
      <x:c r="BD605" s="10" t="n">
        <x:v>7</x:v>
      </x:c>
      <x:c r="BE605" s="10" t="n">
        <x:v>10</x:v>
      </x:c>
      <x:c r="BF605" s="4" t="n">
        <x:v>41.2</x:v>
      </x:c>
      <x:c r="BG605" s="4" t="n">
        <x:v>-1.2</x:v>
      </x:c>
      <x:c r="BH605" s="4" t="n">
        <x:v>0</x:v>
      </x:c>
      <x:c r="BI605" s="4" t="n">
        <x:v>85.7</x:v>
      </x:c>
      <x:c r="BJ605" s="4" t="n">
        <x:v>85.7</x:v>
      </x:c>
      <x:c r="BK605" s="4" t="n">
        <x:v>75</x:v>
      </x:c>
      <x:c r="BL605" s="4" t="n">
        <x:v>25</x:v>
      </x:c>
      <x:c r="BM605" s="4" t="n">
        <x:v>10.583333333333334</x:v>
      </x:c>
      <x:c r="BN605" s="4" t="n">
        <x:v>10.583333333333334</x:v>
      </x:c>
      <x:c r="BO605" s="10" t="n">
        <x:v>0</x:v>
      </x:c>
      <x:c r="BP605" s="10" t="n">
        <x:v>0</x:v>
      </x:c>
      <x:c r="BQ605" s="4" t="n">
        <x:v>-0.4</x:v>
      </x:c>
      <x:c r="BR605" s="10" t="n">
        <x:v>1</x:v>
      </x:c>
      <x:c r="BS605" s="4" t="n">
        <x:v>0</x:v>
      </x:c>
      <x:c r="BT605" s="10" t="n">
        <x:v>1</x:v>
      </x:c>
      <x:c r="BU605" s="4" t="str">
        <x:v>BOS</x:v>
      </x:c>
      <x:c r="BV605" s="10"/>
      <x:c r="BW605" s="10"/>
      <x:c r="BX605" s="10" t="n">
        <x:v>688</x:v>
      </x:c>
      <x:c r="BY605" s="4"/>
      <x:c r="BZ605" s="4"/>
      <x:c r="CA605" s="4" t="str">
        <x:v>Georgii Merkulov</x:v>
      </x:c>
      <x:c r="CB605" s="4" t="str">
        <x:v>merkuge01</x:v>
      </x:c>
    </x:row>
    <x:row r="606" ht="22" customHeight="1">
      <x:c r="A606" s="4" t="str">
        <x:v>Givani Smith</x:v>
      </x:c>
      <x:c r="B606" s="4" t="str">
        <x:v>givanismith</x:v>
      </x:c>
      <x:c r="C606" s="10" t="n">
        <x:v>1</x:v>
      </x:c>
      <x:c r="D606" s="10" t="n">
        <x:v>0</x:v>
      </x:c>
      <x:c r="E606" s="10" t="n">
        <x:v>0</x:v>
      </x:c>
      <x:c r="F606" s="4" t="n">
        <x:f>IF(COUNT(N606,Q606,T606,W606,Z606,AC606,AF606,AI606)=8,N606*Guide!$E$5+Q606*Guide!$E$6+T606*Guide!$E$7+W606*Guide!$E$8+Z606*Guide!$E$9+AC606*Guide!$E$10+AF606*Guide!$E$11+AI606*Guide!$E$12,"")</x:f>
        <x:v>58</x:v>
      </x:c>
      <x:c r="G606" s="4" t="str">
        <x:f>IF(COUNT(O606,R606,U606,X606,AA606,AD606,AG606,AJ606)=8,O606*Guide!$E$5+R606*Guide!$E$6+U606*Guide!$E$7+X606*Guide!$E$8+AA606*Guide!$E$9+AD606*Guide!$E$10+AG606*Guide!$E$11+AJ606*Guide!$E$12,"")</x:f>
      </x:c>
      <x:c r="H606" s="4" t="str">
        <x:f>IF(COUNT(G606,F606)=2,G606-F606,"")</x:f>
      </x:c>
      <x:c r="I606" s="4" t="n">
        <x:f>IF(AND(ISNUMBER(F606),K606&gt;0),F606/K606,"")</x:f>
        <x:v>1.6111111111111112</x:v>
      </x:c>
      <x:c r="J606" s="4" t="str">
        <x:f>IF(AND(ISNUMBER(G606),L606&gt;0),G606/L606,"")</x:f>
      </x:c>
      <x:c r="K606" s="10" t="n">
        <x:v>36</x:v>
      </x:c>
      <x:c r="L606" s="10"/>
      <x:c r="M606" s="10" t="str">
        <x:f>IF(COUNT(L606,K606)=2,L606-K606,"")</x:f>
      </x:c>
      <x:c r="N606" s="10" t="n">
        <x:v>3</x:v>
      </x:c>
      <x:c r="O606" s="10"/>
      <x:c r="P606" s="10" t="str">
        <x:f>IF(COUNT(O606,N606)=2,O606-N606,"")</x:f>
      </x:c>
      <x:c r="Q606" s="10" t="n">
        <x:v>4</x:v>
      </x:c>
      <x:c r="R606" s="10"/>
      <x:c r="S606" s="10" t="str">
        <x:f>IF(COUNT(R606,Q606)=2,R606-Q606,"")</x:f>
      </x:c>
      <x:c r="T606" s="10" t="n">
        <x:v>-2</x:v>
      </x:c>
      <x:c r="U606" s="10"/>
      <x:c r="V606" s="10" t="str">
        <x:f>IF(COUNT(U606,T606)=2,U606-T606,"")</x:f>
      </x:c>
      <x:c r="W606" s="10" t="n">
        <x:v>0</x:v>
      </x:c>
      <x:c r="X606" s="10" t="str">
        <x:f>IF(COUNT(AV606,AW606)=2,AV606+AW606,"")</x:f>
      </x:c>
      <x:c r="Y606" s="10" t="str">
        <x:f>IF(COUNT(X606,W606)=2,X606-W606,"")</x:f>
      </x:c>
      <x:c r="Z606" s="10" t="n">
        <x:v>0</x:v>
      </x:c>
      <x:c r="AA606" s="10" t="str">
        <x:f>IF(COUNT(AX606,AY606)=2,AX606+AY606,"")</x:f>
      </x:c>
      <x:c r="AB606" s="10" t="str">
        <x:f>IF(COUNT(AA606,Z606)=2,AA606-Z606,"")</x:f>
      </x:c>
      <x:c r="AC606" s="10" t="n">
        <x:v>28</x:v>
      </x:c>
      <x:c r="AD606" s="10"/>
      <x:c r="AE606" s="10" t="str">
        <x:f>IF(COUNT(AD606,AC606)=2,AD606-AC606,"")</x:f>
      </x:c>
      <x:c r="AF606" s="10" t="n">
        <x:v>83</x:v>
      </x:c>
      <x:c r="AG606" s="10"/>
      <x:c r="AH606" s="10" t="str">
        <x:f>IF(COUNT(AG606,AF606)=2,AG606-AF606,"")</x:f>
      </x:c>
      <x:c r="AI606" s="10" t="n">
        <x:v>11</x:v>
      </x:c>
      <x:c r="AJ606" s="10"/>
      <x:c r="AK606" s="10" t="str">
        <x:f>IF(COUNT(AJ606,AI606)=2,AJ606-AI606,"")</x:f>
      </x:c>
      <x:c r="AL606" s="10" t="n">
        <x:v>27</x:v>
      </x:c>
      <x:c r="AM606" s="10"/>
      <x:c r="AN606" s="4" t="str">
        <x:v>RW</x:v>
      </x:c>
      <x:c r="AO606" s="4"/>
      <x:c r="AP606" s="4" t="str">
        <x:v>SJ</x:v>
      </x:c>
      <x:c r="AQ606" s="4"/>
      <x:c r="AR606" s="4" t="n">
        <x:v>7.85</x:v>
      </x:c>
      <x:c r="AS606" s="4"/>
      <x:c r="AT606" s="4" t="n">
        <x:v>0</x:v>
      </x:c>
      <x:c r="AU606" s="4"/>
      <x:c r="AV606" s="10"/>
      <x:c r="AW606" s="10"/>
      <x:c r="AX606" s="10"/>
      <x:c r="AY606" s="10"/>
      <x:c r="AZ606" s="10"/>
      <x:c r="BA606" s="10"/>
      <x:c r="BB606" s="4"/>
      <x:c r="BC606" s="4"/>
      <x:c r="BD606" s="10"/>
      <x:c r="BE606" s="10"/>
      <x:c r="BF606" s="4"/>
      <x:c r="BG606" s="4"/>
      <x:c r="BH606" s="4"/>
      <x:c r="BI606" s="4"/>
      <x:c r="BJ606" s="4"/>
      <x:c r="BK606" s="4"/>
      <x:c r="BL606" s="4"/>
      <x:c r="BM606" s="4"/>
      <x:c r="BN606" s="4"/>
      <x:c r="BO606" s="10"/>
      <x:c r="BP606" s="10"/>
      <x:c r="BQ606" s="4"/>
      <x:c r="BR606" s="10"/>
      <x:c r="BS606" s="4"/>
      <x:c r="BT606" s="10"/>
      <x:c r="BU606" s="4"/>
      <x:c r="BV606" s="10" t="n">
        <x:v>758</x:v>
      </x:c>
      <x:c r="BW606" s="10"/>
      <x:c r="BX606" s="10"/>
      <x:c r="BY606" s="4" t="str">
        <x:v>Givani Smith</x:v>
      </x:c>
      <x:c r="BZ606" s="4"/>
      <x:c r="CA606" s="4"/>
      <x:c r="CB606" s="4"/>
    </x:row>
    <x:row r="607" ht="22" customHeight="1">
      <x:c r="A607" s="4" t="str">
        <x:v>Grigori Denisenko</x:v>
      </x:c>
      <x:c r="B607" s="4" t="str">
        <x:v>grigoridenisenko</x:v>
      </x:c>
      <x:c r="C607" s="10" t="n">
        <x:v>1</x:v>
      </x:c>
      <x:c r="D607" s="10" t="n">
        <x:v>0</x:v>
      </x:c>
      <x:c r="E607" s="10" t="n">
        <x:v>0</x:v>
      </x:c>
      <x:c r="F607" s="4" t="n">
        <x:f>IF(COUNT(N607,Q607,T607,W607,Z607,AC607,AF607,AI607)=8,N607*Guide!$E$5+Q607*Guide!$E$6+T607*Guide!$E$7+W607*Guide!$E$8+Z607*Guide!$E$9+AC607*Guide!$E$10+AF607*Guide!$E$11+AI607*Guide!$E$12,"")</x:f>
        <x:v>52</x:v>
      </x:c>
      <x:c r="G607" s="4" t="str">
        <x:f>IF(COUNT(O607,R607,U607,X607,AA607,AD607,AG607,AJ607)=8,O607*Guide!$E$5+R607*Guide!$E$6+U607*Guide!$E$7+X607*Guide!$E$8+AA607*Guide!$E$9+AD607*Guide!$E$10+AG607*Guide!$E$11+AJ607*Guide!$E$12,"")</x:f>
      </x:c>
      <x:c r="H607" s="4" t="str">
        <x:f>IF(COUNT(G607,F607)=2,G607-F607,"")</x:f>
      </x:c>
      <x:c r="I607" s="4" t="n">
        <x:f>IF(AND(ISNUMBER(F607),K607&gt;0),F607/K607,"")</x:f>
        <x:v>1.7333333333333334</x:v>
      </x:c>
      <x:c r="J607" s="4" t="str">
        <x:f>IF(AND(ISNUMBER(G607),L607&gt;0),G607/L607,"")</x:f>
      </x:c>
      <x:c r="K607" s="10" t="n">
        <x:v>30</x:v>
      </x:c>
      <x:c r="L607" s="10"/>
      <x:c r="M607" s="10" t="str">
        <x:f>IF(COUNT(L607,K607)=2,L607-K607,"")</x:f>
      </x:c>
      <x:c r="N607" s="10" t="n">
        <x:v>3</x:v>
      </x:c>
      <x:c r="O607" s="10"/>
      <x:c r="P607" s="10" t="str">
        <x:f>IF(COUNT(O607,N607)=2,O607-N607,"")</x:f>
      </x:c>
      <x:c r="Q607" s="10" t="n">
        <x:v>5</x:v>
      </x:c>
      <x:c r="R607" s="10"/>
      <x:c r="S607" s="10" t="str">
        <x:f>IF(COUNT(R607,Q607)=2,R607-Q607,"")</x:f>
      </x:c>
      <x:c r="T607" s="10" t="n">
        <x:v>-1</x:v>
      </x:c>
      <x:c r="U607" s="10"/>
      <x:c r="V607" s="10" t="str">
        <x:f>IF(COUNT(U607,T607)=2,U607-T607,"")</x:f>
      </x:c>
      <x:c r="W607" s="10" t="n">
        <x:v>1</x:v>
      </x:c>
      <x:c r="X607" s="10" t="str">
        <x:f>IF(COUNT(AV607,AW607)=2,AV607+AW607,"")</x:f>
      </x:c>
      <x:c r="Y607" s="10" t="str">
        <x:f>IF(COUNT(X607,W607)=2,X607-W607,"")</x:f>
      </x:c>
      <x:c r="Z607" s="10" t="n">
        <x:v>0</x:v>
      </x:c>
      <x:c r="AA607" s="10" t="str">
        <x:f>IF(COUNT(AX607,AY607)=2,AX607+AY607,"")</x:f>
      </x:c>
      <x:c r="AB607" s="10" t="str">
        <x:f>IF(COUNT(AA607,Z607)=2,AA607-Z607,"")</x:f>
      </x:c>
      <x:c r="AC607" s="10" t="n">
        <x:v>30</x:v>
      </x:c>
      <x:c r="AD607" s="10"/>
      <x:c r="AE607" s="10" t="str">
        <x:f>IF(COUNT(AD607,AC607)=2,AD607-AC607,"")</x:f>
      </x:c>
      <x:c r="AF607" s="10" t="n">
        <x:v>31</x:v>
      </x:c>
      <x:c r="AG607" s="10"/>
      <x:c r="AH607" s="10" t="str">
        <x:f>IF(COUNT(AG607,AF607)=2,AG607-AF607,"")</x:f>
      </x:c>
      <x:c r="AI607" s="10" t="n">
        <x:v>13</x:v>
      </x:c>
      <x:c r="AJ607" s="10"/>
      <x:c r="AK607" s="10" t="str">
        <x:f>IF(COUNT(AJ607,AI607)=2,AJ607-AI607,"")</x:f>
      </x:c>
      <x:c r="AL607" s="10" t="n">
        <x:v>25</x:v>
      </x:c>
      <x:c r="AM607" s="10"/>
      <x:c r="AN607" s="4" t="str">
        <x:v>LW</x:v>
      </x:c>
      <x:c r="AO607" s="4"/>
      <x:c r="AP607" s="4" t="str">
        <x:v>VGK</x:v>
      </x:c>
      <x:c r="AQ607" s="4"/>
      <x:c r="AR607" s="4" t="n">
        <x:v>9.97</x:v>
      </x:c>
      <x:c r="AS607" s="4"/>
      <x:c r="AT607" s="4" t="n">
        <x:v>0.4</x:v>
      </x:c>
      <x:c r="AU607" s="4"/>
      <x:c r="AV607" s="10"/>
      <x:c r="AW607" s="10"/>
      <x:c r="AX607" s="10"/>
      <x:c r="AY607" s="10"/>
      <x:c r="AZ607" s="10"/>
      <x:c r="BA607" s="10"/>
      <x:c r="BB607" s="4"/>
      <x:c r="BC607" s="4"/>
      <x:c r="BD607" s="10"/>
      <x:c r="BE607" s="10"/>
      <x:c r="BF607" s="4"/>
      <x:c r="BG607" s="4"/>
      <x:c r="BH607" s="4"/>
      <x:c r="BI607" s="4"/>
      <x:c r="BJ607" s="4"/>
      <x:c r="BK607" s="4"/>
      <x:c r="BL607" s="4"/>
      <x:c r="BM607" s="4"/>
      <x:c r="BN607" s="4"/>
      <x:c r="BO607" s="10"/>
      <x:c r="BP607" s="10"/>
      <x:c r="BQ607" s="4"/>
      <x:c r="BR607" s="10"/>
      <x:c r="BS607" s="4"/>
      <x:c r="BT607" s="10"/>
      <x:c r="BU607" s="4"/>
      <x:c r="BV607" s="10" t="n">
        <x:v>754</x:v>
      </x:c>
      <x:c r="BW607" s="10"/>
      <x:c r="BX607" s="10"/>
      <x:c r="BY607" s="4" t="str">
        <x:v>Grigori Denisenko</x:v>
      </x:c>
      <x:c r="BZ607" s="4"/>
      <x:c r="CA607" s="4"/>
      <x:c r="CB607" s="4"/>
    </x:row>
    <x:row r="608" ht="22" customHeight="1">
      <x:c r="A608" s="4" t="str">
        <x:v>Gustav Lindstrom</x:v>
      </x:c>
      <x:c r="B608" s="4" t="str">
        <x:v>gustavlindstrom</x:v>
      </x:c>
      <x:c r="C608" s="10" t="n">
        <x:v>1</x:v>
      </x:c>
      <x:c r="D608" s="10" t="n">
        <x:v>0</x:v>
      </x:c>
      <x:c r="E608" s="10" t="n">
        <x:v>0</x:v>
      </x:c>
      <x:c r="F608" s="4" t="n">
        <x:f>IF(COUNT(N608,Q608,T608,W608,Z608,AC608,AF608,AI608)=8,N608*Guide!$E$5+Q608*Guide!$E$6+T608*Guide!$E$7+W608*Guide!$E$8+Z608*Guide!$E$9+AC608*Guide!$E$10+AF608*Guide!$E$11+AI608*Guide!$E$12,"")</x:f>
        <x:v>133.25</x:v>
      </x:c>
      <x:c r="G608" s="4" t="str">
        <x:f>IF(COUNT(O608,R608,U608,X608,AA608,AD608,AG608,AJ608)=8,O608*Guide!$E$5+R608*Guide!$E$6+U608*Guide!$E$7+X608*Guide!$E$8+AA608*Guide!$E$9+AD608*Guide!$E$10+AG608*Guide!$E$11+AJ608*Guide!$E$12,"")</x:f>
      </x:c>
      <x:c r="H608" s="4" t="str">
        <x:f>IF(COUNT(G608,F608)=2,G608-F608,"")</x:f>
      </x:c>
      <x:c r="I608" s="4" t="n">
        <x:f>IF(AND(ISNUMBER(F608),K608&gt;0),F608/K608,"")</x:f>
        <x:v>1.9888059701492538</x:v>
      </x:c>
      <x:c r="J608" s="4" t="str">
        <x:f>IF(AND(ISNUMBER(G608),L608&gt;0),G608/L608,"")</x:f>
      </x:c>
      <x:c r="K608" s="10" t="n">
        <x:v>67</x:v>
      </x:c>
      <x:c r="L608" s="10"/>
      <x:c r="M608" s="10" t="str">
        <x:f>IF(COUNT(L608,K608)=2,L608-K608,"")</x:f>
      </x:c>
      <x:c r="N608" s="10" t="n">
        <x:v>3</x:v>
      </x:c>
      <x:c r="O608" s="10"/>
      <x:c r="P608" s="10" t="str">
        <x:f>IF(COUNT(O608,N608)=2,O608-N608,"")</x:f>
      </x:c>
      <x:c r="Q608" s="10" t="n">
        <x:v>12</x:v>
      </x:c>
      <x:c r="R608" s="10"/>
      <x:c r="S608" s="10" t="str">
        <x:f>IF(COUNT(R608,Q608)=2,R608-Q608,"")</x:f>
      </x:c>
      <x:c r="T608" s="10" t="n">
        <x:v>-4</x:v>
      </x:c>
      <x:c r="U608" s="10"/>
      <x:c r="V608" s="10" t="str">
        <x:f>IF(COUNT(U608,T608)=2,U608-T608,"")</x:f>
      </x:c>
      <x:c r="W608" s="10" t="n">
        <x:v>1</x:v>
      </x:c>
      <x:c r="X608" s="10" t="str">
        <x:f>IF(COUNT(AV608,AW608)=2,AV608+AW608,"")</x:f>
      </x:c>
      <x:c r="Y608" s="10" t="str">
        <x:f>IF(COUNT(X608,W608)=2,X608-W608,"")</x:f>
      </x:c>
      <x:c r="Z608" s="10" t="n">
        <x:v>0</x:v>
      </x:c>
      <x:c r="AA608" s="10" t="str">
        <x:f>IF(COUNT(AX608,AY608)=2,AX608+AY608,"")</x:f>
      </x:c>
      <x:c r="AB608" s="10" t="str">
        <x:f>IF(COUNT(AA608,Z608)=2,AA608-Z608,"")</x:f>
      </x:c>
      <x:c r="AC608" s="10" t="n">
        <x:v>42</x:v>
      </x:c>
      <x:c r="AD608" s="10"/>
      <x:c r="AE608" s="10" t="str">
        <x:f>IF(COUNT(AD608,AC608)=2,AD608-AC608,"")</x:f>
      </x:c>
      <x:c r="AF608" s="10" t="n">
        <x:v>71</x:v>
      </x:c>
      <x:c r="AG608" s="10"/>
      <x:c r="AH608" s="10" t="str">
        <x:f>IF(COUNT(AG608,AF608)=2,AG608-AF608,"")</x:f>
      </x:c>
      <x:c r="AI608" s="10" t="n">
        <x:v>80</x:v>
      </x:c>
      <x:c r="AJ608" s="10"/>
      <x:c r="AK608" s="10" t="str">
        <x:f>IF(COUNT(AJ608,AI608)=2,AJ608-AI608,"")</x:f>
      </x:c>
      <x:c r="AL608" s="10" t="n">
        <x:v>27</x:v>
      </x:c>
      <x:c r="AM608" s="10"/>
      <x:c r="AN608" s="4" t="str">
        <x:v>D</x:v>
      </x:c>
      <x:c r="AO608" s="4"/>
      <x:c r="AP608" s="4" t="str">
        <x:v>ANA</x:v>
      </x:c>
      <x:c r="AQ608" s="4"/>
      <x:c r="AR608" s="4" t="n">
        <x:v>15.73</x:v>
      </x:c>
      <x:c r="AS608" s="4"/>
      <x:c r="AT608" s="4" t="n">
        <x:v>0.14</x:v>
      </x:c>
      <x:c r="AU608" s="4"/>
      <x:c r="AV608" s="10"/>
      <x:c r="AW608" s="10"/>
      <x:c r="AX608" s="10"/>
      <x:c r="AY608" s="10"/>
      <x:c r="AZ608" s="10"/>
      <x:c r="BA608" s="10"/>
      <x:c r="BB608" s="4"/>
      <x:c r="BC608" s="4"/>
      <x:c r="BD608" s="10"/>
      <x:c r="BE608" s="10"/>
      <x:c r="BF608" s="4"/>
      <x:c r="BG608" s="4"/>
      <x:c r="BH608" s="4"/>
      <x:c r="BI608" s="4"/>
      <x:c r="BJ608" s="4"/>
      <x:c r="BK608" s="4"/>
      <x:c r="BL608" s="4"/>
      <x:c r="BM608" s="4"/>
      <x:c r="BN608" s="4"/>
      <x:c r="BO608" s="10"/>
      <x:c r="BP608" s="10"/>
      <x:c r="BQ608" s="4"/>
      <x:c r="BR608" s="10"/>
      <x:c r="BS608" s="4"/>
      <x:c r="BT608" s="10"/>
      <x:c r="BU608" s="4"/>
      <x:c r="BV608" s="10" t="n">
        <x:v>627</x:v>
      </x:c>
      <x:c r="BW608" s="10"/>
      <x:c r="BX608" s="10"/>
      <x:c r="BY608" s="4" t="str">
        <x:v>Gustav Lindstrom</x:v>
      </x:c>
      <x:c r="BZ608" s="4"/>
      <x:c r="CA608" s="4"/>
      <x:c r="CB608" s="4"/>
    </x:row>
    <x:row r="609" ht="22" customHeight="1">
      <x:c r="A609" s="4" t="str">
        <x:v>Gustav Nyquist</x:v>
      </x:c>
      <x:c r="B609" s="4" t="str">
        <x:v>gustavnyquist</x:v>
      </x:c>
      <x:c r="C609" s="10" t="n">
        <x:v>1</x:v>
      </x:c>
      <x:c r="D609" s="10" t="n">
        <x:v>0</x:v>
      </x:c>
      <x:c r="E609" s="10" t="n">
        <x:v>1</x:v>
      </x:c>
      <x:c r="F609" s="4" t="n">
        <x:f>IF(COUNT(N609,Q609,T609,W609,Z609,AC609,AF609,AI609)=8,N609*Guide!$E$5+Q609*Guide!$E$6+T609*Guide!$E$7+W609*Guide!$E$8+Z609*Guide!$E$9+AC609*Guide!$E$10+AF609*Guide!$E$11+AI609*Guide!$E$12,"")</x:f>
        <x:v>221</x:v>
      </x:c>
      <x:c r="G609" s="4" t="str">
        <x:f>IF(COUNT(O609,R609,U609,X609,AA609,AD609,AG609,AJ609)=8,O609*Guide!$E$5+R609*Guide!$E$6+U609*Guide!$E$7+X609*Guide!$E$8+AA609*Guide!$E$9+AD609*Guide!$E$10+AG609*Guide!$E$11+AJ609*Guide!$E$12,"")</x:f>
      </x:c>
      <x:c r="H609" s="4" t="str">
        <x:f>IF(COUNT(G609,F609)=2,G609-F609,"")</x:f>
      </x:c>
      <x:c r="I609" s="4" t="n">
        <x:f>IF(AND(ISNUMBER(F609),K609&gt;0),F609/K609,"")</x:f>
        <x:v>2.8333333333333335</x:v>
      </x:c>
      <x:c r="J609" s="4" t="str">
        <x:f>IF(AND(ISNUMBER(G609),L609&gt;0),G609/L609,"")</x:f>
      </x:c>
      <x:c r="K609" s="10" t="n">
        <x:v>78</x:v>
      </x:c>
      <x:c r="L609" s="10"/>
      <x:c r="M609" s="10" t="str">
        <x:f>IF(COUNT(L609,K609)=2,L609-K609,"")</x:f>
      </x:c>
      <x:c r="N609" s="10" t="n">
        <x:v>15</x:v>
      </x:c>
      <x:c r="O609" s="10"/>
      <x:c r="P609" s="10" t="str">
        <x:f>IF(COUNT(O609,N609)=2,O609-N609,"")</x:f>
      </x:c>
      <x:c r="Q609" s="10" t="n">
        <x:v>28</x:v>
      </x:c>
      <x:c r="R609" s="10"/>
      <x:c r="S609" s="10" t="str">
        <x:f>IF(COUNT(R609,Q609)=2,R609-Q609,"")</x:f>
      </x:c>
      <x:c r="T609" s="10" t="n">
        <x:v>-5</x:v>
      </x:c>
      <x:c r="U609" s="10"/>
      <x:c r="V609" s="10" t="str">
        <x:f>IF(COUNT(U609,T609)=2,U609-T609,"")</x:f>
      </x:c>
      <x:c r="W609" s="10" t="n">
        <x:v>8</x:v>
      </x:c>
      <x:c r="X609" s="10" t="str">
        <x:f>IF(COUNT(AV609,AW609)=2,AV609+AW609,"")</x:f>
      </x:c>
      <x:c r="Y609" s="10" t="str">
        <x:f>IF(COUNT(X609,W609)=2,X609-W609,"")</x:f>
      </x:c>
      <x:c r="Z609" s="10" t="n">
        <x:v>2</x:v>
      </x:c>
      <x:c r="AA609" s="10" t="str">
        <x:f>IF(COUNT(AX609,AY609)=2,AX609+AY609,"")</x:f>
      </x:c>
      <x:c r="AB609" s="10" t="str">
        <x:f>IF(COUNT(AA609,Z609)=2,AA609-Z609,"")</x:f>
      </x:c>
      <x:c r="AC609" s="10" t="n">
        <x:v>116</x:v>
      </x:c>
      <x:c r="AD609" s="10"/>
      <x:c r="AE609" s="10" t="str">
        <x:f>IF(COUNT(AD609,AC609)=2,AD609-AC609,"")</x:f>
      </x:c>
      <x:c r="AF609" s="10" t="n">
        <x:v>45</x:v>
      </x:c>
      <x:c r="AG609" s="10"/>
      <x:c r="AH609" s="10" t="str">
        <x:f>IF(COUNT(AG609,AF609)=2,AG609-AF609,"")</x:f>
      </x:c>
      <x:c r="AI609" s="10" t="n">
        <x:v>37</x:v>
      </x:c>
      <x:c r="AJ609" s="10"/>
      <x:c r="AK609" s="10" t="str">
        <x:f>IF(COUNT(AJ609,AI609)=2,AJ609-AI609,"")</x:f>
      </x:c>
      <x:c r="AL609" s="10" t="n">
        <x:v>36</x:v>
      </x:c>
      <x:c r="AM609" s="10"/>
      <x:c r="AN609" s="4" t="str">
        <x:v>LW,RW</x:v>
      </x:c>
      <x:c r="AO609" s="4"/>
      <x:c r="AP609" s="4" t="str">
        <x:v>WPG</x:v>
      </x:c>
      <x:c r="AQ609" s="4"/>
      <x:c r="AR609" s="4" t="n">
        <x:v>16.6</x:v>
      </x:c>
      <x:c r="AS609" s="4"/>
      <x:c r="AT609" s="4" t="n">
        <x:v>1.71</x:v>
      </x:c>
      <x:c r="AU609" s="4"/>
      <x:c r="AV609" s="10"/>
      <x:c r="AW609" s="10"/>
      <x:c r="AX609" s="10"/>
      <x:c r="AY609" s="10"/>
      <x:c r="AZ609" s="10" t="n">
        <x:v>478</x:v>
      </x:c>
      <x:c r="BA609" s="10" t="n">
        <x:v>525</x:v>
      </x:c>
      <x:c r="BB609" s="4" t="n">
        <x:v>47.7</x:v>
      </x:c>
      <x:c r="BC609" s="4" t="n">
        <x:v>-1.8</x:v>
      </x:c>
      <x:c r="BD609" s="10" t="n">
        <x:v>345</x:v>
      </x:c>
      <x:c r="BE609" s="10" t="n">
        <x:v>382</x:v>
      </x:c>
      <x:c r="BF609" s="4" t="n">
        <x:v>47.5</x:v>
      </x:c>
      <x:c r="BG609" s="4" t="n">
        <x:v>-2</x:v>
      </x:c>
      <x:c r="BH609" s="4" t="n">
        <x:v>5.5</x:v>
      </x:c>
      <x:c r="BI609" s="4" t="n">
        <x:v>91.9</x:v>
      </x:c>
      <x:c r="BJ609" s="4" t="n">
        <x:v>97.3</x:v>
      </x:c>
      <x:c r="BK609" s="4" t="n">
        <x:v>57.8</x:v>
      </x:c>
      <x:c r="BL609" s="4" t="n">
        <x:v>42.2</x:v>
      </x:c>
      <x:c r="BM609" s="4" t="n">
        <x:v>12.683333333333334</x:v>
      </x:c>
      <x:c r="BN609" s="4" t="n">
        <x:v>10.4</x:v>
      </x:c>
      <x:c r="BO609" s="10" t="n">
        <x:v>12</x:v>
      </x:c>
      <x:c r="BP609" s="10" t="n">
        <x:v>25</x:v>
      </x:c>
      <x:c r="BQ609" s="4" t="n">
        <x:v>-2.8</x:v>
      </x:c>
      <x:c r="BR609" s="10" t="n">
        <x:v>115</x:v>
      </x:c>
      <x:c r="BS609" s="4" t="n">
        <x:v>53.9</x:v>
      </x:c>
      <x:c r="BT609" s="10" t="n">
        <x:v>51</x:v>
      </x:c>
      <x:c r="BU609" s="4" t="str">
        <x:v>WPG</x:v>
      </x:c>
      <x:c r="BV609" s="10" t="n">
        <x:v>220</x:v>
      </x:c>
      <x:c r="BW609" s="10"/>
      <x:c r="BX609" s="10" t="n">
        <x:v>750</x:v>
      </x:c>
      <x:c r="BY609" s="4" t="str">
        <x:v>Gustav Nyquist</x:v>
      </x:c>
      <x:c r="BZ609" s="4"/>
      <x:c r="CA609" s="4" t="str">
        <x:v>Gustav Nyquist</x:v>
      </x:c>
      <x:c r="CB609" s="4" t="str">
        <x:v>nyquigu01</x:v>
      </x:c>
    </x:row>
    <x:row r="610" ht="22" customHeight="1">
      <x:c r="A610" s="4" t="str">
        <x:v>Harrison Brunicke</x:v>
      </x:c>
      <x:c r="B610" s="4" t="str">
        <x:v>harrisonbrunicke</x:v>
      </x:c>
      <x:c r="C610" s="10" t="n">
        <x:v>0</x:v>
      </x:c>
      <x:c r="D610" s="10" t="n">
        <x:v>0</x:v>
      </x:c>
      <x:c r="E610" s="10" t="n">
        <x:v>1</x:v>
      </x:c>
      <x:c r="F610" s="4" t="str">
        <x:f>IF(COUNT(N610,Q610,T610,W610,Z610,AC610,AF610,AI610)=8,N610*Guide!$E$5+Q610*Guide!$E$6+T610*Guide!$E$7+W610*Guide!$E$8+Z610*Guide!$E$9+AC610*Guide!$E$10+AF610*Guide!$E$11+AI610*Guide!$E$12,"")</x:f>
      </x:c>
      <x:c r="G610" s="4" t="str">
        <x:f>IF(COUNT(O610,R610,U610,X610,AA610,AD610,AG610,AJ610)=8,O610*Guide!$E$5+R610*Guide!$E$6+U610*Guide!$E$7+X610*Guide!$E$8+AA610*Guide!$E$9+AD610*Guide!$E$10+AG610*Guide!$E$11+AJ610*Guide!$E$12,"")</x:f>
      </x:c>
      <x:c r="H610" s="4" t="str">
        <x:f>IF(COUNT(G610,F610)=2,G610-F610,"")</x:f>
      </x:c>
      <x:c r="I610" s="4" t="str">
        <x:f>IF(AND(ISNUMBER(F610),K610&gt;0),F610/K610,"")</x:f>
      </x:c>
      <x:c r="J610" s="4" t="str">
        <x:f>IF(AND(ISNUMBER(G610),L610&gt;0),G610/L610,"")</x:f>
      </x:c>
      <x:c r="K610" s="10"/>
      <x:c r="L610" s="10"/>
      <x:c r="M610" s="10" t="str">
        <x:f>IF(COUNT(L610,K610)=2,L610-K610,"")</x:f>
      </x:c>
      <x:c r="N610" s="10"/>
      <x:c r="O610" s="10"/>
      <x:c r="P610" s="10" t="str">
        <x:f>IF(COUNT(O610,N610)=2,O610-N610,"")</x:f>
      </x:c>
      <x:c r="Q610" s="10"/>
      <x:c r="R610" s="10"/>
      <x:c r="S610" s="10" t="str">
        <x:f>IF(COUNT(R610,Q610)=2,R610-Q610,"")</x:f>
      </x:c>
      <x:c r="T610" s="10"/>
      <x:c r="U610" s="10"/>
      <x:c r="V610" s="10" t="str">
        <x:f>IF(COUNT(U610,T610)=2,U610-T610,"")</x:f>
      </x:c>
      <x:c r="W610" s="10"/>
      <x:c r="X610" s="10" t="str">
        <x:f>IF(COUNT(AV610,AW610)=2,AV610+AW610,"")</x:f>
      </x:c>
      <x:c r="Y610" s="10" t="str">
        <x:f>IF(COUNT(X610,W610)=2,X610-W610,"")</x:f>
      </x:c>
      <x:c r="Z610" s="10"/>
      <x:c r="AA610" s="10" t="str">
        <x:f>IF(COUNT(AX610,AY610)=2,AX610+AY610,"")</x:f>
      </x:c>
      <x:c r="AB610" s="10" t="str">
        <x:f>IF(COUNT(AA610,Z610)=2,AA610-Z610,"")</x:f>
      </x:c>
      <x:c r="AC610" s="10"/>
      <x:c r="AD610" s="10"/>
      <x:c r="AE610" s="10" t="str">
        <x:f>IF(COUNT(AD610,AC610)=2,AD610-AC610,"")</x:f>
      </x:c>
      <x:c r="AF610" s="10"/>
      <x:c r="AG610" s="10"/>
      <x:c r="AH610" s="10" t="str">
        <x:f>IF(COUNT(AG610,AF610)=2,AG610-AF610,"")</x:f>
      </x:c>
      <x:c r="AI610" s="10"/>
      <x:c r="AJ610" s="10"/>
      <x:c r="AK610" s="10" t="str">
        <x:f>IF(COUNT(AJ610,AI610)=2,AJ610-AI610,"")</x:f>
      </x:c>
      <x:c r="AL610" s="10"/>
      <x:c r="AM610" s="10"/>
      <x:c r="AN610" s="4"/>
      <x:c r="AO610" s="4"/>
      <x:c r="AP610" s="4"/>
      <x:c r="AQ610" s="4"/>
      <x:c r="AR610" s="4"/>
      <x:c r="AS610" s="4"/>
      <x:c r="AT610" s="4"/>
      <x:c r="AU610" s="4"/>
      <x:c r="AV610" s="10"/>
      <x:c r="AW610" s="10"/>
      <x:c r="AX610" s="10"/>
      <x:c r="AY610" s="10"/>
      <x:c r="AZ610" s="10" t="n">
        <x:v>122</x:v>
      </x:c>
      <x:c r="BA610" s="10" t="n">
        <x:v>131</x:v>
      </x:c>
      <x:c r="BB610" s="4" t="n">
        <x:v>48.2</x:v>
      </x:c>
      <x:c r="BC610" s="4" t="n">
        <x:v>-0.7</x:v>
      </x:c>
      <x:c r="BD610" s="10" t="n">
        <x:v>86</x:v>
      </x:c>
      <x:c r="BE610" s="10" t="n">
        <x:v>88</x:v>
      </x:c>
      <x:c r="BF610" s="4" t="n">
        <x:v>49.4</x:v>
      </x:c>
      <x:c r="BG610" s="4" t="n">
        <x:v>-0.2</x:v>
      </x:c>
      <x:c r="BH610" s="4" t="n">
        <x:v>6.9</x:v>
      </x:c>
      <x:c r="BI610" s="4" t="n">
        <x:v>86.2</x:v>
      </x:c>
      <x:c r="BJ610" s="4" t="n">
        <x:v>93.1</x:v>
      </x:c>
      <x:c r="BK610" s="4" t="n">
        <x:v>49.2</x:v>
      </x:c>
      <x:c r="BL610" s="4" t="n">
        <x:v>50.8</x:v>
      </x:c>
      <x:c r="BM610" s="4" t="n">
        <x:v>15.716666666666667</x:v>
      </x:c>
      <x:c r="BN610" s="4" t="n">
        <x:v>15.283333333333333</x:v>
      </x:c>
      <x:c r="BO610" s="10" t="n">
        <x:v>1</x:v>
      </x:c>
      <x:c r="BP610" s="10" t="n">
        <x:v>14</x:v>
      </x:c>
      <x:c r="BQ610" s="4" t="n">
        <x:v>0.6</x:v>
      </x:c>
      <x:c r="BR610" s="10" t="n">
        <x:v>22</x:v>
      </x:c>
      <x:c r="BS610" s="4" t="n">
        <x:v>36.4</x:v>
      </x:c>
      <x:c r="BT610" s="10" t="n">
        <x:v>9</x:v>
      </x:c>
      <x:c r="BU610" s="4" t="str">
        <x:v>PIT</x:v>
      </x:c>
      <x:c r="BV610" s="10"/>
      <x:c r="BW610" s="10"/>
      <x:c r="BX610" s="10" t="n">
        <x:v>102</x:v>
      </x:c>
      <x:c r="BY610" s="4"/>
      <x:c r="BZ610" s="4"/>
      <x:c r="CA610" s="4" t="str">
        <x:v>Harrison Brunicke</x:v>
      </x:c>
      <x:c r="CB610" s="4" t="str">
        <x:v>bruniha01</x:v>
      </x:c>
    </x:row>
    <x:row r="611" ht="22" customHeight="1">
      <x:c r="A611" s="4" t="str">
        <x:v>Hayden Hodgson</x:v>
      </x:c>
      <x:c r="B611" s="4" t="str">
        <x:v>haydenhodgson</x:v>
      </x:c>
      <x:c r="C611" s="10" t="n">
        <x:v>0</x:v>
      </x:c>
      <x:c r="D611" s="10" t="n">
        <x:v>0</x:v>
      </x:c>
      <x:c r="E611" s="10" t="n">
        <x:v>1</x:v>
      </x:c>
      <x:c r="F611" s="4" t="str">
        <x:f>IF(COUNT(N611,Q611,T611,W611,Z611,AC611,AF611,AI611)=8,N611*Guide!$E$5+Q611*Guide!$E$6+T611*Guide!$E$7+W611*Guide!$E$8+Z611*Guide!$E$9+AC611*Guide!$E$10+AF611*Guide!$E$11+AI611*Guide!$E$12,"")</x:f>
      </x:c>
      <x:c r="G611" s="4" t="str">
        <x:f>IF(COUNT(O611,R611,U611,X611,AA611,AD611,AG611,AJ611)=8,O611*Guide!$E$5+R611*Guide!$E$6+U611*Guide!$E$7+X611*Guide!$E$8+AA611*Guide!$E$9+AD611*Guide!$E$10+AG611*Guide!$E$11+AJ611*Guide!$E$12,"")</x:f>
      </x:c>
      <x:c r="H611" s="4" t="str">
        <x:f>IF(COUNT(G611,F611)=2,G611-F611,"")</x:f>
      </x:c>
      <x:c r="I611" s="4" t="str">
        <x:f>IF(AND(ISNUMBER(F611),K611&gt;0),F611/K611,"")</x:f>
      </x:c>
      <x:c r="J611" s="4" t="str">
        <x:f>IF(AND(ISNUMBER(G611),L611&gt;0),G611/L611,"")</x:f>
      </x:c>
      <x:c r="K611" s="10"/>
      <x:c r="L611" s="10"/>
      <x:c r="M611" s="10" t="str">
        <x:f>IF(COUNT(L611,K611)=2,L611-K611,"")</x:f>
      </x:c>
      <x:c r="N611" s="10"/>
      <x:c r="O611" s="10"/>
      <x:c r="P611" s="10" t="str">
        <x:f>IF(COUNT(O611,N611)=2,O611-N611,"")</x:f>
      </x:c>
      <x:c r="Q611" s="10"/>
      <x:c r="R611" s="10"/>
      <x:c r="S611" s="10" t="str">
        <x:f>IF(COUNT(R611,Q611)=2,R611-Q611,"")</x:f>
      </x:c>
      <x:c r="T611" s="10"/>
      <x:c r="U611" s="10"/>
      <x:c r="V611" s="10" t="str">
        <x:f>IF(COUNT(U611,T611)=2,U611-T611,"")</x:f>
      </x:c>
      <x:c r="W611" s="10"/>
      <x:c r="X611" s="10" t="str">
        <x:f>IF(COUNT(AV611,AW611)=2,AV611+AW611,"")</x:f>
      </x:c>
      <x:c r="Y611" s="10" t="str">
        <x:f>IF(COUNT(X611,W611)=2,X611-W611,"")</x:f>
      </x:c>
      <x:c r="Z611" s="10"/>
      <x:c r="AA611" s="10" t="str">
        <x:f>IF(COUNT(AX611,AY611)=2,AX611+AY611,"")</x:f>
      </x:c>
      <x:c r="AB611" s="10" t="str">
        <x:f>IF(COUNT(AA611,Z611)=2,AA611-Z611,"")</x:f>
      </x:c>
      <x:c r="AC611" s="10"/>
      <x:c r="AD611" s="10"/>
      <x:c r="AE611" s="10" t="str">
        <x:f>IF(COUNT(AD611,AC611)=2,AD611-AC611,"")</x:f>
      </x:c>
      <x:c r="AF611" s="10"/>
      <x:c r="AG611" s="10"/>
      <x:c r="AH611" s="10" t="str">
        <x:f>IF(COUNT(AG611,AF611)=2,AG611-AF611,"")</x:f>
      </x:c>
      <x:c r="AI611" s="10"/>
      <x:c r="AJ611" s="10"/>
      <x:c r="AK611" s="10" t="str">
        <x:f>IF(COUNT(AJ611,AI611)=2,AJ611-AI611,"")</x:f>
      </x:c>
      <x:c r="AL611" s="10"/>
      <x:c r="AM611" s="10"/>
      <x:c r="AN611" s="4"/>
      <x:c r="AO611" s="4"/>
      <x:c r="AP611" s="4"/>
      <x:c r="AQ611" s="4"/>
      <x:c r="AR611" s="4"/>
      <x:c r="AS611" s="4"/>
      <x:c r="AT611" s="4"/>
      <x:c r="AU611" s="4"/>
      <x:c r="AV611" s="10"/>
      <x:c r="AW611" s="10"/>
      <x:c r="AX611" s="10"/>
      <x:c r="AY611" s="10"/>
      <x:c r="AZ611" s="10" t="n">
        <x:v>65</x:v>
      </x:c>
      <x:c r="BA611" s="10" t="n">
        <x:v>66</x:v>
      </x:c>
      <x:c r="BB611" s="4" t="n">
        <x:v>49.6</x:v>
      </x:c>
      <x:c r="BC611" s="4" t="n">
        <x:v>-4.5</x:v>
      </x:c>
      <x:c r="BD611" s="10" t="n">
        <x:v>44</x:v>
      </x:c>
      <x:c r="BE611" s="10" t="n">
        <x:v>55</x:v>
      </x:c>
      <x:c r="BF611" s="4" t="n">
        <x:v>44.4</x:v>
      </x:c>
      <x:c r="BG611" s="4" t="n">
        <x:v>-10.1</x:v>
      </x:c>
      <x:c r="BH611" s="4" t="n">
        <x:v>6.5</x:v>
      </x:c>
      <x:c r="BI611" s="4" t="n">
        <x:v>88.2</x:v>
      </x:c>
      <x:c r="BJ611" s="4" t="n">
        <x:v>94.7</x:v>
      </x:c>
      <x:c r="BK611" s="4" t="n">
        <x:v>50</x:v>
      </x:c>
      <x:c r="BL611" s="4" t="n">
        <x:v>50</x:v>
      </x:c>
      <x:c r="BM611" s="4" t="n">
        <x:v>7.033333333333333</x:v>
      </x:c>
      <x:c r="BN611" s="4" t="n">
        <x:v>7.016666666666667</x:v>
      </x:c>
      <x:c r="BO611" s="10" t="n">
        <x:v>1</x:v>
      </x:c>
      <x:c r="BP611" s="10" t="n">
        <x:v>3</x:v>
      </x:c>
      <x:c r="BQ611" s="4" t="n">
        <x:v>-0.1</x:v>
      </x:c>
      <x:c r="BR611" s="10" t="n">
        <x:v>11</x:v>
      </x:c>
      <x:c r="BS611" s="4" t="n">
        <x:v>36.4</x:v>
      </x:c>
      <x:c r="BT611" s="10" t="n">
        <x:v>10</x:v>
      </x:c>
      <x:c r="BU611" s="4" t="str">
        <x:v>OTT</x:v>
      </x:c>
      <x:c r="BV611" s="10"/>
      <x:c r="BW611" s="10"/>
      <x:c r="BX611" s="10" t="n">
        <x:v>418</x:v>
      </x:c>
      <x:c r="BY611" s="4"/>
      <x:c r="BZ611" s="4"/>
      <x:c r="CA611" s="4" t="str">
        <x:v>Hayden Hodgson</x:v>
      </x:c>
      <x:c r="CB611" s="4" t="str">
        <x:v>hodgsha01</x:v>
      </x:c>
    </x:row>
    <x:row r="612" ht="22" customHeight="1">
      <x:c r="A612" s="4" t="str">
        <x:v>Haydn Fleury</x:v>
      </x:c>
      <x:c r="B612" s="4" t="str">
        <x:v>haydnfleury</x:v>
      </x:c>
      <x:c r="C612" s="10" t="n">
        <x:v>1</x:v>
      </x:c>
      <x:c r="D612" s="10" t="n">
        <x:v>0</x:v>
      </x:c>
      <x:c r="E612" s="10" t="n">
        <x:v>1</x:v>
      </x:c>
      <x:c r="F612" s="4" t="n">
        <x:f>IF(COUNT(N612,Q612,T612,W612,Z612,AC612,AF612,AI612)=8,N612*Guide!$E$5+Q612*Guide!$E$6+T612*Guide!$E$7+W612*Guide!$E$8+Z612*Guide!$E$9+AC612*Guide!$E$10+AF612*Guide!$E$11+AI612*Guide!$E$12,"")</x:f>
        <x:v>115.25</x:v>
      </x:c>
      <x:c r="G612" s="4" t="str">
        <x:f>IF(COUNT(O612,R612,U612,X612,AA612,AD612,AG612,AJ612)=8,O612*Guide!$E$5+R612*Guide!$E$6+U612*Guide!$E$7+X612*Guide!$E$8+AA612*Guide!$E$9+AD612*Guide!$E$10+AG612*Guide!$E$11+AJ612*Guide!$E$12,"")</x:f>
      </x:c>
      <x:c r="H612" s="4" t="str">
        <x:f>IF(COUNT(G612,F612)=2,G612-F612,"")</x:f>
      </x:c>
      <x:c r="I612" s="4" t="n">
        <x:f>IF(AND(ISNUMBER(F612),K612&gt;0),F612/K612,"")</x:f>
        <x:v>2.0580357142857144</x:v>
      </x:c>
      <x:c r="J612" s="4" t="str">
        <x:f>IF(AND(ISNUMBER(G612),L612&gt;0),G612/L612,"")</x:f>
      </x:c>
      <x:c r="K612" s="10" t="n">
        <x:v>56</x:v>
      </x:c>
      <x:c r="L612" s="10"/>
      <x:c r="M612" s="10" t="str">
        <x:f>IF(COUNT(L612,K612)=2,L612-K612,"")</x:f>
      </x:c>
      <x:c r="N612" s="10" t="n">
        <x:v>2</x:v>
      </x:c>
      <x:c r="O612" s="10"/>
      <x:c r="P612" s="10" t="str">
        <x:f>IF(COUNT(O612,N612)=2,O612-N612,"")</x:f>
      </x:c>
      <x:c r="Q612" s="10" t="n">
        <x:v>9</x:v>
      </x:c>
      <x:c r="R612" s="10"/>
      <x:c r="S612" s="10" t="str">
        <x:f>IF(COUNT(R612,Q612)=2,R612-Q612,"")</x:f>
      </x:c>
      <x:c r="T612" s="10" t="n">
        <x:v>-5</x:v>
      </x:c>
      <x:c r="U612" s="10"/>
      <x:c r="V612" s="10" t="str">
        <x:f>IF(COUNT(U612,T612)=2,U612-T612,"")</x:f>
      </x:c>
      <x:c r="W612" s="10" t="n">
        <x:v>0</x:v>
      </x:c>
      <x:c r="X612" s="10" t="str">
        <x:f>IF(COUNT(AV612,AW612)=2,AV612+AW612,"")</x:f>
      </x:c>
      <x:c r="Y612" s="10" t="str">
        <x:f>IF(COUNT(X612,W612)=2,X612-W612,"")</x:f>
      </x:c>
      <x:c r="Z612" s="10" t="n">
        <x:v>0</x:v>
      </x:c>
      <x:c r="AA612" s="10" t="str">
        <x:f>IF(COUNT(AX612,AY612)=2,AX612+AY612,"")</x:f>
      </x:c>
      <x:c r="AB612" s="10" t="str">
        <x:f>IF(COUNT(AA612,Z612)=2,AA612-Z612,"")</x:f>
      </x:c>
      <x:c r="AC612" s="10" t="n">
        <x:v>57</x:v>
      </x:c>
      <x:c r="AD612" s="10"/>
      <x:c r="AE612" s="10" t="str">
        <x:f>IF(COUNT(AD612,AC612)=2,AD612-AC612,"")</x:f>
      </x:c>
      <x:c r="AF612" s="10" t="n">
        <x:v>62</x:v>
      </x:c>
      <x:c r="AG612" s="10"/>
      <x:c r="AH612" s="10" t="str">
        <x:f>IF(COUNT(AG612,AF612)=2,AG612-AF612,"")</x:f>
      </x:c>
      <x:c r="AI612" s="10" t="n">
        <x:v>74</x:v>
      </x:c>
      <x:c r="AJ612" s="10"/>
      <x:c r="AK612" s="10" t="str">
        <x:f>IF(COUNT(AJ612,AI612)=2,AJ612-AI612,"")</x:f>
      </x:c>
      <x:c r="AL612" s="10" t="n">
        <x:v>29</x:v>
      </x:c>
      <x:c r="AM612" s="10"/>
      <x:c r="AN612" s="4" t="str">
        <x:v>D</x:v>
      </x:c>
      <x:c r="AO612" s="4"/>
      <x:c r="AP612" s="4" t="str">
        <x:v>WPG</x:v>
      </x:c>
      <x:c r="AQ612" s="4"/>
      <x:c r="AR612" s="4" t="n">
        <x:v>15.940000000000001</x:v>
      </x:c>
      <x:c r="AS612" s="4"/>
      <x:c r="AT612" s="4" t="n">
        <x:v>0.1</x:v>
      </x:c>
      <x:c r="AU612" s="4"/>
      <x:c r="AV612" s="10"/>
      <x:c r="AW612" s="10"/>
      <x:c r="AX612" s="10"/>
      <x:c r="AY612" s="10"/>
      <x:c r="AZ612" s="10" t="n">
        <x:v>372</x:v>
      </x:c>
      <x:c r="BA612" s="10" t="n">
        <x:v>491</x:v>
      </x:c>
      <x:c r="BB612" s="4" t="n">
        <x:v>43.1</x:v>
      </x:c>
      <x:c r="BC612" s="4" t="n">
        <x:v>-6</x:v>
      </x:c>
      <x:c r="BD612" s="10" t="n">
        <x:v>275</x:v>
      </x:c>
      <x:c r="BE612" s="10" t="n">
        <x:v>373</x:v>
      </x:c>
      <x:c r="BF612" s="4" t="n">
        <x:v>42.4</x:v>
      </x:c>
      <x:c r="BG612" s="4" t="n">
        <x:v>-7</x:v>
      </x:c>
      <x:c r="BH612" s="4" t="n">
        <x:v>8.1</x:v>
      </x:c>
      <x:c r="BI612" s="4" t="n">
        <x:v>85.4</x:v>
      </x:c>
      <x:c r="BJ612" s="4" t="n">
        <x:v>93.5</x:v>
      </x:c>
      <x:c r="BK612" s="4" t="n">
        <x:v>51</x:v>
      </x:c>
      <x:c r="BL612" s="4" t="n">
        <x:v>49</x:v>
      </x:c>
      <x:c r="BM612" s="4" t="n">
        <x:v>13.933333333333334</x:v>
      </x:c>
      <x:c r="BN612" s="4" t="n">
        <x:v>12.383333333333333</x:v>
      </x:c>
      <x:c r="BO612" s="10" t="n">
        <x:v>8</x:v>
      </x:c>
      <x:c r="BP612" s="10" t="n">
        <x:v>28</x:v>
      </x:c>
      <x:c r="BQ612" s="4" t="n">
        <x:v>-7.2</x:v>
      </x:c>
      <x:c r="BR612" s="10" t="n">
        <x:v>70</x:v>
      </x:c>
      <x:c r="BS612" s="4" t="n">
        <x:v>37.1</x:v>
      </x:c>
      <x:c r="BT612" s="10" t="n">
        <x:v>38</x:v>
      </x:c>
      <x:c r="BU612" s="4" t="str">
        <x:v>WPG</x:v>
      </x:c>
      <x:c r="BV612" s="10" t="n">
        <x:v>708</x:v>
      </x:c>
      <x:c r="BW612" s="10"/>
      <x:c r="BX612" s="10" t="n">
        <x:v>296</x:v>
      </x:c>
      <x:c r="BY612" s="4" t="str">
        <x:v>Haydn Fleury</x:v>
      </x:c>
      <x:c r="BZ612" s="4"/>
      <x:c r="CA612" s="4" t="str">
        <x:v>Haydn Fleury</x:v>
      </x:c>
      <x:c r="CB612" s="4" t="str">
        <x:v>fleurha01</x:v>
      </x:c>
    </x:row>
    <x:row r="613" ht="22" customHeight="1">
      <x:c r="A613" s="4" t="str">
        <x:v>Hendrix Lapierre</x:v>
      </x:c>
      <x:c r="B613" s="4" t="str">
        <x:v>hendrixlapierre</x:v>
      </x:c>
      <x:c r="C613" s="10" t="n">
        <x:v>1</x:v>
      </x:c>
      <x:c r="D613" s="10" t="n">
        <x:v>0</x:v>
      </x:c>
      <x:c r="E613" s="10" t="n">
        <x:v>1</x:v>
      </x:c>
      <x:c r="F613" s="4" t="n">
        <x:f>IF(COUNT(N613,Q613,T613,W613,Z613,AC613,AF613,AI613)=8,N613*Guide!$E$5+Q613*Guide!$E$6+T613*Guide!$E$7+W613*Guide!$E$8+Z613*Guide!$E$9+AC613*Guide!$E$10+AF613*Guide!$E$11+AI613*Guide!$E$12,"")</x:f>
        <x:v>194.75</x:v>
      </x:c>
      <x:c r="G613" s="4" t="str">
        <x:f>IF(COUNT(O613,R613,U613,X613,AA613,AD613,AG613,AJ613)=8,O613*Guide!$E$5+R613*Guide!$E$6+U613*Guide!$E$7+X613*Guide!$E$8+AA613*Guide!$E$9+AD613*Guide!$E$10+AG613*Guide!$E$11+AJ613*Guide!$E$12,"")</x:f>
      </x:c>
      <x:c r="H613" s="4" t="str">
        <x:f>IF(COUNT(G613,F613)=2,G613-F613,"")</x:f>
      </x:c>
      <x:c r="I613" s="4" t="n">
        <x:f>IF(AND(ISNUMBER(F613),K613&gt;0),F613/K613,"")</x:f>
        <x:v>2.5966666666666667</x:v>
      </x:c>
      <x:c r="J613" s="4" t="str">
        <x:f>IF(AND(ISNUMBER(G613),L613&gt;0),G613/L613,"")</x:f>
      </x:c>
      <x:c r="K613" s="10" t="n">
        <x:v>75</x:v>
      </x:c>
      <x:c r="L613" s="10"/>
      <x:c r="M613" s="10" t="str">
        <x:f>IF(COUNT(L613,K613)=2,L613-K613,"")</x:f>
      </x:c>
      <x:c r="N613" s="10" t="n">
        <x:v>13</x:v>
      </x:c>
      <x:c r="O613" s="10"/>
      <x:c r="P613" s="10" t="str">
        <x:f>IF(COUNT(O613,N613)=2,O613-N613,"")</x:f>
      </x:c>
      <x:c r="Q613" s="10" t="n">
        <x:v>23</x:v>
      </x:c>
      <x:c r="R613" s="10"/>
      <x:c r="S613" s="10" t="str">
        <x:f>IF(COUNT(R613,Q613)=2,R613-Q613,"")</x:f>
      </x:c>
      <x:c r="T613" s="10" t="n">
        <x:v>-4</x:v>
      </x:c>
      <x:c r="U613" s="10"/>
      <x:c r="V613" s="10" t="str">
        <x:f>IF(COUNT(U613,T613)=2,U613-T613,"")</x:f>
      </x:c>
      <x:c r="W613" s="10" t="n">
        <x:v>5</x:v>
      </x:c>
      <x:c r="X613" s="10" t="str">
        <x:f>IF(COUNT(AV613,AW613)=2,AV613+AW613,"")</x:f>
      </x:c>
      <x:c r="Y613" s="10" t="str">
        <x:f>IF(COUNT(X613,W613)=2,X613-W613,"")</x:f>
      </x:c>
      <x:c r="Z613" s="10" t="n">
        <x:v>0</x:v>
      </x:c>
      <x:c r="AA613" s="10" t="str">
        <x:f>IF(COUNT(AX613,AY613)=2,AX613+AY613,"")</x:f>
      </x:c>
      <x:c r="AB613" s="10" t="str">
        <x:f>IF(COUNT(AA613,Z613)=2,AA613-Z613,"")</x:f>
      </x:c>
      <x:c r="AC613" s="10" t="n">
        <x:v>91</x:v>
      </x:c>
      <x:c r="AD613" s="10"/>
      <x:c r="AE613" s="10" t="str">
        <x:f>IF(COUNT(AD613,AC613)=2,AD613-AC613,"")</x:f>
      </x:c>
      <x:c r="AF613" s="10" t="n">
        <x:v>47</x:v>
      </x:c>
      <x:c r="AG613" s="10"/>
      <x:c r="AH613" s="10" t="str">
        <x:f>IF(COUNT(AG613,AF613)=2,AG613-AF613,"")</x:f>
      </x:c>
      <x:c r="AI613" s="10" t="n">
        <x:v>51</x:v>
      </x:c>
      <x:c r="AJ613" s="10"/>
      <x:c r="AK613" s="10" t="str">
        <x:f>IF(COUNT(AJ613,AI613)=2,AJ613-AI613,"")</x:f>
      </x:c>
      <x:c r="AL613" s="10" t="n">
        <x:v>23</x:v>
      </x:c>
      <x:c r="AM613" s="10"/>
      <x:c r="AN613" s="4" t="str">
        <x:v>C</x:v>
      </x:c>
      <x:c r="AO613" s="4"/>
      <x:c r="AP613" s="4" t="str">
        <x:v>WSH</x:v>
      </x:c>
      <x:c r="AQ613" s="4"/>
      <x:c r="AR613" s="4" t="n">
        <x:v>13.81</x:v>
      </x:c>
      <x:c r="AS613" s="4"/>
      <x:c r="AT613" s="4" t="n">
        <x:v>0.81</x:v>
      </x:c>
      <x:c r="AU613" s="4"/>
      <x:c r="AV613" s="10"/>
      <x:c r="AW613" s="10"/>
      <x:c r="AX613" s="10"/>
      <x:c r="AY613" s="10"/>
      <x:c r="AZ613" s="10" t="n">
        <x:v>648</x:v>
      </x:c>
      <x:c r="BA613" s="10" t="n">
        <x:v>571</x:v>
      </x:c>
      <x:c r="BB613" s="4" t="n">
        <x:v>53.2</x:v>
      </x:c>
      <x:c r="BC613" s="4" t="n">
        <x:v>4.2</x:v>
      </x:c>
      <x:c r="BD613" s="10" t="n">
        <x:v>452</x:v>
      </x:c>
      <x:c r="BE613" s="10" t="n">
        <x:v>387</x:v>
      </x:c>
      <x:c r="BF613" s="4" t="n">
        <x:v>53.9</x:v>
      </x:c>
      <x:c r="BG613" s="4" t="n">
        <x:v>4</x:v>
      </x:c>
      <x:c r="BH613" s="4" t="n">
        <x:v>9.3</x:v>
      </x:c>
      <x:c r="BI613" s="4" t="n">
        <x:v>90.3</x:v>
      </x:c>
      <x:c r="BJ613" s="4" t="n">
        <x:v>99.6</x:v>
      </x:c>
      <x:c r="BK613" s="4" t="n">
        <x:v>50.6</x:v>
      </x:c>
      <x:c r="BL613" s="4" t="n">
        <x:v>49.4</x:v>
      </x:c>
      <x:c r="BM613" s="4" t="n">
        <x:v>8.833333333333334</x:v>
      </x:c>
      <x:c r="BN613" s="4" t="n">
        <x:v>8.7</x:v>
      </x:c>
      <x:c r="BO613" s="10" t="n">
        <x:v>7</x:v>
      </x:c>
      <x:c r="BP613" s="10" t="n">
        <x:v>34</x:v>
      </x:c>
      <x:c r="BQ613" s="4" t="n">
        <x:v>6.1</x:v>
      </x:c>
      <x:c r="BR613" s="10" t="n">
        <x:v>104</x:v>
      </x:c>
      <x:c r="BS613" s="4" t="n">
        <x:v>51</x:v>
      </x:c>
      <x:c r="BT613" s="10" t="n">
        <x:v>74</x:v>
      </x:c>
      <x:c r="BU613" s="4" t="str">
        <x:v>WSH</x:v>
      </x:c>
      <x:c r="BV613" s="10" t="n">
        <x:v>300</x:v>
      </x:c>
      <x:c r="BW613" s="10"/>
      <x:c r="BX613" s="10" t="n">
        <x:v>573</x:v>
      </x:c>
      <x:c r="BY613" s="4" t="str">
        <x:v>Hendrix Lapierre</x:v>
      </x:c>
      <x:c r="BZ613" s="4"/>
      <x:c r="CA613" s="4" t="str">
        <x:v>Hendrix Lapierre</x:v>
      </x:c>
      <x:c r="CB613" s="4" t="str">
        <x:v>lapiehe01</x:v>
      </x:c>
    </x:row>
    <x:row r="614" ht="22" customHeight="1">
      <x:c r="A614" s="4" t="str">
        <x:v>Henri Jokiharju</x:v>
      </x:c>
      <x:c r="B614" s="4" t="str">
        <x:v>henrijokiharju</x:v>
      </x:c>
      <x:c r="C614" s="10" t="n">
        <x:v>1</x:v>
      </x:c>
      <x:c r="D614" s="10" t="n">
        <x:v>0</x:v>
      </x:c>
      <x:c r="E614" s="10" t="n">
        <x:v>1</x:v>
      </x:c>
      <x:c r="F614" s="4" t="n">
        <x:f>IF(COUNT(N614,Q614,T614,W614,Z614,AC614,AF614,AI614)=8,N614*Guide!$E$5+Q614*Guide!$E$6+T614*Guide!$E$7+W614*Guide!$E$8+Z614*Guide!$E$9+AC614*Guide!$E$10+AF614*Guide!$E$11+AI614*Guide!$E$12,"")</x:f>
        <x:v>131.75</x:v>
      </x:c>
      <x:c r="G614" s="4" t="str">
        <x:f>IF(COUNT(O614,R614,U614,X614,AA614,AD614,AG614,AJ614)=8,O614*Guide!$E$5+R614*Guide!$E$6+U614*Guide!$E$7+X614*Guide!$E$8+AA614*Guide!$E$9+AD614*Guide!$E$10+AG614*Guide!$E$11+AJ614*Guide!$E$12,"")</x:f>
      </x:c>
      <x:c r="H614" s="4" t="str">
        <x:f>IF(COUNT(G614,F614)=2,G614-F614,"")</x:f>
      </x:c>
      <x:c r="I614" s="4" t="n">
        <x:f>IF(AND(ISNUMBER(F614),K614&gt;0),F614/K614,"")</x:f>
        <x:v>1.996212121212121</x:v>
      </x:c>
      <x:c r="J614" s="4" t="str">
        <x:f>IF(AND(ISNUMBER(G614),L614&gt;0),G614/L614,"")</x:f>
      </x:c>
      <x:c r="K614" s="10" t="n">
        <x:v>66</x:v>
      </x:c>
      <x:c r="L614" s="10"/>
      <x:c r="M614" s="10" t="str">
        <x:f>IF(COUNT(L614,K614)=2,L614-K614,"")</x:f>
      </x:c>
      <x:c r="N614" s="10" t="n">
        <x:v>3</x:v>
      </x:c>
      <x:c r="O614" s="10"/>
      <x:c r="P614" s="10" t="str">
        <x:f>IF(COUNT(O614,N614)=2,O614-N614,"")</x:f>
      </x:c>
      <x:c r="Q614" s="10" t="n">
        <x:v>12</x:v>
      </x:c>
      <x:c r="R614" s="10"/>
      <x:c r="S614" s="10" t="str">
        <x:f>IF(COUNT(R614,Q614)=2,R614-Q614,"")</x:f>
      </x:c>
      <x:c r="T614" s="10" t="n">
        <x:v>2</x:v>
      </x:c>
      <x:c r="U614" s="10"/>
      <x:c r="V614" s="10" t="str">
        <x:f>IF(COUNT(U614,T614)=2,U614-T614,"")</x:f>
      </x:c>
      <x:c r="W614" s="10" t="n">
        <x:v>2</x:v>
      </x:c>
      <x:c r="X614" s="10" t="str">
        <x:f>IF(COUNT(AV614,AW614)=2,AV614+AW614,"")</x:f>
      </x:c>
      <x:c r="Y614" s="10" t="str">
        <x:f>IF(COUNT(X614,W614)=2,X614-W614,"")</x:f>
      </x:c>
      <x:c r="Z614" s="10" t="n">
        <x:v>0</x:v>
      </x:c>
      <x:c r="AA614" s="10" t="str">
        <x:f>IF(COUNT(AX614,AY614)=2,AX614+AY614,"")</x:f>
      </x:c>
      <x:c r="AB614" s="10" t="str">
        <x:f>IF(COUNT(AA614,Z614)=2,AA614-Z614,"")</x:f>
      </x:c>
      <x:c r="AC614" s="10" t="n">
        <x:v>71</x:v>
      </x:c>
      <x:c r="AD614" s="10"/>
      <x:c r="AE614" s="10" t="str">
        <x:f>IF(COUNT(AD614,AC614)=2,AD614-AC614,"")</x:f>
      </x:c>
      <x:c r="AF614" s="10" t="n">
        <x:v>53</x:v>
      </x:c>
      <x:c r="AG614" s="10"/>
      <x:c r="AH614" s="10" t="str">
        <x:f>IF(COUNT(AG614,AF614)=2,AG614-AF614,"")</x:f>
      </x:c>
      <x:c r="AI614" s="10" t="n">
        <x:v>65</x:v>
      </x:c>
      <x:c r="AJ614" s="10"/>
      <x:c r="AK614" s="10" t="str">
        <x:f>IF(COUNT(AJ614,AI614)=2,AJ614-AI614,"")</x:f>
      </x:c>
      <x:c r="AL614" s="10" t="n">
        <x:v>26</x:v>
      </x:c>
      <x:c r="AM614" s="10"/>
      <x:c r="AN614" s="4" t="str">
        <x:v>D</x:v>
      </x:c>
      <x:c r="AO614" s="4"/>
      <x:c r="AP614" s="4" t="str">
        <x:v>BOS</x:v>
      </x:c>
      <x:c r="AQ614" s="4"/>
      <x:c r="AR614" s="4" t="n">
        <x:v>18.11</x:v>
      </x:c>
      <x:c r="AS614" s="4"/>
      <x:c r="AT614" s="4" t="n">
        <x:v>0.34</x:v>
      </x:c>
      <x:c r="AU614" s="4"/>
      <x:c r="AV614" s="10"/>
      <x:c r="AW614" s="10"/>
      <x:c r="AX614" s="10"/>
      <x:c r="AY614" s="10"/>
      <x:c r="AZ614" s="10" t="n">
        <x:v>650</x:v>
      </x:c>
      <x:c r="BA614" s="10" t="n">
        <x:v>642</x:v>
      </x:c>
      <x:c r="BB614" s="4" t="n">
        <x:v>50.3</x:v>
      </x:c>
      <x:c r="BC614" s="4" t="n">
        <x:v>2.3</x:v>
      </x:c>
      <x:c r="BD614" s="10" t="n">
        <x:v>471</x:v>
      </x:c>
      <x:c r="BE614" s="10" t="n">
        <x:v>461</x:v>
      </x:c>
      <x:c r="BF614" s="4" t="n">
        <x:v>50.5</x:v>
      </x:c>
      <x:c r="BG614" s="4" t="n">
        <x:v>1.9</x:v>
      </x:c>
      <x:c r="BH614" s="4" t="n">
        <x:v>11.8</x:v>
      </x:c>
      <x:c r="BI614" s="4" t="n">
        <x:v>88.9</x:v>
      </x:c>
      <x:c r="BJ614" s="4" t="n">
        <x:v>100.7</x:v>
      </x:c>
      <x:c r="BK614" s="4" t="n">
        <x:v>43.2</x:v>
      </x:c>
      <x:c r="BL614" s="4" t="n">
        <x:v>56.8</x:v>
      </x:c>
      <x:c r="BM614" s="4" t="n">
        <x:v>17.8</x:v>
      </x:c>
      <x:c r="BN614" s="4" t="n">
        <x:v>16.3</x:v>
      </x:c>
      <x:c r="BO614" s="10" t="n">
        <x:v>6</x:v>
      </x:c>
      <x:c r="BP614" s="10" t="n">
        <x:v>48</x:v>
      </x:c>
      <x:c r="BQ614" s="4" t="n">
        <x:v>-1.5</x:v>
      </x:c>
      <x:c r="BR614" s="10" t="n">
        <x:v>109</x:v>
      </x:c>
      <x:c r="BS614" s="4" t="n">
        <x:v>36.7</x:v>
      </x:c>
      <x:c r="BT614" s="10" t="n">
        <x:v>41</x:v>
      </x:c>
      <x:c r="BU614" s="4" t="str">
        <x:v>BOS</x:v>
      </x:c>
      <x:c r="BV614" s="10" t="n">
        <x:v>630</x:v>
      </x:c>
      <x:c r="BW614" s="10"/>
      <x:c r="BX614" s="10" t="n">
        <x:v>472</x:v>
      </x:c>
      <x:c r="BY614" s="4" t="str">
        <x:v>Henri Jokiharju</x:v>
      </x:c>
      <x:c r="BZ614" s="4"/>
      <x:c r="CA614" s="4" t="str">
        <x:v>Henri Jokiharju</x:v>
      </x:c>
      <x:c r="CB614" s="4" t="str">
        <x:v>jokihhe01</x:v>
      </x:c>
    </x:row>
    <x:row r="615" ht="22" customHeight="1">
      <x:c r="A615" s="4" t="str">
        <x:v>Henry Thrun</x:v>
      </x:c>
      <x:c r="B615" s="4" t="str">
        <x:v>henrythrun</x:v>
      </x:c>
      <x:c r="C615" s="10" t="n">
        <x:v>1</x:v>
      </x:c>
      <x:c r="D615" s="10" t="n">
        <x:v>0</x:v>
      </x:c>
      <x:c r="E615" s="10" t="n">
        <x:v>1</x:v>
      </x:c>
      <x:c r="F615" s="4" t="n">
        <x:f>IF(COUNT(N615,Q615,T615,W615,Z615,AC615,AF615,AI615)=8,N615*Guide!$E$5+Q615*Guide!$E$6+T615*Guide!$E$7+W615*Guide!$E$8+Z615*Guide!$E$9+AC615*Guide!$E$10+AF615*Guide!$E$11+AI615*Guide!$E$12,"")</x:f>
        <x:v>118.5</x:v>
      </x:c>
      <x:c r="G615" s="4" t="str">
        <x:f>IF(COUNT(O615,R615,U615,X615,AA615,AD615,AG615,AJ615)=8,O615*Guide!$E$5+R615*Guide!$E$6+U615*Guide!$E$7+X615*Guide!$E$8+AA615*Guide!$E$9+AD615*Guide!$E$10+AG615*Guide!$E$11+AJ615*Guide!$E$12,"")</x:f>
      </x:c>
      <x:c r="H615" s="4" t="str">
        <x:f>IF(COUNT(G615,F615)=2,G615-F615,"")</x:f>
      </x:c>
      <x:c r="I615" s="4" t="n">
        <x:f>IF(AND(ISNUMBER(F615),K615&gt;0),F615/K615,"")</x:f>
        <x:v>1.6928571428571428</x:v>
      </x:c>
      <x:c r="J615" s="4" t="str">
        <x:f>IF(AND(ISNUMBER(G615),L615&gt;0),G615/L615,"")</x:f>
      </x:c>
      <x:c r="K615" s="10" t="n">
        <x:v>70</x:v>
      </x:c>
      <x:c r="L615" s="10"/>
      <x:c r="M615" s="10" t="str">
        <x:f>IF(COUNT(L615,K615)=2,L615-K615,"")</x:f>
      </x:c>
      <x:c r="N615" s="10" t="n">
        <x:v>3</x:v>
      </x:c>
      <x:c r="O615" s="10"/>
      <x:c r="P615" s="10" t="str">
        <x:f>IF(COUNT(O615,N615)=2,O615-N615,"")</x:f>
      </x:c>
      <x:c r="Q615" s="10" t="n">
        <x:v>13</x:v>
      </x:c>
      <x:c r="R615" s="10"/>
      <x:c r="S615" s="10" t="str">
        <x:f>IF(COUNT(R615,Q615)=2,R615-Q615,"")</x:f>
      </x:c>
      <x:c r="T615" s="10" t="n">
        <x:v>-21</x:v>
      </x:c>
      <x:c r="U615" s="10"/>
      <x:c r="V615" s="10" t="str">
        <x:f>IF(COUNT(U615,T615)=2,U615-T615,"")</x:f>
      </x:c>
      <x:c r="W615" s="10" t="n">
        <x:v>1</x:v>
      </x:c>
      <x:c r="X615" s="10" t="str">
        <x:f>IF(COUNT(AV615,AW615)=2,AV615+AW615,"")</x:f>
      </x:c>
      <x:c r="Y615" s="10" t="str">
        <x:f>IF(COUNT(X615,W615)=2,X615-W615,"")</x:f>
      </x:c>
      <x:c r="Z615" s="10" t="n">
        <x:v>0</x:v>
      </x:c>
      <x:c r="AA615" s="10" t="str">
        <x:f>IF(COUNT(AX615,AY615)=2,AX615+AY615,"")</x:f>
      </x:c>
      <x:c r="AB615" s="10" t="str">
        <x:f>IF(COUNT(AA615,Z615)=2,AA615-Z615,"")</x:f>
      </x:c>
      <x:c r="AC615" s="10" t="n">
        <x:v>62</x:v>
      </x:c>
      <x:c r="AD615" s="10"/>
      <x:c r="AE615" s="10" t="str">
        <x:f>IF(COUNT(AD615,AC615)=2,AD615-AC615,"")</x:f>
      </x:c>
      <x:c r="AF615" s="10" t="n">
        <x:v>45</x:v>
      </x:c>
      <x:c r="AG615" s="10"/>
      <x:c r="AH615" s="10" t="str">
        <x:f>IF(COUNT(AG615,AF615)=2,AG615-AF615,"")</x:f>
      </x:c>
      <x:c r="AI615" s="10" t="n">
        <x:v>81</x:v>
      </x:c>
      <x:c r="AJ615" s="10"/>
      <x:c r="AK615" s="10" t="str">
        <x:f>IF(COUNT(AJ615,AI615)=2,AJ615-AI615,"")</x:f>
      </x:c>
      <x:c r="AL615" s="10" t="n">
        <x:v>24</x:v>
      </x:c>
      <x:c r="AM615" s="10"/>
      <x:c r="AN615" s="4" t="str">
        <x:v>D</x:v>
      </x:c>
      <x:c r="AO615" s="4"/>
      <x:c r="AP615" s="4" t="str">
        <x:v>TOR</x:v>
      </x:c>
      <x:c r="AQ615" s="4"/>
      <x:c r="AR615" s="4" t="n">
        <x:v>17.93</x:v>
      </x:c>
      <x:c r="AS615" s="4"/>
      <x:c r="AT615" s="4" t="n">
        <x:v>0.34</x:v>
      </x:c>
      <x:c r="AU615" s="4"/>
      <x:c r="AV615" s="10"/>
      <x:c r="AW615" s="10"/>
      <x:c r="AX615" s="10"/>
      <x:c r="AY615" s="10"/>
      <x:c r="AZ615" s="10" t="n">
        <x:v>37</x:v>
      </x:c>
      <x:c r="BA615" s="10" t="n">
        <x:v>52</x:v>
      </x:c>
      <x:c r="BB615" s="4" t="n">
        <x:v>41.6</x:v>
      </x:c>
      <x:c r="BC615" s="4" t="n">
        <x:v>-5.4</x:v>
      </x:c>
      <x:c r="BD615" s="10" t="n">
        <x:v>28</x:v>
      </x:c>
      <x:c r="BE615" s="10" t="n">
        <x:v>36</x:v>
      </x:c>
      <x:c r="BF615" s="4" t="n">
        <x:v>43.8</x:v>
      </x:c>
      <x:c r="BG615" s="4" t="n">
        <x:v>-3.2</x:v>
      </x:c>
      <x:c r="BH615" s="4" t="n">
        <x:v>4.8</x:v>
      </x:c>
      <x:c r="BI615" s="4" t="n">
        <x:v>91.3</x:v>
      </x:c>
      <x:c r="BJ615" s="4" t="n">
        <x:v>96.1</x:v>
      </x:c>
      <x:c r="BK615" s="4" t="n">
        <x:v>31.4</x:v>
      </x:c>
      <x:c r="BL615" s="4" t="n">
        <x:v>68.6</x:v>
      </x:c>
      <x:c r="BM615" s="4" t="n">
        <x:v>14.866666666666667</x:v>
      </x:c>
      <x:c r="BN615" s="4" t="n">
        <x:v>14.45</x:v>
      </x:c>
      <x:c r="BO615" s="10" t="n">
        <x:v>0</x:v>
      </x:c>
      <x:c r="BP615" s="10" t="n">
        <x:v>1</x:v>
      </x:c>
      <x:c r="BQ615" s="4" t="n">
        <x:v>-1</x:v>
      </x:c>
      <x:c r="BR615" s="10" t="n">
        <x:v>5</x:v>
      </x:c>
      <x:c r="BS615" s="4" t="n">
        <x:v>80</x:v>
      </x:c>
      <x:c r="BT615" s="10" t="n">
        <x:v>4</x:v>
      </x:c>
      <x:c r="BU615" s="4" t="str">
        <x:v>TOR</x:v>
      </x:c>
      <x:c r="BV615" s="10" t="n">
        <x:v>605</x:v>
      </x:c>
      <x:c r="BW615" s="10"/>
      <x:c r="BX615" s="10" t="n">
        <x:v>1015</x:v>
      </x:c>
      <x:c r="BY615" s="4" t="str">
        <x:v>Henry Thrun</x:v>
      </x:c>
      <x:c r="BZ615" s="4"/>
      <x:c r="CA615" s="4" t="str">
        <x:v>Henry Thrun</x:v>
      </x:c>
      <x:c r="CB615" s="4" t="str">
        <x:v>thrunhe01</x:v>
      </x:c>
    </x:row>
    <x:row r="616" ht="22" customHeight="1">
      <x:c r="A616" s="4" t="str">
        <x:v>Hudson Fasching</x:v>
      </x:c>
      <x:c r="B616" s="4" t="str">
        <x:v>hudsonfasching</x:v>
      </x:c>
      <x:c r="C616" s="10" t="n">
        <x:v>1</x:v>
      </x:c>
      <x:c r="D616" s="10" t="n">
        <x:v>0</x:v>
      </x:c>
      <x:c r="E616" s="10" t="n">
        <x:v>0</x:v>
      </x:c>
      <x:c r="F616" s="4" t="n">
        <x:f>IF(COUNT(N616,Q616,T616,W616,Z616,AC616,AF616,AI616)=8,N616*Guide!$E$5+Q616*Guide!$E$6+T616*Guide!$E$7+W616*Guide!$E$8+Z616*Guide!$E$9+AC616*Guide!$E$10+AF616*Guide!$E$11+AI616*Guide!$E$12,"")</x:f>
        <x:v>100.75</x:v>
      </x:c>
      <x:c r="G616" s="4" t="str">
        <x:f>IF(COUNT(O616,R616,U616,X616,AA616,AD616,AG616,AJ616)=8,O616*Guide!$E$5+R616*Guide!$E$6+U616*Guide!$E$7+X616*Guide!$E$8+AA616*Guide!$E$9+AD616*Guide!$E$10+AG616*Guide!$E$11+AJ616*Guide!$E$12,"")</x:f>
      </x:c>
      <x:c r="H616" s="4" t="str">
        <x:f>IF(COUNT(G616,F616)=2,G616-F616,"")</x:f>
      </x:c>
      <x:c r="I616" s="4" t="n">
        <x:f>IF(AND(ISNUMBER(F616),K616&gt;0),F616/K616,"")</x:f>
        <x:v>1.6791666666666667</x:v>
      </x:c>
      <x:c r="J616" s="4" t="str">
        <x:f>IF(AND(ISNUMBER(G616),L616&gt;0),G616/L616,"")</x:f>
      </x:c>
      <x:c r="K616" s="10" t="n">
        <x:v>60</x:v>
      </x:c>
      <x:c r="L616" s="10"/>
      <x:c r="M616" s="10" t="str">
        <x:f>IF(COUNT(L616,K616)=2,L616-K616,"")</x:f>
      </x:c>
      <x:c r="N616" s="10" t="n">
        <x:v>7</x:v>
      </x:c>
      <x:c r="O616" s="10"/>
      <x:c r="P616" s="10" t="str">
        <x:f>IF(COUNT(O616,N616)=2,O616-N616,"")</x:f>
      </x:c>
      <x:c r="Q616" s="10" t="n">
        <x:v>9</x:v>
      </x:c>
      <x:c r="R616" s="10"/>
      <x:c r="S616" s="10" t="str">
        <x:f>IF(COUNT(R616,Q616)=2,R616-Q616,"")</x:f>
      </x:c>
      <x:c r="T616" s="10" t="n">
        <x:v>-2</x:v>
      </x:c>
      <x:c r="U616" s="10"/>
      <x:c r="V616" s="10" t="str">
        <x:f>IF(COUNT(U616,T616)=2,U616-T616,"")</x:f>
      </x:c>
      <x:c r="W616" s="10" t="n">
        <x:v>0</x:v>
      </x:c>
      <x:c r="X616" s="10" t="str">
        <x:f>IF(COUNT(AV616,AW616)=2,AV616+AW616,"")</x:f>
      </x:c>
      <x:c r="Y616" s="10" t="str">
        <x:f>IF(COUNT(X616,W616)=2,X616-W616,"")</x:f>
      </x:c>
      <x:c r="Z616" s="10" t="n">
        <x:v>0</x:v>
      </x:c>
      <x:c r="AA616" s="10" t="str">
        <x:f>IF(COUNT(AX616,AY616)=2,AX616+AY616,"")</x:f>
      </x:c>
      <x:c r="AB616" s="10" t="str">
        <x:f>IF(COUNT(AA616,Z616)=2,AA616-Z616,"")</x:f>
      </x:c>
      <x:c r="AC616" s="10" t="n">
        <x:v>62</x:v>
      </x:c>
      <x:c r="AD616" s="10"/>
      <x:c r="AE616" s="10" t="str">
        <x:f>IF(COUNT(AD616,AC616)=2,AD616-AC616,"")</x:f>
      </x:c>
      <x:c r="AF616" s="10" t="n">
        <x:v>42</x:v>
      </x:c>
      <x:c r="AG616" s="10"/>
      <x:c r="AH616" s="10" t="str">
        <x:f>IF(COUNT(AG616,AF616)=2,AG616-AF616,"")</x:f>
      </x:c>
      <x:c r="AI616" s="10" t="n">
        <x:v>29</x:v>
      </x:c>
      <x:c r="AJ616" s="10"/>
      <x:c r="AK616" s="10" t="str">
        <x:f>IF(COUNT(AJ616,AI616)=2,AJ616-AI616,"")</x:f>
      </x:c>
      <x:c r="AL616" s="10" t="n">
        <x:v>30</x:v>
      </x:c>
      <x:c r="AM616" s="10"/>
      <x:c r="AN616" s="4" t="str">
        <x:v>RW</x:v>
      </x:c>
      <x:c r="AO616" s="4"/>
      <x:c r="AP616" s="4" t="str">
        <x:v>CBJ</x:v>
      </x:c>
      <x:c r="AQ616" s="4"/>
      <x:c r="AR616" s="4" t="n">
        <x:v>11.249999999999998</x:v>
      </x:c>
      <x:c r="AS616" s="4"/>
      <x:c r="AT616" s="4" t="n">
        <x:v>0.18</x:v>
      </x:c>
      <x:c r="AU616" s="4"/>
      <x:c r="AV616" s="10"/>
      <x:c r="AW616" s="10"/>
      <x:c r="AX616" s="10"/>
      <x:c r="AY616" s="10"/>
      <x:c r="AZ616" s="10"/>
      <x:c r="BA616" s="10"/>
      <x:c r="BB616" s="4"/>
      <x:c r="BC616" s="4"/>
      <x:c r="BD616" s="10"/>
      <x:c r="BE616" s="10"/>
      <x:c r="BF616" s="4"/>
      <x:c r="BG616" s="4"/>
      <x:c r="BH616" s="4"/>
      <x:c r="BI616" s="4"/>
      <x:c r="BJ616" s="4"/>
      <x:c r="BK616" s="4"/>
      <x:c r="BL616" s="4"/>
      <x:c r="BM616" s="4"/>
      <x:c r="BN616" s="4"/>
      <x:c r="BO616" s="10"/>
      <x:c r="BP616" s="10"/>
      <x:c r="BQ616" s="4"/>
      <x:c r="BR616" s="10"/>
      <x:c r="BS616" s="4"/>
      <x:c r="BT616" s="10"/>
      <x:c r="BU616" s="4"/>
      <x:c r="BV616" s="10" t="n">
        <x:v>617</x:v>
      </x:c>
      <x:c r="BW616" s="10"/>
      <x:c r="BX616" s="10"/>
      <x:c r="BY616" s="4" t="str">
        <x:v>Hudson Fasching</x:v>
      </x:c>
      <x:c r="BZ616" s="4"/>
      <x:c r="CA616" s="4"/>
      <x:c r="CB616" s="4"/>
    </x:row>
    <x:row r="617" ht="22" customHeight="1">
      <x:c r="A617" s="4" t="str">
        <x:v>Hugh McGing</x:v>
      </x:c>
      <x:c r="B617" s="4" t="str">
        <x:v>hughmcging</x:v>
      </x:c>
      <x:c r="C617" s="10" t="n">
        <x:v>0</x:v>
      </x:c>
      <x:c r="D617" s="10" t="n">
        <x:v>0</x:v>
      </x:c>
      <x:c r="E617" s="10" t="n">
        <x:v>1</x:v>
      </x:c>
      <x:c r="F617" s="4" t="str">
        <x:f>IF(COUNT(N617,Q617,T617,W617,Z617,AC617,AF617,AI617)=8,N617*Guide!$E$5+Q617*Guide!$E$6+T617*Guide!$E$7+W617*Guide!$E$8+Z617*Guide!$E$9+AC617*Guide!$E$10+AF617*Guide!$E$11+AI617*Guide!$E$12,"")</x:f>
      </x:c>
      <x:c r="G617" s="4" t="str">
        <x:f>IF(COUNT(O617,R617,U617,X617,AA617,AD617,AG617,AJ617)=8,O617*Guide!$E$5+R617*Guide!$E$6+U617*Guide!$E$7+X617*Guide!$E$8+AA617*Guide!$E$9+AD617*Guide!$E$10+AG617*Guide!$E$11+AJ617*Guide!$E$12,"")</x:f>
      </x:c>
      <x:c r="H617" s="4" t="str">
        <x:f>IF(COUNT(G617,F617)=2,G617-F617,"")</x:f>
      </x:c>
      <x:c r="I617" s="4" t="str">
        <x:f>IF(AND(ISNUMBER(F617),K617&gt;0),F617/K617,"")</x:f>
      </x:c>
      <x:c r="J617" s="4" t="str">
        <x:f>IF(AND(ISNUMBER(G617),L617&gt;0),G617/L617,"")</x:f>
      </x:c>
      <x:c r="K617" s="10"/>
      <x:c r="L617" s="10"/>
      <x:c r="M617" s="10" t="str">
        <x:f>IF(COUNT(L617,K617)=2,L617-K617,"")</x:f>
      </x:c>
      <x:c r="N617" s="10"/>
      <x:c r="O617" s="10"/>
      <x:c r="P617" s="10" t="str">
        <x:f>IF(COUNT(O617,N617)=2,O617-N617,"")</x:f>
      </x:c>
      <x:c r="Q617" s="10"/>
      <x:c r="R617" s="10"/>
      <x:c r="S617" s="10" t="str">
        <x:f>IF(COUNT(R617,Q617)=2,R617-Q617,"")</x:f>
      </x:c>
      <x:c r="T617" s="10"/>
      <x:c r="U617" s="10"/>
      <x:c r="V617" s="10" t="str">
        <x:f>IF(COUNT(U617,T617)=2,U617-T617,"")</x:f>
      </x:c>
      <x:c r="W617" s="10"/>
      <x:c r="X617" s="10" t="str">
        <x:f>IF(COUNT(AV617,AW617)=2,AV617+AW617,"")</x:f>
      </x:c>
      <x:c r="Y617" s="10" t="str">
        <x:f>IF(COUNT(X617,W617)=2,X617-W617,"")</x:f>
      </x:c>
      <x:c r="Z617" s="10"/>
      <x:c r="AA617" s="10" t="str">
        <x:f>IF(COUNT(AX617,AY617)=2,AX617+AY617,"")</x:f>
      </x:c>
      <x:c r="AB617" s="10" t="str">
        <x:f>IF(COUNT(AA617,Z617)=2,AA617-Z617,"")</x:f>
      </x:c>
      <x:c r="AC617" s="10"/>
      <x:c r="AD617" s="10"/>
      <x:c r="AE617" s="10" t="str">
        <x:f>IF(COUNT(AD617,AC617)=2,AD617-AC617,"")</x:f>
      </x:c>
      <x:c r="AF617" s="10"/>
      <x:c r="AG617" s="10"/>
      <x:c r="AH617" s="10" t="str">
        <x:f>IF(COUNT(AG617,AF617)=2,AG617-AF617,"")</x:f>
      </x:c>
      <x:c r="AI617" s="10"/>
      <x:c r="AJ617" s="10"/>
      <x:c r="AK617" s="10" t="str">
        <x:f>IF(COUNT(AJ617,AI617)=2,AJ617-AI617,"")</x:f>
      </x:c>
      <x:c r="AL617" s="10"/>
      <x:c r="AM617" s="10"/>
      <x:c r="AN617" s="4"/>
      <x:c r="AO617" s="4"/>
      <x:c r="AP617" s="4"/>
      <x:c r="AQ617" s="4"/>
      <x:c r="AR617" s="4"/>
      <x:c r="AS617" s="4"/>
      <x:c r="AT617" s="4"/>
      <x:c r="AU617" s="4"/>
      <x:c r="AV617" s="10"/>
      <x:c r="AW617" s="10"/>
      <x:c r="AX617" s="10"/>
      <x:c r="AY617" s="10"/>
      <x:c r="AZ617" s="10" t="n">
        <x:v>23</x:v>
      </x:c>
      <x:c r="BA617" s="10" t="n">
        <x:v>33</x:v>
      </x:c>
      <x:c r="BB617" s="4" t="n">
        <x:v>41.1</x:v>
      </x:c>
      <x:c r="BC617" s="4" t="n">
        <x:v>-6.9</x:v>
      </x:c>
      <x:c r="BD617" s="10" t="n">
        <x:v>18</x:v>
      </x:c>
      <x:c r="BE617" s="10" t="n">
        <x:v>25</x:v>
      </x:c>
      <x:c r="BF617" s="4" t="n">
        <x:v>41.9</x:v>
      </x:c>
      <x:c r="BG617" s="4" t="n">
        <x:v>-5.2</x:v>
      </x:c>
      <x:c r="BH617" s="4" t="n">
        <x:v>20</x:v>
      </x:c>
      <x:c r="BI617" s="4" t="n">
        <x:v>90</x:v>
      </x:c>
      <x:c r="BJ617" s="4" t="n">
        <x:v>110</x:v>
      </x:c>
      <x:c r="BK617" s="4" t="n">
        <x:v>57.1</x:v>
      </x:c>
      <x:c r="BL617" s="4" t="n">
        <x:v>42.9</x:v>
      </x:c>
      <x:c r="BM617" s="4" t="n">
        <x:v>10.866666666666667</x:v>
      </x:c>
      <x:c r="BN617" s="4" t="n">
        <x:v>10.433333333333334</x:v>
      </x:c>
      <x:c r="BO617" s="10" t="n">
        <x:v>1</x:v>
      </x:c>
      <x:c r="BP617" s="10" t="n">
        <x:v>2</x:v>
      </x:c>
      <x:c r="BQ617" s="4" t="n">
        <x:v>-0.7</x:v>
      </x:c>
      <x:c r="BR617" s="10" t="n">
        <x:v>5</x:v>
      </x:c>
      <x:c r="BS617" s="4" t="n">
        <x:v>80</x:v>
      </x:c>
      <x:c r="BT617" s="10" t="n">
        <x:v>3</x:v>
      </x:c>
      <x:c r="BU617" s="4" t="str">
        <x:v>STL</x:v>
      </x:c>
      <x:c r="BV617" s="10"/>
      <x:c r="BW617" s="10"/>
      <x:c r="BX617" s="10" t="n">
        <x:v>672</x:v>
      </x:c>
      <x:c r="BY617" s="4"/>
      <x:c r="BZ617" s="4"/>
      <x:c r="CA617" s="4" t="str">
        <x:v>Hugh McGing</x:v>
      </x:c>
      <x:c r="CB617" s="4" t="str">
        <x:v>mcginhu01</x:v>
      </x:c>
    </x:row>
    <x:row r="618" ht="22" customHeight="1">
      <x:c r="A618" s="4" t="str">
        <x:v>Hunter Brzustewicz</x:v>
      </x:c>
      <x:c r="B618" s="4" t="str">
        <x:v>hunterbrzustewicz</x:v>
      </x:c>
      <x:c r="C618" s="10" t="n">
        <x:v>0</x:v>
      </x:c>
      <x:c r="D618" s="10" t="n">
        <x:v>0</x:v>
      </x:c>
      <x:c r="E618" s="10" t="n">
        <x:v>1</x:v>
      </x:c>
      <x:c r="F618" s="4" t="str">
        <x:f>IF(COUNT(N618,Q618,T618,W618,Z618,AC618,AF618,AI618)=8,N618*Guide!$E$5+Q618*Guide!$E$6+T618*Guide!$E$7+W618*Guide!$E$8+Z618*Guide!$E$9+AC618*Guide!$E$10+AF618*Guide!$E$11+AI618*Guide!$E$12,"")</x:f>
      </x:c>
      <x:c r="G618" s="4" t="str">
        <x:f>IF(COUNT(O618,R618,U618,X618,AA618,AD618,AG618,AJ618)=8,O618*Guide!$E$5+R618*Guide!$E$6+U618*Guide!$E$7+X618*Guide!$E$8+AA618*Guide!$E$9+AD618*Guide!$E$10+AG618*Guide!$E$11+AJ618*Guide!$E$12,"")</x:f>
      </x:c>
      <x:c r="H618" s="4" t="str">
        <x:f>IF(COUNT(G618,F618)=2,G618-F618,"")</x:f>
      </x:c>
      <x:c r="I618" s="4" t="str">
        <x:f>IF(AND(ISNUMBER(F618),K618&gt;0),F618/K618,"")</x:f>
      </x:c>
      <x:c r="J618" s="4" t="str">
        <x:f>IF(AND(ISNUMBER(G618),L618&gt;0),G618/L618,"")</x:f>
      </x:c>
      <x:c r="K618" s="10"/>
      <x:c r="L618" s="10"/>
      <x:c r="M618" s="10" t="str">
        <x:f>IF(COUNT(L618,K618)=2,L618-K618,"")</x:f>
      </x:c>
      <x:c r="N618" s="10"/>
      <x:c r="O618" s="10"/>
      <x:c r="P618" s="10" t="str">
        <x:f>IF(COUNT(O618,N618)=2,O618-N618,"")</x:f>
      </x:c>
      <x:c r="Q618" s="10"/>
      <x:c r="R618" s="10"/>
      <x:c r="S618" s="10" t="str">
        <x:f>IF(COUNT(R618,Q618)=2,R618-Q618,"")</x:f>
      </x:c>
      <x:c r="T618" s="10"/>
      <x:c r="U618" s="10"/>
      <x:c r="V618" s="10" t="str">
        <x:f>IF(COUNT(U618,T618)=2,U618-T618,"")</x:f>
      </x:c>
      <x:c r="W618" s="10"/>
      <x:c r="X618" s="10" t="str">
        <x:f>IF(COUNT(AV618,AW618)=2,AV618+AW618,"")</x:f>
      </x:c>
      <x:c r="Y618" s="10" t="str">
        <x:f>IF(COUNT(X618,W618)=2,X618-W618,"")</x:f>
      </x:c>
      <x:c r="Z618" s="10"/>
      <x:c r="AA618" s="10" t="str">
        <x:f>IF(COUNT(AX618,AY618)=2,AX618+AY618,"")</x:f>
      </x:c>
      <x:c r="AB618" s="10" t="str">
        <x:f>IF(COUNT(AA618,Z618)=2,AA618-Z618,"")</x:f>
      </x:c>
      <x:c r="AC618" s="10"/>
      <x:c r="AD618" s="10"/>
      <x:c r="AE618" s="10" t="str">
        <x:f>IF(COUNT(AD618,AC618)=2,AD618-AC618,"")</x:f>
      </x:c>
      <x:c r="AF618" s="10"/>
      <x:c r="AG618" s="10"/>
      <x:c r="AH618" s="10" t="str">
        <x:f>IF(COUNT(AG618,AF618)=2,AG618-AF618,"")</x:f>
      </x:c>
      <x:c r="AI618" s="10"/>
      <x:c r="AJ618" s="10"/>
      <x:c r="AK618" s="10" t="str">
        <x:f>IF(COUNT(AJ618,AI618)=2,AJ618-AI618,"")</x:f>
      </x:c>
      <x:c r="AL618" s="10"/>
      <x:c r="AM618" s="10"/>
      <x:c r="AN618" s="4"/>
      <x:c r="AO618" s="4"/>
      <x:c r="AP618" s="4"/>
      <x:c r="AQ618" s="4"/>
      <x:c r="AR618" s="4"/>
      <x:c r="AS618" s="4"/>
      <x:c r="AT618" s="4"/>
      <x:c r="AU618" s="4"/>
      <x:c r="AV618" s="10"/>
      <x:c r="AW618" s="10"/>
      <x:c r="AX618" s="10"/>
      <x:c r="AY618" s="10"/>
      <x:c r="AZ618" s="10" t="n">
        <x:v>436</x:v>
      </x:c>
      <x:c r="BA618" s="10" t="n">
        <x:v>470</x:v>
      </x:c>
      <x:c r="BB618" s="4" t="n">
        <x:v>48.1</x:v>
      </x:c>
      <x:c r="BC618" s="4" t="n">
        <x:v>2.3</x:v>
      </x:c>
      <x:c r="BD618" s="10" t="n">
        <x:v>307</x:v>
      </x:c>
      <x:c r="BE618" s="10" t="n">
        <x:v>348</x:v>
      </x:c>
      <x:c r="BF618" s="4" t="n">
        <x:v>46.9</x:v>
      </x:c>
      <x:c r="BG618" s="4" t="n">
        <x:v>1.8</x:v>
      </x:c>
      <x:c r="BH618" s="4" t="n">
        <x:v>9.8</x:v>
      </x:c>
      <x:c r="BI618" s="4" t="n">
        <x:v>90.5</x:v>
      </x:c>
      <x:c r="BJ618" s="4" t="n">
        <x:v>100.4</x:v>
      </x:c>
      <x:c r="BK618" s="4" t="n">
        <x:v>56.6</x:v>
      </x:c>
      <x:c r="BL618" s="4" t="n">
        <x:v>43.4</x:v>
      </x:c>
      <x:c r="BM618" s="4" t="n">
        <x:v>16.133333333333333</x:v>
      </x:c>
      <x:c r="BN618" s="4" t="n">
        <x:v>14.966666666666667</x:v>
      </x:c>
      <x:c r="BO618" s="10" t="n">
        <x:v>5</x:v>
      </x:c>
      <x:c r="BP618" s="10" t="n">
        <x:v>26</x:v>
      </x:c>
      <x:c r="BQ618" s="4" t="n">
        <x:v>-3.8</x:v>
      </x:c>
      <x:c r="BR618" s="10" t="n">
        <x:v>76</x:v>
      </x:c>
      <x:c r="BS618" s="4" t="n">
        <x:v>43.4</x:v>
      </x:c>
      <x:c r="BT618" s="10" t="n">
        <x:v>34</x:v>
      </x:c>
      <x:c r="BU618" s="4" t="str">
        <x:v>CGY</x:v>
      </x:c>
      <x:c r="BV618" s="10"/>
      <x:c r="BW618" s="10"/>
      <x:c r="BX618" s="10" t="n">
        <x:v>106</x:v>
      </x:c>
      <x:c r="BY618" s="4"/>
      <x:c r="BZ618" s="4"/>
      <x:c r="CA618" s="4" t="str">
        <x:v>Hunter Brzustewicz</x:v>
      </x:c>
      <x:c r="CB618" s="4" t="str">
        <x:v>brzushu01</x:v>
      </x:c>
    </x:row>
    <x:row r="619" ht="22" customHeight="1">
      <x:c r="A619" s="4" t="str">
        <x:v>Hunter Haight</x:v>
      </x:c>
      <x:c r="B619" s="4" t="str">
        <x:v>hunterhaight</x:v>
      </x:c>
      <x:c r="C619" s="10" t="n">
        <x:v>0</x:v>
      </x:c>
      <x:c r="D619" s="10" t="n">
        <x:v>0</x:v>
      </x:c>
      <x:c r="E619" s="10" t="n">
        <x:v>1</x:v>
      </x:c>
      <x:c r="F619" s="4" t="str">
        <x:f>IF(COUNT(N619,Q619,T619,W619,Z619,AC619,AF619,AI619)=8,N619*Guide!$E$5+Q619*Guide!$E$6+T619*Guide!$E$7+W619*Guide!$E$8+Z619*Guide!$E$9+AC619*Guide!$E$10+AF619*Guide!$E$11+AI619*Guide!$E$12,"")</x:f>
      </x:c>
      <x:c r="G619" s="4" t="str">
        <x:f>IF(COUNT(O619,R619,U619,X619,AA619,AD619,AG619,AJ619)=8,O619*Guide!$E$5+R619*Guide!$E$6+U619*Guide!$E$7+X619*Guide!$E$8+AA619*Guide!$E$9+AD619*Guide!$E$10+AG619*Guide!$E$11+AJ619*Guide!$E$12,"")</x:f>
      </x:c>
      <x:c r="H619" s="4" t="str">
        <x:f>IF(COUNT(G619,F619)=2,G619-F619,"")</x:f>
      </x:c>
      <x:c r="I619" s="4" t="str">
        <x:f>IF(AND(ISNUMBER(F619),K619&gt;0),F619/K619,"")</x:f>
      </x:c>
      <x:c r="J619" s="4" t="str">
        <x:f>IF(AND(ISNUMBER(G619),L619&gt;0),G619/L619,"")</x:f>
      </x:c>
      <x:c r="K619" s="10"/>
      <x:c r="L619" s="10"/>
      <x:c r="M619" s="10" t="str">
        <x:f>IF(COUNT(L619,K619)=2,L619-K619,"")</x:f>
      </x:c>
      <x:c r="N619" s="10"/>
      <x:c r="O619" s="10"/>
      <x:c r="P619" s="10" t="str">
        <x:f>IF(COUNT(O619,N619)=2,O619-N619,"")</x:f>
      </x:c>
      <x:c r="Q619" s="10"/>
      <x:c r="R619" s="10"/>
      <x:c r="S619" s="10" t="str">
        <x:f>IF(COUNT(R619,Q619)=2,R619-Q619,"")</x:f>
      </x:c>
      <x:c r="T619" s="10"/>
      <x:c r="U619" s="10"/>
      <x:c r="V619" s="10" t="str">
        <x:f>IF(COUNT(U619,T619)=2,U619-T619,"")</x:f>
      </x:c>
      <x:c r="W619" s="10"/>
      <x:c r="X619" s="10" t="str">
        <x:f>IF(COUNT(AV619,AW619)=2,AV619+AW619,"")</x:f>
      </x:c>
      <x:c r="Y619" s="10" t="str">
        <x:f>IF(COUNT(X619,W619)=2,X619-W619,"")</x:f>
      </x:c>
      <x:c r="Z619" s="10"/>
      <x:c r="AA619" s="10" t="str">
        <x:f>IF(COUNT(AX619,AY619)=2,AX619+AY619,"")</x:f>
      </x:c>
      <x:c r="AB619" s="10" t="str">
        <x:f>IF(COUNT(AA619,Z619)=2,AA619-Z619,"")</x:f>
      </x:c>
      <x:c r="AC619" s="10"/>
      <x:c r="AD619" s="10"/>
      <x:c r="AE619" s="10" t="str">
        <x:f>IF(COUNT(AD619,AC619)=2,AD619-AC619,"")</x:f>
      </x:c>
      <x:c r="AF619" s="10"/>
      <x:c r="AG619" s="10"/>
      <x:c r="AH619" s="10" t="str">
        <x:f>IF(COUNT(AG619,AF619)=2,AG619-AF619,"")</x:f>
      </x:c>
      <x:c r="AI619" s="10"/>
      <x:c r="AJ619" s="10"/>
      <x:c r="AK619" s="10" t="str">
        <x:f>IF(COUNT(AJ619,AI619)=2,AJ619-AI619,"")</x:f>
      </x:c>
      <x:c r="AL619" s="10"/>
      <x:c r="AM619" s="10"/>
      <x:c r="AN619" s="4"/>
      <x:c r="AO619" s="4"/>
      <x:c r="AP619" s="4"/>
      <x:c r="AQ619" s="4"/>
      <x:c r="AR619" s="4"/>
      <x:c r="AS619" s="4"/>
      <x:c r="AT619" s="4"/>
      <x:c r="AU619" s="4"/>
      <x:c r="AV619" s="10"/>
      <x:c r="AW619" s="10"/>
      <x:c r="AX619" s="10"/>
      <x:c r="AY619" s="10"/>
      <x:c r="AZ619" s="10" t="n">
        <x:v>86</x:v>
      </x:c>
      <x:c r="BA619" s="10" t="n">
        <x:v>101</x:v>
      </x:c>
      <x:c r="BB619" s="4" t="n">
        <x:v>46</x:v>
      </x:c>
      <x:c r="BC619" s="4" t="n">
        <x:v>-3.6</x:v>
      </x:c>
      <x:c r="BD619" s="10" t="n">
        <x:v>65</x:v>
      </x:c>
      <x:c r="BE619" s="10" t="n">
        <x:v>70</x:v>
      </x:c>
      <x:c r="BF619" s="4" t="n">
        <x:v>48.1</x:v>
      </x:c>
      <x:c r="BG619" s="4" t="n">
        <x:v>-3.7</x:v>
      </x:c>
      <x:c r="BH619" s="4" t="n">
        <x:v>4.1</x:v>
      </x:c>
      <x:c r="BI619" s="4" t="n">
        <x:v>82.9</x:v>
      </x:c>
      <x:c r="BJ619" s="4" t="n">
        <x:v>87</x:v>
      </x:c>
      <x:c r="BK619" s="4" t="n">
        <x:v>60.8</x:v>
      </x:c>
      <x:c r="BL619" s="4" t="n">
        <x:v>39.2</x:v>
      </x:c>
      <x:c r="BM619" s="4" t="n">
        <x:v>10.833333333333334</x:v>
      </x:c>
      <x:c r="BN619" s="4" t="n">
        <x:v>10.383333333333333</x:v>
      </x:c>
      <x:c r="BO619" s="10" t="n">
        <x:v>1</x:v>
      </x:c>
      <x:c r="BP619" s="10" t="n">
        <x:v>4</x:v>
      </x:c>
      <x:c r="BQ619" s="4" t="n">
        <x:v>-0.4</x:v>
      </x:c>
      <x:c r="BR619" s="10" t="n">
        <x:v>19</x:v>
      </x:c>
      <x:c r="BS619" s="4" t="n">
        <x:v>68.4</x:v>
      </x:c>
      <x:c r="BT619" s="10" t="n">
        <x:v>9</x:v>
      </x:c>
      <x:c r="BU619" s="4" t="str">
        <x:v>MIN</x:v>
      </x:c>
      <x:c r="BV619" s="10"/>
      <x:c r="BW619" s="10"/>
      <x:c r="BX619" s="10" t="n">
        <x:v>378</x:v>
      </x:c>
      <x:c r="BY619" s="4"/>
      <x:c r="BZ619" s="4"/>
      <x:c r="CA619" s="4" t="str">
        <x:v>Hunter Haight</x:v>
      </x:c>
      <x:c r="CB619" s="4" t="str">
        <x:v>haighhu01</x:v>
      </x:c>
    </x:row>
    <x:row r="620" ht="22" customHeight="1">
      <x:c r="A620" s="4" t="str">
        <x:v>Hunter Mcdonald</x:v>
      </x:c>
      <x:c r="B620" s="4" t="str">
        <x:v>huntermcdonald</x:v>
      </x:c>
      <x:c r="C620" s="10" t="n">
        <x:v>0</x:v>
      </x:c>
      <x:c r="D620" s="10" t="n">
        <x:v>0</x:v>
      </x:c>
      <x:c r="E620" s="10" t="n">
        <x:v>1</x:v>
      </x:c>
      <x:c r="F620" s="4" t="str">
        <x:f>IF(COUNT(N620,Q620,T620,W620,Z620,AC620,AF620,AI620)=8,N620*Guide!$E$5+Q620*Guide!$E$6+T620*Guide!$E$7+W620*Guide!$E$8+Z620*Guide!$E$9+AC620*Guide!$E$10+AF620*Guide!$E$11+AI620*Guide!$E$12,"")</x:f>
      </x:c>
      <x:c r="G620" s="4" t="str">
        <x:f>IF(COUNT(O620,R620,U620,X620,AA620,AD620,AG620,AJ620)=8,O620*Guide!$E$5+R620*Guide!$E$6+U620*Guide!$E$7+X620*Guide!$E$8+AA620*Guide!$E$9+AD620*Guide!$E$10+AG620*Guide!$E$11+AJ620*Guide!$E$12,"")</x:f>
      </x:c>
      <x:c r="H620" s="4" t="str">
        <x:f>IF(COUNT(G620,F620)=2,G620-F620,"")</x:f>
      </x:c>
      <x:c r="I620" s="4" t="str">
        <x:f>IF(AND(ISNUMBER(F620),K620&gt;0),F620/K620,"")</x:f>
      </x:c>
      <x:c r="J620" s="4" t="str">
        <x:f>IF(AND(ISNUMBER(G620),L620&gt;0),G620/L620,"")</x:f>
      </x:c>
      <x:c r="K620" s="10"/>
      <x:c r="L620" s="10"/>
      <x:c r="M620" s="10" t="str">
        <x:f>IF(COUNT(L620,K620)=2,L620-K620,"")</x:f>
      </x:c>
      <x:c r="N620" s="10"/>
      <x:c r="O620" s="10"/>
      <x:c r="P620" s="10" t="str">
        <x:f>IF(COUNT(O620,N620)=2,O620-N620,"")</x:f>
      </x:c>
      <x:c r="Q620" s="10"/>
      <x:c r="R620" s="10"/>
      <x:c r="S620" s="10" t="str">
        <x:f>IF(COUNT(R620,Q620)=2,R620-Q620,"")</x:f>
      </x:c>
      <x:c r="T620" s="10"/>
      <x:c r="U620" s="10"/>
      <x:c r="V620" s="10" t="str">
        <x:f>IF(COUNT(U620,T620)=2,U620-T620,"")</x:f>
      </x:c>
      <x:c r="W620" s="10"/>
      <x:c r="X620" s="10" t="str">
        <x:f>IF(COUNT(AV620,AW620)=2,AV620+AW620,"")</x:f>
      </x:c>
      <x:c r="Y620" s="10" t="str">
        <x:f>IF(COUNT(X620,W620)=2,X620-W620,"")</x:f>
      </x:c>
      <x:c r="Z620" s="10"/>
      <x:c r="AA620" s="10" t="str">
        <x:f>IF(COUNT(AX620,AY620)=2,AX620+AY620,"")</x:f>
      </x:c>
      <x:c r="AB620" s="10" t="str">
        <x:f>IF(COUNT(AA620,Z620)=2,AA620-Z620,"")</x:f>
      </x:c>
      <x:c r="AC620" s="10"/>
      <x:c r="AD620" s="10"/>
      <x:c r="AE620" s="10" t="str">
        <x:f>IF(COUNT(AD620,AC620)=2,AD620-AC620,"")</x:f>
      </x:c>
      <x:c r="AF620" s="10"/>
      <x:c r="AG620" s="10"/>
      <x:c r="AH620" s="10" t="str">
        <x:f>IF(COUNT(AG620,AF620)=2,AG620-AF620,"")</x:f>
      </x:c>
      <x:c r="AI620" s="10"/>
      <x:c r="AJ620" s="10"/>
      <x:c r="AK620" s="10" t="str">
        <x:f>IF(COUNT(AJ620,AI620)=2,AJ620-AI620,"")</x:f>
      </x:c>
      <x:c r="AL620" s="10"/>
      <x:c r="AM620" s="10"/>
      <x:c r="AN620" s="4"/>
      <x:c r="AO620" s="4"/>
      <x:c r="AP620" s="4"/>
      <x:c r="AQ620" s="4"/>
      <x:c r="AR620" s="4"/>
      <x:c r="AS620" s="4"/>
      <x:c r="AT620" s="4"/>
      <x:c r="AU620" s="4"/>
      <x:c r="AV620" s="10"/>
      <x:c r="AW620" s="10"/>
      <x:c r="AX620" s="10"/>
      <x:c r="AY620" s="10"/>
      <x:c r="AZ620" s="10" t="n">
        <x:v>11</x:v>
      </x:c>
      <x:c r="BA620" s="10" t="n">
        <x:v>12</x:v>
      </x:c>
      <x:c r="BB620" s="4" t="n">
        <x:v>47.8</x:v>
      </x:c>
      <x:c r="BC620" s="4" t="n">
        <x:v>7.5</x:v>
      </x:c>
      <x:c r="BD620" s="10" t="n">
        <x:v>9</x:v>
      </x:c>
      <x:c r="BE620" s="10" t="n">
        <x:v>10</x:v>
      </x:c>
      <x:c r="BF620" s="4" t="n">
        <x:v>47.4</x:v>
      </x:c>
      <x:c r="BG620" s="4" t="n">
        <x:v>4.8</x:v>
      </x:c>
      <x:c r="BH620" s="4" t="n">
        <x:v>37.5</x:v>
      </x:c>
      <x:c r="BI620" s="4" t="n">
        <x:v>100</x:v>
      </x:c>
      <x:c r="BJ620" s="4" t="n">
        <x:v>137.5</x:v>
      </x:c>
      <x:c r="BK620" s="4" t="n">
        <x:v>80</x:v>
      </x:c>
      <x:c r="BL620" s="4" t="n">
        <x:v>20</x:v>
      </x:c>
      <x:c r="BM620" s="4" t="n">
        <x:v>15.183333333333334</x:v>
      </x:c>
      <x:c r="BN620" s="4" t="n">
        <x:v>14</x:v>
      </x:c>
      <x:c r="BO620" s="10" t="n">
        <x:v>0</x:v>
      </x:c>
      <x:c r="BP620" s="10" t="n">
        <x:v>0</x:v>
      </x:c>
      <x:c r="BQ620" s="4" t="n">
        <x:v>0.8</x:v>
      </x:c>
      <x:c r="BR620" s="10" t="n">
        <x:v>1</x:v>
      </x:c>
      <x:c r="BS620" s="4" t="n">
        <x:v>0</x:v>
      </x:c>
      <x:c r="BT620" s="10" t="n">
        <x:v>1</x:v>
      </x:c>
      <x:c r="BU620" s="4" t="str">
        <x:v>PHI</x:v>
      </x:c>
      <x:c r="BV620" s="10"/>
      <x:c r="BW620" s="10"/>
      <x:c r="BX620" s="10" t="n">
        <x:v>671</x:v>
      </x:c>
      <x:c r="BY620" s="4"/>
      <x:c r="BZ620" s="4"/>
      <x:c r="CA620" s="4" t="str">
        <x:v>Hunter Mcdonald</x:v>
      </x:c>
      <x:c r="CB620" s="4" t="str">
        <x:v>mcdonhu02</x:v>
      </x:c>
    </x:row>
    <x:row r="621" ht="22" customHeight="1">
      <x:c r="A621" s="4" t="str">
        <x:v>Hunter Skinner</x:v>
      </x:c>
      <x:c r="B621" s="4" t="str">
        <x:v>hunterskinner</x:v>
      </x:c>
      <x:c r="C621" s="10" t="n">
        <x:v>0</x:v>
      </x:c>
      <x:c r="D621" s="10" t="n">
        <x:v>0</x:v>
      </x:c>
      <x:c r="E621" s="10" t="n">
        <x:v>1</x:v>
      </x:c>
      <x:c r="F621" s="4" t="str">
        <x:f>IF(COUNT(N621,Q621,T621,W621,Z621,AC621,AF621,AI621)=8,N621*Guide!$E$5+Q621*Guide!$E$6+T621*Guide!$E$7+W621*Guide!$E$8+Z621*Guide!$E$9+AC621*Guide!$E$10+AF621*Guide!$E$11+AI621*Guide!$E$12,"")</x:f>
      </x:c>
      <x:c r="G621" s="4" t="str">
        <x:f>IF(COUNT(O621,R621,U621,X621,AA621,AD621,AG621,AJ621)=8,O621*Guide!$E$5+R621*Guide!$E$6+U621*Guide!$E$7+X621*Guide!$E$8+AA621*Guide!$E$9+AD621*Guide!$E$10+AG621*Guide!$E$11+AJ621*Guide!$E$12,"")</x:f>
      </x:c>
      <x:c r="H621" s="4" t="str">
        <x:f>IF(COUNT(G621,F621)=2,G621-F621,"")</x:f>
      </x:c>
      <x:c r="I621" s="4" t="str">
        <x:f>IF(AND(ISNUMBER(F621),K621&gt;0),F621/K621,"")</x:f>
      </x:c>
      <x:c r="J621" s="4" t="str">
        <x:f>IF(AND(ISNUMBER(G621),L621&gt;0),G621/L621,"")</x:f>
      </x:c>
      <x:c r="K621" s="10"/>
      <x:c r="L621" s="10"/>
      <x:c r="M621" s="10" t="str">
        <x:f>IF(COUNT(L621,K621)=2,L621-K621,"")</x:f>
      </x:c>
      <x:c r="N621" s="10"/>
      <x:c r="O621" s="10"/>
      <x:c r="P621" s="10" t="str">
        <x:f>IF(COUNT(O621,N621)=2,O621-N621,"")</x:f>
      </x:c>
      <x:c r="Q621" s="10"/>
      <x:c r="R621" s="10"/>
      <x:c r="S621" s="10" t="str">
        <x:f>IF(COUNT(R621,Q621)=2,R621-Q621,"")</x:f>
      </x:c>
      <x:c r="T621" s="10"/>
      <x:c r="U621" s="10"/>
      <x:c r="V621" s="10" t="str">
        <x:f>IF(COUNT(U621,T621)=2,U621-T621,"")</x:f>
      </x:c>
      <x:c r="W621" s="10"/>
      <x:c r="X621" s="10" t="str">
        <x:f>IF(COUNT(AV621,AW621)=2,AV621+AW621,"")</x:f>
      </x:c>
      <x:c r="Y621" s="10" t="str">
        <x:f>IF(COUNT(X621,W621)=2,X621-W621,"")</x:f>
      </x:c>
      <x:c r="Z621" s="10"/>
      <x:c r="AA621" s="10" t="str">
        <x:f>IF(COUNT(AX621,AY621)=2,AX621+AY621,"")</x:f>
      </x:c>
      <x:c r="AB621" s="10" t="str">
        <x:f>IF(COUNT(AA621,Z621)=2,AA621-Z621,"")</x:f>
      </x:c>
      <x:c r="AC621" s="10"/>
      <x:c r="AD621" s="10"/>
      <x:c r="AE621" s="10" t="str">
        <x:f>IF(COUNT(AD621,AC621)=2,AD621-AC621,"")</x:f>
      </x:c>
      <x:c r="AF621" s="10"/>
      <x:c r="AG621" s="10"/>
      <x:c r="AH621" s="10" t="str">
        <x:f>IF(COUNT(AG621,AF621)=2,AG621-AF621,"")</x:f>
      </x:c>
      <x:c r="AI621" s="10"/>
      <x:c r="AJ621" s="10"/>
      <x:c r="AK621" s="10" t="str">
        <x:f>IF(COUNT(AJ621,AI621)=2,AJ621-AI621,"")</x:f>
      </x:c>
      <x:c r="AL621" s="10"/>
      <x:c r="AM621" s="10"/>
      <x:c r="AN621" s="4"/>
      <x:c r="AO621" s="4"/>
      <x:c r="AP621" s="4"/>
      <x:c r="AQ621" s="4"/>
      <x:c r="AR621" s="4"/>
      <x:c r="AS621" s="4"/>
      <x:c r="AT621" s="4"/>
      <x:c r="AU621" s="4"/>
      <x:c r="AV621" s="10"/>
      <x:c r="AW621" s="10"/>
      <x:c r="AX621" s="10"/>
      <x:c r="AY621" s="10"/>
      <x:c r="AZ621" s="10" t="n">
        <x:v>5</x:v>
      </x:c>
      <x:c r="BA621" s="10" t="n">
        <x:v>9</x:v>
      </x:c>
      <x:c r="BB621" s="4" t="n">
        <x:v>35.7</x:v>
      </x:c>
      <x:c r="BC621" s="4" t="n">
        <x:v>-11.8</x:v>
      </x:c>
      <x:c r="BD621" s="10" t="n">
        <x:v>4</x:v>
      </x:c>
      <x:c r="BE621" s="10" t="n">
        <x:v>7</x:v>
      </x:c>
      <x:c r="BF621" s="4" t="n">
        <x:v>36.4</x:v>
      </x:c>
      <x:c r="BG621" s="4" t="n">
        <x:v>-5.5</x:v>
      </x:c>
      <x:c r="BH621" s="4" t="n">
        <x:v>50</x:v>
      </x:c>
      <x:c r="BI621" s="4" t="n">
        <x:v>80</x:v>
      </x:c>
      <x:c r="BJ621" s="4" t="n">
        <x:v>130</x:v>
      </x:c>
      <x:c r="BK621" s="4" t="n">
        <x:v>100</x:v>
      </x:c>
      <x:c r="BL621" s="4" t="n">
        <x:v>0</x:v>
      </x:c>
      <x:c r="BM621" s="4" t="n">
        <x:v>10.75</x:v>
      </x:c>
      <x:c r="BN621" s="4" t="n">
        <x:v>10.75</x:v>
      </x:c>
      <x:c r="BO621" s="10" t="n">
        <x:v>0</x:v>
      </x:c>
      <x:c r="BP621" s="10" t="n">
        <x:v>0</x:v>
      </x:c>
      <x:c r="BQ621" s="4" t="n">
        <x:v>-0.3</x:v>
      </x:c>
      <x:c r="BR621" s="10" t="n">
        <x:v>1</x:v>
      </x:c>
      <x:c r="BS621" s="4" t="n">
        <x:v>0</x:v>
      </x:c>
      <x:c r="BT621" s="10" t="n">
        <x:v>1</x:v>
      </x:c>
      <x:c r="BU621" s="4" t="str">
        <x:v>STL</x:v>
      </x:c>
      <x:c r="BV621" s="10"/>
      <x:c r="BW621" s="10"/>
      <x:c r="BX621" s="10" t="n">
        <x:v>937</x:v>
      </x:c>
      <x:c r="BY621" s="4"/>
      <x:c r="BZ621" s="4"/>
      <x:c r="CA621" s="4" t="str">
        <x:v>Hunter Skinner</x:v>
      </x:c>
      <x:c r="CB621" s="4" t="str">
        <x:v>skinnhu01</x:v>
      </x:c>
    </x:row>
    <x:row r="622" ht="22" customHeight="1">
      <x:c r="A622" s="4" t="str">
        <x:v>Ian Mitchell</x:v>
      </x:c>
      <x:c r="B622" s="4" t="str">
        <x:v>ianmitchell</x:v>
      </x:c>
      <x:c r="C622" s="10" t="n">
        <x:v>1</x:v>
      </x:c>
      <x:c r="D622" s="10" t="n">
        <x:v>0</x:v>
      </x:c>
      <x:c r="E622" s="10" t="n">
        <x:v>0</x:v>
      </x:c>
      <x:c r="F622" s="4" t="n">
        <x:f>IF(COUNT(N622,Q622,T622,W622,Z622,AC622,AF622,AI622)=8,N622*Guide!$E$5+Q622*Guide!$E$6+T622*Guide!$E$7+W622*Guide!$E$8+Z622*Guide!$E$9+AC622*Guide!$E$10+AF622*Guide!$E$11+AI622*Guide!$E$12,"")</x:f>
        <x:v>70.5</x:v>
      </x:c>
      <x:c r="G622" s="4" t="str">
        <x:f>IF(COUNT(O622,R622,U622,X622,AA622,AD622,AG622,AJ622)=8,O622*Guide!$E$5+R622*Guide!$E$6+U622*Guide!$E$7+X622*Guide!$E$8+AA622*Guide!$E$9+AD622*Guide!$E$10+AG622*Guide!$E$11+AJ622*Guide!$E$12,"")</x:f>
      </x:c>
      <x:c r="H622" s="4" t="str">
        <x:f>IF(COUNT(G622,F622)=2,G622-F622,"")</x:f>
      </x:c>
      <x:c r="I622" s="4" t="n">
        <x:f>IF(AND(ISNUMBER(F622),K622&gt;0),F622/K622,"")</x:f>
        <x:v>2.073529411764706</x:v>
      </x:c>
      <x:c r="J622" s="4" t="str">
        <x:f>IF(AND(ISNUMBER(G622),L622&gt;0),G622/L622,"")</x:f>
      </x:c>
      <x:c r="K622" s="10" t="n">
        <x:v>34</x:v>
      </x:c>
      <x:c r="L622" s="10"/>
      <x:c r="M622" s="10" t="str">
        <x:f>IF(COUNT(L622,K622)=2,L622-K622,"")</x:f>
      </x:c>
      <x:c r="N622" s="10" t="n">
        <x:v>2</x:v>
      </x:c>
      <x:c r="O622" s="10"/>
      <x:c r="P622" s="10" t="str">
        <x:f>IF(COUNT(O622,N622)=2,O622-N622,"")</x:f>
      </x:c>
      <x:c r="Q622" s="10" t="n">
        <x:v>7</x:v>
      </x:c>
      <x:c r="R622" s="10"/>
      <x:c r="S622" s="10" t="str">
        <x:f>IF(COUNT(R622,Q622)=2,R622-Q622,"")</x:f>
      </x:c>
      <x:c r="T622" s="10" t="n">
        <x:v>-1</x:v>
      </x:c>
      <x:c r="U622" s="10"/>
      <x:c r="V622" s="10" t="str">
        <x:f>IF(COUNT(U622,T622)=2,U622-T622,"")</x:f>
      </x:c>
      <x:c r="W622" s="10" t="n">
        <x:v>2</x:v>
      </x:c>
      <x:c r="X622" s="10" t="str">
        <x:f>IF(COUNT(AV622,AW622)=2,AV622+AW622,"")</x:f>
      </x:c>
      <x:c r="Y622" s="10" t="str">
        <x:f>IF(COUNT(X622,W622)=2,X622-W622,"")</x:f>
      </x:c>
      <x:c r="Z622" s="10" t="n">
        <x:v>0</x:v>
      </x:c>
      <x:c r="AA622" s="10" t="str">
        <x:f>IF(COUNT(AX622,AY622)=2,AX622+AY622,"")</x:f>
      </x:c>
      <x:c r="AB622" s="10" t="str">
        <x:f>IF(COUNT(AA622,Z622)=2,AA622-Z622,"")</x:f>
      </x:c>
      <x:c r="AC622" s="10" t="n">
        <x:v>31</x:v>
      </x:c>
      <x:c r="AD622" s="10"/>
      <x:c r="AE622" s="10" t="str">
        <x:f>IF(COUNT(AD622,AC622)=2,AD622-AC622,"")</x:f>
      </x:c>
      <x:c r="AF622" s="10" t="n">
        <x:v>11</x:v>
      </x:c>
      <x:c r="AG622" s="10"/>
      <x:c r="AH622" s="10" t="str">
        <x:f>IF(COUNT(AG622,AF622)=2,AG622-AF622,"")</x:f>
      </x:c>
      <x:c r="AI622" s="10" t="n">
        <x:v>40</x:v>
      </x:c>
      <x:c r="AJ622" s="10"/>
      <x:c r="AK622" s="10" t="str">
        <x:f>IF(COUNT(AJ622,AI622)=2,AJ622-AI622,"")</x:f>
      </x:c>
      <x:c r="AL622" s="10" t="n">
        <x:v>27</x:v>
      </x:c>
      <x:c r="AM622" s="10"/>
      <x:c r="AN622" s="4" t="str">
        <x:v>D</x:v>
      </x:c>
      <x:c r="AO622" s="4"/>
      <x:c r="AP622" s="4" t="str">
        <x:v>DET</x:v>
      </x:c>
      <x:c r="AQ622" s="4"/>
      <x:c r="AR622" s="4" t="n">
        <x:v>15.700000000000001</x:v>
      </x:c>
      <x:c r="AS622" s="4"/>
      <x:c r="AT622" s="4" t="n">
        <x:v>1.09</x:v>
      </x:c>
      <x:c r="AU622" s="4"/>
      <x:c r="AV622" s="10"/>
      <x:c r="AW622" s="10"/>
      <x:c r="AX622" s="10"/>
      <x:c r="AY622" s="10"/>
      <x:c r="AZ622" s="10"/>
      <x:c r="BA622" s="10"/>
      <x:c r="BB622" s="4"/>
      <x:c r="BC622" s="4"/>
      <x:c r="BD622" s="10"/>
      <x:c r="BE622" s="10"/>
      <x:c r="BF622" s="4"/>
      <x:c r="BG622" s="4"/>
      <x:c r="BH622" s="4"/>
      <x:c r="BI622" s="4"/>
      <x:c r="BJ622" s="4"/>
      <x:c r="BK622" s="4"/>
      <x:c r="BL622" s="4"/>
      <x:c r="BM622" s="4"/>
      <x:c r="BN622" s="4"/>
      <x:c r="BO622" s="10"/>
      <x:c r="BP622" s="10"/>
      <x:c r="BQ622" s="4"/>
      <x:c r="BR622" s="10"/>
      <x:c r="BS622" s="4"/>
      <x:c r="BT622" s="10"/>
      <x:c r="BU622" s="4"/>
      <x:c r="BV622" s="10" t="n">
        <x:v>739</x:v>
      </x:c>
      <x:c r="BW622" s="10"/>
      <x:c r="BX622" s="10"/>
      <x:c r="BY622" s="4" t="str">
        <x:v>Ian Mitchell</x:v>
      </x:c>
      <x:c r="BZ622" s="4"/>
      <x:c r="CA622" s="4"/>
      <x:c r="CB622" s="4"/>
    </x:row>
    <x:row r="623" ht="22" customHeight="1">
      <x:c r="A623" s="4" t="str">
        <x:v>Ian Moore</x:v>
      </x:c>
      <x:c r="B623" s="4" t="str">
        <x:v>ianmoore</x:v>
      </x:c>
      <x:c r="C623" s="10" t="n">
        <x:v>0</x:v>
      </x:c>
      <x:c r="D623" s="10" t="n">
        <x:v>0</x:v>
      </x:c>
      <x:c r="E623" s="10" t="n">
        <x:v>1</x:v>
      </x:c>
      <x:c r="F623" s="4" t="str">
        <x:f>IF(COUNT(N623,Q623,T623,W623,Z623,AC623,AF623,AI623)=8,N623*Guide!$E$5+Q623*Guide!$E$6+T623*Guide!$E$7+W623*Guide!$E$8+Z623*Guide!$E$9+AC623*Guide!$E$10+AF623*Guide!$E$11+AI623*Guide!$E$12,"")</x:f>
      </x:c>
      <x:c r="G623" s="4" t="str">
        <x:f>IF(COUNT(O623,R623,U623,X623,AA623,AD623,AG623,AJ623)=8,O623*Guide!$E$5+R623*Guide!$E$6+U623*Guide!$E$7+X623*Guide!$E$8+AA623*Guide!$E$9+AD623*Guide!$E$10+AG623*Guide!$E$11+AJ623*Guide!$E$12,"")</x:f>
      </x:c>
      <x:c r="H623" s="4" t="str">
        <x:f>IF(COUNT(G623,F623)=2,G623-F623,"")</x:f>
      </x:c>
      <x:c r="I623" s="4" t="str">
        <x:f>IF(AND(ISNUMBER(F623),K623&gt;0),F623/K623,"")</x:f>
      </x:c>
      <x:c r="J623" s="4" t="str">
        <x:f>IF(AND(ISNUMBER(G623),L623&gt;0),G623/L623,"")</x:f>
      </x:c>
      <x:c r="K623" s="10"/>
      <x:c r="L623" s="10"/>
      <x:c r="M623" s="10" t="str">
        <x:f>IF(COUNT(L623,K623)=2,L623-K623,"")</x:f>
      </x:c>
      <x:c r="N623" s="10"/>
      <x:c r="O623" s="10"/>
      <x:c r="P623" s="10" t="str">
        <x:f>IF(COUNT(O623,N623)=2,O623-N623,"")</x:f>
      </x:c>
      <x:c r="Q623" s="10"/>
      <x:c r="R623" s="10"/>
      <x:c r="S623" s="10" t="str">
        <x:f>IF(COUNT(R623,Q623)=2,R623-Q623,"")</x:f>
      </x:c>
      <x:c r="T623" s="10"/>
      <x:c r="U623" s="10"/>
      <x:c r="V623" s="10" t="str">
        <x:f>IF(COUNT(U623,T623)=2,U623-T623,"")</x:f>
      </x:c>
      <x:c r="W623" s="10"/>
      <x:c r="X623" s="10" t="str">
        <x:f>IF(COUNT(AV623,AW623)=2,AV623+AW623,"")</x:f>
      </x:c>
      <x:c r="Y623" s="10" t="str">
        <x:f>IF(COUNT(X623,W623)=2,X623-W623,"")</x:f>
      </x:c>
      <x:c r="Z623" s="10"/>
      <x:c r="AA623" s="10" t="str">
        <x:f>IF(COUNT(AX623,AY623)=2,AX623+AY623,"")</x:f>
      </x:c>
      <x:c r="AB623" s="10" t="str">
        <x:f>IF(COUNT(AA623,Z623)=2,AA623-Z623,"")</x:f>
      </x:c>
      <x:c r="AC623" s="10"/>
      <x:c r="AD623" s="10"/>
      <x:c r="AE623" s="10" t="str">
        <x:f>IF(COUNT(AD623,AC623)=2,AD623-AC623,"")</x:f>
      </x:c>
      <x:c r="AF623" s="10"/>
      <x:c r="AG623" s="10"/>
      <x:c r="AH623" s="10" t="str">
        <x:f>IF(COUNT(AG623,AF623)=2,AG623-AF623,"")</x:f>
      </x:c>
      <x:c r="AI623" s="10"/>
      <x:c r="AJ623" s="10"/>
      <x:c r="AK623" s="10" t="str">
        <x:f>IF(COUNT(AJ623,AI623)=2,AJ623-AI623,"")</x:f>
      </x:c>
      <x:c r="AL623" s="10"/>
      <x:c r="AM623" s="10"/>
      <x:c r="AN623" s="4"/>
      <x:c r="AO623" s="4"/>
      <x:c r="AP623" s="4"/>
      <x:c r="AQ623" s="4"/>
      <x:c r="AR623" s="4"/>
      <x:c r="AS623" s="4"/>
      <x:c r="AT623" s="4"/>
      <x:c r="AU623" s="4"/>
      <x:c r="AV623" s="10"/>
      <x:c r="AW623" s="10"/>
      <x:c r="AX623" s="10"/>
      <x:c r="AY623" s="10"/>
      <x:c r="AZ623" s="10" t="n">
        <x:v>856</x:v>
      </x:c>
      <x:c r="BA623" s="10" t="n">
        <x:v>811</x:v>
      </x:c>
      <x:c r="BB623" s="4" t="n">
        <x:v>51.3</x:v>
      </x:c>
      <x:c r="BC623" s="4" t="n">
        <x:v>-1.4</x:v>
      </x:c>
      <x:c r="BD623" s="10" t="n">
        <x:v>622</x:v>
      </x:c>
      <x:c r="BE623" s="10" t="n">
        <x:v>571</x:v>
      </x:c>
      <x:c r="BF623" s="4" t="n">
        <x:v>52.1</x:v>
      </x:c>
      <x:c r="BG623" s="4" t="n">
        <x:v>-0.6</x:v>
      </x:c>
      <x:c r="BH623" s="4" t="n">
        <x:v>6.7</x:v>
      </x:c>
      <x:c r="BI623" s="4" t="n">
        <x:v>88</x:v>
      </x:c>
      <x:c r="BJ623" s="4" t="n">
        <x:v>94.7</x:v>
      </x:c>
      <x:c r="BK623" s="4" t="n">
        <x:v>45.9</x:v>
      </x:c>
      <x:c r="BL623" s="4" t="n">
        <x:v>54.1</x:v>
      </x:c>
      <x:c r="BM623" s="4" t="n">
        <x:v>13.666666666666666</x:v>
      </x:c>
      <x:c r="BN623" s="4" t="n">
        <x:v>13.05</x:v>
      </x:c>
      <x:c r="BO623" s="10" t="n">
        <x:v>21</x:v>
      </x:c>
      <x:c r="BP623" s="10" t="n">
        <x:v>40</x:v>
      </x:c>
      <x:c r="BQ623" s="4" t="n">
        <x:v>-1.2</x:v>
      </x:c>
      <x:c r="BR623" s="10" t="n">
        <x:v>165</x:v>
      </x:c>
      <x:c r="BS623" s="4" t="n">
        <x:v>40</x:v>
      </x:c>
      <x:c r="BT623" s="10" t="n">
        <x:v>67</x:v>
      </x:c>
      <x:c r="BU623" s="4" t="str">
        <x:v>ANA</x:v>
      </x:c>
      <x:c r="BV623" s="10"/>
      <x:c r="BW623" s="10"/>
      <x:c r="BX623" s="10" t="n">
        <x:v>711</x:v>
      </x:c>
      <x:c r="BY623" s="4"/>
      <x:c r="BZ623" s="4"/>
      <x:c r="CA623" s="4" t="str">
        <x:v>Ian Moore</x:v>
      </x:c>
      <x:c r="CB623" s="4" t="str">
        <x:v>mooreia01</x:v>
      </x:c>
    </x:row>
    <x:row r="624" ht="22" customHeight="1">
      <x:c r="A624" s="4" t="str">
        <x:v>Igor Chernyshov</x:v>
      </x:c>
      <x:c r="B624" s="4" t="str">
        <x:v>igorchernyshov</x:v>
      </x:c>
      <x:c r="C624" s="10" t="n">
        <x:v>0</x:v>
      </x:c>
      <x:c r="D624" s="10" t="n">
        <x:v>1</x:v>
      </x:c>
      <x:c r="E624" s="10" t="n">
        <x:v>1</x:v>
      </x:c>
      <x:c r="F624" s="4" t="str">
        <x:f>IF(COUNT(N624,Q624,T624,W624,Z624,AC624,AF624,AI624)=8,N624*Guide!$E$5+Q624*Guide!$E$6+T624*Guide!$E$7+W624*Guide!$E$8+Z624*Guide!$E$9+AC624*Guide!$E$10+AF624*Guide!$E$11+AI624*Guide!$E$12,"")</x:f>
      </x:c>
      <x:c r="G624" s="4" t="n">
        <x:f>IF(COUNT(O624,R624,U624,X624,AA624,AD624,AG624,AJ624)=8,O624*Guide!$E$5+R624*Guide!$E$6+U624*Guide!$E$7+X624*Guide!$E$8+AA624*Guide!$E$9+AD624*Guide!$E$10+AG624*Guide!$E$11+AJ624*Guide!$E$12,"")</x:f>
        <x:v>98.5</x:v>
      </x:c>
      <x:c r="H624" s="4" t="str">
        <x:f>IF(COUNT(G624,F624)=2,G624-F624,"")</x:f>
      </x:c>
      <x:c r="I624" s="4" t="str">
        <x:f>IF(AND(ISNUMBER(F624),K624&gt;0),F624/K624,"")</x:f>
      </x:c>
      <x:c r="J624" s="4" t="n">
        <x:f>IF(AND(ISNUMBER(G624),L624&gt;0),G624/L624,"")</x:f>
        <x:v>3.517857142857143</x:v>
      </x:c>
      <x:c r="K624" s="10"/>
      <x:c r="L624" s="10" t="n">
        <x:v>28</x:v>
      </x:c>
      <x:c r="M624" s="10" t="str">
        <x:f>IF(COUNT(L624,K624)=2,L624-K624,"")</x:f>
      </x:c>
      <x:c r="N624" s="10"/>
      <x:c r="O624" s="10" t="n">
        <x:v>9</x:v>
      </x:c>
      <x:c r="P624" s="10" t="str">
        <x:f>IF(COUNT(O624,N624)=2,O624-N624,"")</x:f>
      </x:c>
      <x:c r="Q624" s="10"/>
      <x:c r="R624" s="10" t="n">
        <x:v>10</x:v>
      </x:c>
      <x:c r="S624" s="10" t="str">
        <x:f>IF(COUNT(R624,Q624)=2,R624-Q624,"")</x:f>
      </x:c>
      <x:c r="T624" s="10"/>
      <x:c r="U624" s="10" t="n">
        <x:v>2</x:v>
      </x:c>
      <x:c r="V624" s="10" t="str">
        <x:f>IF(COUNT(U624,T624)=2,U624-T624,"")</x:f>
      </x:c>
      <x:c r="W624" s="10"/>
      <x:c r="X624" s="10" t="n">
        <x:f>IF(COUNT(AV624,AW624)=2,AV624+AW624,"")</x:f>
        <x:v>5</x:v>
      </x:c>
      <x:c r="Y624" s="10" t="str">
        <x:f>IF(COUNT(X624,W624)=2,X624-W624,"")</x:f>
      </x:c>
      <x:c r="Z624" s="10"/>
      <x:c r="AA624" s="10" t="n">
        <x:f>IF(COUNT(AX624,AY624)=2,AX624+AY624,"")</x:f>
        <x:v>0</x:v>
      </x:c>
      <x:c r="AB624" s="10" t="str">
        <x:f>IF(COUNT(AA624,Z624)=2,AA624-Z624,"")</x:f>
      </x:c>
      <x:c r="AC624" s="10"/>
      <x:c r="AD624" s="10" t="n">
        <x:v>46</x:v>
      </x:c>
      <x:c r="AE624" s="10" t="str">
        <x:f>IF(COUNT(AD624,AC624)=2,AD624-AC624,"")</x:f>
      </x:c>
      <x:c r="AF624" s="10"/>
      <x:c r="AG624" s="10" t="n">
        <x:v>17</x:v>
      </x:c>
      <x:c r="AH624" s="10" t="str">
        <x:f>IF(COUNT(AG624,AF624)=2,AG624-AF624,"")</x:f>
      </x:c>
      <x:c r="AI624" s="10"/>
      <x:c r="AJ624" s="10" t="n">
        <x:v>13</x:v>
      </x:c>
      <x:c r="AK624" s="10" t="str">
        <x:f>IF(COUNT(AJ624,AI624)=2,AJ624-AI624,"")</x:f>
      </x:c>
      <x:c r="AL624" s="10"/>
      <x:c r="AM624" s="10" t="n">
        <x:v>20</x:v>
      </x:c>
      <x:c r="AN624" s="4"/>
      <x:c r="AO624" s="4" t="str">
        <x:v>LW</x:v>
      </x:c>
      <x:c r="AP624" s="4"/>
      <x:c r="AQ624" s="4" t="str">
        <x:v>SJS</x:v>
      </x:c>
      <x:c r="AR624" s="4"/>
      <x:c r="AS624" s="4" t="n">
        <x:v>15.05</x:v>
      </x:c>
      <x:c r="AT624" s="4"/>
      <x:c r="AU624" s="4" t="n">
        <x:v>19.6</x:v>
      </x:c>
      <x:c r="AV624" s="10" t="n">
        <x:v>3</x:v>
      </x:c>
      <x:c r="AW624" s="10" t="n">
        <x:v>2</x:v>
      </x:c>
      <x:c r="AX624" s="10" t="n">
        <x:v>0</x:v>
      </x:c>
      <x:c r="AY624" s="10" t="n">
        <x:v>0</x:v>
      </x:c>
      <x:c r="AZ624" s="10" t="n">
        <x:v>374</x:v>
      </x:c>
      <x:c r="BA624" s="10" t="n">
        <x:v>340</x:v>
      </x:c>
      <x:c r="BB624" s="4" t="n">
        <x:v>52.4</x:v>
      </x:c>
      <x:c r="BC624" s="4" t="n">
        <x:v>4.6</x:v>
      </x:c>
      <x:c r="BD624" s="10" t="n">
        <x:v>283</x:v>
      </x:c>
      <x:c r="BE624" s="10" t="n">
        <x:v>251</x:v>
      </x:c>
      <x:c r="BF624" s="4" t="n">
        <x:v>53</x:v>
      </x:c>
      <x:c r="BG624" s="4" t="n">
        <x:v>4.9</x:v>
      </x:c>
      <x:c r="BH624" s="4" t="n">
        <x:v>13.3</x:v>
      </x:c>
      <x:c r="BI624" s="4" t="n">
        <x:v>86.5</x:v>
      </x:c>
      <x:c r="BJ624" s="4" t="n">
        <x:v>99.8</x:v>
      </x:c>
      <x:c r="BK624" s="4" t="n">
        <x:v>57.9</x:v>
      </x:c>
      <x:c r="BL624" s="4" t="n">
        <x:v>42.1</x:v>
      </x:c>
      <x:c r="BM624" s="4" t="n">
        <x:v>15.05</x:v>
      </x:c>
      <x:c r="BN624" s="4" t="n">
        <x:v>13.916666666666666</x:v>
      </x:c>
      <x:c r="BO624" s="10" t="n">
        <x:v>4</x:v>
      </x:c>
      <x:c r="BP624" s="10" t="n">
        <x:v>24</x:v>
      </x:c>
      <x:c r="BQ624" s="4" t="n">
        <x:v>0.5</x:v>
      </x:c>
      <x:c r="BR624" s="10" t="n">
        <x:v>81</x:v>
      </x:c>
      <x:c r="BS624" s="4" t="n">
        <x:v>56.8</x:v>
      </x:c>
      <x:c r="BT624" s="10" t="n">
        <x:v>28</x:v>
      </x:c>
      <x:c r="BU624" s="4" t="str">
        <x:v>SJS</x:v>
      </x:c>
      <x:c r="BV624" s="10"/>
      <x:c r="BW624" s="10" t="n">
        <x:v>472</x:v>
      </x:c>
      <x:c r="BX624" s="10" t="n">
        <x:v>146</x:v>
      </x:c>
      <x:c r="BY624" s="4"/>
      <x:c r="BZ624" s="4" t="str">
        <x:v>Igor Chernyshov</x:v>
      </x:c>
      <x:c r="CA624" s="4" t="str">
        <x:v>Igor Chernyshov</x:v>
      </x:c>
      <x:c r="CB624" s="4" t="str">
        <x:v>chernig01</x:v>
      </x:c>
    </x:row>
    <x:row r="625" ht="22" customHeight="1">
      <x:c r="A625" s="4" t="str">
        <x:v>Ilya Lyubushkin</x:v>
      </x:c>
      <x:c r="B625" s="4" t="str">
        <x:v>ilyalyubushkin</x:v>
      </x:c>
      <x:c r="C625" s="10" t="n">
        <x:v>1</x:v>
      </x:c>
      <x:c r="D625" s="10" t="n">
        <x:v>0</x:v>
      </x:c>
      <x:c r="E625" s="10" t="n">
        <x:v>1</x:v>
      </x:c>
      <x:c r="F625" s="4" t="n">
        <x:f>IF(COUNT(N625,Q625,T625,W625,Z625,AC625,AF625,AI625)=8,N625*Guide!$E$5+Q625*Guide!$E$6+T625*Guide!$E$7+W625*Guide!$E$8+Z625*Guide!$E$9+AC625*Guide!$E$10+AF625*Guide!$E$11+AI625*Guide!$E$12,"")</x:f>
        <x:v>184</x:v>
      </x:c>
      <x:c r="G625" s="4" t="str">
        <x:f>IF(COUNT(O625,R625,U625,X625,AA625,AD625,AG625,AJ625)=8,O625*Guide!$E$5+R625*Guide!$E$6+U625*Guide!$E$7+X625*Guide!$E$8+AA625*Guide!$E$9+AD625*Guide!$E$10+AG625*Guide!$E$11+AJ625*Guide!$E$12,"")</x:f>
      </x:c>
      <x:c r="H625" s="4" t="str">
        <x:f>IF(COUNT(G625,F625)=2,G625-F625,"")</x:f>
      </x:c>
      <x:c r="I625" s="4" t="n">
        <x:f>IF(AND(ISNUMBER(F625),K625&gt;0),F625/K625,"")</x:f>
        <x:v>2.358974358974359</x:v>
      </x:c>
      <x:c r="J625" s="4" t="str">
        <x:f>IF(AND(ISNUMBER(G625),L625&gt;0),G625/L625,"")</x:f>
      </x:c>
      <x:c r="K625" s="10" t="n">
        <x:v>78</x:v>
      </x:c>
      <x:c r="L625" s="10"/>
      <x:c r="M625" s="10" t="str">
        <x:f>IF(COUNT(L625,K625)=2,L625-K625,"")</x:f>
      </x:c>
      <x:c r="N625" s="10" t="n">
        <x:v>2</x:v>
      </x:c>
      <x:c r="O625" s="10"/>
      <x:c r="P625" s="10" t="str">
        <x:f>IF(COUNT(O625,N625)=2,O625-N625,"")</x:f>
      </x:c>
      <x:c r="Q625" s="10" t="n">
        <x:v>13</x:v>
      </x:c>
      <x:c r="R625" s="10"/>
      <x:c r="S625" s="10" t="str">
        <x:f>IF(COUNT(R625,Q625)=2,R625-Q625,"")</x:f>
      </x:c>
      <x:c r="T625" s="10" t="n">
        <x:v>-4</x:v>
      </x:c>
      <x:c r="U625" s="10"/>
      <x:c r="V625" s="10" t="str">
        <x:f>IF(COUNT(U625,T625)=2,U625-T625,"")</x:f>
      </x:c>
      <x:c r="W625" s="10" t="n">
        <x:v>0</x:v>
      </x:c>
      <x:c r="X625" s="10" t="str">
        <x:f>IF(COUNT(AV625,AW625)=2,AV625+AW625,"")</x:f>
      </x:c>
      <x:c r="Y625" s="10" t="str">
        <x:f>IF(COUNT(X625,W625)=2,X625-W625,"")</x:f>
      </x:c>
      <x:c r="Z625" s="10" t="n">
        <x:v>1</x:v>
      </x:c>
      <x:c r="AA625" s="10" t="str">
        <x:f>IF(COUNT(AX625,AY625)=2,AX625+AY625,"")</x:f>
      </x:c>
      <x:c r="AB625" s="10" t="str">
        <x:f>IF(COUNT(AA625,Z625)=2,AA625-Z625,"")</x:f>
      </x:c>
      <x:c r="AC625" s="10" t="n">
        <x:v>50</x:v>
      </x:c>
      <x:c r="AD625" s="10"/>
      <x:c r="AE625" s="10" t="str">
        <x:f>IF(COUNT(AD625,AC625)=2,AD625-AC625,"")</x:f>
      </x:c>
      <x:c r="AF625" s="10" t="n">
        <x:v>94</x:v>
      </x:c>
      <x:c r="AG625" s="10"/>
      <x:c r="AH625" s="10" t="str">
        <x:f>IF(COUNT(AG625,AF625)=2,AG625-AF625,"")</x:f>
      </x:c>
      <x:c r="AI625" s="10" t="n">
        <x:v>136</x:v>
      </x:c>
      <x:c r="AJ625" s="10"/>
      <x:c r="AK625" s="10" t="str">
        <x:f>IF(COUNT(AJ625,AI625)=2,AJ625-AI625,"")</x:f>
      </x:c>
      <x:c r="AL625" s="10" t="n">
        <x:v>31</x:v>
      </x:c>
      <x:c r="AM625" s="10"/>
      <x:c r="AN625" s="4" t="str">
        <x:v>D</x:v>
      </x:c>
      <x:c r="AO625" s="4"/>
      <x:c r="AP625" s="4" t="str">
        <x:v>DAL</x:v>
      </x:c>
      <x:c r="AQ625" s="4"/>
      <x:c r="AR625" s="4" t="n">
        <x:v>17.349999999999998</x:v>
      </x:c>
      <x:c r="AS625" s="4"/>
      <x:c r="AT625" s="4" t="n">
        <x:v>0.04</x:v>
      </x:c>
      <x:c r="AU625" s="4"/>
      <x:c r="AV625" s="10"/>
      <x:c r="AW625" s="10"/>
      <x:c r="AX625" s="10"/>
      <x:c r="AY625" s="10"/>
      <x:c r="AZ625" s="10" t="n">
        <x:v>542</x:v>
      </x:c>
      <x:c r="BA625" s="10" t="n">
        <x:v>739</x:v>
      </x:c>
      <x:c r="BB625" s="4" t="n">
        <x:v>42.3</x:v>
      </x:c>
      <x:c r="BC625" s="4" t="n">
        <x:v>-6.5</x:v>
      </x:c>
      <x:c r="BD625" s="10" t="n">
        <x:v>394</x:v>
      </x:c>
      <x:c r="BE625" s="10" t="n">
        <x:v>503</x:v>
      </x:c>
      <x:c r="BF625" s="4" t="n">
        <x:v>43.9</x:v>
      </x:c>
      <x:c r="BG625" s="4" t="n">
        <x:v>-5.3</x:v>
      </x:c>
      <x:c r="BH625" s="4" t="n">
        <x:v>9.4</x:v>
      </x:c>
      <x:c r="BI625" s="4" t="n">
        <x:v>92.2</x:v>
      </x:c>
      <x:c r="BJ625" s="4" t="n">
        <x:v>101.6</x:v>
      </x:c>
      <x:c r="BK625" s="4" t="n">
        <x:v>36.4</x:v>
      </x:c>
      <x:c r="BL625" s="4" t="n">
        <x:v>63.6</x:v>
      </x:c>
      <x:c r="BM625" s="4" t="n">
        <x:v>15.733333333333333</x:v>
      </x:c>
      <x:c r="BN625" s="4" t="n">
        <x:v>14.25</x:v>
      </x:c>
      <x:c r="BO625" s="10" t="n">
        <x:v>9</x:v>
      </x:c>
      <x:c r="BP625" s="10" t="n">
        <x:v>46</x:v>
      </x:c>
      <x:c r="BQ625" s="4" t="n">
        <x:v>-3.8</x:v>
      </x:c>
      <x:c r="BR625" s="10" t="n">
        <x:v>69</x:v>
      </x:c>
      <x:c r="BS625" s="4" t="n">
        <x:v>47.8</x:v>
      </x:c>
      <x:c r="BT625" s="10" t="n">
        <x:v>53</x:v>
      </x:c>
      <x:c r="BU625" s="4" t="str">
        <x:v>DAL</x:v>
      </x:c>
      <x:c r="BV625" s="10" t="n">
        <x:v>624</x:v>
      </x:c>
      <x:c r="BW625" s="10"/>
      <x:c r="BX625" s="10" t="n">
        <x:v>618</x:v>
      </x:c>
      <x:c r="BY625" s="4" t="str">
        <x:v>Ilya Lyubushkin</x:v>
      </x:c>
      <x:c r="BZ625" s="4"/>
      <x:c r="CA625" s="4" t="str">
        <x:v>Ilya Lyubushkin</x:v>
      </x:c>
      <x:c r="CB625" s="4" t="str">
        <x:v>lyubuil01</x:v>
      </x:c>
    </x:row>
    <x:row r="626" ht="22" customHeight="1">
      <x:c r="A626" s="4" t="str">
        <x:v>Ilya Protas</x:v>
      </x:c>
      <x:c r="B626" s="4" t="str">
        <x:v>ilyaprotas</x:v>
      </x:c>
      <x:c r="C626" s="10" t="n">
        <x:v>0</x:v>
      </x:c>
      <x:c r="D626" s="10" t="n">
        <x:v>0</x:v>
      </x:c>
      <x:c r="E626" s="10" t="n">
        <x:v>1</x:v>
      </x:c>
      <x:c r="F626" s="4" t="str">
        <x:f>IF(COUNT(N626,Q626,T626,W626,Z626,AC626,AF626,AI626)=8,N626*Guide!$E$5+Q626*Guide!$E$6+T626*Guide!$E$7+W626*Guide!$E$8+Z626*Guide!$E$9+AC626*Guide!$E$10+AF626*Guide!$E$11+AI626*Guide!$E$12,"")</x:f>
      </x:c>
      <x:c r="G626" s="4" t="str">
        <x:f>IF(COUNT(O626,R626,U626,X626,AA626,AD626,AG626,AJ626)=8,O626*Guide!$E$5+R626*Guide!$E$6+U626*Guide!$E$7+X626*Guide!$E$8+AA626*Guide!$E$9+AD626*Guide!$E$10+AG626*Guide!$E$11+AJ626*Guide!$E$12,"")</x:f>
      </x:c>
      <x:c r="H626" s="4" t="str">
        <x:f>IF(COUNT(G626,F626)=2,G626-F626,"")</x:f>
      </x:c>
      <x:c r="I626" s="4" t="str">
        <x:f>IF(AND(ISNUMBER(F626),K626&gt;0),F626/K626,"")</x:f>
      </x:c>
      <x:c r="J626" s="4" t="str">
        <x:f>IF(AND(ISNUMBER(G626),L626&gt;0),G626/L626,"")</x:f>
      </x:c>
      <x:c r="K626" s="10"/>
      <x:c r="L626" s="10"/>
      <x:c r="M626" s="10" t="str">
        <x:f>IF(COUNT(L626,K626)=2,L626-K626,"")</x:f>
      </x:c>
      <x:c r="N626" s="10"/>
      <x:c r="O626" s="10"/>
      <x:c r="P626" s="10" t="str">
        <x:f>IF(COUNT(O626,N626)=2,O626-N626,"")</x:f>
      </x:c>
      <x:c r="Q626" s="10"/>
      <x:c r="R626" s="10"/>
      <x:c r="S626" s="10" t="str">
        <x:f>IF(COUNT(R626,Q626)=2,R626-Q626,"")</x:f>
      </x:c>
      <x:c r="T626" s="10"/>
      <x:c r="U626" s="10"/>
      <x:c r="V626" s="10" t="str">
        <x:f>IF(COUNT(U626,T626)=2,U626-T626,"")</x:f>
      </x:c>
      <x:c r="W626" s="10"/>
      <x:c r="X626" s="10" t="str">
        <x:f>IF(COUNT(AV626,AW626)=2,AV626+AW626,"")</x:f>
      </x:c>
      <x:c r="Y626" s="10" t="str">
        <x:f>IF(COUNT(X626,W626)=2,X626-W626,"")</x:f>
      </x:c>
      <x:c r="Z626" s="10"/>
      <x:c r="AA626" s="10" t="str">
        <x:f>IF(COUNT(AX626,AY626)=2,AX626+AY626,"")</x:f>
      </x:c>
      <x:c r="AB626" s="10" t="str">
        <x:f>IF(COUNT(AA626,Z626)=2,AA626-Z626,"")</x:f>
      </x:c>
      <x:c r="AC626" s="10"/>
      <x:c r="AD626" s="10"/>
      <x:c r="AE626" s="10" t="str">
        <x:f>IF(COUNT(AD626,AC626)=2,AD626-AC626,"")</x:f>
      </x:c>
      <x:c r="AF626" s="10"/>
      <x:c r="AG626" s="10"/>
      <x:c r="AH626" s="10" t="str">
        <x:f>IF(COUNT(AG626,AF626)=2,AG626-AF626,"")</x:f>
      </x:c>
      <x:c r="AI626" s="10"/>
      <x:c r="AJ626" s="10"/>
      <x:c r="AK626" s="10" t="str">
        <x:f>IF(COUNT(AJ626,AI626)=2,AJ626-AI626,"")</x:f>
      </x:c>
      <x:c r="AL626" s="10"/>
      <x:c r="AM626" s="10"/>
      <x:c r="AN626" s="4"/>
      <x:c r="AO626" s="4"/>
      <x:c r="AP626" s="4"/>
      <x:c r="AQ626" s="4"/>
      <x:c r="AR626" s="4"/>
      <x:c r="AS626" s="4"/>
      <x:c r="AT626" s="4"/>
      <x:c r="AU626" s="4"/>
      <x:c r="AV626" s="10"/>
      <x:c r="AW626" s="10"/>
      <x:c r="AX626" s="10"/>
      <x:c r="AY626" s="10"/>
      <x:c r="AZ626" s="10" t="n">
        <x:v>49</x:v>
      </x:c>
      <x:c r="BA626" s="10" t="n">
        <x:v>50</x:v>
      </x:c>
      <x:c r="BB626" s="4" t="n">
        <x:v>49.5</x:v>
      </x:c>
      <x:c r="BC626" s="4" t="n">
        <x:v>1.1</x:v>
      </x:c>
      <x:c r="BD626" s="10" t="n">
        <x:v>33</x:v>
      </x:c>
      <x:c r="BE626" s="10" t="n">
        <x:v>36</x:v>
      </x:c>
      <x:c r="BF626" s="4" t="n">
        <x:v>47.8</x:v>
      </x:c>
      <x:c r="BG626" s="4" t="n">
        <x:v>-2.7</x:v>
      </x:c>
      <x:c r="BH626" s="4" t="n">
        <x:v>13.6</x:v>
      </x:c>
      <x:c r="BI626" s="4" t="n">
        <x:v>91.7</x:v>
      </x:c>
      <x:c r="BJ626" s="4" t="n">
        <x:v>105.3</x:v>
      </x:c>
      <x:c r="BK626" s="4" t="n">
        <x:v>39.5</x:v>
      </x:c>
      <x:c r="BL626" s="4" t="n">
        <x:v>60.5</x:v>
      </x:c>
      <x:c r="BM626" s="4" t="n">
        <x:v>15.9</x:v>
      </x:c>
      <x:c r="BN626" s="4" t="n">
        <x:v>13.45</x:v>
      </x:c>
      <x:c r="BO626" s="10" t="n">
        <x:v>1</x:v>
      </x:c>
      <x:c r="BP626" s="10" t="n">
        <x:v>1</x:v>
      </x:c>
      <x:c r="BQ626" s="4" t="n">
        <x:v>-0.1</x:v>
      </x:c>
      <x:c r="BR626" s="10" t="n">
        <x:v>10</x:v>
      </x:c>
      <x:c r="BS626" s="4" t="n">
        <x:v>70</x:v>
      </x:c>
      <x:c r="BT626" s="10" t="n">
        <x:v>4</x:v>
      </x:c>
      <x:c r="BU626" s="4" t="str">
        <x:v>WSH</x:v>
      </x:c>
      <x:c r="BV626" s="10"/>
      <x:c r="BW626" s="10"/>
      <x:c r="BX626" s="10" t="n">
        <x:v>832</x:v>
      </x:c>
      <x:c r="BY626" s="4"/>
      <x:c r="BZ626" s="4"/>
      <x:c r="CA626" s="4" t="str">
        <x:v>Ilya Protas</x:v>
      </x:c>
      <x:c r="CB626" s="4" t="str">
        <x:v>protail01</x:v>
      </x:c>
    </x:row>
    <x:row r="627" ht="22" customHeight="1">
      <x:c r="A627" s="4" t="str">
        <x:v>Ilya Solovyov</x:v>
      </x:c>
      <x:c r="B627" s="4" t="str">
        <x:v>ilyasolovyov</x:v>
      </x:c>
      <x:c r="C627" s="10" t="n">
        <x:v>0</x:v>
      </x:c>
      <x:c r="D627" s="10" t="n">
        <x:v>0</x:v>
      </x:c>
      <x:c r="E627" s="10" t="n">
        <x:v>1</x:v>
      </x:c>
      <x:c r="F627" s="4" t="str">
        <x:f>IF(COUNT(N627,Q627,T627,W627,Z627,AC627,AF627,AI627)=8,N627*Guide!$E$5+Q627*Guide!$E$6+T627*Guide!$E$7+W627*Guide!$E$8+Z627*Guide!$E$9+AC627*Guide!$E$10+AF627*Guide!$E$11+AI627*Guide!$E$12,"")</x:f>
      </x:c>
      <x:c r="G627" s="4" t="str">
        <x:f>IF(COUNT(O627,R627,U627,X627,AA627,AD627,AG627,AJ627)=8,O627*Guide!$E$5+R627*Guide!$E$6+U627*Guide!$E$7+X627*Guide!$E$8+AA627*Guide!$E$9+AD627*Guide!$E$10+AG627*Guide!$E$11+AJ627*Guide!$E$12,"")</x:f>
      </x:c>
      <x:c r="H627" s="4" t="str">
        <x:f>IF(COUNT(G627,F627)=2,G627-F627,"")</x:f>
      </x:c>
      <x:c r="I627" s="4" t="str">
        <x:f>IF(AND(ISNUMBER(F627),K627&gt;0),F627/K627,"")</x:f>
      </x:c>
      <x:c r="J627" s="4" t="str">
        <x:f>IF(AND(ISNUMBER(G627),L627&gt;0),G627/L627,"")</x:f>
      </x:c>
      <x:c r="K627" s="10"/>
      <x:c r="L627" s="10"/>
      <x:c r="M627" s="10" t="str">
        <x:f>IF(COUNT(L627,K627)=2,L627-K627,"")</x:f>
      </x:c>
      <x:c r="N627" s="10"/>
      <x:c r="O627" s="10"/>
      <x:c r="P627" s="10" t="str">
        <x:f>IF(COUNT(O627,N627)=2,O627-N627,"")</x:f>
      </x:c>
      <x:c r="Q627" s="10"/>
      <x:c r="R627" s="10"/>
      <x:c r="S627" s="10" t="str">
        <x:f>IF(COUNT(R627,Q627)=2,R627-Q627,"")</x:f>
      </x:c>
      <x:c r="T627" s="10"/>
      <x:c r="U627" s="10"/>
      <x:c r="V627" s="10" t="str">
        <x:f>IF(COUNT(U627,T627)=2,U627-T627,"")</x:f>
      </x:c>
      <x:c r="W627" s="10"/>
      <x:c r="X627" s="10" t="str">
        <x:f>IF(COUNT(AV627,AW627)=2,AV627+AW627,"")</x:f>
      </x:c>
      <x:c r="Y627" s="10" t="str">
        <x:f>IF(COUNT(X627,W627)=2,X627-W627,"")</x:f>
      </x:c>
      <x:c r="Z627" s="10"/>
      <x:c r="AA627" s="10" t="str">
        <x:f>IF(COUNT(AX627,AY627)=2,AX627+AY627,"")</x:f>
      </x:c>
      <x:c r="AB627" s="10" t="str">
        <x:f>IF(COUNT(AA627,Z627)=2,AA627-Z627,"")</x:f>
      </x:c>
      <x:c r="AC627" s="10"/>
      <x:c r="AD627" s="10"/>
      <x:c r="AE627" s="10" t="str">
        <x:f>IF(COUNT(AD627,AC627)=2,AD627-AC627,"")</x:f>
      </x:c>
      <x:c r="AF627" s="10"/>
      <x:c r="AG627" s="10"/>
      <x:c r="AH627" s="10" t="str">
        <x:f>IF(COUNT(AG627,AF627)=2,AG627-AF627,"")</x:f>
      </x:c>
      <x:c r="AI627" s="10"/>
      <x:c r="AJ627" s="10"/>
      <x:c r="AK627" s="10" t="str">
        <x:f>IF(COUNT(AJ627,AI627)=2,AJ627-AI627,"")</x:f>
      </x:c>
      <x:c r="AL627" s="10"/>
      <x:c r="AM627" s="10"/>
      <x:c r="AN627" s="4"/>
      <x:c r="AO627" s="4"/>
      <x:c r="AP627" s="4"/>
      <x:c r="AQ627" s="4"/>
      <x:c r="AR627" s="4"/>
      <x:c r="AS627" s="4"/>
      <x:c r="AT627" s="4"/>
      <x:c r="AU627" s="4"/>
      <x:c r="AV627" s="10"/>
      <x:c r="AW627" s="10"/>
      <x:c r="AX627" s="10"/>
      <x:c r="AY627" s="10"/>
      <x:c r="AZ627" s="10" t="n">
        <x:v>410</x:v>
      </x:c>
      <x:c r="BA627" s="10" t="n">
        <x:v>340</x:v>
      </x:c>
      <x:c r="BB627" s="4" t="n">
        <x:v>54.7</x:v>
      </x:c>
      <x:c r="BC627" s="4" t="n">
        <x:v>1.5</x:v>
      </x:c>
      <x:c r="BD627" s="10" t="n">
        <x:v>305</x:v>
      </x:c>
      <x:c r="BE627" s="10" t="n">
        <x:v>227</x:v>
      </x:c>
      <x:c r="BF627" s="4" t="n">
        <x:v>57.3</x:v>
      </x:c>
      <x:c r="BG627" s="4" t="n">
        <x:v>5.1</x:v>
      </x:c>
      <x:c r="BH627" s="4" t="n">
        <x:v>10.4</x:v>
      </x:c>
      <x:c r="BI627" s="4" t="n">
        <x:v>87.6</x:v>
      </x:c>
      <x:c r="BJ627" s="4" t="n">
        <x:v>98</x:v>
      </x:c>
      <x:c r="BK627" s="4" t="n">
        <x:v>47.5</x:v>
      </x:c>
      <x:c r="BL627" s="4" t="n">
        <x:v>52.5</x:v>
      </x:c>
      <x:c r="BM627" s="4" t="n">
        <x:v>12.75</x:v>
      </x:c>
      <x:c r="BN627" s="4" t="n">
        <x:v>12.45</x:v>
      </x:c>
      <x:c r="BO627" s="10" t="n">
        <x:v>5</x:v>
      </x:c>
      <x:c r="BP627" s="10" t="n">
        <x:v>19</x:v>
      </x:c>
      <x:c r="BQ627" s="4" t="n">
        <x:v>4.8</x:v>
      </x:c>
      <x:c r="BR627" s="10" t="n">
        <x:v>68</x:v>
      </x:c>
      <x:c r="BS627" s="4" t="n">
        <x:v>33.8</x:v>
      </x:c>
      <x:c r="BT627" s="10" t="n">
        <x:v>30</x:v>
      </x:c>
      <x:c r="BU627" s="4" t="str">
        <x:v>TOT</x:v>
      </x:c>
      <x:c r="BV627" s="10"/>
      <x:c r="BW627" s="10"/>
      <x:c r="BX627" s="10" t="n">
        <x:v>956</x:v>
      </x:c>
      <x:c r="BY627" s="4"/>
      <x:c r="BZ627" s="4"/>
      <x:c r="CA627" s="4" t="str">
        <x:v>Ilya Solovyov</x:v>
      </x:c>
      <x:c r="CB627" s="4" t="str">
        <x:v>solovil01</x:v>
      </x:c>
    </x:row>
    <x:row r="628" ht="22" customHeight="1">
      <x:c r="A628" s="4" t="str">
        <x:v>Isaac Howard</x:v>
      </x:c>
      <x:c r="B628" s="4" t="str">
        <x:v>isaachoward</x:v>
      </x:c>
      <x:c r="C628" s="10" t="n">
        <x:v>1</x:v>
      </x:c>
      <x:c r="D628" s="10" t="n">
        <x:v>0</x:v>
      </x:c>
      <x:c r="E628" s="10" t="n">
        <x:v>1</x:v>
      </x:c>
      <x:c r="F628" s="4" t="n">
        <x:f>IF(COUNT(N628,Q628,T628,W628,Z628,AC628,AF628,AI628)=8,N628*Guide!$E$5+Q628*Guide!$E$6+T628*Guide!$E$7+W628*Guide!$E$8+Z628*Guide!$E$9+AC628*Guide!$E$10+AF628*Guide!$E$11+AI628*Guide!$E$12,"")</x:f>
        <x:v>223</x:v>
      </x:c>
      <x:c r="G628" s="4" t="str">
        <x:f>IF(COUNT(O628,R628,U628,X628,AA628,AD628,AG628,AJ628)=8,O628*Guide!$E$5+R628*Guide!$E$6+U628*Guide!$E$7+X628*Guide!$E$8+AA628*Guide!$E$9+AD628*Guide!$E$10+AG628*Guide!$E$11+AJ628*Guide!$E$12,"")</x:f>
      </x:c>
      <x:c r="H628" s="4" t="str">
        <x:f>IF(COUNT(G628,F628)=2,G628-F628,"")</x:f>
      </x:c>
      <x:c r="I628" s="4" t="n">
        <x:f>IF(AND(ISNUMBER(F628),K628&gt;0),F628/K628,"")</x:f>
        <x:v>2.973333333333333</x:v>
      </x:c>
      <x:c r="J628" s="4" t="str">
        <x:f>IF(AND(ISNUMBER(G628),L628&gt;0),G628/L628,"")</x:f>
      </x:c>
      <x:c r="K628" s="10" t="n">
        <x:v>75</x:v>
      </x:c>
      <x:c r="L628" s="10"/>
      <x:c r="M628" s="10" t="str">
        <x:f>IF(COUNT(L628,K628)=2,L628-K628,"")</x:f>
      </x:c>
      <x:c r="N628" s="10" t="n">
        <x:v>17</x:v>
      </x:c>
      <x:c r="O628" s="10"/>
      <x:c r="P628" s="10" t="str">
        <x:f>IF(COUNT(O628,N628)=2,O628-N628,"")</x:f>
      </x:c>
      <x:c r="Q628" s="10" t="n">
        <x:v>20</x:v>
      </x:c>
      <x:c r="R628" s="10"/>
      <x:c r="S628" s="10" t="str">
        <x:f>IF(COUNT(R628,Q628)=2,R628-Q628,"")</x:f>
      </x:c>
      <x:c r="T628" s="10" t="n">
        <x:v>7</x:v>
      </x:c>
      <x:c r="U628" s="10"/>
      <x:c r="V628" s="10" t="str">
        <x:f>IF(COUNT(U628,T628)=2,U628-T628,"")</x:f>
      </x:c>
      <x:c r="W628" s="10" t="n">
        <x:v>5</x:v>
      </x:c>
      <x:c r="X628" s="10" t="str">
        <x:f>IF(COUNT(AV628,AW628)=2,AV628+AW628,"")</x:f>
      </x:c>
      <x:c r="Y628" s="10" t="str">
        <x:f>IF(COUNT(X628,W628)=2,X628-W628,"")</x:f>
      </x:c>
      <x:c r="Z628" s="10" t="n">
        <x:v>0</x:v>
      </x:c>
      <x:c r="AA628" s="10" t="str">
        <x:f>IF(COUNT(AX628,AY628)=2,AX628+AY628,"")</x:f>
      </x:c>
      <x:c r="AB628" s="10" t="str">
        <x:f>IF(COUNT(AA628,Z628)=2,AA628-Z628,"")</x:f>
      </x:c>
      <x:c r="AC628" s="10" t="n">
        <x:v>162</x:v>
      </x:c>
      <x:c r="AD628" s="10"/>
      <x:c r="AE628" s="10" t="str">
        <x:f>IF(COUNT(AD628,AC628)=2,AD628-AC628,"")</x:f>
      </x:c>
      <x:c r="AF628" s="10" t="n">
        <x:v>53</x:v>
      </x:c>
      <x:c r="AG628" s="10"/>
      <x:c r="AH628" s="10" t="str">
        <x:f>IF(COUNT(AG628,AF628)=2,AG628-AF628,"")</x:f>
      </x:c>
      <x:c r="AI628" s="10" t="n">
        <x:v>39</x:v>
      </x:c>
      <x:c r="AJ628" s="10"/>
      <x:c r="AK628" s="10" t="str">
        <x:f>IF(COUNT(AJ628,AI628)=2,AJ628-AI628,"")</x:f>
      </x:c>
      <x:c r="AL628" s="10" t="n">
        <x:v>21</x:v>
      </x:c>
      <x:c r="AM628" s="10"/>
      <x:c r="AN628" s="4" t="str">
        <x:v>LW</x:v>
      </x:c>
      <x:c r="AO628" s="4"/>
      <x:c r="AP628" s="4" t="str">
        <x:v>EDM</x:v>
      </x:c>
      <x:c r="AQ628" s="4"/>
      <x:c r="AR628" s="4" t="n">
        <x:v>14.25</x:v>
      </x:c>
      <x:c r="AS628" s="4"/>
      <x:c r="AT628" s="4" t="n">
        <x:v>1</x:v>
      </x:c>
      <x:c r="AU628" s="4"/>
      <x:c r="AV628" s="10"/>
      <x:c r="AW628" s="10"/>
      <x:c r="AX628" s="10"/>
      <x:c r="AY628" s="10"/>
      <x:c r="AZ628" s="10" t="n">
        <x:v>236</x:v>
      </x:c>
      <x:c r="BA628" s="10" t="n">
        <x:v>299</x:v>
      </x:c>
      <x:c r="BB628" s="4" t="n">
        <x:v>44.1</x:v>
      </x:c>
      <x:c r="BC628" s="4" t="n">
        <x:v>-7.4</x:v>
      </x:c>
      <x:c r="BD628" s="10" t="n">
        <x:v>174</x:v>
      </x:c>
      <x:c r="BE628" s="10" t="n">
        <x:v>207</x:v>
      </x:c>
      <x:c r="BF628" s="4" t="n">
        <x:v>45.7</x:v>
      </x:c>
      <x:c r="BG628" s="4" t="n">
        <x:v>-6.8</x:v>
      </x:c>
      <x:c r="BH628" s="4" t="n">
        <x:v>7.8</x:v>
      </x:c>
      <x:c r="BI628" s="4" t="n">
        <x:v>87.1</x:v>
      </x:c>
      <x:c r="BJ628" s="4" t="n">
        <x:v>94.9</x:v>
      </x:c>
      <x:c r="BK628" s="4" t="n">
        <x:v>57.3</x:v>
      </x:c>
      <x:c r="BL628" s="4" t="n">
        <x:v>42.7</x:v>
      </x:c>
      <x:c r="BM628" s="4" t="n">
        <x:v>10.316666666666666</x:v>
      </x:c>
      <x:c r="BN628" s="4" t="n">
        <x:v>9.816666666666666</x:v>
      </x:c>
      <x:c r="BO628" s="10" t="n">
        <x:v>2</x:v>
      </x:c>
      <x:c r="BP628" s="10" t="n">
        <x:v>17</x:v>
      </x:c>
      <x:c r="BQ628" s="4" t="n">
        <x:v>-0.5</x:v>
      </x:c>
      <x:c r="BR628" s="10" t="n">
        <x:v>74</x:v>
      </x:c>
      <x:c r="BS628" s="4" t="n">
        <x:v>48.6</x:v>
      </x:c>
      <x:c r="BT628" s="10" t="n">
        <x:v>29</x:v>
      </x:c>
      <x:c r="BU628" s="4" t="str">
        <x:v>EDM</x:v>
      </x:c>
      <x:c r="BV628" s="10" t="n">
        <x:v>286</x:v>
      </x:c>
      <x:c r="BW628" s="10"/>
      <x:c r="BX628" s="10" t="n">
        <x:v>428</x:v>
      </x:c>
      <x:c r="BY628" s="4" t="str">
        <x:v>Isaac Howard</x:v>
      </x:c>
      <x:c r="BZ628" s="4"/>
      <x:c r="CA628" s="4" t="str">
        <x:v>Isaac Howard</x:v>
      </x:c>
      <x:c r="CB628" s="4" t="str">
        <x:v>howaris01</x:v>
      </x:c>
    </x:row>
    <x:row r="629" ht="22" customHeight="1">
      <x:c r="A629" s="4" t="str">
        <x:v>Isaak Phillips</x:v>
      </x:c>
      <x:c r="B629" s="4" t="str">
        <x:v>isaakphillips</x:v>
      </x:c>
      <x:c r="C629" s="10" t="n">
        <x:v>1</x:v>
      </x:c>
      <x:c r="D629" s="10" t="n">
        <x:v>0</x:v>
      </x:c>
      <x:c r="E629" s="10" t="n">
        <x:v>1</x:v>
      </x:c>
      <x:c r="F629" s="4" t="n">
        <x:f>IF(COUNT(N629,Q629,T629,W629,Z629,AC629,AF629,AI629)=8,N629*Guide!$E$5+Q629*Guide!$E$6+T629*Guide!$E$7+W629*Guide!$E$8+Z629*Guide!$E$9+AC629*Guide!$E$10+AF629*Guide!$E$11+AI629*Guide!$E$12,"")</x:f>
        <x:v>122</x:v>
      </x:c>
      <x:c r="G629" s="4" t="str">
        <x:f>IF(COUNT(O629,R629,U629,X629,AA629,AD629,AG629,AJ629)=8,O629*Guide!$E$5+R629*Guide!$E$6+U629*Guide!$E$7+X629*Guide!$E$8+AA629*Guide!$E$9+AD629*Guide!$E$10+AG629*Guide!$E$11+AJ629*Guide!$E$12,"")</x:f>
      </x:c>
      <x:c r="H629" s="4" t="str">
        <x:f>IF(COUNT(G629,F629)=2,G629-F629,"")</x:f>
      </x:c>
      <x:c r="I629" s="4" t="n">
        <x:f>IF(AND(ISNUMBER(F629),K629&gt;0),F629/K629,"")</x:f>
        <x:v>1.967741935483871</x:v>
      </x:c>
      <x:c r="J629" s="4" t="str">
        <x:f>IF(AND(ISNUMBER(G629),L629&gt;0),G629/L629,"")</x:f>
      </x:c>
      <x:c r="K629" s="10" t="n">
        <x:v>62</x:v>
      </x:c>
      <x:c r="L629" s="10"/>
      <x:c r="M629" s="10" t="str">
        <x:f>IF(COUNT(L629,K629)=2,L629-K629,"")</x:f>
      </x:c>
      <x:c r="N629" s="10" t="n">
        <x:v>3</x:v>
      </x:c>
      <x:c r="O629" s="10"/>
      <x:c r="P629" s="10" t="str">
        <x:f>IF(COUNT(O629,N629)=2,O629-N629,"")</x:f>
      </x:c>
      <x:c r="Q629" s="10" t="n">
        <x:v>12</x:v>
      </x:c>
      <x:c r="R629" s="10"/>
      <x:c r="S629" s="10" t="str">
        <x:f>IF(COUNT(R629,Q629)=2,R629-Q629,"")</x:f>
      </x:c>
      <x:c r="T629" s="10" t="n">
        <x:v>-12</x:v>
      </x:c>
      <x:c r="U629" s="10"/>
      <x:c r="V629" s="10" t="str">
        <x:f>IF(COUNT(U629,T629)=2,U629-T629,"")</x:f>
      </x:c>
      <x:c r="W629" s="10" t="n">
        <x:v>1</x:v>
      </x:c>
      <x:c r="X629" s="10" t="str">
        <x:f>IF(COUNT(AV629,AW629)=2,AV629+AW629,"")</x:f>
      </x:c>
      <x:c r="Y629" s="10" t="str">
        <x:f>IF(COUNT(X629,W629)=2,X629-W629,"")</x:f>
      </x:c>
      <x:c r="Z629" s="10" t="n">
        <x:v>0</x:v>
      </x:c>
      <x:c r="AA629" s="10" t="str">
        <x:f>IF(COUNT(AX629,AY629)=2,AX629+AY629,"")</x:f>
      </x:c>
      <x:c r="AB629" s="10" t="str">
        <x:f>IF(COUNT(AA629,Z629)=2,AA629-Z629,"")</x:f>
      </x:c>
      <x:c r="AC629" s="10" t="n">
        <x:v>62</x:v>
      </x:c>
      <x:c r="AD629" s="10"/>
      <x:c r="AE629" s="10" t="str">
        <x:f>IF(COUNT(AD629,AC629)=2,AD629-AC629,"")</x:f>
      </x:c>
      <x:c r="AF629" s="10" t="n">
        <x:v>83</x:v>
      </x:c>
      <x:c r="AG629" s="10"/>
      <x:c r="AH629" s="10" t="str">
        <x:f>IF(COUNT(AG629,AF629)=2,AG629-AF629,"")</x:f>
      </x:c>
      <x:c r="AI629" s="10" t="n">
        <x:v>65</x:v>
      </x:c>
      <x:c r="AJ629" s="10"/>
      <x:c r="AK629" s="10" t="str">
        <x:f>IF(COUNT(AJ629,AI629)=2,AJ629-AI629,"")</x:f>
      </x:c>
      <x:c r="AL629" s="10" t="n">
        <x:v>24</x:v>
      </x:c>
      <x:c r="AM629" s="10"/>
      <x:c r="AN629" s="4" t="str">
        <x:v>D</x:v>
      </x:c>
      <x:c r="AO629" s="4"/>
      <x:c r="AP629" s="4" t="str">
        <x:v>WPG</x:v>
      </x:c>
      <x:c r="AQ629" s="4"/>
      <x:c r="AR629" s="4" t="n">
        <x:v>17.25</x:v>
      </x:c>
      <x:c r="AS629" s="4"/>
      <x:c r="AT629" s="4" t="n">
        <x:v>0.18</x:v>
      </x:c>
      <x:c r="AU629" s="4"/>
      <x:c r="AV629" s="10"/>
      <x:c r="AW629" s="10"/>
      <x:c r="AX629" s="10"/>
      <x:c r="AY629" s="10"/>
      <x:c r="AZ629" s="10" t="n">
        <x:v>16</x:v>
      </x:c>
      <x:c r="BA629" s="10" t="n">
        <x:v>26</x:v>
      </x:c>
      <x:c r="BB629" s="4" t="n">
        <x:v>38.1</x:v>
      </x:c>
      <x:c r="BC629" s="4" t="n">
        <x:v>-14</x:v>
      </x:c>
      <x:c r="BD629" s="10" t="n">
        <x:v>8</x:v>
      </x:c>
      <x:c r="BE629" s="10" t="n">
        <x:v>18</x:v>
      </x:c>
      <x:c r="BF629" s="4" t="n">
        <x:v>30.8</x:v>
      </x:c>
      <x:c r="BG629" s="4" t="n">
        <x:v>-23</x:v>
      </x:c>
      <x:c r="BH629" s="4" t="n">
        <x:v>0</x:v>
      </x:c>
      <x:c r="BI629" s="4" t="n">
        <x:v>100</x:v>
      </x:c>
      <x:c r="BJ629" s="4" t="n">
        <x:v>100</x:v>
      </x:c>
      <x:c r="BK629" s="4" t="n">
        <x:v>43.8</x:v>
      </x:c>
      <x:c r="BL629" s="4" t="n">
        <x:v>56.3</x:v>
      </x:c>
      <x:c r="BM629" s="4" t="n">
        <x:v>9.516666666666667</x:v>
      </x:c>
      <x:c r="BN629" s="4" t="n">
        <x:v>9.483333333333333</x:v>
      </x:c>
      <x:c r="BO629" s="10" t="n">
        <x:v>0</x:v>
      </x:c>
      <x:c r="BP629" s="10" t="n">
        <x:v>2</x:v>
      </x:c>
      <x:c r="BQ629" s="4" t="n">
        <x:v>-0.5</x:v>
      </x:c>
      <x:c r="BR629" s="10" t="n">
        <x:v>5</x:v>
      </x:c>
      <x:c r="BS629" s="4" t="n">
        <x:v>60</x:v>
      </x:c>
      <x:c r="BT629" s="10" t="n">
        <x:v>3</x:v>
      </x:c>
      <x:c r="BU629" s="4" t="str">
        <x:v>WPG</x:v>
      </x:c>
      <x:c r="BV629" s="10" t="n">
        <x:v>628</x:v>
      </x:c>
      <x:c r="BW629" s="10"/>
      <x:c r="BX629" s="10" t="n">
        <x:v>814</x:v>
      </x:c>
      <x:c r="BY629" s="4" t="str">
        <x:v>Isaak Phillips</x:v>
      </x:c>
      <x:c r="BZ629" s="4"/>
      <x:c r="CA629" s="4" t="str">
        <x:v>Isaak Phillips</x:v>
      </x:c>
      <x:c r="CB629" s="4" t="str">
        <x:v>phillis01</x:v>
      </x:c>
    </x:row>
    <x:row r="630" ht="22" customHeight="1">
      <x:c r="A630" s="4" t="str">
        <x:v>Isac Lundestrom</x:v>
      </x:c>
      <x:c r="B630" s="4" t="str">
        <x:v>isaclundestrom</x:v>
      </x:c>
      <x:c r="C630" s="10" t="n">
        <x:v>1</x:v>
      </x:c>
      <x:c r="D630" s="10" t="n">
        <x:v>0</x:v>
      </x:c>
      <x:c r="E630" s="10" t="n">
        <x:v>1</x:v>
      </x:c>
      <x:c r="F630" s="4" t="n">
        <x:f>IF(COUNT(N630,Q630,T630,W630,Z630,AC630,AF630,AI630)=8,N630*Guide!$E$5+Q630*Guide!$E$6+T630*Guide!$E$7+W630*Guide!$E$8+Z630*Guide!$E$9+AC630*Guide!$E$10+AF630*Guide!$E$11+AI630*Guide!$E$12,"")</x:f>
        <x:v>134.5</x:v>
      </x:c>
      <x:c r="G630" s="4" t="str">
        <x:f>IF(COUNT(O630,R630,U630,X630,AA630,AD630,AG630,AJ630)=8,O630*Guide!$E$5+R630*Guide!$E$6+U630*Guide!$E$7+X630*Guide!$E$8+AA630*Guide!$E$9+AD630*Guide!$E$10+AG630*Guide!$E$11+AJ630*Guide!$E$12,"")</x:f>
      </x:c>
      <x:c r="H630" s="4" t="str">
        <x:f>IF(COUNT(G630,F630)=2,G630-F630,"")</x:f>
      </x:c>
      <x:c r="I630" s="4" t="n">
        <x:f>IF(AND(ISNUMBER(F630),K630&gt;0),F630/K630,"")</x:f>
        <x:v>1.8175675675675675</x:v>
      </x:c>
      <x:c r="J630" s="4" t="str">
        <x:f>IF(AND(ISNUMBER(G630),L630&gt;0),G630/L630,"")</x:f>
      </x:c>
      <x:c r="K630" s="10" t="n">
        <x:v>74</x:v>
      </x:c>
      <x:c r="L630" s="10"/>
      <x:c r="M630" s="10" t="str">
        <x:f>IF(COUNT(L630,K630)=2,L630-K630,"")</x:f>
      </x:c>
      <x:c r="N630" s="10" t="n">
        <x:v>8</x:v>
      </x:c>
      <x:c r="O630" s="10"/>
      <x:c r="P630" s="10" t="str">
        <x:f>IF(COUNT(O630,N630)=2,O630-N630,"")</x:f>
      </x:c>
      <x:c r="Q630" s="10" t="n">
        <x:v>12</x:v>
      </x:c>
      <x:c r="R630" s="10"/>
      <x:c r="S630" s="10" t="str">
        <x:f>IF(COUNT(R630,Q630)=2,R630-Q630,"")</x:f>
      </x:c>
      <x:c r="T630" s="10" t="n">
        <x:v>-7</x:v>
      </x:c>
      <x:c r="U630" s="10"/>
      <x:c r="V630" s="10" t="str">
        <x:f>IF(COUNT(U630,T630)=2,U630-T630,"")</x:f>
      </x:c>
      <x:c r="W630" s="10" t="n">
        <x:v>2</x:v>
      </x:c>
      <x:c r="X630" s="10" t="str">
        <x:f>IF(COUNT(AV630,AW630)=2,AV630+AW630,"")</x:f>
      </x:c>
      <x:c r="Y630" s="10" t="str">
        <x:f>IF(COUNT(X630,W630)=2,X630-W630,"")</x:f>
      </x:c>
      <x:c r="Z630" s="10" t="n">
        <x:v>1</x:v>
      </x:c>
      <x:c r="AA630" s="10" t="str">
        <x:f>IF(COUNT(AX630,AY630)=2,AX630+AY630,"")</x:f>
      </x:c>
      <x:c r="AB630" s="10" t="str">
        <x:f>IF(COUNT(AA630,Z630)=2,AA630-Z630,"")</x:f>
      </x:c>
      <x:c r="AC630" s="10" t="n">
        <x:v>62</x:v>
      </x:c>
      <x:c r="AD630" s="10"/>
      <x:c r="AE630" s="10" t="str">
        <x:f>IF(COUNT(AD630,AC630)=2,AD630-AC630,"")</x:f>
      </x:c>
      <x:c r="AF630" s="10" t="n">
        <x:v>47</x:v>
      </x:c>
      <x:c r="AG630" s="10"/>
      <x:c r="AH630" s="10" t="str">
        <x:f>IF(COUNT(AG630,AF630)=2,AG630-AF630,"")</x:f>
      </x:c>
      <x:c r="AI630" s="10" t="n">
        <x:v>55</x:v>
      </x:c>
      <x:c r="AJ630" s="10"/>
      <x:c r="AK630" s="10" t="str">
        <x:f>IF(COUNT(AJ630,AI630)=2,AJ630-AI630,"")</x:f>
      </x:c>
      <x:c r="AL630" s="10" t="n">
        <x:v>26</x:v>
      </x:c>
      <x:c r="AM630" s="10"/>
      <x:c r="AN630" s="4" t="str">
        <x:v>C</x:v>
      </x:c>
      <x:c r="AO630" s="4"/>
      <x:c r="AP630" s="4" t="str">
        <x:v>CBJ</x:v>
      </x:c>
      <x:c r="AQ630" s="4"/>
      <x:c r="AR630" s="4" t="n">
        <x:v>13.899999999999999</x:v>
      </x:c>
      <x:c r="AS630" s="4"/>
      <x:c r="AT630" s="4" t="n">
        <x:v>0.29</x:v>
      </x:c>
      <x:c r="AU630" s="4"/>
      <x:c r="AV630" s="10"/>
      <x:c r="AW630" s="10"/>
      <x:c r="AX630" s="10"/>
      <x:c r="AY630" s="10"/>
      <x:c r="AZ630" s="10" t="n">
        <x:v>578</x:v>
      </x:c>
      <x:c r="BA630" s="10" t="n">
        <x:v>730</x:v>
      </x:c>
      <x:c r="BB630" s="4" t="n">
        <x:v>44.2</x:v>
      </x:c>
      <x:c r="BC630" s="4" t="n">
        <x:v>-7.8</x:v>
      </x:c>
      <x:c r="BD630" s="10" t="n">
        <x:v>408</x:v>
      </x:c>
      <x:c r="BE630" s="10" t="n">
        <x:v>526</x:v>
      </x:c>
      <x:c r="BF630" s="4" t="n">
        <x:v>43.7</x:v>
      </x:c>
      <x:c r="BG630" s="4" t="n">
        <x:v>-7.9</x:v>
      </x:c>
      <x:c r="BH630" s="4" t="n">
        <x:v>9.7</x:v>
      </x:c>
      <x:c r="BI630" s="4" t="n">
        <x:v>91.4</x:v>
      </x:c>
      <x:c r="BJ630" s="4" t="n">
        <x:v>101.1</x:v>
      </x:c>
      <x:c r="BK630" s="4" t="n">
        <x:v>34.6</x:v>
      </x:c>
      <x:c r="BL630" s="4" t="n">
        <x:v>65.4</x:v>
      </x:c>
      <x:c r="BM630" s="4" t="n">
        <x:v>12.383333333333333</x:v>
      </x:c>
      <x:c r="BN630" s="4" t="n">
        <x:v>10.9</x:v>
      </x:c>
      <x:c r="BO630" s="10" t="n">
        <x:v>8</x:v>
      </x:c>
      <x:c r="BP630" s="10" t="n">
        <x:v>38</x:v>
      </x:c>
      <x:c r="BQ630" s="4" t="n">
        <x:v>-9.2</x:v>
      </x:c>
      <x:c r="BR630" s="10" t="n">
        <x:v>88</x:v>
      </x:c>
      <x:c r="BS630" s="4" t="n">
        <x:v>60.2</x:v>
      </x:c>
      <x:c r="BT630" s="10" t="n">
        <x:v>68</x:v>
      </x:c>
      <x:c r="BU630" s="4" t="str">
        <x:v>CBJ</x:v>
      </x:c>
      <x:c r="BV630" s="10" t="n">
        <x:v>532</x:v>
      </x:c>
      <x:c r="BW630" s="10"/>
      <x:c r="BX630" s="10" t="n">
        <x:v>612</x:v>
      </x:c>
      <x:c r="BY630" s="4" t="str">
        <x:v>Isac Lundestrom</x:v>
      </x:c>
      <x:c r="BZ630" s="4"/>
      <x:c r="CA630" s="4" t="str">
        <x:v>Isac Lundeström</x:v>
      </x:c>
      <x:c r="CB630" s="4" t="str">
        <x:v>lundeis01</x:v>
      </x:c>
    </x:row>
    <x:row r="631" ht="22" customHeight="1">
      <x:c r="A631" s="4" t="str">
        <x:v>Isaiah George</x:v>
      </x:c>
      <x:c r="B631" s="4" t="str">
        <x:v>isaiahgeorge</x:v>
      </x:c>
      <x:c r="C631" s="10" t="n">
        <x:v>1</x:v>
      </x:c>
      <x:c r="D631" s="10" t="n">
        <x:v>0</x:v>
      </x:c>
      <x:c r="E631" s="10" t="n">
        <x:v>1</x:v>
      </x:c>
      <x:c r="F631" s="4" t="n">
        <x:f>IF(COUNT(N631,Q631,T631,W631,Z631,AC631,AF631,AI631)=8,N631*Guide!$E$5+Q631*Guide!$E$6+T631*Guide!$E$7+W631*Guide!$E$8+Z631*Guide!$E$9+AC631*Guide!$E$10+AF631*Guide!$E$11+AI631*Guide!$E$12,"")</x:f>
        <x:v>88.25</x:v>
      </x:c>
      <x:c r="G631" s="4" t="str">
        <x:f>IF(COUNT(O631,R631,U631,X631,AA631,AD631,AG631,AJ631)=8,O631*Guide!$E$5+R631*Guide!$E$6+U631*Guide!$E$7+X631*Guide!$E$8+AA631*Guide!$E$9+AD631*Guide!$E$10+AG631*Guide!$E$11+AJ631*Guide!$E$12,"")</x:f>
      </x:c>
      <x:c r="H631" s="4" t="str">
        <x:f>IF(COUNT(G631,F631)=2,G631-F631,"")</x:f>
      </x:c>
      <x:c r="I631" s="4" t="n">
        <x:f>IF(AND(ISNUMBER(F631),K631&gt;0),F631/K631,"")</x:f>
        <x:v>1.8385416666666667</x:v>
      </x:c>
      <x:c r="J631" s="4" t="str">
        <x:f>IF(AND(ISNUMBER(G631),L631&gt;0),G631/L631,"")</x:f>
      </x:c>
      <x:c r="K631" s="10" t="n">
        <x:v>48</x:v>
      </x:c>
      <x:c r="L631" s="10"/>
      <x:c r="M631" s="10" t="str">
        <x:f>IF(COUNT(L631,K631)=2,L631-K631,"")</x:f>
      </x:c>
      <x:c r="N631" s="10" t="n">
        <x:v>2</x:v>
      </x:c>
      <x:c r="O631" s="10"/>
      <x:c r="P631" s="10" t="str">
        <x:f>IF(COUNT(O631,N631)=2,O631-N631,"")</x:f>
      </x:c>
      <x:c r="Q631" s="10" t="n">
        <x:v>9</x:v>
      </x:c>
      <x:c r="R631" s="10"/>
      <x:c r="S631" s="10" t="str">
        <x:f>IF(COUNT(R631,Q631)=2,R631-Q631,"")</x:f>
      </x:c>
      <x:c r="T631" s="10" t="n">
        <x:v>-1</x:v>
      </x:c>
      <x:c r="U631" s="10"/>
      <x:c r="V631" s="10" t="str">
        <x:f>IF(COUNT(U631,T631)=2,U631-T631,"")</x:f>
      </x:c>
      <x:c r="W631" s="10" t="n">
        <x:v>0</x:v>
      </x:c>
      <x:c r="X631" s="10" t="str">
        <x:f>IF(COUNT(AV631,AW631)=2,AV631+AW631,"")</x:f>
      </x:c>
      <x:c r="Y631" s="10" t="str">
        <x:f>IF(COUNT(X631,W631)=2,X631-W631,"")</x:f>
      </x:c>
      <x:c r="Z631" s="10" t="n">
        <x:v>0</x:v>
      </x:c>
      <x:c r="AA631" s="10" t="str">
        <x:f>IF(COUNT(AX631,AY631)=2,AX631+AY631,"")</x:f>
      </x:c>
      <x:c r="AB631" s="10" t="str">
        <x:f>IF(COUNT(AA631,Z631)=2,AA631-Z631,"")</x:f>
      </x:c>
      <x:c r="AC631" s="10" t="n">
        <x:v>41</x:v>
      </x:c>
      <x:c r="AD631" s="10"/>
      <x:c r="AE631" s="10" t="str">
        <x:f>IF(COUNT(AD631,AC631)=2,AD631-AC631,"")</x:f>
      </x:c>
      <x:c r="AF631" s="10" t="n">
        <x:v>20</x:v>
      </x:c>
      <x:c r="AG631" s="10"/>
      <x:c r="AH631" s="10" t="str">
        <x:f>IF(COUNT(AG631,AF631)=2,AG631-AF631,"")</x:f>
      </x:c>
      <x:c r="AI631" s="10" t="n">
        <x:v>52</x:v>
      </x:c>
      <x:c r="AJ631" s="10"/>
      <x:c r="AK631" s="10" t="str">
        <x:f>IF(COUNT(AJ631,AI631)=2,AJ631-AI631,"")</x:f>
      </x:c>
      <x:c r="AL631" s="10" t="n">
        <x:v>21</x:v>
      </x:c>
      <x:c r="AM631" s="10"/>
      <x:c r="AN631" s="4" t="str">
        <x:v>D</x:v>
      </x:c>
      <x:c r="AO631" s="4"/>
      <x:c r="AP631" s="4" t="str">
        <x:v>NYI</x:v>
      </x:c>
      <x:c r="AQ631" s="4"/>
      <x:c r="AR631" s="4" t="n">
        <x:v>15.65</x:v>
      </x:c>
      <x:c r="AS631" s="4"/>
      <x:c r="AT631" s="4" t="n">
        <x:v>0.01</x:v>
      </x:c>
      <x:c r="AU631" s="4"/>
      <x:c r="AV631" s="10"/>
      <x:c r="AW631" s="10"/>
      <x:c r="AX631" s="10"/>
      <x:c r="AY631" s="10"/>
      <x:c r="AZ631" s="10" t="n">
        <x:v>29</x:v>
      </x:c>
      <x:c r="BA631" s="10" t="n">
        <x:v>59</x:v>
      </x:c>
      <x:c r="BB631" s="4" t="n">
        <x:v>33</x:v>
      </x:c>
      <x:c r="BC631" s="4" t="n">
        <x:v>-17</x:v>
      </x:c>
      <x:c r="BD631" s="10" t="n">
        <x:v>23</x:v>
      </x:c>
      <x:c r="BE631" s="10" t="n">
        <x:v>37</x:v>
      </x:c>
      <x:c r="BF631" s="4" t="n">
        <x:v>38.3</x:v>
      </x:c>
      <x:c r="BG631" s="4" t="n">
        <x:v>-9.7</x:v>
      </x:c>
      <x:c r="BH631" s="4" t="n">
        <x:v>16.7</x:v>
      </x:c>
      <x:c r="BI631" s="4" t="n">
        <x:v>92</x:v>
      </x:c>
      <x:c r="BJ631" s="4" t="n">
        <x:v>108.7</x:v>
      </x:c>
      <x:c r="BK631" s="4" t="n">
        <x:v>25</x:v>
      </x:c>
      <x:c r="BL631" s="4" t="n">
        <x:v>75</x:v>
      </x:c>
      <x:c r="BM631" s="4" t="n">
        <x:v>13.366666666666667</x:v>
      </x:c>
      <x:c r="BN631" s="4" t="n">
        <x:v>13.166666666666666</x:v>
      </x:c>
      <x:c r="BO631" s="10" t="n">
        <x:v>2</x:v>
      </x:c>
      <x:c r="BP631" s="10" t="n">
        <x:v>2</x:v>
      </x:c>
      <x:c r="BQ631" s="4" t="n">
        <x:v>-0.2</x:v>
      </x:c>
      <x:c r="BR631" s="10" t="n">
        <x:v>6</x:v>
      </x:c>
      <x:c r="BS631" s="4" t="n">
        <x:v>33.3</x:v>
      </x:c>
      <x:c r="BT631" s="10" t="n">
        <x:v>4</x:v>
      </x:c>
      <x:c r="BU631" s="4" t="str">
        <x:v>NYI</x:v>
      </x:c>
      <x:c r="BV631" s="10" t="n">
        <x:v>717</x:v>
      </x:c>
      <x:c r="BW631" s="10"/>
      <x:c r="BX631" s="10" t="n">
        <x:v>334</x:v>
      </x:c>
      <x:c r="BY631" s="4" t="str">
        <x:v>Isaiah George</x:v>
      </x:c>
      <x:c r="BZ631" s="4"/>
      <x:c r="CA631" s="4" t="str">
        <x:v>Isaiah George</x:v>
      </x:c>
      <x:c r="CB631" s="4" t="str">
        <x:v>georgis01</x:v>
      </x:c>
    </x:row>
    <x:row r="632" ht="22" customHeight="1">
      <x:c r="A632" s="4" t="str">
        <x:v>Isak Rosen</x:v>
      </x:c>
      <x:c r="B632" s="4" t="str">
        <x:v>isakrosen</x:v>
      </x:c>
      <x:c r="C632" s="10" t="n">
        <x:v>0</x:v>
      </x:c>
      <x:c r="D632" s="10" t="n">
        <x:v>0</x:v>
      </x:c>
      <x:c r="E632" s="10" t="n">
        <x:v>1</x:v>
      </x:c>
      <x:c r="F632" s="4" t="str">
        <x:f>IF(COUNT(N632,Q632,T632,W632,Z632,AC632,AF632,AI632)=8,N632*Guide!$E$5+Q632*Guide!$E$6+T632*Guide!$E$7+W632*Guide!$E$8+Z632*Guide!$E$9+AC632*Guide!$E$10+AF632*Guide!$E$11+AI632*Guide!$E$12,"")</x:f>
      </x:c>
      <x:c r="G632" s="4" t="str">
        <x:f>IF(COUNT(O632,R632,U632,X632,AA632,AD632,AG632,AJ632)=8,O632*Guide!$E$5+R632*Guide!$E$6+U632*Guide!$E$7+X632*Guide!$E$8+AA632*Guide!$E$9+AD632*Guide!$E$10+AG632*Guide!$E$11+AJ632*Guide!$E$12,"")</x:f>
      </x:c>
      <x:c r="H632" s="4" t="str">
        <x:f>IF(COUNT(G632,F632)=2,G632-F632,"")</x:f>
      </x:c>
      <x:c r="I632" s="4" t="str">
        <x:f>IF(AND(ISNUMBER(F632),K632&gt;0),F632/K632,"")</x:f>
      </x:c>
      <x:c r="J632" s="4" t="str">
        <x:f>IF(AND(ISNUMBER(G632),L632&gt;0),G632/L632,"")</x:f>
      </x:c>
      <x:c r="K632" s="10"/>
      <x:c r="L632" s="10"/>
      <x:c r="M632" s="10" t="str">
        <x:f>IF(COUNT(L632,K632)=2,L632-K632,"")</x:f>
      </x:c>
      <x:c r="N632" s="10"/>
      <x:c r="O632" s="10"/>
      <x:c r="P632" s="10" t="str">
        <x:f>IF(COUNT(O632,N632)=2,O632-N632,"")</x:f>
      </x:c>
      <x:c r="Q632" s="10"/>
      <x:c r="R632" s="10"/>
      <x:c r="S632" s="10" t="str">
        <x:f>IF(COUNT(R632,Q632)=2,R632-Q632,"")</x:f>
      </x:c>
      <x:c r="T632" s="10"/>
      <x:c r="U632" s="10"/>
      <x:c r="V632" s="10" t="str">
        <x:f>IF(COUNT(U632,T632)=2,U632-T632,"")</x:f>
      </x:c>
      <x:c r="W632" s="10"/>
      <x:c r="X632" s="10" t="str">
        <x:f>IF(COUNT(AV632,AW632)=2,AV632+AW632,"")</x:f>
      </x:c>
      <x:c r="Y632" s="10" t="str">
        <x:f>IF(COUNT(X632,W632)=2,X632-W632,"")</x:f>
      </x:c>
      <x:c r="Z632" s="10"/>
      <x:c r="AA632" s="10" t="str">
        <x:f>IF(COUNT(AX632,AY632)=2,AX632+AY632,"")</x:f>
      </x:c>
      <x:c r="AB632" s="10" t="str">
        <x:f>IF(COUNT(AA632,Z632)=2,AA632-Z632,"")</x:f>
      </x:c>
      <x:c r="AC632" s="10"/>
      <x:c r="AD632" s="10"/>
      <x:c r="AE632" s="10" t="str">
        <x:f>IF(COUNT(AD632,AC632)=2,AD632-AC632,"")</x:f>
      </x:c>
      <x:c r="AF632" s="10"/>
      <x:c r="AG632" s="10"/>
      <x:c r="AH632" s="10" t="str">
        <x:f>IF(COUNT(AG632,AF632)=2,AG632-AF632,"")</x:f>
      </x:c>
      <x:c r="AI632" s="10"/>
      <x:c r="AJ632" s="10"/>
      <x:c r="AK632" s="10" t="str">
        <x:f>IF(COUNT(AJ632,AI632)=2,AJ632-AI632,"")</x:f>
      </x:c>
      <x:c r="AL632" s="10"/>
      <x:c r="AM632" s="10"/>
      <x:c r="AN632" s="4"/>
      <x:c r="AO632" s="4"/>
      <x:c r="AP632" s="4"/>
      <x:c r="AQ632" s="4"/>
      <x:c r="AR632" s="4"/>
      <x:c r="AS632" s="4"/>
      <x:c r="AT632" s="4"/>
      <x:c r="AU632" s="4"/>
      <x:c r="AV632" s="10"/>
      <x:c r="AW632" s="10"/>
      <x:c r="AX632" s="10"/>
      <x:c r="AY632" s="10"/>
      <x:c r="AZ632" s="10" t="n">
        <x:v>308</x:v>
      </x:c>
      <x:c r="BA632" s="10" t="n">
        <x:v>387</x:v>
      </x:c>
      <x:c r="BB632" s="4" t="n">
        <x:v>44.3</x:v>
      </x:c>
      <x:c r="BC632" s="4" t="n">
        <x:v>-3.3</x:v>
      </x:c>
      <x:c r="BD632" s="10" t="n">
        <x:v>226</x:v>
      </x:c>
      <x:c r="BE632" s="10" t="n">
        <x:v>265</x:v>
      </x:c>
      <x:c r="BF632" s="4" t="n">
        <x:v>46</x:v>
      </x:c>
      <x:c r="BG632" s="4" t="n">
        <x:v>-1</x:v>
      </x:c>
      <x:c r="BH632" s="4" t="n">
        <x:v>8.8</x:v>
      </x:c>
      <x:c r="BI632" s="4" t="n">
        <x:v>89.8</x:v>
      </x:c>
      <x:c r="BJ632" s="4" t="n">
        <x:v>98.6</x:v>
      </x:c>
      <x:c r="BK632" s="4" t="n">
        <x:v>56.3</x:v>
      </x:c>
      <x:c r="BL632" s="4" t="n">
        <x:v>43.7</x:v>
      </x:c>
      <x:c r="BM632" s="4" t="n">
        <x:v>11.5</x:v>
      </x:c>
      <x:c r="BN632" s="4" t="n">
        <x:v>9.933333333333334</x:v>
      </x:c>
      <x:c r="BO632" s="10" t="n">
        <x:v>5</x:v>
      </x:c>
      <x:c r="BP632" s="10" t="n">
        <x:v>18</x:v>
      </x:c>
      <x:c r="BQ632" s="4" t="n">
        <x:v>-0.4</x:v>
      </x:c>
      <x:c r="BR632" s="10" t="n">
        <x:v>95</x:v>
      </x:c>
      <x:c r="BS632" s="4" t="n">
        <x:v>36.8</x:v>
      </x:c>
      <x:c r="BT632" s="10" t="n">
        <x:v>37</x:v>
      </x:c>
      <x:c r="BU632" s="4" t="str">
        <x:v>TOT</x:v>
      </x:c>
      <x:c r="BV632" s="10"/>
      <x:c r="BW632" s="10"/>
      <x:c r="BX632" s="10" t="n">
        <x:v>873</x:v>
      </x:c>
      <x:c r="BY632" s="4"/>
      <x:c r="BZ632" s="4"/>
      <x:c r="CA632" s="4" t="str">
        <x:v>Isak Rosen</x:v>
      </x:c>
      <x:c r="CB632" s="4" t="str">
        <x:v>rosenis01</x:v>
      </x:c>
    </x:row>
    <x:row r="633" ht="22" customHeight="1">
      <x:c r="A633" s="4" t="str">
        <x:v>Ivan Ivan</x:v>
      </x:c>
      <x:c r="B633" s="4" t="str">
        <x:v>ivanivan</x:v>
      </x:c>
      <x:c r="C633" s="10" t="n">
        <x:v>1</x:v>
      </x:c>
      <x:c r="D633" s="10" t="n">
        <x:v>0</x:v>
      </x:c>
      <x:c r="E633" s="10" t="n">
        <x:v>1</x:v>
      </x:c>
      <x:c r="F633" s="4" t="n">
        <x:f>IF(COUNT(N633,Q633,T633,W633,Z633,AC633,AF633,AI633)=8,N633*Guide!$E$5+Q633*Guide!$E$6+T633*Guide!$E$7+W633*Guide!$E$8+Z633*Guide!$E$9+AC633*Guide!$E$10+AF633*Guide!$E$11+AI633*Guide!$E$12,"")</x:f>
        <x:v>94.5</x:v>
      </x:c>
      <x:c r="G633" s="4" t="str">
        <x:f>IF(COUNT(O633,R633,U633,X633,AA633,AD633,AG633,AJ633)=8,O633*Guide!$E$5+R633*Guide!$E$6+U633*Guide!$E$7+X633*Guide!$E$8+AA633*Guide!$E$9+AD633*Guide!$E$10+AG633*Guide!$E$11+AJ633*Guide!$E$12,"")</x:f>
      </x:c>
      <x:c r="H633" s="4" t="str">
        <x:f>IF(COUNT(G633,F633)=2,G633-F633,"")</x:f>
      </x:c>
      <x:c r="I633" s="4" t="n">
        <x:f>IF(AND(ISNUMBER(F633),K633&gt;0),F633/K633,"")</x:f>
        <x:v>1.7181818181818183</x:v>
      </x:c>
      <x:c r="J633" s="4" t="str">
        <x:f>IF(AND(ISNUMBER(G633),L633&gt;0),G633/L633,"")</x:f>
      </x:c>
      <x:c r="K633" s="10" t="n">
        <x:v>55</x:v>
      </x:c>
      <x:c r="L633" s="10"/>
      <x:c r="M633" s="10" t="str">
        <x:f>IF(COUNT(L633,K633)=2,L633-K633,"")</x:f>
      </x:c>
      <x:c r="N633" s="10" t="n">
        <x:v>9</x:v>
      </x:c>
      <x:c r="O633" s="10"/>
      <x:c r="P633" s="10" t="str">
        <x:f>IF(COUNT(O633,N633)=2,O633-N633,"")</x:f>
      </x:c>
      <x:c r="Q633" s="10" t="n">
        <x:v>9</x:v>
      </x:c>
      <x:c r="R633" s="10"/>
      <x:c r="S633" s="10" t="str">
        <x:f>IF(COUNT(R633,Q633)=2,R633-Q633,"")</x:f>
      </x:c>
      <x:c r="T633" s="10" t="n">
        <x:v>-2</x:v>
      </x:c>
      <x:c r="U633" s="10"/>
      <x:c r="V633" s="10" t="str">
        <x:f>IF(COUNT(U633,T633)=2,U633-T633,"")</x:f>
      </x:c>
      <x:c r="W633" s="10" t="n">
        <x:v>5</x:v>
      </x:c>
      <x:c r="X633" s="10" t="str">
        <x:f>IF(COUNT(AV633,AW633)=2,AV633+AW633,"")</x:f>
      </x:c>
      <x:c r="Y633" s="10" t="str">
        <x:f>IF(COUNT(X633,W633)=2,X633-W633,"")</x:f>
      </x:c>
      <x:c r="Z633" s="10" t="n">
        <x:v>0</x:v>
      </x:c>
      <x:c r="AA633" s="10" t="str">
        <x:f>IF(COUNT(AX633,AY633)=2,AX633+AY633,"")</x:f>
      </x:c>
      <x:c r="AB633" s="10" t="str">
        <x:f>IF(COUNT(AA633,Z633)=2,AA633-Z633,"")</x:f>
      </x:c>
      <x:c r="AC633" s="10" t="n">
        <x:v>54</x:v>
      </x:c>
      <x:c r="AD633" s="10"/>
      <x:c r="AE633" s="10" t="str">
        <x:f>IF(COUNT(AD633,AC633)=2,AD633-AC633,"")</x:f>
      </x:c>
      <x:c r="AF633" s="10" t="n">
        <x:v>18</x:v>
      </x:c>
      <x:c r="AG633" s="10"/>
      <x:c r="AH633" s="10" t="str">
        <x:f>IF(COUNT(AG633,AF633)=2,AG633-AF633,"")</x:f>
      </x:c>
      <x:c r="AI633" s="10" t="n">
        <x:v>14</x:v>
      </x:c>
      <x:c r="AJ633" s="10"/>
      <x:c r="AK633" s="10" t="str">
        <x:f>IF(COUNT(AJ633,AI633)=2,AJ633-AI633,"")</x:f>
      </x:c>
      <x:c r="AL633" s="10" t="n">
        <x:v>23</x:v>
      </x:c>
      <x:c r="AM633" s="10"/>
      <x:c r="AN633" s="4" t="str">
        <x:v>C</x:v>
      </x:c>
      <x:c r="AO633" s="4"/>
      <x:c r="AP633" s="4" t="str">
        <x:v>COL</x:v>
      </x:c>
      <x:c r="AQ633" s="4"/>
      <x:c r="AR633" s="4" t="n">
        <x:v>10.489999999999998</x:v>
      </x:c>
      <x:c r="AS633" s="4"/>
      <x:c r="AT633" s="4" t="n">
        <x:v>1.11</x:v>
      </x:c>
      <x:c r="AU633" s="4"/>
      <x:c r="AV633" s="10"/>
      <x:c r="AW633" s="10"/>
      <x:c r="AX633" s="10"/>
      <x:c r="AY633" s="10"/>
      <x:c r="AZ633" s="10" t="n">
        <x:v>57</x:v>
      </x:c>
      <x:c r="BA633" s="10" t="n">
        <x:v>57</x:v>
      </x:c>
      <x:c r="BB633" s="4" t="n">
        <x:v>50</x:v>
      </x:c>
      <x:c r="BC633" s="4" t="n">
        <x:v>-9.2</x:v>
      </x:c>
      <x:c r="BD633" s="10" t="n">
        <x:v>42</x:v>
      </x:c>
      <x:c r="BE633" s="10" t="n">
        <x:v>37</x:v>
      </x:c>
      <x:c r="BF633" s="4" t="n">
        <x:v>53.2</x:v>
      </x:c>
      <x:c r="BG633" s="4" t="n">
        <x:v>-5.1</x:v>
      </x:c>
      <x:c r="BH633" s="4" t="n">
        <x:v>7.7</x:v>
      </x:c>
      <x:c r="BI633" s="4" t="n">
        <x:v>95.2</x:v>
      </x:c>
      <x:c r="BJ633" s="4" t="n">
        <x:v>102.9</x:v>
      </x:c>
      <x:c r="BK633" s="4" t="n">
        <x:v>45.8</x:v>
      </x:c>
      <x:c r="BL633" s="4" t="n">
        <x:v>54.2</x:v>
      </x:c>
      <x:c r="BM633" s="4" t="n">
        <x:v>7.45</x:v>
      </x:c>
      <x:c r="BN633" s="4" t="n">
        <x:v>7.316666666666666</x:v>
      </x:c>
      <x:c r="BO633" s="10" t="n">
        <x:v>0</x:v>
      </x:c>
      <x:c r="BP633" s="10" t="n">
        <x:v>3</x:v>
      </x:c>
      <x:c r="BQ633" s="4" t="n">
        <x:v>0.7</x:v>
      </x:c>
      <x:c r="BR633" s="10" t="n">
        <x:v>7</x:v>
      </x:c>
      <x:c r="BS633" s="4" t="n">
        <x:v>57.1</x:v>
      </x:c>
      <x:c r="BT633" s="10" t="n">
        <x:v>9</x:v>
      </x:c>
      <x:c r="BU633" s="4" t="str">
        <x:v>COL</x:v>
      </x:c>
      <x:c r="BV633" s="10" t="n">
        <x:v>579</x:v>
      </x:c>
      <x:c r="BW633" s="10"/>
      <x:c r="BX633" s="10" t="n">
        <x:v>452</x:v>
      </x:c>
      <x:c r="BY633" s="4" t="str">
        <x:v>Ivan Ivan</x:v>
      </x:c>
      <x:c r="BZ633" s="4"/>
      <x:c r="CA633" s="4" t="str">
        <x:v>Ivan Ivan</x:v>
      </x:c>
      <x:c r="CB633" s="4" t="str">
        <x:v>ivaniv01</x:v>
      </x:c>
    </x:row>
    <x:row r="634" ht="22" customHeight="1">
      <x:c r="A634" s="4" t="str">
        <x:v>Ivan Miroshnichenko</x:v>
      </x:c>
      <x:c r="B634" s="4" t="str">
        <x:v>ivanmiroshnichenko</x:v>
      </x:c>
      <x:c r="C634" s="10" t="n">
        <x:v>1</x:v>
      </x:c>
      <x:c r="D634" s="10" t="n">
        <x:v>0</x:v>
      </x:c>
      <x:c r="E634" s="10" t="n">
        <x:v>1</x:v>
      </x:c>
      <x:c r="F634" s="4" t="n">
        <x:f>IF(COUNT(N634,Q634,T634,W634,Z634,AC634,AF634,AI634)=8,N634*Guide!$E$5+Q634*Guide!$E$6+T634*Guide!$E$7+W634*Guide!$E$8+Z634*Guide!$E$9+AC634*Guide!$E$10+AF634*Guide!$E$11+AI634*Guide!$E$12,"")</x:f>
        <x:v>82.5</x:v>
      </x:c>
      <x:c r="G634" s="4" t="str">
        <x:f>IF(COUNT(O634,R634,U634,X634,AA634,AD634,AG634,AJ634)=8,O634*Guide!$E$5+R634*Guide!$E$6+U634*Guide!$E$7+X634*Guide!$E$8+AA634*Guide!$E$9+AD634*Guide!$E$10+AG634*Guide!$E$11+AJ634*Guide!$E$12,"")</x:f>
      </x:c>
      <x:c r="H634" s="4" t="str">
        <x:f>IF(COUNT(G634,F634)=2,G634-F634,"")</x:f>
      </x:c>
      <x:c r="I634" s="4" t="n">
        <x:f>IF(AND(ISNUMBER(F634),K634&gt;0),F634/K634,"")</x:f>
        <x:v>2.2916666666666665</x:v>
      </x:c>
      <x:c r="J634" s="4" t="str">
        <x:f>IF(AND(ISNUMBER(G634),L634&gt;0),G634/L634,"")</x:f>
      </x:c>
      <x:c r="K634" s="10" t="n">
        <x:v>36</x:v>
      </x:c>
      <x:c r="L634" s="10"/>
      <x:c r="M634" s="10" t="str">
        <x:f>IF(COUNT(L634,K634)=2,L634-K634,"")</x:f>
      </x:c>
      <x:c r="N634" s="10" t="n">
        <x:v>6</x:v>
      </x:c>
      <x:c r="O634" s="10"/>
      <x:c r="P634" s="10" t="str">
        <x:f>IF(COUNT(O634,N634)=2,O634-N634,"")</x:f>
      </x:c>
      <x:c r="Q634" s="10" t="n">
        <x:v>7</x:v>
      </x:c>
      <x:c r="R634" s="10"/>
      <x:c r="S634" s="10" t="str">
        <x:f>IF(COUNT(R634,Q634)=2,R634-Q634,"")</x:f>
      </x:c>
      <x:c r="T634" s="10" t="n">
        <x:v>0</x:v>
      </x:c>
      <x:c r="U634" s="10"/>
      <x:c r="V634" s="10" t="str">
        <x:f>IF(COUNT(U634,T634)=2,U634-T634,"")</x:f>
      </x:c>
      <x:c r="W634" s="10" t="n">
        <x:v>3</x:v>
      </x:c>
      <x:c r="X634" s="10" t="str">
        <x:f>IF(COUNT(AV634,AW634)=2,AV634+AW634,"")</x:f>
      </x:c>
      <x:c r="Y634" s="10" t="str">
        <x:f>IF(COUNT(X634,W634)=2,X634-W634,"")</x:f>
      </x:c>
      <x:c r="Z634" s="10" t="n">
        <x:v>0</x:v>
      </x:c>
      <x:c r="AA634" s="10" t="str">
        <x:f>IF(COUNT(AX634,AY634)=2,AX634+AY634,"")</x:f>
      </x:c>
      <x:c r="AB634" s="10" t="str">
        <x:f>IF(COUNT(AA634,Z634)=2,AA634-Z634,"")</x:f>
      </x:c>
      <x:c r="AC634" s="10" t="n">
        <x:v>44</x:v>
      </x:c>
      <x:c r="AD634" s="10"/>
      <x:c r="AE634" s="10" t="str">
        <x:f>IF(COUNT(AD634,AC634)=2,AD634-AC634,"")</x:f>
      </x:c>
      <x:c r="AF634" s="10" t="n">
        <x:v>55</x:v>
      </x:c>
      <x:c r="AG634" s="10"/>
      <x:c r="AH634" s="10" t="str">
        <x:f>IF(COUNT(AG634,AF634)=2,AG634-AF634,"")</x:f>
      </x:c>
      <x:c r="AI634" s="10" t="n">
        <x:v>13</x:v>
      </x:c>
      <x:c r="AJ634" s="10"/>
      <x:c r="AK634" s="10" t="str">
        <x:f>IF(COUNT(AJ634,AI634)=2,AJ634-AI634,"")</x:f>
      </x:c>
      <x:c r="AL634" s="10" t="n">
        <x:v>21</x:v>
      </x:c>
      <x:c r="AM634" s="10"/>
      <x:c r="AN634" s="4" t="str">
        <x:v>LW</x:v>
      </x:c>
      <x:c r="AO634" s="4"/>
      <x:c r="AP634" s="4" t="str">
        <x:v>WSH</x:v>
      </x:c>
      <x:c r="AQ634" s="4"/>
      <x:c r="AR634" s="4" t="n">
        <x:v>10.41</x:v>
      </x:c>
      <x:c r="AS634" s="4"/>
      <x:c r="AT634" s="4" t="n">
        <x:v>1.03</x:v>
      </x:c>
      <x:c r="AU634" s="4"/>
      <x:c r="AV634" s="10"/>
      <x:c r="AW634" s="10"/>
      <x:c r="AX634" s="10"/>
      <x:c r="AY634" s="10"/>
      <x:c r="AZ634" s="10" t="n">
        <x:v>111</x:v>
      </x:c>
      <x:c r="BA634" s="10" t="n">
        <x:v>129</x:v>
      </x:c>
      <x:c r="BB634" s="4" t="n">
        <x:v>46.3</x:v>
      </x:c>
      <x:c r="BC634" s="4" t="n">
        <x:v>0.5</x:v>
      </x:c>
      <x:c r="BD634" s="10" t="n">
        <x:v>82</x:v>
      </x:c>
      <x:c r="BE634" s="10" t="n">
        <x:v>89</x:v>
      </x:c>
      <x:c r="BF634" s="4" t="n">
        <x:v>48</x:v>
      </x:c>
      <x:c r="BG634" s="4" t="n">
        <x:v>2</x:v>
      </x:c>
      <x:c r="BH634" s="4" t="n">
        <x:v>12.2</x:v>
      </x:c>
      <x:c r="BI634" s="4" t="n">
        <x:v>92.5</x:v>
      </x:c>
      <x:c r="BJ634" s="4" t="n">
        <x:v>104.6</x:v>
      </x:c>
      <x:c r="BK634" s="4" t="n">
        <x:v>35.8</x:v>
      </x:c>
      <x:c r="BL634" s="4" t="n">
        <x:v>64.2</x:v>
      </x:c>
      <x:c r="BM634" s="4" t="n">
        <x:v>9.633333333333333</x:v>
      </x:c>
      <x:c r="BN634" s="4" t="n">
        <x:v>9.633333333333333</x:v>
      </x:c>
      <x:c r="BO634" s="10" t="n">
        <x:v>0</x:v>
      </x:c>
      <x:c r="BP634" s="10" t="n">
        <x:v>5</x:v>
      </x:c>
      <x:c r="BQ634" s="4" t="n">
        <x:v>-0.7</x:v>
      </x:c>
      <x:c r="BR634" s="10" t="n">
        <x:v>32</x:v>
      </x:c>
      <x:c r="BS634" s="4" t="n">
        <x:v>37.5</x:v>
      </x:c>
      <x:c r="BT634" s="10" t="n">
        <x:v>13</x:v>
      </x:c>
      <x:c r="BU634" s="4" t="str">
        <x:v>WSH</x:v>
      </x:c>
      <x:c r="BV634" s="10" t="n">
        <x:v>679</x:v>
      </x:c>
      <x:c r="BW634" s="10"/>
      <x:c r="BX634" s="10" t="n">
        <x:v>704</x:v>
      </x:c>
      <x:c r="BY634" s="4" t="str">
        <x:v>Ivan Miroshnichenko</x:v>
      </x:c>
      <x:c r="BZ634" s="4"/>
      <x:c r="CA634" s="4" t="str">
        <x:v>Ivan Miroshnichenko</x:v>
      </x:c>
      <x:c r="CB634" s="4" t="str">
        <x:v>mirosiv01</x:v>
      </x:c>
    </x:row>
    <x:row r="635" ht="22" customHeight="1">
      <x:c r="A635" s="4" t="str">
        <x:v>Jaccob Slavin</x:v>
      </x:c>
      <x:c r="B635" s="4" t="str">
        <x:v>jaccobslavin</x:v>
      </x:c>
      <x:c r="C635" s="10" t="n">
        <x:v>1</x:v>
      </x:c>
      <x:c r="D635" s="10" t="n">
        <x:v>0</x:v>
      </x:c>
      <x:c r="E635" s="10" t="n">
        <x:v>1</x:v>
      </x:c>
      <x:c r="F635" s="4" t="n">
        <x:f>IF(COUNT(N635,Q635,T635,W635,Z635,AC635,AF635,AI635)=8,N635*Guide!$E$5+Q635*Guide!$E$6+T635*Guide!$E$7+W635*Guide!$E$8+Z635*Guide!$E$9+AC635*Guide!$E$10+AF635*Guide!$E$11+AI635*Guide!$E$12,"")</x:f>
        <x:v>256</x:v>
      </x:c>
      <x:c r="G635" s="4" t="str">
        <x:f>IF(COUNT(O635,R635,U635,X635,AA635,AD635,AG635,AJ635)=8,O635*Guide!$E$5+R635*Guide!$E$6+U635*Guide!$E$7+X635*Guide!$E$8+AA635*Guide!$E$9+AD635*Guide!$E$10+AG635*Guide!$E$11+AJ635*Guide!$E$12,"")</x:f>
      </x:c>
      <x:c r="H635" s="4" t="str">
        <x:f>IF(COUNT(G635,F635)=2,G635-F635,"")</x:f>
      </x:c>
      <x:c r="I635" s="4" t="n">
        <x:f>IF(AND(ISNUMBER(F635),K635&gt;0),F635/K635,"")</x:f>
        <x:v>3.2</x:v>
      </x:c>
      <x:c r="J635" s="4" t="str">
        <x:f>IF(AND(ISNUMBER(G635),L635&gt;0),G635/L635,"")</x:f>
      </x:c>
      <x:c r="K635" s="10" t="n">
        <x:v>80</x:v>
      </x:c>
      <x:c r="L635" s="10"/>
      <x:c r="M635" s="10" t="str">
        <x:f>IF(COUNT(L635,K635)=2,L635-K635,"")</x:f>
      </x:c>
      <x:c r="N635" s="10" t="n">
        <x:v>7</x:v>
      </x:c>
      <x:c r="O635" s="10"/>
      <x:c r="P635" s="10" t="str">
        <x:f>IF(COUNT(O635,N635)=2,O635-N635,"")</x:f>
      </x:c>
      <x:c r="Q635" s="10" t="n">
        <x:v>25</x:v>
      </x:c>
      <x:c r="R635" s="10"/>
      <x:c r="S635" s="10" t="str">
        <x:f>IF(COUNT(R635,Q635)=2,R635-Q635,"")</x:f>
      </x:c>
      <x:c r="T635" s="10" t="n">
        <x:v>15</x:v>
      </x:c>
      <x:c r="U635" s="10"/>
      <x:c r="V635" s="10" t="str">
        <x:f>IF(COUNT(U635,T635)=2,U635-T635,"")</x:f>
      </x:c>
      <x:c r="W635" s="10" t="n">
        <x:v>1</x:v>
      </x:c>
      <x:c r="X635" s="10" t="str">
        <x:f>IF(COUNT(AV635,AW635)=2,AV635+AW635,"")</x:f>
      </x:c>
      <x:c r="Y635" s="10" t="str">
        <x:f>IF(COUNT(X635,W635)=2,X635-W635,"")</x:f>
      </x:c>
      <x:c r="Z635" s="10" t="n">
        <x:v>2</x:v>
      </x:c>
      <x:c r="AA635" s="10" t="str">
        <x:f>IF(COUNT(AX635,AY635)=2,AX635+AY635,"")</x:f>
      </x:c>
      <x:c r="AB635" s="10" t="str">
        <x:f>IF(COUNT(AA635,Z635)=2,AA635-Z635,"")</x:f>
      </x:c>
      <x:c r="AC635" s="10" t="n">
        <x:v>130</x:v>
      </x:c>
      <x:c r="AD635" s="10"/>
      <x:c r="AE635" s="10" t="str">
        <x:f>IF(COUNT(AD635,AC635)=2,AD635-AC635,"")</x:f>
      </x:c>
      <x:c r="AF635" s="10" t="n">
        <x:v>25</x:v>
      </x:c>
      <x:c r="AG635" s="10"/>
      <x:c r="AH635" s="10" t="str">
        <x:f>IF(COUNT(AG635,AF635)=2,AG635-AF635,"")</x:f>
      </x:c>
      <x:c r="AI635" s="10" t="n">
        <x:v>123</x:v>
      </x:c>
      <x:c r="AJ635" s="10"/>
      <x:c r="AK635" s="10" t="str">
        <x:f>IF(COUNT(AJ635,AI635)=2,AJ635-AI635,"")</x:f>
      </x:c>
      <x:c r="AL635" s="10" t="n">
        <x:v>31</x:v>
      </x:c>
      <x:c r="AM635" s="10"/>
      <x:c r="AN635" s="4" t="str">
        <x:v>D</x:v>
      </x:c>
      <x:c r="AO635" s="4"/>
      <x:c r="AP635" s="4" t="str">
        <x:v>CAR</x:v>
      </x:c>
      <x:c r="AQ635" s="4"/>
      <x:c r="AR635" s="4" t="n">
        <x:v>21.43</x:v>
      </x:c>
      <x:c r="AS635" s="4"/>
      <x:c r="AT635" s="4" t="n">
        <x:v>0.2</x:v>
      </x:c>
      <x:c r="AU635" s="4"/>
      <x:c r="AV635" s="10"/>
      <x:c r="AW635" s="10"/>
      <x:c r="AX635" s="10"/>
      <x:c r="AY635" s="10"/>
      <x:c r="AZ635" s="10" t="n">
        <x:v>758</x:v>
      </x:c>
      <x:c r="BA635" s="10" t="n">
        <x:v>557</x:v>
      </x:c>
      <x:c r="BB635" s="4" t="n">
        <x:v>57.6</x:v>
      </x:c>
      <x:c r="BC635" s="4" t="n">
        <x:v>-2.9</x:v>
      </x:c>
      <x:c r="BD635" s="10" t="n">
        <x:v>563</x:v>
      </x:c>
      <x:c r="BE635" s="10" t="n">
        <x:v>424</x:v>
      </x:c>
      <x:c r="BF635" s="4" t="n">
        <x:v>57</x:v>
      </x:c>
      <x:c r="BG635" s="4" t="n">
        <x:v>-3.2</x:v>
      </x:c>
      <x:c r="BH635" s="4" t="n">
        <x:v>10.8</x:v>
      </x:c>
      <x:c r="BI635" s="4" t="n">
        <x:v>88.9</x:v>
      </x:c>
      <x:c r="BJ635" s="4" t="n">
        <x:v>99.6</x:v>
      </x:c>
      <x:c r="BK635" s="4" t="n">
        <x:v>48.3</x:v>
      </x:c>
      <x:c r="BL635" s="4" t="n">
        <x:v>51.7</x:v>
      </x:c>
      <x:c r="BM635" s="4" t="n">
        <x:v>21.316666666666666</x:v>
      </x:c>
      <x:c r="BN635" s="4" t="n">
        <x:v>18.366666666666667</x:v>
      </x:c>
      <x:c r="BO635" s="10" t="n">
        <x:v>32</x:v>
      </x:c>
      <x:c r="BP635" s="10" t="n">
        <x:v>37</x:v>
      </x:c>
      <x:c r="BQ635" s="4" t="n">
        <x:v>1</x:v>
      </x:c>
      <x:c r="BR635" s="10" t="n">
        <x:v>127</x:v>
      </x:c>
      <x:c r="BS635" s="4" t="n">
        <x:v>49.6</x:v>
      </x:c>
      <x:c r="BT635" s="10" t="n">
        <x:v>39</x:v>
      </x:c>
      <x:c r="BU635" s="4" t="str">
        <x:v>CAR</x:v>
      </x:c>
      <x:c r="BV635" s="10" t="n">
        <x:v>343</x:v>
      </x:c>
      <x:c r="BW635" s="10"/>
      <x:c r="BX635" s="10" t="n">
        <x:v>943</x:v>
      </x:c>
      <x:c r="BY635" s="4" t="str">
        <x:v>Jaccob Slavin</x:v>
      </x:c>
      <x:c r="BZ635" s="4"/>
      <x:c r="CA635" s="4" t="str">
        <x:v>Jaccob Slavin</x:v>
      </x:c>
      <x:c r="CB635" s="4" t="str">
        <x:v>slavija01</x:v>
      </x:c>
    </x:row>
    <x:row r="636" ht="22" customHeight="1">
      <x:c r="A636" s="4" t="str">
        <x:v>Jack Ahcan</x:v>
      </x:c>
      <x:c r="B636" s="4" t="str">
        <x:v>jackahcan</x:v>
      </x:c>
      <x:c r="C636" s="10" t="n">
        <x:v>0</x:v>
      </x:c>
      <x:c r="D636" s="10" t="n">
        <x:v>0</x:v>
      </x:c>
      <x:c r="E636" s="10" t="n">
        <x:v>1</x:v>
      </x:c>
      <x:c r="F636" s="4" t="str">
        <x:f>IF(COUNT(N636,Q636,T636,W636,Z636,AC636,AF636,AI636)=8,N636*Guide!$E$5+Q636*Guide!$E$6+T636*Guide!$E$7+W636*Guide!$E$8+Z636*Guide!$E$9+AC636*Guide!$E$10+AF636*Guide!$E$11+AI636*Guide!$E$12,"")</x:f>
      </x:c>
      <x:c r="G636" s="4" t="str">
        <x:f>IF(COUNT(O636,R636,U636,X636,AA636,AD636,AG636,AJ636)=8,O636*Guide!$E$5+R636*Guide!$E$6+U636*Guide!$E$7+X636*Guide!$E$8+AA636*Guide!$E$9+AD636*Guide!$E$10+AG636*Guide!$E$11+AJ636*Guide!$E$12,"")</x:f>
      </x:c>
      <x:c r="H636" s="4" t="str">
        <x:f>IF(COUNT(G636,F636)=2,G636-F636,"")</x:f>
      </x:c>
      <x:c r="I636" s="4" t="str">
        <x:f>IF(AND(ISNUMBER(F636),K636&gt;0),F636/K636,"")</x:f>
      </x:c>
      <x:c r="J636" s="4" t="str">
        <x:f>IF(AND(ISNUMBER(G636),L636&gt;0),G636/L636,"")</x:f>
      </x:c>
      <x:c r="K636" s="10"/>
      <x:c r="L636" s="10"/>
      <x:c r="M636" s="10" t="str">
        <x:f>IF(COUNT(L636,K636)=2,L636-K636,"")</x:f>
      </x:c>
      <x:c r="N636" s="10"/>
      <x:c r="O636" s="10"/>
      <x:c r="P636" s="10" t="str">
        <x:f>IF(COUNT(O636,N636)=2,O636-N636,"")</x:f>
      </x:c>
      <x:c r="Q636" s="10"/>
      <x:c r="R636" s="10"/>
      <x:c r="S636" s="10" t="str">
        <x:f>IF(COUNT(R636,Q636)=2,R636-Q636,"")</x:f>
      </x:c>
      <x:c r="T636" s="10"/>
      <x:c r="U636" s="10"/>
      <x:c r="V636" s="10" t="str">
        <x:f>IF(COUNT(U636,T636)=2,U636-T636,"")</x:f>
      </x:c>
      <x:c r="W636" s="10"/>
      <x:c r="X636" s="10" t="str">
        <x:f>IF(COUNT(AV636,AW636)=2,AV636+AW636,"")</x:f>
      </x:c>
      <x:c r="Y636" s="10" t="str">
        <x:f>IF(COUNT(X636,W636)=2,X636-W636,"")</x:f>
      </x:c>
      <x:c r="Z636" s="10"/>
      <x:c r="AA636" s="10" t="str">
        <x:f>IF(COUNT(AX636,AY636)=2,AX636+AY636,"")</x:f>
      </x:c>
      <x:c r="AB636" s="10" t="str">
        <x:f>IF(COUNT(AA636,Z636)=2,AA636-Z636,"")</x:f>
      </x:c>
      <x:c r="AC636" s="10"/>
      <x:c r="AD636" s="10"/>
      <x:c r="AE636" s="10" t="str">
        <x:f>IF(COUNT(AD636,AC636)=2,AD636-AC636,"")</x:f>
      </x:c>
      <x:c r="AF636" s="10"/>
      <x:c r="AG636" s="10"/>
      <x:c r="AH636" s="10" t="str">
        <x:f>IF(COUNT(AG636,AF636)=2,AG636-AF636,"")</x:f>
      </x:c>
      <x:c r="AI636" s="10"/>
      <x:c r="AJ636" s="10"/>
      <x:c r="AK636" s="10" t="str">
        <x:f>IF(COUNT(AJ636,AI636)=2,AJ636-AI636,"")</x:f>
      </x:c>
      <x:c r="AL636" s="10"/>
      <x:c r="AM636" s="10"/>
      <x:c r="AN636" s="4"/>
      <x:c r="AO636" s="4"/>
      <x:c r="AP636" s="4"/>
      <x:c r="AQ636" s="4"/>
      <x:c r="AR636" s="4"/>
      <x:c r="AS636" s="4"/>
      <x:c r="AT636" s="4"/>
      <x:c r="AU636" s="4"/>
      <x:c r="AV636" s="10"/>
      <x:c r="AW636" s="10"/>
      <x:c r="AX636" s="10"/>
      <x:c r="AY636" s="10"/>
      <x:c r="AZ636" s="10" t="n">
        <x:v>153</x:v>
      </x:c>
      <x:c r="BA636" s="10" t="n">
        <x:v>102</x:v>
      </x:c>
      <x:c r="BB636" s="4" t="n">
        <x:v>60</x:v>
      </x:c>
      <x:c r="BC636" s="4" t="n">
        <x:v>7.4</x:v>
      </x:c>
      <x:c r="BD636" s="10" t="n">
        <x:v>112</x:v>
      </x:c>
      <x:c r="BE636" s="10" t="n">
        <x:v>78</x:v>
      </x:c>
      <x:c r="BF636" s="4" t="n">
        <x:v>58.9</x:v>
      </x:c>
      <x:c r="BG636" s="4" t="n">
        <x:v>7</x:v>
      </x:c>
      <x:c r="BH636" s="4" t="n">
        <x:v>7.8</x:v>
      </x:c>
      <x:c r="BI636" s="4" t="n">
        <x:v>90.9</x:v>
      </x:c>
      <x:c r="BJ636" s="4" t="n">
        <x:v>98.7</x:v>
      </x:c>
      <x:c r="BK636" s="4" t="n">
        <x:v>41.5</x:v>
      </x:c>
      <x:c r="BL636" s="4" t="n">
        <x:v>58.5</x:v>
      </x:c>
      <x:c r="BM636" s="4" t="n">
        <x:v>11.533333333333333</x:v>
      </x:c>
      <x:c r="BN636" s="4" t="n">
        <x:v>11.5</x:v>
      </x:c>
      <x:c r="BO636" s="10" t="n">
        <x:v>0</x:v>
      </x:c>
      <x:c r="BP636" s="10" t="n">
        <x:v>6</x:v>
      </x:c>
      <x:c r="BQ636" s="4" t="n">
        <x:v>3.7</x:v>
      </x:c>
      <x:c r="BR636" s="10" t="n">
        <x:v>19</x:v>
      </x:c>
      <x:c r="BS636" s="4" t="n">
        <x:v>42.1</x:v>
      </x:c>
      <x:c r="BT636" s="10" t="n">
        <x:v>11</x:v>
      </x:c>
      <x:c r="BU636" s="4" t="str">
        <x:v>COL</x:v>
      </x:c>
      <x:c r="BV636" s="10"/>
      <x:c r="BW636" s="10"/>
      <x:c r="BX636" s="10" t="n">
        <x:v>6</x:v>
      </x:c>
      <x:c r="BY636" s="4"/>
      <x:c r="BZ636" s="4"/>
      <x:c r="CA636" s="4" t="str">
        <x:v>Jack Ahcan</x:v>
      </x:c>
      <x:c r="CB636" s="4" t="str">
        <x:v>ahcanja01</x:v>
      </x:c>
    </x:row>
    <x:row r="637" ht="22" customHeight="1">
      <x:c r="A637" s="4" t="str">
        <x:v>Jack Devine</x:v>
      </x:c>
      <x:c r="B637" s="4" t="str">
        <x:v>jackdevine</x:v>
      </x:c>
      <x:c r="C637" s="10" t="n">
        <x:v>0</x:v>
      </x:c>
      <x:c r="D637" s="10" t="n">
        <x:v>0</x:v>
      </x:c>
      <x:c r="E637" s="10" t="n">
        <x:v>1</x:v>
      </x:c>
      <x:c r="F637" s="4" t="str">
        <x:f>IF(COUNT(N637,Q637,T637,W637,Z637,AC637,AF637,AI637)=8,N637*Guide!$E$5+Q637*Guide!$E$6+T637*Guide!$E$7+W637*Guide!$E$8+Z637*Guide!$E$9+AC637*Guide!$E$10+AF637*Guide!$E$11+AI637*Guide!$E$12,"")</x:f>
      </x:c>
      <x:c r="G637" s="4" t="str">
        <x:f>IF(COUNT(O637,R637,U637,X637,AA637,AD637,AG637,AJ637)=8,O637*Guide!$E$5+R637*Guide!$E$6+U637*Guide!$E$7+X637*Guide!$E$8+AA637*Guide!$E$9+AD637*Guide!$E$10+AG637*Guide!$E$11+AJ637*Guide!$E$12,"")</x:f>
      </x:c>
      <x:c r="H637" s="4" t="str">
        <x:f>IF(COUNT(G637,F637)=2,G637-F637,"")</x:f>
      </x:c>
      <x:c r="I637" s="4" t="str">
        <x:f>IF(AND(ISNUMBER(F637),K637&gt;0),F637/K637,"")</x:f>
      </x:c>
      <x:c r="J637" s="4" t="str">
        <x:f>IF(AND(ISNUMBER(G637),L637&gt;0),G637/L637,"")</x:f>
      </x:c>
      <x:c r="K637" s="10"/>
      <x:c r="L637" s="10"/>
      <x:c r="M637" s="10" t="str">
        <x:f>IF(COUNT(L637,K637)=2,L637-K637,"")</x:f>
      </x:c>
      <x:c r="N637" s="10"/>
      <x:c r="O637" s="10"/>
      <x:c r="P637" s="10" t="str">
        <x:f>IF(COUNT(O637,N637)=2,O637-N637,"")</x:f>
      </x:c>
      <x:c r="Q637" s="10"/>
      <x:c r="R637" s="10"/>
      <x:c r="S637" s="10" t="str">
        <x:f>IF(COUNT(R637,Q637)=2,R637-Q637,"")</x:f>
      </x:c>
      <x:c r="T637" s="10"/>
      <x:c r="U637" s="10"/>
      <x:c r="V637" s="10" t="str">
        <x:f>IF(COUNT(U637,T637)=2,U637-T637,"")</x:f>
      </x:c>
      <x:c r="W637" s="10"/>
      <x:c r="X637" s="10" t="str">
        <x:f>IF(COUNT(AV637,AW637)=2,AV637+AW637,"")</x:f>
      </x:c>
      <x:c r="Y637" s="10" t="str">
        <x:f>IF(COUNT(X637,W637)=2,X637-W637,"")</x:f>
      </x:c>
      <x:c r="Z637" s="10"/>
      <x:c r="AA637" s="10" t="str">
        <x:f>IF(COUNT(AX637,AY637)=2,AX637+AY637,"")</x:f>
      </x:c>
      <x:c r="AB637" s="10" t="str">
        <x:f>IF(COUNT(AA637,Z637)=2,AA637-Z637,"")</x:f>
      </x:c>
      <x:c r="AC637" s="10"/>
      <x:c r="AD637" s="10"/>
      <x:c r="AE637" s="10" t="str">
        <x:f>IF(COUNT(AD637,AC637)=2,AD637-AC637,"")</x:f>
      </x:c>
      <x:c r="AF637" s="10"/>
      <x:c r="AG637" s="10"/>
      <x:c r="AH637" s="10" t="str">
        <x:f>IF(COUNT(AG637,AF637)=2,AG637-AF637,"")</x:f>
      </x:c>
      <x:c r="AI637" s="10"/>
      <x:c r="AJ637" s="10"/>
      <x:c r="AK637" s="10" t="str">
        <x:f>IF(COUNT(AJ637,AI637)=2,AJ637-AI637,"")</x:f>
      </x:c>
      <x:c r="AL637" s="10"/>
      <x:c r="AM637" s="10"/>
      <x:c r="AN637" s="4"/>
      <x:c r="AO637" s="4"/>
      <x:c r="AP637" s="4"/>
      <x:c r="AQ637" s="4"/>
      <x:c r="AR637" s="4"/>
      <x:c r="AS637" s="4"/>
      <x:c r="AT637" s="4"/>
      <x:c r="AU637" s="4"/>
      <x:c r="AV637" s="10"/>
      <x:c r="AW637" s="10"/>
      <x:c r="AX637" s="10"/>
      <x:c r="AY637" s="10"/>
      <x:c r="AZ637" s="10" t="n">
        <x:v>46</x:v>
      </x:c>
      <x:c r="BA637" s="10" t="n">
        <x:v>45</x:v>
      </x:c>
      <x:c r="BB637" s="4" t="n">
        <x:v>50.5</x:v>
      </x:c>
      <x:c r="BC637" s="4" t="n">
        <x:v>-2.3</x:v>
      </x:c>
      <x:c r="BD637" s="10" t="n">
        <x:v>33</x:v>
      </x:c>
      <x:c r="BE637" s="10" t="n">
        <x:v>32</x:v>
      </x:c>
      <x:c r="BF637" s="4" t="n">
        <x:v>50.8</x:v>
      </x:c>
      <x:c r="BG637" s="4" t="n">
        <x:v>-1</x:v>
      </x:c>
      <x:c r="BH637" s="4" t="n">
        <x:v>0</x:v>
      </x:c>
      <x:c r="BI637" s="4" t="n">
        <x:v>84.2</x:v>
      </x:c>
      <x:c r="BJ637" s="4" t="n">
        <x:v>84.2</x:v>
      </x:c>
      <x:c r="BK637" s="4" t="n">
        <x:v>81</x:v>
      </x:c>
      <x:c r="BL637" s="4" t="n">
        <x:v>19</x:v>
      </x:c>
      <x:c r="BM637" s="4" t="n">
        <x:v>8.433333333333334</x:v>
      </x:c>
      <x:c r="BN637" s="4" t="n">
        <x:v>8.333333333333334</x:v>
      </x:c>
      <x:c r="BO637" s="10" t="n">
        <x:v>0</x:v>
      </x:c>
      <x:c r="BP637" s="10" t="n">
        <x:v>2</x:v>
      </x:c>
      <x:c r="BQ637" s="4" t="n">
        <x:v>-0.4</x:v>
      </x:c>
      <x:c r="BR637" s="10" t="n">
        <x:v>14</x:v>
      </x:c>
      <x:c r="BS637" s="4" t="n">
        <x:v>42.9</x:v>
      </x:c>
      <x:c r="BT637" s="10" t="n">
        <x:v>6</x:v>
      </x:c>
      <x:c r="BU637" s="4" t="str">
        <x:v>FLA</x:v>
      </x:c>
      <x:c r="BV637" s="10"/>
      <x:c r="BW637" s="10"/>
      <x:c r="BX637" s="10" t="n">
        <x:v>214</x:v>
      </x:c>
      <x:c r="BY637" s="4"/>
      <x:c r="BZ637" s="4"/>
      <x:c r="CA637" s="4" t="str">
        <x:v>Jack Devine</x:v>
      </x:c>
      <x:c r="CB637" s="4" t="str">
        <x:v>devinja01</x:v>
      </x:c>
    </x:row>
    <x:row r="638" ht="22" customHeight="1">
      <x:c r="A638" s="4" t="str">
        <x:v>Jack Finley</x:v>
      </x:c>
      <x:c r="B638" s="4" t="str">
        <x:v>jackfinley</x:v>
      </x:c>
      <x:c r="C638" s="10" t="n">
        <x:v>0</x:v>
      </x:c>
      <x:c r="D638" s="10" t="n">
        <x:v>0</x:v>
      </x:c>
      <x:c r="E638" s="10" t="n">
        <x:v>1</x:v>
      </x:c>
      <x:c r="F638" s="4" t="str">
        <x:f>IF(COUNT(N638,Q638,T638,W638,Z638,AC638,AF638,AI638)=8,N638*Guide!$E$5+Q638*Guide!$E$6+T638*Guide!$E$7+W638*Guide!$E$8+Z638*Guide!$E$9+AC638*Guide!$E$10+AF638*Guide!$E$11+AI638*Guide!$E$12,"")</x:f>
      </x:c>
      <x:c r="G638" s="4" t="str">
        <x:f>IF(COUNT(O638,R638,U638,X638,AA638,AD638,AG638,AJ638)=8,O638*Guide!$E$5+R638*Guide!$E$6+U638*Guide!$E$7+X638*Guide!$E$8+AA638*Guide!$E$9+AD638*Guide!$E$10+AG638*Guide!$E$11+AJ638*Guide!$E$12,"")</x:f>
      </x:c>
      <x:c r="H638" s="4" t="str">
        <x:f>IF(COUNT(G638,F638)=2,G638-F638,"")</x:f>
      </x:c>
      <x:c r="I638" s="4" t="str">
        <x:f>IF(AND(ISNUMBER(F638),K638&gt;0),F638/K638,"")</x:f>
      </x:c>
      <x:c r="J638" s="4" t="str">
        <x:f>IF(AND(ISNUMBER(G638),L638&gt;0),G638/L638,"")</x:f>
      </x:c>
      <x:c r="K638" s="10"/>
      <x:c r="L638" s="10"/>
      <x:c r="M638" s="10" t="str">
        <x:f>IF(COUNT(L638,K638)=2,L638-K638,"")</x:f>
      </x:c>
      <x:c r="N638" s="10"/>
      <x:c r="O638" s="10"/>
      <x:c r="P638" s="10" t="str">
        <x:f>IF(COUNT(O638,N638)=2,O638-N638,"")</x:f>
      </x:c>
      <x:c r="Q638" s="10"/>
      <x:c r="R638" s="10"/>
      <x:c r="S638" s="10" t="str">
        <x:f>IF(COUNT(R638,Q638)=2,R638-Q638,"")</x:f>
      </x:c>
      <x:c r="T638" s="10"/>
      <x:c r="U638" s="10"/>
      <x:c r="V638" s="10" t="str">
        <x:f>IF(COUNT(U638,T638)=2,U638-T638,"")</x:f>
      </x:c>
      <x:c r="W638" s="10"/>
      <x:c r="X638" s="10" t="str">
        <x:f>IF(COUNT(AV638,AW638)=2,AV638+AW638,"")</x:f>
      </x:c>
      <x:c r="Y638" s="10" t="str">
        <x:f>IF(COUNT(X638,W638)=2,X638-W638,"")</x:f>
      </x:c>
      <x:c r="Z638" s="10"/>
      <x:c r="AA638" s="10" t="str">
        <x:f>IF(COUNT(AX638,AY638)=2,AX638+AY638,"")</x:f>
      </x:c>
      <x:c r="AB638" s="10" t="str">
        <x:f>IF(COUNT(AA638,Z638)=2,AA638-Z638,"")</x:f>
      </x:c>
      <x:c r="AC638" s="10"/>
      <x:c r="AD638" s="10"/>
      <x:c r="AE638" s="10" t="str">
        <x:f>IF(COUNT(AD638,AC638)=2,AD638-AC638,"")</x:f>
      </x:c>
      <x:c r="AF638" s="10"/>
      <x:c r="AG638" s="10"/>
      <x:c r="AH638" s="10" t="str">
        <x:f>IF(COUNT(AG638,AF638)=2,AG638-AF638,"")</x:f>
      </x:c>
      <x:c r="AI638" s="10"/>
      <x:c r="AJ638" s="10"/>
      <x:c r="AK638" s="10" t="str">
        <x:f>IF(COUNT(AJ638,AI638)=2,AJ638-AI638,"")</x:f>
      </x:c>
      <x:c r="AL638" s="10"/>
      <x:c r="AM638" s="10"/>
      <x:c r="AN638" s="4"/>
      <x:c r="AO638" s="4"/>
      <x:c r="AP638" s="4"/>
      <x:c r="AQ638" s="4"/>
      <x:c r="AR638" s="4"/>
      <x:c r="AS638" s="4"/>
      <x:c r="AT638" s="4"/>
      <x:c r="AU638" s="4"/>
      <x:c r="AV638" s="10"/>
      <x:c r="AW638" s="10"/>
      <x:c r="AX638" s="10"/>
      <x:c r="AY638" s="10"/>
      <x:c r="AZ638" s="10" t="n">
        <x:v>311</x:v>
      </x:c>
      <x:c r="BA638" s="10" t="n">
        <x:v>346</x:v>
      </x:c>
      <x:c r="BB638" s="4" t="n">
        <x:v>47.3</x:v>
      </x:c>
      <x:c r="BC638" s="4" t="n">
        <x:v>-5.3</x:v>
      </x:c>
      <x:c r="BD638" s="10" t="n">
        <x:v>218</x:v>
      </x:c>
      <x:c r="BE638" s="10" t="n">
        <x:v>252</x:v>
      </x:c>
      <x:c r="BF638" s="4" t="n">
        <x:v>46.4</x:v>
      </x:c>
      <x:c r="BG638" s="4" t="n">
        <x:v>-5.6</x:v>
      </x:c>
      <x:c r="BH638" s="4" t="n">
        <x:v>5.7</x:v>
      </x:c>
      <x:c r="BI638" s="4" t="n">
        <x:v>95.1</x:v>
      </x:c>
      <x:c r="BJ638" s="4" t="n">
        <x:v>100.8</x:v>
      </x:c>
      <x:c r="BK638" s="4" t="n">
        <x:v>32.5</x:v>
      </x:c>
      <x:c r="BL638" s="4" t="n">
        <x:v>67.5</x:v>
      </x:c>
      <x:c r="BM638" s="4" t="n">
        <x:v>9.716666666666667</x:v>
      </x:c>
      <x:c r="BN638" s="4" t="n">
        <x:v>8.85</x:v>
      </x:c>
      <x:c r="BO638" s="10" t="n">
        <x:v>1</x:v>
      </x:c>
      <x:c r="BP638" s="10" t="n">
        <x:v>12</x:v>
      </x:c>
      <x:c r="BQ638" s="4" t="n">
        <x:v>-0.7</x:v>
      </x:c>
      <x:c r="BR638" s="10" t="n">
        <x:v>45</x:v>
      </x:c>
      <x:c r="BS638" s="4" t="n">
        <x:v>57.8</x:v>
      </x:c>
      <x:c r="BT638" s="10" t="n">
        <x:v>44</x:v>
      </x:c>
      <x:c r="BU638" s="4" t="str">
        <x:v>TOT</x:v>
      </x:c>
      <x:c r="BV638" s="10"/>
      <x:c r="BW638" s="10"/>
      <x:c r="BX638" s="10" t="n">
        <x:v>291</x:v>
      </x:c>
      <x:c r="BY638" s="4"/>
      <x:c r="BZ638" s="4"/>
      <x:c r="CA638" s="4" t="str">
        <x:v>Jack Finley</x:v>
      </x:c>
      <x:c r="CB638" s="4" t="str">
        <x:v>finleja01</x:v>
      </x:c>
    </x:row>
    <x:row r="639" ht="22" customHeight="1">
      <x:c r="A639" s="4" t="str">
        <x:v>Jack St. Ivany</x:v>
      </x:c>
      <x:c r="B639" s="4" t="str">
        <x:v>jackstivany</x:v>
      </x:c>
      <x:c r="C639" s="10" t="n">
        <x:v>0</x:v>
      </x:c>
      <x:c r="D639" s="10" t="n">
        <x:v>0</x:v>
      </x:c>
      <x:c r="E639" s="10" t="n">
        <x:v>1</x:v>
      </x:c>
      <x:c r="F639" s="4" t="str">
        <x:f>IF(COUNT(N639,Q639,T639,W639,Z639,AC639,AF639,AI639)=8,N639*Guide!$E$5+Q639*Guide!$E$6+T639*Guide!$E$7+W639*Guide!$E$8+Z639*Guide!$E$9+AC639*Guide!$E$10+AF639*Guide!$E$11+AI639*Guide!$E$12,"")</x:f>
      </x:c>
      <x:c r="G639" s="4" t="str">
        <x:f>IF(COUNT(O639,R639,U639,X639,AA639,AD639,AG639,AJ639)=8,O639*Guide!$E$5+R639*Guide!$E$6+U639*Guide!$E$7+X639*Guide!$E$8+AA639*Guide!$E$9+AD639*Guide!$E$10+AG639*Guide!$E$11+AJ639*Guide!$E$12,"")</x:f>
      </x:c>
      <x:c r="H639" s="4" t="str">
        <x:f>IF(COUNT(G639,F639)=2,G639-F639,"")</x:f>
      </x:c>
      <x:c r="I639" s="4" t="str">
        <x:f>IF(AND(ISNUMBER(F639),K639&gt;0),F639/K639,"")</x:f>
      </x:c>
      <x:c r="J639" s="4" t="str">
        <x:f>IF(AND(ISNUMBER(G639),L639&gt;0),G639/L639,"")</x:f>
      </x:c>
      <x:c r="K639" s="10"/>
      <x:c r="L639" s="10"/>
      <x:c r="M639" s="10" t="str">
        <x:f>IF(COUNT(L639,K639)=2,L639-K639,"")</x:f>
      </x:c>
      <x:c r="N639" s="10"/>
      <x:c r="O639" s="10"/>
      <x:c r="P639" s="10" t="str">
        <x:f>IF(COUNT(O639,N639)=2,O639-N639,"")</x:f>
      </x:c>
      <x:c r="Q639" s="10"/>
      <x:c r="R639" s="10"/>
      <x:c r="S639" s="10" t="str">
        <x:f>IF(COUNT(R639,Q639)=2,R639-Q639,"")</x:f>
      </x:c>
      <x:c r="T639" s="10"/>
      <x:c r="U639" s="10"/>
      <x:c r="V639" s="10" t="str">
        <x:f>IF(COUNT(U639,T639)=2,U639-T639,"")</x:f>
      </x:c>
      <x:c r="W639" s="10"/>
      <x:c r="X639" s="10" t="str">
        <x:f>IF(COUNT(AV639,AW639)=2,AV639+AW639,"")</x:f>
      </x:c>
      <x:c r="Y639" s="10" t="str">
        <x:f>IF(COUNT(X639,W639)=2,X639-W639,"")</x:f>
      </x:c>
      <x:c r="Z639" s="10"/>
      <x:c r="AA639" s="10" t="str">
        <x:f>IF(COUNT(AX639,AY639)=2,AX639+AY639,"")</x:f>
      </x:c>
      <x:c r="AB639" s="10" t="str">
        <x:f>IF(COUNT(AA639,Z639)=2,AA639-Z639,"")</x:f>
      </x:c>
      <x:c r="AC639" s="10"/>
      <x:c r="AD639" s="10"/>
      <x:c r="AE639" s="10" t="str">
        <x:f>IF(COUNT(AD639,AC639)=2,AD639-AC639,"")</x:f>
      </x:c>
      <x:c r="AF639" s="10"/>
      <x:c r="AG639" s="10"/>
      <x:c r="AH639" s="10" t="str">
        <x:f>IF(COUNT(AG639,AF639)=2,AG639-AF639,"")</x:f>
      </x:c>
      <x:c r="AI639" s="10"/>
      <x:c r="AJ639" s="10"/>
      <x:c r="AK639" s="10" t="str">
        <x:f>IF(COUNT(AJ639,AI639)=2,AJ639-AI639,"")</x:f>
      </x:c>
      <x:c r="AL639" s="10"/>
      <x:c r="AM639" s="10"/>
      <x:c r="AN639" s="4"/>
      <x:c r="AO639" s="4"/>
      <x:c r="AP639" s="4"/>
      <x:c r="AQ639" s="4"/>
      <x:c r="AR639" s="4"/>
      <x:c r="AS639" s="4"/>
      <x:c r="AT639" s="4"/>
      <x:c r="AU639" s="4"/>
      <x:c r="AV639" s="10"/>
      <x:c r="AW639" s="10"/>
      <x:c r="AX639" s="10"/>
      <x:c r="AY639" s="10"/>
      <x:c r="AZ639" s="10" t="n">
        <x:v>282</x:v>
      </x:c>
      <x:c r="BA639" s="10" t="n">
        <x:v>299</x:v>
      </x:c>
      <x:c r="BB639" s="4" t="n">
        <x:v>48.5</x:v>
      </x:c>
      <x:c r="BC639" s="4" t="n">
        <x:v>-3.8</x:v>
      </x:c>
      <x:c r="BD639" s="10" t="n">
        <x:v>206</x:v>
      </x:c>
      <x:c r="BE639" s="10" t="n">
        <x:v>217</x:v>
      </x:c>
      <x:c r="BF639" s="4" t="n">
        <x:v>48.7</x:v>
      </x:c>
      <x:c r="BG639" s="4" t="n">
        <x:v>-2.9</x:v>
      </x:c>
      <x:c r="BH639" s="4" t="n">
        <x:v>12</x:v>
      </x:c>
      <x:c r="BI639" s="4" t="n">
        <x:v>91.8</x:v>
      </x:c>
      <x:c r="BJ639" s="4" t="n">
        <x:v>103.8</x:v>
      </x:c>
      <x:c r="BK639" s="4" t="n">
        <x:v>45.8</x:v>
      </x:c>
      <x:c r="BL639" s="4" t="n">
        <x:v>54.2</x:v>
      </x:c>
      <x:c r="BM639" s="4" t="n">
        <x:v>16.333333333333332</x:v>
      </x:c>
      <x:c r="BN639" s="4" t="n">
        <x:v>15.016666666666667</x:v>
      </x:c>
      <x:c r="BO639" s="10" t="n">
        <x:v>4</x:v>
      </x:c>
      <x:c r="BP639" s="10" t="n">
        <x:v>22</x:v>
      </x:c>
      <x:c r="BQ639" s="4" t="n">
        <x:v>1.3</x:v>
      </x:c>
      <x:c r="BR639" s="10" t="n">
        <x:v>43</x:v>
      </x:c>
      <x:c r="BS639" s="4" t="n">
        <x:v>39.5</x:v>
      </x:c>
      <x:c r="BT639" s="10" t="n">
        <x:v>20</x:v>
      </x:c>
      <x:c r="BU639" s="4" t="str">
        <x:v>PIT</x:v>
      </x:c>
      <x:c r="BV639" s="10"/>
      <x:c r="BW639" s="10"/>
      <x:c r="BX639" s="10" t="n">
        <x:v>966</x:v>
      </x:c>
      <x:c r="BY639" s="4"/>
      <x:c r="BZ639" s="4"/>
      <x:c r="CA639" s="4" t="str">
        <x:v>Jack St. Ivany</x:v>
      </x:c>
      <x:c r="CB639" s="4" t="str">
        <x:v>stivajo01</x:v>
      </x:c>
    </x:row>
    <x:row r="640" ht="22" customHeight="1">
      <x:c r="A640" s="4" t="str">
        <x:v>Jack Studnicka</x:v>
      </x:c>
      <x:c r="B640" s="4" t="str">
        <x:v>jackstudnicka</x:v>
      </x:c>
      <x:c r="C640" s="10" t="n">
        <x:v>1</x:v>
      </x:c>
      <x:c r="D640" s="10" t="n">
        <x:v>0</x:v>
      </x:c>
      <x:c r="E640" s="10" t="n">
        <x:v>1</x:v>
      </x:c>
      <x:c r="F640" s="4" t="n">
        <x:f>IF(COUNT(N640,Q640,T640,W640,Z640,AC640,AF640,AI640)=8,N640*Guide!$E$5+Q640*Guide!$E$6+T640*Guide!$E$7+W640*Guide!$E$8+Z640*Guide!$E$9+AC640*Guide!$E$10+AF640*Guide!$E$11+AI640*Guide!$E$12,"")</x:f>
        <x:v>109.5</x:v>
      </x:c>
      <x:c r="G640" s="4" t="str">
        <x:f>IF(COUNT(O640,R640,U640,X640,AA640,AD640,AG640,AJ640)=8,O640*Guide!$E$5+R640*Guide!$E$6+U640*Guide!$E$7+X640*Guide!$E$8+AA640*Guide!$E$9+AD640*Guide!$E$10+AG640*Guide!$E$11+AJ640*Guide!$E$12,"")</x:f>
      </x:c>
      <x:c r="H640" s="4" t="str">
        <x:f>IF(COUNT(G640,F640)=2,G640-F640,"")</x:f>
      </x:c>
      <x:c r="I640" s="4" t="n">
        <x:f>IF(AND(ISNUMBER(F640),K640&gt;0),F640/K640,"")</x:f>
        <x:v>1.8879310344827587</x:v>
      </x:c>
      <x:c r="J640" s="4" t="str">
        <x:f>IF(AND(ISNUMBER(G640),L640&gt;0),G640/L640,"")</x:f>
      </x:c>
      <x:c r="K640" s="10" t="n">
        <x:v>58</x:v>
      </x:c>
      <x:c r="L640" s="10"/>
      <x:c r="M640" s="10" t="str">
        <x:f>IF(COUNT(L640,K640)=2,L640-K640,"")</x:f>
      </x:c>
      <x:c r="N640" s="10" t="n">
        <x:v>7</x:v>
      </x:c>
      <x:c r="O640" s="10"/>
      <x:c r="P640" s="10" t="str">
        <x:f>IF(COUNT(O640,N640)=2,O640-N640,"")</x:f>
      </x:c>
      <x:c r="Q640" s="10" t="n">
        <x:v>8</x:v>
      </x:c>
      <x:c r="R640" s="10"/>
      <x:c r="S640" s="10" t="str">
        <x:f>IF(COUNT(R640,Q640)=2,R640-Q640,"")</x:f>
      </x:c>
      <x:c r="T640" s="10" t="n">
        <x:v>-7</x:v>
      </x:c>
      <x:c r="U640" s="10"/>
      <x:c r="V640" s="10" t="str">
        <x:f>IF(COUNT(U640,T640)=2,U640-T640,"")</x:f>
      </x:c>
      <x:c r="W640" s="10" t="n">
        <x:v>0</x:v>
      </x:c>
      <x:c r="X640" s="10" t="str">
        <x:f>IF(COUNT(AV640,AW640)=2,AV640+AW640,"")</x:f>
      </x:c>
      <x:c r="Y640" s="10" t="str">
        <x:f>IF(COUNT(X640,W640)=2,X640-W640,"")</x:f>
      </x:c>
      <x:c r="Z640" s="10" t="n">
        <x:v>1</x:v>
      </x:c>
      <x:c r="AA640" s="10" t="str">
        <x:f>IF(COUNT(AX640,AY640)=2,AX640+AY640,"")</x:f>
      </x:c>
      <x:c r="AB640" s="10" t="str">
        <x:f>IF(COUNT(AA640,Z640)=2,AA640-Z640,"")</x:f>
      </x:c>
      <x:c r="AC640" s="10" t="n">
        <x:v>69</x:v>
      </x:c>
      <x:c r="AD640" s="10"/>
      <x:c r="AE640" s="10" t="str">
        <x:f>IF(COUNT(AD640,AC640)=2,AD640-AC640,"")</x:f>
      </x:c>
      <x:c r="AF640" s="10" t="n">
        <x:v>90</x:v>
      </x:c>
      <x:c r="AG640" s="10"/>
      <x:c r="AH640" s="10" t="str">
        <x:f>IF(COUNT(AG640,AF640)=2,AG640-AF640,"")</x:f>
      </x:c>
      <x:c r="AI640" s="10" t="n">
        <x:v>29</x:v>
      </x:c>
      <x:c r="AJ640" s="10"/>
      <x:c r="AK640" s="10" t="str">
        <x:f>IF(COUNT(AJ640,AI640)=2,AJ640-AI640,"")</x:f>
      </x:c>
      <x:c r="AL640" s="10" t="n">
        <x:v>26</x:v>
      </x:c>
      <x:c r="AM640" s="10"/>
      <x:c r="AN640" s="4" t="str">
        <x:v>C</x:v>
      </x:c>
      <x:c r="AO640" s="4"/>
      <x:c r="AP640" s="4" t="str">
        <x:v>LA</x:v>
      </x:c>
      <x:c r="AQ640" s="4"/>
      <x:c r="AR640" s="4" t="n">
        <x:v>11.590000000000002</x:v>
      </x:c>
      <x:c r="AS640" s="4"/>
      <x:c r="AT640" s="4" t="n">
        <x:v>0.15</x:v>
      </x:c>
      <x:c r="AU640" s="4"/>
      <x:c r="AV640" s="10"/>
      <x:c r="AW640" s="10"/>
      <x:c r="AX640" s="10"/>
      <x:c r="AY640" s="10"/>
      <x:c r="AZ640" s="10" t="n">
        <x:v>104</x:v>
      </x:c>
      <x:c r="BA640" s="10" t="n">
        <x:v>133</x:v>
      </x:c>
      <x:c r="BB640" s="4" t="n">
        <x:v>43.9</x:v>
      </x:c>
      <x:c r="BC640" s="4" t="n">
        <x:v>-7.6</x:v>
      </x:c>
      <x:c r="BD640" s="10" t="n">
        <x:v>68</x:v>
      </x:c>
      <x:c r="BE640" s="10" t="n">
        <x:v>94</x:v>
      </x:c>
      <x:c r="BF640" s="4" t="n">
        <x:v>42</x:v>
      </x:c>
      <x:c r="BG640" s="4" t="n">
        <x:v>-7.7</x:v>
      </x:c>
      <x:c r="BH640" s="4" t="n">
        <x:v>4.5</x:v>
      </x:c>
      <x:c r="BI640" s="4" t="n">
        <x:v>86.7</x:v>
      </x:c>
      <x:c r="BJ640" s="4" t="n">
        <x:v>91.2</x:v>
      </x:c>
      <x:c r="BK640" s="4" t="n">
        <x:v>54.2</x:v>
      </x:c>
      <x:c r="BL640" s="4" t="n">
        <x:v>45.8</x:v>
      </x:c>
      <x:c r="BM640" s="4" t="n">
        <x:v>7.1</x:v>
      </x:c>
      <x:c r="BN640" s="4" t="n">
        <x:v>6.9</x:v>
      </x:c>
      <x:c r="BO640" s="10" t="n">
        <x:v>3</x:v>
      </x:c>
      <x:c r="BP640" s="10" t="n">
        <x:v>4</x:v>
      </x:c>
      <x:c r="BQ640" s="4" t="n">
        <x:v>-2.1</x:v>
      </x:c>
      <x:c r="BR640" s="10" t="n">
        <x:v>26</x:v>
      </x:c>
      <x:c r="BS640" s="4" t="n">
        <x:v>61.5</x:v>
      </x:c>
      <x:c r="BT640" s="10" t="n">
        <x:v>19</x:v>
      </x:c>
      <x:c r="BU640" s="4" t="str">
        <x:v>FLA</x:v>
      </x:c>
      <x:c r="BV640" s="10" t="n">
        <x:v>637</x:v>
      </x:c>
      <x:c r="BW640" s="10"/>
      <x:c r="BX640" s="10" t="n">
        <x:v>992</x:v>
      </x:c>
      <x:c r="BY640" s="4" t="str">
        <x:v>Jack Studnicka</x:v>
      </x:c>
      <x:c r="BZ640" s="4"/>
      <x:c r="CA640" s="4" t="str">
        <x:v>Jack Studnicka</x:v>
      </x:c>
      <x:c r="CB640" s="4" t="str">
        <x:v>studnja01</x:v>
      </x:c>
    </x:row>
    <x:row r="641" ht="22" customHeight="1">
      <x:c r="A641" s="4" t="str">
        <x:v>Jack Thompson</x:v>
      </x:c>
      <x:c r="B641" s="4" t="str">
        <x:v>jackthompson</x:v>
      </x:c>
      <x:c r="C641" s="10" t="n">
        <x:v>1</x:v>
      </x:c>
      <x:c r="D641" s="10" t="n">
        <x:v>0</x:v>
      </x:c>
      <x:c r="E641" s="10" t="n">
        <x:v>0</x:v>
      </x:c>
      <x:c r="F641" s="4" t="n">
        <x:f>IF(COUNT(N641,Q641,T641,W641,Z641,AC641,AF641,AI641)=8,N641*Guide!$E$5+Q641*Guide!$E$6+T641*Guide!$E$7+W641*Guide!$E$8+Z641*Guide!$E$9+AC641*Guide!$E$10+AF641*Guide!$E$11+AI641*Guide!$E$12,"")</x:f>
        <x:v>124.75</x:v>
      </x:c>
      <x:c r="G641" s="4" t="str">
        <x:f>IF(COUNT(O641,R641,U641,X641,AA641,AD641,AG641,AJ641)=8,O641*Guide!$E$5+R641*Guide!$E$6+U641*Guide!$E$7+X641*Guide!$E$8+AA641*Guide!$E$9+AD641*Guide!$E$10+AG641*Guide!$E$11+AJ641*Guide!$E$12,"")</x:f>
      </x:c>
      <x:c r="H641" s="4" t="str">
        <x:f>IF(COUNT(G641,F641)=2,G641-F641,"")</x:f>
      </x:c>
      <x:c r="I641" s="4" t="n">
        <x:f>IF(AND(ISNUMBER(F641),K641&gt;0),F641/K641,"")</x:f>
        <x:v>2.7119565217391304</x:v>
      </x:c>
      <x:c r="J641" s="4" t="str">
        <x:f>IF(AND(ISNUMBER(G641),L641&gt;0),G641/L641,"")</x:f>
      </x:c>
      <x:c r="K641" s="10" t="n">
        <x:v>46</x:v>
      </x:c>
      <x:c r="L641" s="10"/>
      <x:c r="M641" s="10" t="str">
        <x:f>IF(COUNT(L641,K641)=2,L641-K641,"")</x:f>
      </x:c>
      <x:c r="N641" s="10" t="n">
        <x:v>5</x:v>
      </x:c>
      <x:c r="O641" s="10"/>
      <x:c r="P641" s="10" t="str">
        <x:f>IF(COUNT(O641,N641)=2,O641-N641,"")</x:f>
      </x:c>
      <x:c r="Q641" s="10" t="n">
        <x:v>10</x:v>
      </x:c>
      <x:c r="R641" s="10"/>
      <x:c r="S641" s="10" t="str">
        <x:f>IF(COUNT(R641,Q641)=2,R641-Q641,"")</x:f>
      </x:c>
      <x:c r="T641" s="10" t="n">
        <x:v>-1</x:v>
      </x:c>
      <x:c r="U641" s="10"/>
      <x:c r="V641" s="10" t="str">
        <x:f>IF(COUNT(U641,T641)=2,U641-T641,"")</x:f>
      </x:c>
      <x:c r="W641" s="10" t="n">
        <x:v>3</x:v>
      </x:c>
      <x:c r="X641" s="10" t="str">
        <x:f>IF(COUNT(AV641,AW641)=2,AV641+AW641,"")</x:f>
      </x:c>
      <x:c r="Y641" s="10" t="str">
        <x:f>IF(COUNT(X641,W641)=2,X641-W641,"")</x:f>
      </x:c>
      <x:c r="Z641" s="10" t="n">
        <x:v>0</x:v>
      </x:c>
      <x:c r="AA641" s="10" t="str">
        <x:f>IF(COUNT(AX641,AY641)=2,AX641+AY641,"")</x:f>
      </x:c>
      <x:c r="AB641" s="10" t="str">
        <x:f>IF(COUNT(AA641,Z641)=2,AA641-Z641,"")</x:f>
      </x:c>
      <x:c r="AC641" s="10" t="n">
        <x:v>61</x:v>
      </x:c>
      <x:c r="AD641" s="10"/>
      <x:c r="AE641" s="10" t="str">
        <x:f>IF(COUNT(AD641,AC641)=2,AD641-AC641,"")</x:f>
      </x:c>
      <x:c r="AF641" s="10" t="n">
        <x:v>20</x:v>
      </x:c>
      <x:c r="AG641" s="10"/>
      <x:c r="AH641" s="10" t="str">
        <x:f>IF(COUNT(AG641,AF641)=2,AG641-AF641,"")</x:f>
      </x:c>
      <x:c r="AI641" s="10" t="n">
        <x:v>70</x:v>
      </x:c>
      <x:c r="AJ641" s="10"/>
      <x:c r="AK641" s="10" t="str">
        <x:f>IF(COUNT(AJ641,AI641)=2,AJ641-AI641,"")</x:f>
      </x:c>
      <x:c r="AL641" s="10" t="n">
        <x:v>23</x:v>
      </x:c>
      <x:c r="AM641" s="10"/>
      <x:c r="AN641" s="4" t="str">
        <x:v>D</x:v>
      </x:c>
      <x:c r="AO641" s="4"/>
      <x:c r="AP641" s="4" t="str">
        <x:v>SJ</x:v>
      </x:c>
      <x:c r="AQ641" s="4"/>
      <x:c r="AR641" s="4" t="n">
        <x:v>15.790000000000001</x:v>
      </x:c>
      <x:c r="AS641" s="4"/>
      <x:c r="AT641" s="4" t="n">
        <x:v>1.14</x:v>
      </x:c>
      <x:c r="AU641" s="4"/>
      <x:c r="AV641" s="10"/>
      <x:c r="AW641" s="10"/>
      <x:c r="AX641" s="10"/>
      <x:c r="AY641" s="10"/>
      <x:c r="AZ641" s="10"/>
      <x:c r="BA641" s="10"/>
      <x:c r="BB641" s="4"/>
      <x:c r="BC641" s="4"/>
      <x:c r="BD641" s="10"/>
      <x:c r="BE641" s="10"/>
      <x:c r="BF641" s="4"/>
      <x:c r="BG641" s="4"/>
      <x:c r="BH641" s="4"/>
      <x:c r="BI641" s="4"/>
      <x:c r="BJ641" s="4"/>
      <x:c r="BK641" s="4"/>
      <x:c r="BL641" s="4"/>
      <x:c r="BM641" s="4"/>
      <x:c r="BN641" s="4"/>
      <x:c r="BO641" s="10"/>
      <x:c r="BP641" s="10"/>
      <x:c r="BQ641" s="4"/>
      <x:c r="BR641" s="10"/>
      <x:c r="BS641" s="4"/>
      <x:c r="BT641" s="10"/>
      <x:c r="BU641" s="4"/>
      <x:c r="BV641" s="10" t="n">
        <x:v>634</x:v>
      </x:c>
      <x:c r="BW641" s="10"/>
      <x:c r="BX641" s="10"/>
      <x:c r="BY641" s="4" t="str">
        <x:v>Jack Thompson</x:v>
      </x:c>
      <x:c r="BZ641" s="4"/>
      <x:c r="CA641" s="4"/>
      <x:c r="CB641" s="4"/>
    </x:row>
    <x:row r="642" ht="22" customHeight="1">
      <x:c r="A642" s="4" t="str">
        <x:v>Jacob Bernard-Docker</x:v>
      </x:c>
      <x:c r="B642" s="4" t="str">
        <x:v>jacobbernarddocker</x:v>
      </x:c>
      <x:c r="C642" s="10" t="n">
        <x:v>1</x:v>
      </x:c>
      <x:c r="D642" s="10" t="n">
        <x:v>0</x:v>
      </x:c>
      <x:c r="E642" s="10" t="n">
        <x:v>1</x:v>
      </x:c>
      <x:c r="F642" s="4" t="n">
        <x:f>IF(COUNT(N642,Q642,T642,W642,Z642,AC642,AF642,AI642)=8,N642*Guide!$E$5+Q642*Guide!$E$6+T642*Guide!$E$7+W642*Guide!$E$8+Z642*Guide!$E$9+AC642*Guide!$E$10+AF642*Guide!$E$11+AI642*Guide!$E$12,"")</x:f>
        <x:v>130</x:v>
      </x:c>
      <x:c r="G642" s="4" t="str">
        <x:f>IF(COUNT(O642,R642,U642,X642,AA642,AD642,AG642,AJ642)=8,O642*Guide!$E$5+R642*Guide!$E$6+U642*Guide!$E$7+X642*Guide!$E$8+AA642*Guide!$E$9+AD642*Guide!$E$10+AG642*Guide!$E$11+AJ642*Guide!$E$12,"")</x:f>
      </x:c>
      <x:c r="H642" s="4" t="str">
        <x:f>IF(COUNT(G642,F642)=2,G642-F642,"")</x:f>
      </x:c>
      <x:c r="I642" s="4" t="n">
        <x:f>IF(AND(ISNUMBER(F642),K642&gt;0),F642/K642,"")</x:f>
        <x:v>1.9696969696969697</x:v>
      </x:c>
      <x:c r="J642" s="4" t="str">
        <x:f>IF(AND(ISNUMBER(G642),L642&gt;0),G642/L642,"")</x:f>
      </x:c>
      <x:c r="K642" s="10" t="n">
        <x:v>66</x:v>
      </x:c>
      <x:c r="L642" s="10"/>
      <x:c r="M642" s="10" t="str">
        <x:f>IF(COUNT(L642,K642)=2,L642-K642,"")</x:f>
      </x:c>
      <x:c r="N642" s="10" t="n">
        <x:v>3</x:v>
      </x:c>
      <x:c r="O642" s="10"/>
      <x:c r="P642" s="10" t="str">
        <x:f>IF(COUNT(O642,N642)=2,O642-N642,"")</x:f>
      </x:c>
      <x:c r="Q642" s="10" t="n">
        <x:v>9</x:v>
      </x:c>
      <x:c r="R642" s="10"/>
      <x:c r="S642" s="10" t="str">
        <x:f>IF(COUNT(R642,Q642)=2,R642-Q642,"")</x:f>
      </x:c>
      <x:c r="T642" s="10" t="n">
        <x:v>1</x:v>
      </x:c>
      <x:c r="U642" s="10"/>
      <x:c r="V642" s="10" t="str">
        <x:f>IF(COUNT(U642,T642)=2,U642-T642,"")</x:f>
      </x:c>
      <x:c r="W642" s="10" t="n">
        <x:v>0</x:v>
      </x:c>
      <x:c r="X642" s="10" t="str">
        <x:f>IF(COUNT(AV642,AW642)=2,AV642+AW642,"")</x:f>
      </x:c>
      <x:c r="Y642" s="10" t="str">
        <x:f>IF(COUNT(X642,W642)=2,X642-W642,"")</x:f>
      </x:c>
      <x:c r="Z642" s="10" t="n">
        <x:v>0</x:v>
      </x:c>
      <x:c r="AA642" s="10" t="str">
        <x:f>IF(COUNT(AX642,AY642)=2,AX642+AY642,"")</x:f>
      </x:c>
      <x:c r="AB642" s="10" t="str">
        <x:f>IF(COUNT(AA642,Z642)=2,AA642-Z642,"")</x:f>
      </x:c>
      <x:c r="AC642" s="10" t="n">
        <x:v>55</x:v>
      </x:c>
      <x:c r="AD642" s="10"/>
      <x:c r="AE642" s="10" t="str">
        <x:f>IF(COUNT(AD642,AC642)=2,AD642-AC642,"")</x:f>
      </x:c>
      <x:c r="AF642" s="10" t="n">
        <x:v>47</x:v>
      </x:c>
      <x:c r="AG642" s="10"/>
      <x:c r="AH642" s="10" t="str">
        <x:f>IF(COUNT(AG642,AF642)=2,AG642-AF642,"")</x:f>
      </x:c>
      <x:c r="AI642" s="10" t="n">
        <x:v>86</x:v>
      </x:c>
      <x:c r="AJ642" s="10"/>
      <x:c r="AK642" s="10" t="str">
        <x:f>IF(COUNT(AJ642,AI642)=2,AJ642-AI642,"")</x:f>
      </x:c>
      <x:c r="AL642" s="10" t="n">
        <x:v>25</x:v>
      </x:c>
      <x:c r="AM642" s="10"/>
      <x:c r="AN642" s="4" t="str">
        <x:v>D</x:v>
      </x:c>
      <x:c r="AO642" s="4"/>
      <x:c r="AP642" s="4" t="str">
        <x:v>DET</x:v>
      </x:c>
      <x:c r="AQ642" s="4"/>
      <x:c r="AR642" s="4" t="n">
        <x:v>14.02</x:v>
      </x:c>
      <x:c r="AS642" s="4"/>
      <x:c r="AT642" s="4" t="n">
        <x:v>0.09</x:v>
      </x:c>
      <x:c r="AU642" s="4"/>
      <x:c r="AV642" s="10"/>
      <x:c r="AW642" s="10"/>
      <x:c r="AX642" s="10"/>
      <x:c r="AY642" s="10"/>
      <x:c r="AZ642" s="10" t="n">
        <x:v>733</x:v>
      </x:c>
      <x:c r="BA642" s="10" t="n">
        <x:v>890</x:v>
      </x:c>
      <x:c r="BB642" s="4" t="n">
        <x:v>45.2</x:v>
      </x:c>
      <x:c r="BC642" s="4" t="n">
        <x:v>-4.2</x:v>
      </x:c>
      <x:c r="BD642" s="10" t="n">
        <x:v>518</x:v>
      </x:c>
      <x:c r="BE642" s="10" t="n">
        <x:v>611</x:v>
      </x:c>
      <x:c r="BF642" s="4" t="n">
        <x:v>45.9</x:v>
      </x:c>
      <x:c r="BG642" s="4" t="n">
        <x:v>-4.6</x:v>
      </x:c>
      <x:c r="BH642" s="4" t="n">
        <x:v>7.3</x:v>
      </x:c>
      <x:c r="BI642" s="4" t="n">
        <x:v>93.9</x:v>
      </x:c>
      <x:c r="BJ642" s="4" t="n">
        <x:v>101.2</x:v>
      </x:c>
      <x:c r="BK642" s="4" t="n">
        <x:v>45.4</x:v>
      </x:c>
      <x:c r="BL642" s="4" t="n">
        <x:v>54.6</x:v>
      </x:c>
      <x:c r="BM642" s="4" t="n">
        <x:v>14.816666666666666</x:v>
      </x:c>
      <x:c r="BN642" s="4" t="n">
        <x:v>13.366666666666667</x:v>
      </x:c>
      <x:c r="BO642" s="10" t="n">
        <x:v>8</x:v>
      </x:c>
      <x:c r="BP642" s="10" t="n">
        <x:v>41</x:v>
      </x:c>
      <x:c r="BQ642" s="4" t="n">
        <x:v>-5.6</x:v>
      </x:c>
      <x:c r="BR642" s="10" t="n">
        <x:v>113</x:v>
      </x:c>
      <x:c r="BS642" s="4" t="n">
        <x:v>36.3</x:v>
      </x:c>
      <x:c r="BT642" s="10" t="n">
        <x:v>63</x:v>
      </x:c>
      <x:c r="BU642" s="4" t="str">
        <x:v>DET</x:v>
      </x:c>
      <x:c r="BV642" s="10" t="n">
        <x:v>691</x:v>
      </x:c>
      <x:c r="BW642" s="10"/>
      <x:c r="BX642" s="10" t="n">
        <x:v>55</x:v>
      </x:c>
      <x:c r="BY642" s="4" t="str">
        <x:v>Jacob Bernard-Docker</x:v>
      </x:c>
      <x:c r="BZ642" s="4"/>
      <x:c r="CA642" s="4" t="str">
        <x:v>Jacob Bernard-Docker</x:v>
      </x:c>
      <x:c r="CB642" s="4" t="str">
        <x:v>bernaja01</x:v>
      </x:c>
    </x:row>
    <x:row r="643" ht="22" customHeight="1">
      <x:c r="A643" s="4" t="str">
        <x:v>Jacob Bryson</x:v>
      </x:c>
      <x:c r="B643" s="4" t="str">
        <x:v>jacobbryson</x:v>
      </x:c>
      <x:c r="C643" s="10" t="n">
        <x:v>1</x:v>
      </x:c>
      <x:c r="D643" s="10" t="n">
        <x:v>0</x:v>
      </x:c>
      <x:c r="E643" s="10" t="n">
        <x:v>1</x:v>
      </x:c>
      <x:c r="F643" s="4" t="n">
        <x:f>IF(COUNT(N643,Q643,T643,W643,Z643,AC643,AF643,AI643)=8,N643*Guide!$E$5+Q643*Guide!$E$6+T643*Guide!$E$7+W643*Guide!$E$8+Z643*Guide!$E$9+AC643*Guide!$E$10+AF643*Guide!$E$11+AI643*Guide!$E$12,"")</x:f>
        <x:v>78.5</x:v>
      </x:c>
      <x:c r="G643" s="4" t="str">
        <x:f>IF(COUNT(O643,R643,U643,X643,AA643,AD643,AG643,AJ643)=8,O643*Guide!$E$5+R643*Guide!$E$6+U643*Guide!$E$7+X643*Guide!$E$8+AA643*Guide!$E$9+AD643*Guide!$E$10+AG643*Guide!$E$11+AJ643*Guide!$E$12,"")</x:f>
      </x:c>
      <x:c r="H643" s="4" t="str">
        <x:f>IF(COUNT(G643,F643)=2,G643-F643,"")</x:f>
      </x:c>
      <x:c r="I643" s="4" t="n">
        <x:f>IF(AND(ISNUMBER(F643),K643&gt;0),F643/K643,"")</x:f>
        <x:v>1.4017857142857142</x:v>
      </x:c>
      <x:c r="J643" s="4" t="str">
        <x:f>IF(AND(ISNUMBER(G643),L643&gt;0),G643/L643,"")</x:f>
      </x:c>
      <x:c r="K643" s="10" t="n">
        <x:v>56</x:v>
      </x:c>
      <x:c r="L643" s="10"/>
      <x:c r="M643" s="10" t="str">
        <x:f>IF(COUNT(L643,K643)=2,L643-K643,"")</x:f>
      </x:c>
      <x:c r="N643" s="10" t="n">
        <x:v>1</x:v>
      </x:c>
      <x:c r="O643" s="10"/>
      <x:c r="P643" s="10" t="str">
        <x:f>IF(COUNT(O643,N643)=2,O643-N643,"")</x:f>
      </x:c>
      <x:c r="Q643" s="10" t="n">
        <x:v>8</x:v>
      </x:c>
      <x:c r="R643" s="10"/>
      <x:c r="S643" s="10" t="str">
        <x:f>IF(COUNT(R643,Q643)=2,R643-Q643,"")</x:f>
      </x:c>
      <x:c r="T643" s="10" t="n">
        <x:v>-5</x:v>
      </x:c>
      <x:c r="U643" s="10"/>
      <x:c r="V643" s="10" t="str">
        <x:f>IF(COUNT(U643,T643)=2,U643-T643,"")</x:f>
      </x:c>
      <x:c r="W643" s="10" t="n">
        <x:v>0</x:v>
      </x:c>
      <x:c r="X643" s="10" t="str">
        <x:f>IF(COUNT(AV643,AW643)=2,AV643+AW643,"")</x:f>
      </x:c>
      <x:c r="Y643" s="10" t="str">
        <x:f>IF(COUNT(X643,W643)=2,X643-W643,"")</x:f>
      </x:c>
      <x:c r="Z643" s="10" t="n">
        <x:v>0</x:v>
      </x:c>
      <x:c r="AA643" s="10" t="str">
        <x:f>IF(COUNT(AX643,AY643)=2,AX643+AY643,"")</x:f>
      </x:c>
      <x:c r="AB643" s="10" t="str">
        <x:f>IF(COUNT(AA643,Z643)=2,AA643-Z643,"")</x:f>
      </x:c>
      <x:c r="AC643" s="10" t="n">
        <x:v>24</x:v>
      </x:c>
      <x:c r="AD643" s="10"/>
      <x:c r="AE643" s="10" t="str">
        <x:f>IF(COUNT(AD643,AC643)=2,AD643-AC643,"")</x:f>
      </x:c>
      <x:c r="AF643" s="10" t="n">
        <x:v>18</x:v>
      </x:c>
      <x:c r="AG643" s="10"/>
      <x:c r="AH643" s="10" t="str">
        <x:f>IF(COUNT(AG643,AF643)=2,AG643-AF643,"")</x:f>
      </x:c>
      <x:c r="AI643" s="10" t="n">
        <x:v>60</x:v>
      </x:c>
      <x:c r="AJ643" s="10"/>
      <x:c r="AK643" s="10" t="str">
        <x:f>IF(COUNT(AJ643,AI643)=2,AJ643-AI643,"")</x:f>
      </x:c>
      <x:c r="AL643" s="10" t="n">
        <x:v>28</x:v>
      </x:c>
      <x:c r="AM643" s="10"/>
      <x:c r="AN643" s="4" t="str">
        <x:v>D</x:v>
      </x:c>
      <x:c r="AO643" s="4"/>
      <x:c r="AP643" s="4" t="str">
        <x:v>BUF</x:v>
      </x:c>
      <x:c r="AQ643" s="4"/>
      <x:c r="AR643" s="4" t="n">
        <x:v>14.459999999999999</x:v>
      </x:c>
      <x:c r="AS643" s="4"/>
      <x:c r="AT643" s="4" t="n">
        <x:v>0.03</x:v>
      </x:c>
      <x:c r="AU643" s="4"/>
      <x:c r="AV643" s="10"/>
      <x:c r="AW643" s="10"/>
      <x:c r="AX643" s="10"/>
      <x:c r="AY643" s="10"/>
      <x:c r="AZ643" s="10" t="n">
        <x:v>461</x:v>
      </x:c>
      <x:c r="BA643" s="10" t="n">
        <x:v>506</x:v>
      </x:c>
      <x:c r="BB643" s="4" t="n">
        <x:v>47.7</x:v>
      </x:c>
      <x:c r="BC643" s="4" t="n">
        <x:v>-0.8</x:v>
      </x:c>
      <x:c r="BD643" s="10" t="n">
        <x:v>330</x:v>
      </x:c>
      <x:c r="BE643" s="10" t="n">
        <x:v>375</x:v>
      </x:c>
      <x:c r="BF643" s="4" t="n">
        <x:v>46.8</x:v>
      </x:c>
      <x:c r="BG643" s="4" t="n">
        <x:v>-1.9</x:v>
      </x:c>
      <x:c r="BH643" s="4" t="n">
        <x:v>10.4</x:v>
      </x:c>
      <x:c r="BI643" s="4" t="n">
        <x:v>88</x:v>
      </x:c>
      <x:c r="BJ643" s="4" t="n">
        <x:v>98.4</x:v>
      </x:c>
      <x:c r="BK643" s="4" t="n">
        <x:v>48.6</x:v>
      </x:c>
      <x:c r="BL643" s="4" t="n">
        <x:v>51.4</x:v>
      </x:c>
      <x:c r="BM643" s="4" t="n">
        <x:v>10.866666666666667</x:v>
      </x:c>
      <x:c r="BN643" s="4" t="n">
        <x:v>10.583333333333334</x:v>
      </x:c>
      <x:c r="BO643" s="10" t="n">
        <x:v>5</x:v>
      </x:c>
      <x:c r="BP643" s="10" t="n">
        <x:v>17</x:v>
      </x:c>
      <x:c r="BQ643" s="4" t="n">
        <x:v>-1.1</x:v>
      </x:c>
      <x:c r="BR643" s="10" t="n">
        <x:v>60</x:v>
      </x:c>
      <x:c r="BS643" s="4" t="n">
        <x:v>36.7</x:v>
      </x:c>
      <x:c r="BT643" s="10" t="n">
        <x:v>50</x:v>
      </x:c>
      <x:c r="BU643" s="4" t="str">
        <x:v>TOT</x:v>
      </x:c>
      <x:c r="BV643" s="10" t="n">
        <x:v>738</x:v>
      </x:c>
      <x:c r="BW643" s="10"/>
      <x:c r="BX643" s="10" t="n">
        <x:v>103</x:v>
      </x:c>
      <x:c r="BY643" s="4" t="str">
        <x:v>Jacob Bryson</x:v>
      </x:c>
      <x:c r="BZ643" s="4"/>
      <x:c r="CA643" s="4" t="str">
        <x:v>Jacob Bryson</x:v>
      </x:c>
      <x:c r="CB643" s="4" t="str">
        <x:v>brysoja01</x:v>
      </x:c>
    </x:row>
    <x:row r="644" ht="22" customHeight="1">
      <x:c r="A644" s="4" t="str">
        <x:v>Jacob Gaucher</x:v>
      </x:c>
      <x:c r="B644" s="4" t="str">
        <x:v>jacobgaucher</x:v>
      </x:c>
      <x:c r="C644" s="10" t="n">
        <x:v>0</x:v>
      </x:c>
      <x:c r="D644" s="10" t="n">
        <x:v>0</x:v>
      </x:c>
      <x:c r="E644" s="10" t="n">
        <x:v>1</x:v>
      </x:c>
      <x:c r="F644" s="4" t="str">
        <x:f>IF(COUNT(N644,Q644,T644,W644,Z644,AC644,AF644,AI644)=8,N644*Guide!$E$5+Q644*Guide!$E$6+T644*Guide!$E$7+W644*Guide!$E$8+Z644*Guide!$E$9+AC644*Guide!$E$10+AF644*Guide!$E$11+AI644*Guide!$E$12,"")</x:f>
      </x:c>
      <x:c r="G644" s="4" t="str">
        <x:f>IF(COUNT(O644,R644,U644,X644,AA644,AD644,AG644,AJ644)=8,O644*Guide!$E$5+R644*Guide!$E$6+U644*Guide!$E$7+X644*Guide!$E$8+AA644*Guide!$E$9+AD644*Guide!$E$10+AG644*Guide!$E$11+AJ644*Guide!$E$12,"")</x:f>
      </x:c>
      <x:c r="H644" s="4" t="str">
        <x:f>IF(COUNT(G644,F644)=2,G644-F644,"")</x:f>
      </x:c>
      <x:c r="I644" s="4" t="str">
        <x:f>IF(AND(ISNUMBER(F644),K644&gt;0),F644/K644,"")</x:f>
      </x:c>
      <x:c r="J644" s="4" t="str">
        <x:f>IF(AND(ISNUMBER(G644),L644&gt;0),G644/L644,"")</x:f>
      </x:c>
      <x:c r="K644" s="10"/>
      <x:c r="L644" s="10"/>
      <x:c r="M644" s="10" t="str">
        <x:f>IF(COUNT(L644,K644)=2,L644-K644,"")</x:f>
      </x:c>
      <x:c r="N644" s="10"/>
      <x:c r="O644" s="10"/>
      <x:c r="P644" s="10" t="str">
        <x:f>IF(COUNT(O644,N644)=2,O644-N644,"")</x:f>
      </x:c>
      <x:c r="Q644" s="10"/>
      <x:c r="R644" s="10"/>
      <x:c r="S644" s="10" t="str">
        <x:f>IF(COUNT(R644,Q644)=2,R644-Q644,"")</x:f>
      </x:c>
      <x:c r="T644" s="10"/>
      <x:c r="U644" s="10"/>
      <x:c r="V644" s="10" t="str">
        <x:f>IF(COUNT(U644,T644)=2,U644-T644,"")</x:f>
      </x:c>
      <x:c r="W644" s="10"/>
      <x:c r="X644" s="10" t="str">
        <x:f>IF(COUNT(AV644,AW644)=2,AV644+AW644,"")</x:f>
      </x:c>
      <x:c r="Y644" s="10" t="str">
        <x:f>IF(COUNT(X644,W644)=2,X644-W644,"")</x:f>
      </x:c>
      <x:c r="Z644" s="10"/>
      <x:c r="AA644" s="10" t="str">
        <x:f>IF(COUNT(AX644,AY644)=2,AX644+AY644,"")</x:f>
      </x:c>
      <x:c r="AB644" s="10" t="str">
        <x:f>IF(COUNT(AA644,Z644)=2,AA644-Z644,"")</x:f>
      </x:c>
      <x:c r="AC644" s="10"/>
      <x:c r="AD644" s="10"/>
      <x:c r="AE644" s="10" t="str">
        <x:f>IF(COUNT(AD644,AC644)=2,AD644-AC644,"")</x:f>
      </x:c>
      <x:c r="AF644" s="10"/>
      <x:c r="AG644" s="10"/>
      <x:c r="AH644" s="10" t="str">
        <x:f>IF(COUNT(AG644,AF644)=2,AG644-AF644,"")</x:f>
      </x:c>
      <x:c r="AI644" s="10"/>
      <x:c r="AJ644" s="10"/>
      <x:c r="AK644" s="10" t="str">
        <x:f>IF(COUNT(AJ644,AI644)=2,AJ644-AI644,"")</x:f>
      </x:c>
      <x:c r="AL644" s="10"/>
      <x:c r="AM644" s="10"/>
      <x:c r="AN644" s="4"/>
      <x:c r="AO644" s="4"/>
      <x:c r="AP644" s="4"/>
      <x:c r="AQ644" s="4"/>
      <x:c r="AR644" s="4"/>
      <x:c r="AS644" s="4"/>
      <x:c r="AT644" s="4"/>
      <x:c r="AU644" s="4"/>
      <x:c r="AV644" s="10"/>
      <x:c r="AW644" s="10"/>
      <x:c r="AX644" s="10"/>
      <x:c r="AY644" s="10"/>
      <x:c r="AZ644" s="10" t="n">
        <x:v>29</x:v>
      </x:c>
      <x:c r="BA644" s="10" t="n">
        <x:v>26</x:v>
      </x:c>
      <x:c r="BB644" s="4" t="n">
        <x:v>52.7</x:v>
      </x:c>
      <x:c r="BC644" s="4" t="n">
        <x:v>0.6</x:v>
      </x:c>
      <x:c r="BD644" s="10" t="n">
        <x:v>21</x:v>
      </x:c>
      <x:c r="BE644" s="10" t="n">
        <x:v>16</x:v>
      </x:c>
      <x:c r="BF644" s="4" t="n">
        <x:v>56.8</x:v>
      </x:c>
      <x:c r="BG644" s="4" t="n">
        <x:v>5.6</x:v>
      </x:c>
      <x:c r="BH644" s="4" t="n">
        <x:v>0</x:v>
      </x:c>
      <x:c r="BI644" s="4" t="n">
        <x:v>90</x:v>
      </x:c>
      <x:c r="BJ644" s="4" t="n">
        <x:v>90</x:v>
      </x:c>
      <x:c r="BK644" s="4" t="n">
        <x:v>58.8</x:v>
      </x:c>
      <x:c r="BL644" s="4" t="n">
        <x:v>41.2</x:v>
      </x:c>
      <x:c r="BM644" s="4" t="n">
        <x:v>8.816666666666666</x:v>
      </x:c>
      <x:c r="BN644" s="4" t="n">
        <x:v>8.266666666666667</x:v>
      </x:c>
      <x:c r="BO644" s="10" t="n">
        <x:v>0</x:v>
      </x:c>
      <x:c r="BP644" s="10" t="n">
        <x:v>3</x:v>
      </x:c>
      <x:c r="BQ644" s="4" t="n">
        <x:v>0.2</x:v>
      </x:c>
      <x:c r="BR644" s="10" t="n">
        <x:v>6</x:v>
      </x:c>
      <x:c r="BS644" s="4" t="n">
        <x:v>66.7</x:v>
      </x:c>
      <x:c r="BT644" s="10" t="n">
        <x:v>4</x:v>
      </x:c>
      <x:c r="BU644" s="4" t="str">
        <x:v>PHI</x:v>
      </x:c>
      <x:c r="BV644" s="10"/>
      <x:c r="BW644" s="10"/>
      <x:c r="BX644" s="10" t="n">
        <x:v>324</x:v>
      </x:c>
      <x:c r="BY644" s="4"/>
      <x:c r="BZ644" s="4"/>
      <x:c r="CA644" s="4" t="str">
        <x:v>Jacob Gaucher</x:v>
      </x:c>
      <x:c r="CB644" s="4" t="str">
        <x:v>gauchja01</x:v>
      </x:c>
    </x:row>
    <x:row r="645" ht="22" customHeight="1">
      <x:c r="A645" s="4" t="str">
        <x:v>Jacob MacDonald</x:v>
      </x:c>
      <x:c r="B645" s="4" t="str">
        <x:v>jacobmacdonald</x:v>
      </x:c>
      <x:c r="C645" s="10" t="n">
        <x:v>1</x:v>
      </x:c>
      <x:c r="D645" s="10" t="n">
        <x:v>0</x:v>
      </x:c>
      <x:c r="E645" s="10" t="n">
        <x:v>0</x:v>
      </x:c>
      <x:c r="F645" s="4" t="n">
        <x:f>IF(COUNT(N645,Q645,T645,W645,Z645,AC645,AF645,AI645)=8,N645*Guide!$E$5+Q645*Guide!$E$6+T645*Guide!$E$7+W645*Guide!$E$8+Z645*Guide!$E$9+AC645*Guide!$E$10+AF645*Guide!$E$11+AI645*Guide!$E$12,"")</x:f>
        <x:v>134.25</x:v>
      </x:c>
      <x:c r="G645" s="4" t="str">
        <x:f>IF(COUNT(O645,R645,U645,X645,AA645,AD645,AG645,AJ645)=8,O645*Guide!$E$5+R645*Guide!$E$6+U645*Guide!$E$7+X645*Guide!$E$8+AA645*Guide!$E$9+AD645*Guide!$E$10+AG645*Guide!$E$11+AJ645*Guide!$E$12,"")</x:f>
      </x:c>
      <x:c r="H645" s="4" t="str">
        <x:f>IF(COUNT(G645,F645)=2,G645-F645,"")</x:f>
      </x:c>
      <x:c r="I645" s="4" t="n">
        <x:f>IF(AND(ISNUMBER(F645),K645&gt;0),F645/K645,"")</x:f>
        <x:v>1.8141891891891893</x:v>
      </x:c>
      <x:c r="J645" s="4" t="str">
        <x:f>IF(AND(ISNUMBER(G645),L645&gt;0),G645/L645,"")</x:f>
      </x:c>
      <x:c r="K645" s="10" t="n">
        <x:v>74</x:v>
      </x:c>
      <x:c r="L645" s="10"/>
      <x:c r="M645" s="10" t="str">
        <x:f>IF(COUNT(L645,K645)=2,L645-K645,"")</x:f>
      </x:c>
      <x:c r="N645" s="10" t="n">
        <x:v>7</x:v>
      </x:c>
      <x:c r="O645" s="10"/>
      <x:c r="P645" s="10" t="str">
        <x:f>IF(COUNT(O645,N645)=2,O645-N645,"")</x:f>
      </x:c>
      <x:c r="Q645" s="10" t="n">
        <x:v>10</x:v>
      </x:c>
      <x:c r="R645" s="10"/>
      <x:c r="S645" s="10" t="str">
        <x:f>IF(COUNT(R645,Q645)=2,R645-Q645,"")</x:f>
      </x:c>
      <x:c r="T645" s="10" t="n">
        <x:v>-7</x:v>
      </x:c>
      <x:c r="U645" s="10"/>
      <x:c r="V645" s="10" t="str">
        <x:f>IF(COUNT(U645,T645)=2,U645-T645,"")</x:f>
      </x:c>
      <x:c r="W645" s="10" t="n">
        <x:v>7</x:v>
      </x:c>
      <x:c r="X645" s="10" t="str">
        <x:f>IF(COUNT(AV645,AW645)=2,AV645+AW645,"")</x:f>
      </x:c>
      <x:c r="Y645" s="10" t="str">
        <x:f>IF(COUNT(X645,W645)=2,X645-W645,"")</x:f>
      </x:c>
      <x:c r="Z645" s="10" t="n">
        <x:v>0</x:v>
      </x:c>
      <x:c r="AA645" s="10" t="str">
        <x:f>IF(COUNT(AX645,AY645)=2,AX645+AY645,"")</x:f>
      </x:c>
      <x:c r="AB645" s="10" t="str">
        <x:f>IF(COUNT(AA645,Z645)=2,AA645-Z645,"")</x:f>
      </x:c>
      <x:c r="AC645" s="10" t="n">
        <x:v>91</x:v>
      </x:c>
      <x:c r="AD645" s="10"/>
      <x:c r="AE645" s="10" t="str">
        <x:f>IF(COUNT(AD645,AC645)=2,AD645-AC645,"")</x:f>
      </x:c>
      <x:c r="AF645" s="10" t="n">
        <x:v>67</x:v>
      </x:c>
      <x:c r="AG645" s="10"/>
      <x:c r="AH645" s="10" t="str">
        <x:f>IF(COUNT(AG645,AF645)=2,AG645-AF645,"")</x:f>
      </x:c>
      <x:c r="AI645" s="10" t="n">
        <x:v>49</x:v>
      </x:c>
      <x:c r="AJ645" s="10"/>
      <x:c r="AK645" s="10" t="str">
        <x:f>IF(COUNT(AJ645,AI645)=2,AJ645-AI645,"")</x:f>
      </x:c>
      <x:c r="AL645" s="10" t="n">
        <x:v>32</x:v>
      </x:c>
      <x:c r="AM645" s="10"/>
      <x:c r="AN645" s="4" t="str">
        <x:v>D</x:v>
      </x:c>
      <x:c r="AO645" s="4"/>
      <x:c r="AP645" s="4" t="str">
        <x:v>COL</x:v>
      </x:c>
      <x:c r="AQ645" s="4"/>
      <x:c r="AR645" s="4" t="n">
        <x:v>12.069999999999999</x:v>
      </x:c>
      <x:c r="AS645" s="4"/>
      <x:c r="AT645" s="4" t="n">
        <x:v>1.29</x:v>
      </x:c>
      <x:c r="AU645" s="4"/>
      <x:c r="AV645" s="10"/>
      <x:c r="AW645" s="10"/>
      <x:c r="AX645" s="10"/>
      <x:c r="AY645" s="10"/>
      <x:c r="AZ645" s="10"/>
      <x:c r="BA645" s="10"/>
      <x:c r="BB645" s="4"/>
      <x:c r="BC645" s="4"/>
      <x:c r="BD645" s="10"/>
      <x:c r="BE645" s="10"/>
      <x:c r="BF645" s="4"/>
      <x:c r="BG645" s="4"/>
      <x:c r="BH645" s="4"/>
      <x:c r="BI645" s="4"/>
      <x:c r="BJ645" s="4"/>
      <x:c r="BK645" s="4"/>
      <x:c r="BL645" s="4"/>
      <x:c r="BM645" s="4"/>
      <x:c r="BN645" s="4"/>
      <x:c r="BO645" s="10"/>
      <x:c r="BP645" s="10"/>
      <x:c r="BQ645" s="4"/>
      <x:c r="BR645" s="10"/>
      <x:c r="BS645" s="4"/>
      <x:c r="BT645" s="10"/>
      <x:c r="BU645" s="4"/>
      <x:c r="BV645" s="10" t="n">
        <x:v>586</x:v>
      </x:c>
      <x:c r="BW645" s="10"/>
      <x:c r="BX645" s="10"/>
      <x:c r="BY645" s="4" t="str">
        <x:v>Jacob MacDonald</x:v>
      </x:c>
      <x:c r="BZ645" s="4"/>
      <x:c r="CA645" s="4"/>
      <x:c r="CB645" s="4"/>
    </x:row>
    <x:row r="646" ht="22" customHeight="1">
      <x:c r="A646" s="4" t="str">
        <x:v>Jacob Melanson</x:v>
      </x:c>
      <x:c r="B646" s="4" t="str">
        <x:v>jacobmelanson</x:v>
      </x:c>
      <x:c r="C646" s="10" t="n">
        <x:v>0</x:v>
      </x:c>
      <x:c r="D646" s="10" t="n">
        <x:v>0</x:v>
      </x:c>
      <x:c r="E646" s="10" t="n">
        <x:v>1</x:v>
      </x:c>
      <x:c r="F646" s="4" t="str">
        <x:f>IF(COUNT(N646,Q646,T646,W646,Z646,AC646,AF646,AI646)=8,N646*Guide!$E$5+Q646*Guide!$E$6+T646*Guide!$E$7+W646*Guide!$E$8+Z646*Guide!$E$9+AC646*Guide!$E$10+AF646*Guide!$E$11+AI646*Guide!$E$12,"")</x:f>
      </x:c>
      <x:c r="G646" s="4" t="str">
        <x:f>IF(COUNT(O646,R646,U646,X646,AA646,AD646,AG646,AJ646)=8,O646*Guide!$E$5+R646*Guide!$E$6+U646*Guide!$E$7+X646*Guide!$E$8+AA646*Guide!$E$9+AD646*Guide!$E$10+AG646*Guide!$E$11+AJ646*Guide!$E$12,"")</x:f>
      </x:c>
      <x:c r="H646" s="4" t="str">
        <x:f>IF(COUNT(G646,F646)=2,G646-F646,"")</x:f>
      </x:c>
      <x:c r="I646" s="4" t="str">
        <x:f>IF(AND(ISNUMBER(F646),K646&gt;0),F646/K646,"")</x:f>
      </x:c>
      <x:c r="J646" s="4" t="str">
        <x:f>IF(AND(ISNUMBER(G646),L646&gt;0),G646/L646,"")</x:f>
      </x:c>
      <x:c r="K646" s="10"/>
      <x:c r="L646" s="10"/>
      <x:c r="M646" s="10" t="str">
        <x:f>IF(COUNT(L646,K646)=2,L646-K646,"")</x:f>
      </x:c>
      <x:c r="N646" s="10"/>
      <x:c r="O646" s="10"/>
      <x:c r="P646" s="10" t="str">
        <x:f>IF(COUNT(O646,N646)=2,O646-N646,"")</x:f>
      </x:c>
      <x:c r="Q646" s="10"/>
      <x:c r="R646" s="10"/>
      <x:c r="S646" s="10" t="str">
        <x:f>IF(COUNT(R646,Q646)=2,R646-Q646,"")</x:f>
      </x:c>
      <x:c r="T646" s="10"/>
      <x:c r="U646" s="10"/>
      <x:c r="V646" s="10" t="str">
        <x:f>IF(COUNT(U646,T646)=2,U646-T646,"")</x:f>
      </x:c>
      <x:c r="W646" s="10"/>
      <x:c r="X646" s="10" t="str">
        <x:f>IF(COUNT(AV646,AW646)=2,AV646+AW646,"")</x:f>
      </x:c>
      <x:c r="Y646" s="10" t="str">
        <x:f>IF(COUNT(X646,W646)=2,X646-W646,"")</x:f>
      </x:c>
      <x:c r="Z646" s="10"/>
      <x:c r="AA646" s="10" t="str">
        <x:f>IF(COUNT(AX646,AY646)=2,AX646+AY646,"")</x:f>
      </x:c>
      <x:c r="AB646" s="10" t="str">
        <x:f>IF(COUNT(AA646,Z646)=2,AA646-Z646,"")</x:f>
      </x:c>
      <x:c r="AC646" s="10"/>
      <x:c r="AD646" s="10"/>
      <x:c r="AE646" s="10" t="str">
        <x:f>IF(COUNT(AD646,AC646)=2,AD646-AC646,"")</x:f>
      </x:c>
      <x:c r="AF646" s="10"/>
      <x:c r="AG646" s="10"/>
      <x:c r="AH646" s="10" t="str">
        <x:f>IF(COUNT(AG646,AF646)=2,AG646-AF646,"")</x:f>
      </x:c>
      <x:c r="AI646" s="10"/>
      <x:c r="AJ646" s="10"/>
      <x:c r="AK646" s="10" t="str">
        <x:f>IF(COUNT(AJ646,AI646)=2,AJ646-AI646,"")</x:f>
      </x:c>
      <x:c r="AL646" s="10"/>
      <x:c r="AM646" s="10"/>
      <x:c r="AN646" s="4"/>
      <x:c r="AO646" s="4"/>
      <x:c r="AP646" s="4"/>
      <x:c r="AQ646" s="4"/>
      <x:c r="AR646" s="4"/>
      <x:c r="AS646" s="4"/>
      <x:c r="AT646" s="4"/>
      <x:c r="AU646" s="4"/>
      <x:c r="AV646" s="10"/>
      <x:c r="AW646" s="10"/>
      <x:c r="AX646" s="10"/>
      <x:c r="AY646" s="10"/>
      <x:c r="AZ646" s="10" t="n">
        <x:v>294</x:v>
      </x:c>
      <x:c r="BA646" s="10" t="n">
        <x:v>299</x:v>
      </x:c>
      <x:c r="BB646" s="4" t="n">
        <x:v>49.6</x:v>
      </x:c>
      <x:c r="BC646" s="4" t="n">
        <x:v>6.3</x:v>
      </x:c>
      <x:c r="BD646" s="10" t="n">
        <x:v>217</x:v>
      </x:c>
      <x:c r="BE646" s="10" t="n">
        <x:v>211</x:v>
      </x:c>
      <x:c r="BF646" s="4" t="n">
        <x:v>50.7</x:v>
      </x:c>
      <x:c r="BG646" s="4" t="n">
        <x:v>6.3</x:v>
      </x:c>
      <x:c r="BH646" s="4" t="n">
        <x:v>8.3</x:v>
      </x:c>
      <x:c r="BI646" s="4" t="n">
        <x:v>86.4</x:v>
      </x:c>
      <x:c r="BJ646" s="4" t="n">
        <x:v>94.7</x:v>
      </x:c>
      <x:c r="BK646" s="4" t="n">
        <x:v>33.9</x:v>
      </x:c>
      <x:c r="BL646" s="4" t="n">
        <x:v>66.1</x:v>
      </x:c>
      <x:c r="BM646" s="4" t="n">
        <x:v>9.366666666666667</x:v>
      </x:c>
      <x:c r="BN646" s="4" t="n">
        <x:v>9.35</x:v>
      </x:c>
      <x:c r="BO646" s="10" t="n">
        <x:v>4</x:v>
      </x:c>
      <x:c r="BP646" s="10" t="n">
        <x:v>15</x:v>
      </x:c>
      <x:c r="BQ646" s="4" t="n">
        <x:v>-1.4</x:v>
      </x:c>
      <x:c r="BR646" s="10" t="n">
        <x:v>80</x:v>
      </x:c>
      <x:c r="BS646" s="4" t="n">
        <x:v>41.3</x:v>
      </x:c>
      <x:c r="BT646" s="10" t="n">
        <x:v>36</x:v>
      </x:c>
      <x:c r="BU646" s="4" t="str">
        <x:v>SEA</x:v>
      </x:c>
      <x:c r="BV646" s="10"/>
      <x:c r="BW646" s="10"/>
      <x:c r="BX646" s="10" t="n">
        <x:v>686</x:v>
      </x:c>
      <x:c r="BY646" s="4"/>
      <x:c r="BZ646" s="4"/>
      <x:c r="CA646" s="4" t="str">
        <x:v>Jacob Melanson</x:v>
      </x:c>
      <x:c r="CB646" s="4" t="str">
        <x:v>melanja01</x:v>
      </x:c>
    </x:row>
    <x:row r="647" ht="22" customHeight="1">
      <x:c r="A647" s="4" t="str">
        <x:v>Jacob Middleton</x:v>
      </x:c>
      <x:c r="B647" s="4" t="str">
        <x:v>jacobmiddleton</x:v>
      </x:c>
      <x:c r="C647" s="10" t="n">
        <x:v>0</x:v>
      </x:c>
      <x:c r="D647" s="10" t="n">
        <x:v>0</x:v>
      </x:c>
      <x:c r="E647" s="10" t="n">
        <x:v>1</x:v>
      </x:c>
      <x:c r="F647" s="4" t="str">
        <x:f>IF(COUNT(N647,Q647,T647,W647,Z647,AC647,AF647,AI647)=8,N647*Guide!$E$5+Q647*Guide!$E$6+T647*Guide!$E$7+W647*Guide!$E$8+Z647*Guide!$E$9+AC647*Guide!$E$10+AF647*Guide!$E$11+AI647*Guide!$E$12,"")</x:f>
      </x:c>
      <x:c r="G647" s="4" t="str">
        <x:f>IF(COUNT(O647,R647,U647,X647,AA647,AD647,AG647,AJ647)=8,O647*Guide!$E$5+R647*Guide!$E$6+U647*Guide!$E$7+X647*Guide!$E$8+AA647*Guide!$E$9+AD647*Guide!$E$10+AG647*Guide!$E$11+AJ647*Guide!$E$12,"")</x:f>
      </x:c>
      <x:c r="H647" s="4" t="str">
        <x:f>IF(COUNT(G647,F647)=2,G647-F647,"")</x:f>
      </x:c>
      <x:c r="I647" s="4" t="str">
        <x:f>IF(AND(ISNUMBER(F647),K647&gt;0),F647/K647,"")</x:f>
      </x:c>
      <x:c r="J647" s="4" t="str">
        <x:f>IF(AND(ISNUMBER(G647),L647&gt;0),G647/L647,"")</x:f>
      </x:c>
      <x:c r="K647" s="10"/>
      <x:c r="L647" s="10"/>
      <x:c r="M647" s="10" t="str">
        <x:f>IF(COUNT(L647,K647)=2,L647-K647,"")</x:f>
      </x:c>
      <x:c r="N647" s="10"/>
      <x:c r="O647" s="10"/>
      <x:c r="P647" s="10" t="str">
        <x:f>IF(COUNT(O647,N647)=2,O647-N647,"")</x:f>
      </x:c>
      <x:c r="Q647" s="10"/>
      <x:c r="R647" s="10"/>
      <x:c r="S647" s="10" t="str">
        <x:f>IF(COUNT(R647,Q647)=2,R647-Q647,"")</x:f>
      </x:c>
      <x:c r="T647" s="10"/>
      <x:c r="U647" s="10"/>
      <x:c r="V647" s="10" t="str">
        <x:f>IF(COUNT(U647,T647)=2,U647-T647,"")</x:f>
      </x:c>
      <x:c r="W647" s="10"/>
      <x:c r="X647" s="10" t="str">
        <x:f>IF(COUNT(AV647,AW647)=2,AV647+AW647,"")</x:f>
      </x:c>
      <x:c r="Y647" s="10" t="str">
        <x:f>IF(COUNT(X647,W647)=2,X647-W647,"")</x:f>
      </x:c>
      <x:c r="Z647" s="10"/>
      <x:c r="AA647" s="10" t="str">
        <x:f>IF(COUNT(AX647,AY647)=2,AX647+AY647,"")</x:f>
      </x:c>
      <x:c r="AB647" s="10" t="str">
        <x:f>IF(COUNT(AA647,Z647)=2,AA647-Z647,"")</x:f>
      </x:c>
      <x:c r="AC647" s="10"/>
      <x:c r="AD647" s="10"/>
      <x:c r="AE647" s="10" t="str">
        <x:f>IF(COUNT(AD647,AC647)=2,AD647-AC647,"")</x:f>
      </x:c>
      <x:c r="AF647" s="10"/>
      <x:c r="AG647" s="10"/>
      <x:c r="AH647" s="10" t="str">
        <x:f>IF(COUNT(AG647,AF647)=2,AG647-AF647,"")</x:f>
      </x:c>
      <x:c r="AI647" s="10"/>
      <x:c r="AJ647" s="10"/>
      <x:c r="AK647" s="10" t="str">
        <x:f>IF(COUNT(AJ647,AI647)=2,AJ647-AI647,"")</x:f>
      </x:c>
      <x:c r="AL647" s="10"/>
      <x:c r="AM647" s="10"/>
      <x:c r="AN647" s="4"/>
      <x:c r="AO647" s="4"/>
      <x:c r="AP647" s="4"/>
      <x:c r="AQ647" s="4"/>
      <x:c r="AR647" s="4"/>
      <x:c r="AS647" s="4"/>
      <x:c r="AT647" s="4"/>
      <x:c r="AU647" s="4"/>
      <x:c r="AV647" s="10"/>
      <x:c r="AW647" s="10"/>
      <x:c r="AX647" s="10"/>
      <x:c r="AY647" s="10"/>
      <x:c r="AZ647" s="10" t="n">
        <x:v>1034</x:v>
      </x:c>
      <x:c r="BA647" s="10" t="n">
        <x:v>1233</x:v>
      </x:c>
      <x:c r="BB647" s="4" t="n">
        <x:v>45.6</x:v>
      </x:c>
      <x:c r="BC647" s="4" t="n">
        <x:v>-4.4</x:v>
      </x:c>
      <x:c r="BD647" s="10" t="n">
        <x:v>775</x:v>
      </x:c>
      <x:c r="BE647" s="10" t="n">
        <x:v>882</x:v>
      </x:c>
      <x:c r="BF647" s="4" t="n">
        <x:v>46.8</x:v>
      </x:c>
      <x:c r="BG647" s="4" t="n">
        <x:v>-3.5</x:v>
      </x:c>
      <x:c r="BH647" s="4" t="n">
        <x:v>9.8</x:v>
      </x:c>
      <x:c r="BI647" s="4" t="n">
        <x:v>91.3</x:v>
      </x:c>
      <x:c r="BJ647" s="4" t="n">
        <x:v>101.1</x:v>
      </x:c>
      <x:c r="BK647" s="4" t="n">
        <x:v>44.8</x:v>
      </x:c>
      <x:c r="BL647" s="4" t="n">
        <x:v>55.2</x:v>
      </x:c>
      <x:c r="BM647" s="4" t="n">
        <x:v>17.5</x:v>
      </x:c>
      <x:c r="BN647" s="4" t="n">
        <x:v>15.5</x:v>
      </x:c>
      <x:c r="BO647" s="10" t="n">
        <x:v>10</x:v>
      </x:c>
      <x:c r="BP647" s="10" t="n">
        <x:v>46</x:v>
      </x:c>
      <x:c r="BQ647" s="4" t="n">
        <x:v>-6.3</x:v>
      </x:c>
      <x:c r="BR647" s="10" t="n">
        <x:v>147</x:v>
      </x:c>
      <x:c r="BS647" s="4" t="n">
        <x:v>42.2</x:v>
      </x:c>
      <x:c r="BT647" s="10" t="n">
        <x:v>75</x:v>
      </x:c>
      <x:c r="BU647" s="4" t="str">
        <x:v>MIN</x:v>
      </x:c>
      <x:c r="BV647" s="10"/>
      <x:c r="BW647" s="10"/>
      <x:c r="BX647" s="10" t="n">
        <x:v>693</x:v>
      </x:c>
      <x:c r="BY647" s="4"/>
      <x:c r="BZ647" s="4"/>
      <x:c r="CA647" s="4" t="str">
        <x:v>Jacob Middleton</x:v>
      </x:c>
      <x:c r="CB647" s="4" t="str">
        <x:v>middlja01</x:v>
      </x:c>
    </x:row>
    <x:row r="648" ht="22" customHeight="1">
      <x:c r="A648" s="4" t="str">
        <x:v>Jacob Moverare</x:v>
      </x:c>
      <x:c r="B648" s="4" t="str">
        <x:v>jacobmoverare</x:v>
      </x:c>
      <x:c r="C648" s="10" t="n">
        <x:v>1</x:v>
      </x:c>
      <x:c r="D648" s="10" t="n">
        <x:v>0</x:v>
      </x:c>
      <x:c r="E648" s="10" t="n">
        <x:v>1</x:v>
      </x:c>
      <x:c r="F648" s="4" t="n">
        <x:f>IF(COUNT(N648,Q648,T648,W648,Z648,AC648,AF648,AI648)=8,N648*Guide!$E$5+Q648*Guide!$E$6+T648*Guide!$E$7+W648*Guide!$E$8+Z648*Guide!$E$9+AC648*Guide!$E$10+AF648*Guide!$E$11+AI648*Guide!$E$12,"")</x:f>
        <x:v>92.25</x:v>
      </x:c>
      <x:c r="G648" s="4" t="str">
        <x:f>IF(COUNT(O648,R648,U648,X648,AA648,AD648,AG648,AJ648)=8,O648*Guide!$E$5+R648*Guide!$E$6+U648*Guide!$E$7+X648*Guide!$E$8+AA648*Guide!$E$9+AD648*Guide!$E$10+AG648*Guide!$E$11+AJ648*Guide!$E$12,"")</x:f>
      </x:c>
      <x:c r="H648" s="4" t="str">
        <x:f>IF(COUNT(G648,F648)=2,G648-F648,"")</x:f>
      </x:c>
      <x:c r="I648" s="4" t="n">
        <x:f>IF(AND(ISNUMBER(F648),K648&gt;0),F648/K648,"")</x:f>
        <x:v>1.6772727272727272</x:v>
      </x:c>
      <x:c r="J648" s="4" t="str">
        <x:f>IF(AND(ISNUMBER(G648),L648&gt;0),G648/L648,"")</x:f>
      </x:c>
      <x:c r="K648" s="10" t="n">
        <x:v>55</x:v>
      </x:c>
      <x:c r="L648" s="10"/>
      <x:c r="M648" s="10" t="str">
        <x:f>IF(COUNT(L648,K648)=2,L648-K648,"")</x:f>
      </x:c>
      <x:c r="N648" s="10" t="n">
        <x:v>2</x:v>
      </x:c>
      <x:c r="O648" s="10"/>
      <x:c r="P648" s="10" t="str">
        <x:f>IF(COUNT(O648,N648)=2,O648-N648,"")</x:f>
      </x:c>
      <x:c r="Q648" s="10" t="n">
        <x:v>7</x:v>
      </x:c>
      <x:c r="R648" s="10"/>
      <x:c r="S648" s="10" t="str">
        <x:f>IF(COUNT(R648,Q648)=2,R648-Q648,"")</x:f>
      </x:c>
      <x:c r="T648" s="10" t="n">
        <x:v>3</x:v>
      </x:c>
      <x:c r="U648" s="10"/>
      <x:c r="V648" s="10" t="str">
        <x:f>IF(COUNT(U648,T648)=2,U648-T648,"")</x:f>
      </x:c>
      <x:c r="W648" s="10" t="n">
        <x:v>0</x:v>
      </x:c>
      <x:c r="X648" s="10" t="str">
        <x:f>IF(COUNT(AV648,AW648)=2,AV648+AW648,"")</x:f>
      </x:c>
      <x:c r="Y648" s="10" t="str">
        <x:f>IF(COUNT(X648,W648)=2,X648-W648,"")</x:f>
      </x:c>
      <x:c r="Z648" s="10" t="n">
        <x:v>0</x:v>
      </x:c>
      <x:c r="AA648" s="10" t="str">
        <x:f>IF(COUNT(AX648,AY648)=2,AX648+AY648,"")</x:f>
      </x:c>
      <x:c r="AB648" s="10" t="str">
        <x:f>IF(COUNT(AA648,Z648)=2,AA648-Z648,"")</x:f>
      </x:c>
      <x:c r="AC648" s="10" t="n">
        <x:v>33</x:v>
      </x:c>
      <x:c r="AD648" s="10"/>
      <x:c r="AE648" s="10" t="str">
        <x:f>IF(COUNT(AD648,AC648)=2,AD648-AC648,"")</x:f>
      </x:c>
      <x:c r="AF648" s="10" t="n">
        <x:v>31</x:v>
      </x:c>
      <x:c r="AG648" s="10"/>
      <x:c r="AH648" s="10" t="str">
        <x:f>IF(COUNT(AG648,AF648)=2,AG648-AF648,"")</x:f>
      </x:c>
      <x:c r="AI648" s="10" t="n">
        <x:v>59</x:v>
      </x:c>
      <x:c r="AJ648" s="10"/>
      <x:c r="AK648" s="10" t="str">
        <x:f>IF(COUNT(AJ648,AI648)=2,AJ648-AI648,"")</x:f>
      </x:c>
      <x:c r="AL648" s="10" t="n">
        <x:v>27</x:v>
      </x:c>
      <x:c r="AM648" s="10"/>
      <x:c r="AN648" s="4" t="str">
        <x:v>D</x:v>
      </x:c>
      <x:c r="AO648" s="4"/>
      <x:c r="AP648" s="4" t="str">
        <x:v>LA</x:v>
      </x:c>
      <x:c r="AQ648" s="4"/>
      <x:c r="AR648" s="4" t="n">
        <x:v>11.78</x:v>
      </x:c>
      <x:c r="AS648" s="4"/>
      <x:c r="AT648" s="4" t="n">
        <x:v>0.03</x:v>
      </x:c>
      <x:c r="AU648" s="4"/>
      <x:c r="AV648" s="10"/>
      <x:c r="AW648" s="10"/>
      <x:c r="AX648" s="10"/>
      <x:c r="AY648" s="10"/>
      <x:c r="AZ648" s="10" t="n">
        <x:v>180</x:v>
      </x:c>
      <x:c r="BA648" s="10" t="n">
        <x:v>131</x:v>
      </x:c>
      <x:c r="BB648" s="4" t="n">
        <x:v>57.9</x:v>
      </x:c>
      <x:c r="BC648" s="4" t="n">
        <x:v>4.3</x:v>
      </x:c>
      <x:c r="BD648" s="10" t="n">
        <x:v>118</x:v>
      </x:c>
      <x:c r="BE648" s="10" t="n">
        <x:v>84</x:v>
      </x:c>
      <x:c r="BF648" s="4" t="n">
        <x:v>58.4</x:v>
      </x:c>
      <x:c r="BG648" s="4" t="n">
        <x:v>6.6</x:v>
      </x:c>
      <x:c r="BH648" s="4" t="n">
        <x:v>4.1</x:v>
      </x:c>
      <x:c r="BI648" s="4" t="n">
        <x:v>86.3</x:v>
      </x:c>
      <x:c r="BJ648" s="4" t="n">
        <x:v>90.3</x:v>
      </x:c>
      <x:c r="BK648" s="4" t="n">
        <x:v>55.9</x:v>
      </x:c>
      <x:c r="BL648" s="4" t="n">
        <x:v>44.1</x:v>
      </x:c>
      <x:c r="BM648" s="4" t="n">
        <x:v>8.783333333333333</x:v>
      </x:c>
      <x:c r="BN648" s="4" t="n">
        <x:v>8.766666666666667</x:v>
      </x:c>
      <x:c r="BO648" s="10" t="n">
        <x:v>2</x:v>
      </x:c>
      <x:c r="BP648" s="10" t="n">
        <x:v>6</x:v>
      </x:c>
      <x:c r="BQ648" s="4" t="n">
        <x:v>1.5</x:v>
      </x:c>
      <x:c r="BR648" s="10" t="n">
        <x:v>23</x:v>
      </x:c>
      <x:c r="BS648" s="4" t="n">
        <x:v>30.4</x:v>
      </x:c>
      <x:c r="BT648" s="10" t="n">
        <x:v>15</x:v>
      </x:c>
      <x:c r="BU648" s="4" t="str">
        <x:v>LAK</x:v>
      </x:c>
      <x:c r="BV648" s="10" t="n">
        <x:v>736</x:v>
      </x:c>
      <x:c r="BW648" s="10"/>
      <x:c r="BX648" s="10" t="n">
        <x:v>718</x:v>
      </x:c>
      <x:c r="BY648" s="4" t="str">
        <x:v>Jacob Moverare</x:v>
      </x:c>
      <x:c r="BZ648" s="4"/>
      <x:c r="CA648" s="4" t="str">
        <x:v>Jacob Moverare</x:v>
      </x:c>
      <x:c r="CB648" s="4" t="str">
        <x:v>moverja01</x:v>
      </x:c>
    </x:row>
    <x:row r="649" ht="22" customHeight="1">
      <x:c r="A649" s="4" t="str">
        <x:v>Jacob Quillan</x:v>
      </x:c>
      <x:c r="B649" s="4" t="str">
        <x:v>jacobquillan</x:v>
      </x:c>
      <x:c r="C649" s="10" t="n">
        <x:v>0</x:v>
      </x:c>
      <x:c r="D649" s="10" t="n">
        <x:v>0</x:v>
      </x:c>
      <x:c r="E649" s="10" t="n">
        <x:v>1</x:v>
      </x:c>
      <x:c r="F649" s="4" t="str">
        <x:f>IF(COUNT(N649,Q649,T649,W649,Z649,AC649,AF649,AI649)=8,N649*Guide!$E$5+Q649*Guide!$E$6+T649*Guide!$E$7+W649*Guide!$E$8+Z649*Guide!$E$9+AC649*Guide!$E$10+AF649*Guide!$E$11+AI649*Guide!$E$12,"")</x:f>
      </x:c>
      <x:c r="G649" s="4" t="str">
        <x:f>IF(COUNT(O649,R649,U649,X649,AA649,AD649,AG649,AJ649)=8,O649*Guide!$E$5+R649*Guide!$E$6+U649*Guide!$E$7+X649*Guide!$E$8+AA649*Guide!$E$9+AD649*Guide!$E$10+AG649*Guide!$E$11+AJ649*Guide!$E$12,"")</x:f>
      </x:c>
      <x:c r="H649" s="4" t="str">
        <x:f>IF(COUNT(G649,F649)=2,G649-F649,"")</x:f>
      </x:c>
      <x:c r="I649" s="4" t="str">
        <x:f>IF(AND(ISNUMBER(F649),K649&gt;0),F649/K649,"")</x:f>
      </x:c>
      <x:c r="J649" s="4" t="str">
        <x:f>IF(AND(ISNUMBER(G649),L649&gt;0),G649/L649,"")</x:f>
      </x:c>
      <x:c r="K649" s="10"/>
      <x:c r="L649" s="10"/>
      <x:c r="M649" s="10" t="str">
        <x:f>IF(COUNT(L649,K649)=2,L649-K649,"")</x:f>
      </x:c>
      <x:c r="N649" s="10"/>
      <x:c r="O649" s="10"/>
      <x:c r="P649" s="10" t="str">
        <x:f>IF(COUNT(O649,N649)=2,O649-N649,"")</x:f>
      </x:c>
      <x:c r="Q649" s="10"/>
      <x:c r="R649" s="10"/>
      <x:c r="S649" s="10" t="str">
        <x:f>IF(COUNT(R649,Q649)=2,R649-Q649,"")</x:f>
      </x:c>
      <x:c r="T649" s="10"/>
      <x:c r="U649" s="10"/>
      <x:c r="V649" s="10" t="str">
        <x:f>IF(COUNT(U649,T649)=2,U649-T649,"")</x:f>
      </x:c>
      <x:c r="W649" s="10"/>
      <x:c r="X649" s="10" t="str">
        <x:f>IF(COUNT(AV649,AW649)=2,AV649+AW649,"")</x:f>
      </x:c>
      <x:c r="Y649" s="10" t="str">
        <x:f>IF(COUNT(X649,W649)=2,X649-W649,"")</x:f>
      </x:c>
      <x:c r="Z649" s="10"/>
      <x:c r="AA649" s="10" t="str">
        <x:f>IF(COUNT(AX649,AY649)=2,AX649+AY649,"")</x:f>
      </x:c>
      <x:c r="AB649" s="10" t="str">
        <x:f>IF(COUNT(AA649,Z649)=2,AA649-Z649,"")</x:f>
      </x:c>
      <x:c r="AC649" s="10"/>
      <x:c r="AD649" s="10"/>
      <x:c r="AE649" s="10" t="str">
        <x:f>IF(COUNT(AD649,AC649)=2,AD649-AC649,"")</x:f>
      </x:c>
      <x:c r="AF649" s="10"/>
      <x:c r="AG649" s="10"/>
      <x:c r="AH649" s="10" t="str">
        <x:f>IF(COUNT(AG649,AF649)=2,AG649-AF649,"")</x:f>
      </x:c>
      <x:c r="AI649" s="10"/>
      <x:c r="AJ649" s="10"/>
      <x:c r="AK649" s="10" t="str">
        <x:f>IF(COUNT(AJ649,AI649)=2,AJ649-AI649,"")</x:f>
      </x:c>
      <x:c r="AL649" s="10"/>
      <x:c r="AM649" s="10"/>
      <x:c r="AN649" s="4"/>
      <x:c r="AO649" s="4"/>
      <x:c r="AP649" s="4"/>
      <x:c r="AQ649" s="4"/>
      <x:c r="AR649" s="4"/>
      <x:c r="AS649" s="4"/>
      <x:c r="AT649" s="4"/>
      <x:c r="AU649" s="4"/>
      <x:c r="AV649" s="10"/>
      <x:c r="AW649" s="10"/>
      <x:c r="AX649" s="10"/>
      <x:c r="AY649" s="10"/>
      <x:c r="AZ649" s="10" t="n">
        <x:v>128</x:v>
      </x:c>
      <x:c r="BA649" s="10" t="n">
        <x:v>197</x:v>
      </x:c>
      <x:c r="BB649" s="4" t="n">
        <x:v>39.4</x:v>
      </x:c>
      <x:c r="BC649" s="4" t="n">
        <x:v>-4.2</x:v>
      </x:c>
      <x:c r="BD649" s="10" t="n">
        <x:v>93</x:v>
      </x:c>
      <x:c r="BE649" s="10" t="n">
        <x:v>145</x:v>
      </x:c>
      <x:c r="BF649" s="4" t="n">
        <x:v>39.1</x:v>
      </x:c>
      <x:c r="BG649" s="4" t="n">
        <x:v>-4.6</x:v>
      </x:c>
      <x:c r="BH649" s="4" t="n">
        <x:v>10.3</x:v>
      </x:c>
      <x:c r="BI649" s="4" t="n">
        <x:v>88.3</x:v>
      </x:c>
      <x:c r="BJ649" s="4" t="n">
        <x:v>98.6</x:v>
      </x:c>
      <x:c r="BK649" s="4" t="n">
        <x:v>31.9</x:v>
      </x:c>
      <x:c r="BL649" s="4" t="n">
        <x:v>68.1</x:v>
      </x:c>
      <x:c r="BM649" s="4" t="n">
        <x:v>10.266666666666667</x:v>
      </x:c>
      <x:c r="BN649" s="4" t="n">
        <x:v>8.783333333333333</x:v>
      </x:c>
      <x:c r="BO649" s="10" t="n">
        <x:v>6</x:v>
      </x:c>
      <x:c r="BP649" s="10" t="n">
        <x:v>12</x:v>
      </x:c>
      <x:c r="BQ649" s="4" t="n">
        <x:v>-3.5</x:v>
      </x:c>
      <x:c r="BR649" s="10" t="n">
        <x:v>32</x:v>
      </x:c>
      <x:c r="BS649" s="4" t="n">
        <x:v>43.8</x:v>
      </x:c>
      <x:c r="BT649" s="10" t="n">
        <x:v>23</x:v>
      </x:c>
      <x:c r="BU649" s="4" t="str">
        <x:v>TOR</x:v>
      </x:c>
      <x:c r="BV649" s="10"/>
      <x:c r="BW649" s="10"/>
      <x:c r="BX649" s="10" t="n">
        <x:v>836</x:v>
      </x:c>
      <x:c r="BY649" s="4"/>
      <x:c r="BZ649" s="4"/>
      <x:c r="CA649" s="4" t="str">
        <x:v>Jacob Quillan</x:v>
      </x:c>
      <x:c r="CB649" s="4" t="str">
        <x:v>quillja01</x:v>
      </x:c>
    </x:row>
    <x:row r="650" ht="22" customHeight="1">
      <x:c r="A650" s="4" t="str">
        <x:v>Jake Bean</x:v>
      </x:c>
      <x:c r="B650" s="4" t="str">
        <x:v>jakebean</x:v>
      </x:c>
      <x:c r="C650" s="10" t="n">
        <x:v>1</x:v>
      </x:c>
      <x:c r="D650" s="10" t="n">
        <x:v>0</x:v>
      </x:c>
      <x:c r="E650" s="10" t="n">
        <x:v>1</x:v>
      </x:c>
      <x:c r="F650" s="4" t="n">
        <x:f>IF(COUNT(N650,Q650,T650,W650,Z650,AC650,AF650,AI650)=8,N650*Guide!$E$5+Q650*Guide!$E$6+T650*Guide!$E$7+W650*Guide!$E$8+Z650*Guide!$E$9+AC650*Guide!$E$10+AF650*Guide!$E$11+AI650*Guide!$E$12,"")</x:f>
        <x:v>122.75</x:v>
      </x:c>
      <x:c r="G650" s="4" t="str">
        <x:f>IF(COUNT(O650,R650,U650,X650,AA650,AD650,AG650,AJ650)=8,O650*Guide!$E$5+R650*Guide!$E$6+U650*Guide!$E$7+X650*Guide!$E$8+AA650*Guide!$E$9+AD650*Guide!$E$10+AG650*Guide!$E$11+AJ650*Guide!$E$12,"")</x:f>
      </x:c>
      <x:c r="H650" s="4" t="str">
        <x:f>IF(COUNT(G650,F650)=2,G650-F650,"")</x:f>
      </x:c>
      <x:c r="I650" s="4" t="n">
        <x:f>IF(AND(ISNUMBER(F650),K650&gt;0),F650/K650,"")</x:f>
        <x:v>1.7535714285714286</x:v>
      </x:c>
      <x:c r="J650" s="4" t="str">
        <x:f>IF(AND(ISNUMBER(G650),L650&gt;0),G650/L650,"")</x:f>
      </x:c>
      <x:c r="K650" s="10" t="n">
        <x:v>70</x:v>
      </x:c>
      <x:c r="L650" s="10"/>
      <x:c r="M650" s="10" t="str">
        <x:f>IF(COUNT(L650,K650)=2,L650-K650,"")</x:f>
      </x:c>
      <x:c r="N650" s="10" t="n">
        <x:v>4</x:v>
      </x:c>
      <x:c r="O650" s="10"/>
      <x:c r="P650" s="10" t="str">
        <x:f>IF(COUNT(O650,N650)=2,O650-N650,"")</x:f>
      </x:c>
      <x:c r="Q650" s="10" t="n">
        <x:v>11</x:v>
      </x:c>
      <x:c r="R650" s="10"/>
      <x:c r="S650" s="10" t="str">
        <x:f>IF(COUNT(R650,Q650)=2,R650-Q650,"")</x:f>
      </x:c>
      <x:c r="T650" s="10" t="n">
        <x:v>-4</x:v>
      </x:c>
      <x:c r="U650" s="10"/>
      <x:c r="V650" s="10" t="str">
        <x:f>IF(COUNT(U650,T650)=2,U650-T650,"")</x:f>
      </x:c>
      <x:c r="W650" s="10" t="n">
        <x:v>0</x:v>
      </x:c>
      <x:c r="X650" s="10" t="str">
        <x:f>IF(COUNT(AV650,AW650)=2,AV650+AW650,"")</x:f>
      </x:c>
      <x:c r="Y650" s="10" t="str">
        <x:f>IF(COUNT(X650,W650)=2,X650-W650,"")</x:f>
      </x:c>
      <x:c r="Z650" s="10" t="n">
        <x:v>0</x:v>
      </x:c>
      <x:c r="AA650" s="10" t="str">
        <x:f>IF(COUNT(AX650,AY650)=2,AX650+AY650,"")</x:f>
      </x:c>
      <x:c r="AB650" s="10" t="str">
        <x:f>IF(COUNT(AA650,Z650)=2,AA650-Z650,"")</x:f>
      </x:c>
      <x:c r="AC650" s="10" t="n">
        <x:v>75</x:v>
      </x:c>
      <x:c r="AD650" s="10"/>
      <x:c r="AE650" s="10" t="str">
        <x:f>IF(COUNT(AD650,AC650)=2,AD650-AC650,"")</x:f>
      </x:c>
      <x:c r="AF650" s="10" t="n">
        <x:v>26</x:v>
      </x:c>
      <x:c r="AG650" s="10"/>
      <x:c r="AH650" s="10" t="str">
        <x:f>IF(COUNT(AG650,AF650)=2,AG650-AF650,"")</x:f>
      </x:c>
      <x:c r="AI650" s="10" t="n">
        <x:v>70</x:v>
      </x:c>
      <x:c r="AJ650" s="10"/>
      <x:c r="AK650" s="10" t="str">
        <x:f>IF(COUNT(AJ650,AI650)=2,AJ650-AI650,"")</x:f>
      </x:c>
      <x:c r="AL650" s="10" t="n">
        <x:v>27</x:v>
      </x:c>
      <x:c r="AM650" s="10"/>
      <x:c r="AN650" s="4" t="str">
        <x:v>D</x:v>
      </x:c>
      <x:c r="AO650" s="4"/>
      <x:c r="AP650" s="4" t="str">
        <x:v>CGY</x:v>
      </x:c>
      <x:c r="AQ650" s="4"/>
      <x:c r="AR650" s="4" t="n">
        <x:v>15.389999999999999</x:v>
      </x:c>
      <x:c r="AS650" s="4"/>
      <x:c r="AT650" s="4" t="n">
        <x:v>0.1</x:v>
      </x:c>
      <x:c r="AU650" s="4"/>
      <x:c r="AV650" s="10"/>
      <x:c r="AW650" s="10"/>
      <x:c r="AX650" s="10"/>
      <x:c r="AY650" s="10"/>
      <x:c r="AZ650" s="10" t="n">
        <x:v>269</x:v>
      </x:c>
      <x:c r="BA650" s="10" t="n">
        <x:v>217</x:v>
      </x:c>
      <x:c r="BB650" s="4" t="n">
        <x:v>55.3</x:v>
      </x:c>
      <x:c r="BC650" s="4" t="n">
        <x:v>3.6</x:v>
      </x:c>
      <x:c r="BD650" s="10" t="n">
        <x:v>192</x:v>
      </x:c>
      <x:c r="BE650" s="10" t="n">
        <x:v>141</x:v>
      </x:c>
      <x:c r="BF650" s="4" t="n">
        <x:v>57.7</x:v>
      </x:c>
      <x:c r="BG650" s="4" t="n">
        <x:v>7.9</x:v>
      </x:c>
      <x:c r="BH650" s="4" t="n">
        <x:v>5.3</x:v>
      </x:c>
      <x:c r="BI650" s="4" t="n">
        <x:v>85.1</x:v>
      </x:c>
      <x:c r="BJ650" s="4" t="n">
        <x:v>90.4</x:v>
      </x:c>
      <x:c r="BK650" s="4" t="n">
        <x:v>54.2</x:v>
      </x:c>
      <x:c r="BL650" s="4" t="n">
        <x:v>45.8</x:v>
      </x:c>
      <x:c r="BM650" s="4" t="n">
        <x:v>15.95</x:v>
      </x:c>
      <x:c r="BN650" s="4" t="n">
        <x:v>15.416666666666666</x:v>
      </x:c>
      <x:c r="BO650" s="10" t="n">
        <x:v>5</x:v>
      </x:c>
      <x:c r="BP650" s="10" t="n">
        <x:v>15</x:v>
      </x:c>
      <x:c r="BQ650" s="4" t="n">
        <x:v>2.1</x:v>
      </x:c>
      <x:c r="BR650" s="10" t="n">
        <x:v>44</x:v>
      </x:c>
      <x:c r="BS650" s="4" t="n">
        <x:v>36.4</x:v>
      </x:c>
      <x:c r="BT650" s="10" t="n">
        <x:v>16</x:v>
      </x:c>
      <x:c r="BU650" s="4" t="str">
        <x:v>CGY</x:v>
      </x:c>
      <x:c r="BV650" s="10" t="n">
        <x:v>632</x:v>
      </x:c>
      <x:c r="BW650" s="10"/>
      <x:c r="BX650" s="10" t="n">
        <x:v>37</x:v>
      </x:c>
      <x:c r="BY650" s="4" t="str">
        <x:v>Jake Bean</x:v>
      </x:c>
      <x:c r="BZ650" s="4"/>
      <x:c r="CA650" s="4" t="str">
        <x:v>Jake Bean</x:v>
      </x:c>
      <x:c r="CB650" s="4" t="str">
        <x:v>beanja01</x:v>
      </x:c>
    </x:row>
    <x:row r="651" ht="22" customHeight="1">
      <x:c r="A651" s="4" t="str">
        <x:v>Jake Christiansen</x:v>
      </x:c>
      <x:c r="B651" s="4" t="str">
        <x:v>jakechristiansen</x:v>
      </x:c>
      <x:c r="C651" s="10" t="n">
        <x:v>1</x:v>
      </x:c>
      <x:c r="D651" s="10" t="n">
        <x:v>0</x:v>
      </x:c>
      <x:c r="E651" s="10" t="n">
        <x:v>1</x:v>
      </x:c>
      <x:c r="F651" s="4" t="n">
        <x:f>IF(COUNT(N651,Q651,T651,W651,Z651,AC651,AF651,AI651)=8,N651*Guide!$E$5+Q651*Guide!$E$6+T651*Guide!$E$7+W651*Guide!$E$8+Z651*Guide!$E$9+AC651*Guide!$E$10+AF651*Guide!$E$11+AI651*Guide!$E$12,"")</x:f>
        <x:v>101.75</x:v>
      </x:c>
      <x:c r="G651" s="4" t="str">
        <x:f>IF(COUNT(O651,R651,U651,X651,AA651,AD651,AG651,AJ651)=8,O651*Guide!$E$5+R651*Guide!$E$6+U651*Guide!$E$7+X651*Guide!$E$8+AA651*Guide!$E$9+AD651*Guide!$E$10+AG651*Guide!$E$11+AJ651*Guide!$E$12,"")</x:f>
      </x:c>
      <x:c r="H651" s="4" t="str">
        <x:f>IF(COUNT(G651,F651)=2,G651-F651,"")</x:f>
      </x:c>
      <x:c r="I651" s="4" t="n">
        <x:f>IF(AND(ISNUMBER(F651),K651&gt;0),F651/K651,"")</x:f>
        <x:v>1.5416666666666667</x:v>
      </x:c>
      <x:c r="J651" s="4" t="str">
        <x:f>IF(AND(ISNUMBER(G651),L651&gt;0),G651/L651,"")</x:f>
      </x:c>
      <x:c r="K651" s="10" t="n">
        <x:v>66</x:v>
      </x:c>
      <x:c r="L651" s="10"/>
      <x:c r="M651" s="10" t="str">
        <x:f>IF(COUNT(L651,K651)=2,L651-K651,"")</x:f>
      </x:c>
      <x:c r="N651" s="10" t="n">
        <x:v>2</x:v>
      </x:c>
      <x:c r="O651" s="10"/>
      <x:c r="P651" s="10" t="str">
        <x:f>IF(COUNT(O651,N651)=2,O651-N651,"")</x:f>
      </x:c>
      <x:c r="Q651" s="10" t="n">
        <x:v>9</x:v>
      </x:c>
      <x:c r="R651" s="10"/>
      <x:c r="S651" s="10" t="str">
        <x:f>IF(COUNT(R651,Q651)=2,R651-Q651,"")</x:f>
      </x:c>
      <x:c r="T651" s="10" t="n">
        <x:v>-5</x:v>
      </x:c>
      <x:c r="U651" s="10"/>
      <x:c r="V651" s="10" t="str">
        <x:f>IF(COUNT(U651,T651)=2,U651-T651,"")</x:f>
      </x:c>
      <x:c r="W651" s="10" t="n">
        <x:v>0</x:v>
      </x:c>
      <x:c r="X651" s="10" t="str">
        <x:f>IF(COUNT(AV651,AW651)=2,AV651+AW651,"")</x:f>
      </x:c>
      <x:c r="Y651" s="10" t="str">
        <x:f>IF(COUNT(X651,W651)=2,X651-W651,"")</x:f>
      </x:c>
      <x:c r="Z651" s="10" t="n">
        <x:v>0</x:v>
      </x:c>
      <x:c r="AA651" s="10" t="str">
        <x:f>IF(COUNT(AX651,AY651)=2,AX651+AY651,"")</x:f>
      </x:c>
      <x:c r="AB651" s="10" t="str">
        <x:f>IF(COUNT(AA651,Z651)=2,AA651-Z651,"")</x:f>
      </x:c>
      <x:c r="AC651" s="10" t="n">
        <x:v>53</x:v>
      </x:c>
      <x:c r="AD651" s="10"/>
      <x:c r="AE651" s="10" t="str">
        <x:f>IF(COUNT(AD651,AC651)=2,AD651-AC651,"")</x:f>
      </x:c>
      <x:c r="AF651" s="10" t="n">
        <x:v>45</x:v>
      </x:c>
      <x:c r="AG651" s="10"/>
      <x:c r="AH651" s="10" t="str">
        <x:f>IF(COUNT(AG651,AF651)=2,AG651-AF651,"")</x:f>
      </x:c>
      <x:c r="AI651" s="10" t="n">
        <x:v>63</x:v>
      </x:c>
      <x:c r="AJ651" s="10"/>
      <x:c r="AK651" s="10" t="str">
        <x:f>IF(COUNT(AJ651,AI651)=2,AJ651-AI651,"")</x:f>
      </x:c>
      <x:c r="AL651" s="10" t="n">
        <x:v>26</x:v>
      </x:c>
      <x:c r="AM651" s="10"/>
      <x:c r="AN651" s="4" t="str">
        <x:v>D</x:v>
      </x:c>
      <x:c r="AO651" s="4"/>
      <x:c r="AP651" s="4" t="str">
        <x:v>CBJ</x:v>
      </x:c>
      <x:c r="AQ651" s="4"/>
      <x:c r="AR651" s="4" t="n">
        <x:v>12.7</x:v>
      </x:c>
      <x:c r="AS651" s="4"/>
      <x:c r="AT651" s="4" t="n">
        <x:v>0.08</x:v>
      </x:c>
      <x:c r="AU651" s="4"/>
      <x:c r="AV651" s="10"/>
      <x:c r="AW651" s="10"/>
      <x:c r="AX651" s="10"/>
      <x:c r="AY651" s="10"/>
      <x:c r="AZ651" s="10" t="n">
        <x:v>386</x:v>
      </x:c>
      <x:c r="BA651" s="10" t="n">
        <x:v>378</x:v>
      </x:c>
      <x:c r="BB651" s="4" t="n">
        <x:v>50.5</x:v>
      </x:c>
      <x:c r="BC651" s="4" t="n">
        <x:v>1.5</x:v>
      </x:c>
      <x:c r="BD651" s="10" t="n">
        <x:v>269</x:v>
      </x:c>
      <x:c r="BE651" s="10" t="n">
        <x:v>264</x:v>
      </x:c>
      <x:c r="BF651" s="4" t="n">
        <x:v>50.5</x:v>
      </x:c>
      <x:c r="BG651" s="4" t="n">
        <x:v>1.3</x:v>
      </x:c>
      <x:c r="BH651" s="4" t="n">
        <x:v>4.9</x:v>
      </x:c>
      <x:c r="BI651" s="4" t="n">
        <x:v>91.2</x:v>
      </x:c>
      <x:c r="BJ651" s="4" t="n">
        <x:v>96.1</x:v>
      </x:c>
      <x:c r="BK651" s="4" t="n">
        <x:v>45.8</x:v>
      </x:c>
      <x:c r="BL651" s="4" t="n">
        <x:v>54.2</x:v>
      </x:c>
      <x:c r="BM651" s="4" t="n">
        <x:v>10.05</x:v>
      </x:c>
      <x:c r="BN651" s="4" t="n">
        <x:v>9.883333333333333</x:v>
      </x:c>
      <x:c r="BO651" s="10" t="n">
        <x:v>2</x:v>
      </x:c>
      <x:c r="BP651" s="10" t="n">
        <x:v>13</x:v>
      </x:c>
      <x:c r="BQ651" s="4" t="n">
        <x:v>-2.2</x:v>
      </x:c>
      <x:c r="BR651" s="10" t="n">
        <x:v>77</x:v>
      </x:c>
      <x:c r="BS651" s="4" t="n">
        <x:v>33.8</x:v>
      </x:c>
      <x:c r="BT651" s="10" t="n">
        <x:v>40</x:v>
      </x:c>
      <x:c r="BU651" s="4" t="str">
        <x:v>CBJ</x:v>
      </x:c>
      <x:c r="BV651" s="10" t="n">
        <x:v>712</x:v>
      </x:c>
      <x:c r="BW651" s="10"/>
      <x:c r="BX651" s="10" t="n">
        <x:v>155</x:v>
      </x:c>
      <x:c r="BY651" s="4" t="str">
        <x:v>Jake Christiansen</x:v>
      </x:c>
      <x:c r="BZ651" s="4"/>
      <x:c r="CA651" s="4" t="str">
        <x:v>Jake Christiansen</x:v>
      </x:c>
      <x:c r="CB651" s="4" t="str">
        <x:v>chrisja01</x:v>
      </x:c>
    </x:row>
    <x:row r="652" ht="22" customHeight="1">
      <x:c r="A652" s="4" t="str">
        <x:v>Jake Livanavage</x:v>
      </x:c>
      <x:c r="B652" s="4" t="str">
        <x:v>jakelivanavage</x:v>
      </x:c>
      <x:c r="C652" s="10" t="n">
        <x:v>0</x:v>
      </x:c>
      <x:c r="D652" s="10" t="n">
        <x:v>0</x:v>
      </x:c>
      <x:c r="E652" s="10" t="n">
        <x:v>1</x:v>
      </x:c>
      <x:c r="F652" s="4" t="str">
        <x:f>IF(COUNT(N652,Q652,T652,W652,Z652,AC652,AF652,AI652)=8,N652*Guide!$E$5+Q652*Guide!$E$6+T652*Guide!$E$7+W652*Guide!$E$8+Z652*Guide!$E$9+AC652*Guide!$E$10+AF652*Guide!$E$11+AI652*Guide!$E$12,"")</x:f>
      </x:c>
      <x:c r="G652" s="4" t="str">
        <x:f>IF(COUNT(O652,R652,U652,X652,AA652,AD652,AG652,AJ652)=8,O652*Guide!$E$5+R652*Guide!$E$6+U652*Guide!$E$7+X652*Guide!$E$8+AA652*Guide!$E$9+AD652*Guide!$E$10+AG652*Guide!$E$11+AJ652*Guide!$E$12,"")</x:f>
      </x:c>
      <x:c r="H652" s="4" t="str">
        <x:f>IF(COUNT(G652,F652)=2,G652-F652,"")</x:f>
      </x:c>
      <x:c r="I652" s="4" t="str">
        <x:f>IF(AND(ISNUMBER(F652),K652&gt;0),F652/K652,"")</x:f>
      </x:c>
      <x:c r="J652" s="4" t="str">
        <x:f>IF(AND(ISNUMBER(G652),L652&gt;0),G652/L652,"")</x:f>
      </x:c>
      <x:c r="K652" s="10"/>
      <x:c r="L652" s="10"/>
      <x:c r="M652" s="10" t="str">
        <x:f>IF(COUNT(L652,K652)=2,L652-K652,"")</x:f>
      </x:c>
      <x:c r="N652" s="10"/>
      <x:c r="O652" s="10"/>
      <x:c r="P652" s="10" t="str">
        <x:f>IF(COUNT(O652,N652)=2,O652-N652,"")</x:f>
      </x:c>
      <x:c r="Q652" s="10"/>
      <x:c r="R652" s="10"/>
      <x:c r="S652" s="10" t="str">
        <x:f>IF(COUNT(R652,Q652)=2,R652-Q652,"")</x:f>
      </x:c>
      <x:c r="T652" s="10"/>
      <x:c r="U652" s="10"/>
      <x:c r="V652" s="10" t="str">
        <x:f>IF(COUNT(U652,T652)=2,U652-T652,"")</x:f>
      </x:c>
      <x:c r="W652" s="10"/>
      <x:c r="X652" s="10" t="str">
        <x:f>IF(COUNT(AV652,AW652)=2,AV652+AW652,"")</x:f>
      </x:c>
      <x:c r="Y652" s="10" t="str">
        <x:f>IF(COUNT(X652,W652)=2,X652-W652,"")</x:f>
      </x:c>
      <x:c r="Z652" s="10"/>
      <x:c r="AA652" s="10" t="str">
        <x:f>IF(COUNT(AX652,AY652)=2,AX652+AY652,"")</x:f>
      </x:c>
      <x:c r="AB652" s="10" t="str">
        <x:f>IF(COUNT(AA652,Z652)=2,AA652-Z652,"")</x:f>
      </x:c>
      <x:c r="AC652" s="10"/>
      <x:c r="AD652" s="10"/>
      <x:c r="AE652" s="10" t="str">
        <x:f>IF(COUNT(AD652,AC652)=2,AD652-AC652,"")</x:f>
      </x:c>
      <x:c r="AF652" s="10"/>
      <x:c r="AG652" s="10"/>
      <x:c r="AH652" s="10" t="str">
        <x:f>IF(COUNT(AG652,AF652)=2,AG652-AF652,"")</x:f>
      </x:c>
      <x:c r="AI652" s="10"/>
      <x:c r="AJ652" s="10"/>
      <x:c r="AK652" s="10" t="str">
        <x:f>IF(COUNT(AJ652,AI652)=2,AJ652-AI652,"")</x:f>
      </x:c>
      <x:c r="AL652" s="10"/>
      <x:c r="AM652" s="10"/>
      <x:c r="AN652" s="4"/>
      <x:c r="AO652" s="4"/>
      <x:c r="AP652" s="4"/>
      <x:c r="AQ652" s="4"/>
      <x:c r="AR652" s="4"/>
      <x:c r="AS652" s="4"/>
      <x:c r="AT652" s="4"/>
      <x:c r="AU652" s="4"/>
      <x:c r="AV652" s="10"/>
      <x:c r="AW652" s="10"/>
      <x:c r="AX652" s="10"/>
      <x:c r="AY652" s="10"/>
      <x:c r="AZ652" s="10" t="n">
        <x:v>12</x:v>
      </x:c>
      <x:c r="BA652" s="10" t="n">
        <x:v>24</x:v>
      </x:c>
      <x:c r="BB652" s="4" t="n">
        <x:v>33.3</x:v>
      </x:c>
      <x:c r="BC652" s="4" t="n">
        <x:v>-23</x:v>
      </x:c>
      <x:c r="BD652" s="10" t="n">
        <x:v>10</x:v>
      </x:c>
      <x:c r="BE652" s="10" t="n">
        <x:v>19</x:v>
      </x:c>
      <x:c r="BF652" s="4" t="n">
        <x:v>34.5</x:v>
      </x:c>
      <x:c r="BG652" s="4" t="n">
        <x:v>-19</x:v>
      </x:c>
      <x:c r="BH652" s="4" t="n">
        <x:v>16.7</x:v>
      </x:c>
      <x:c r="BI652" s="4" t="n">
        <x:v>76.9</x:v>
      </x:c>
      <x:c r="BJ652" s="4" t="n">
        <x:v>93.6</x:v>
      </x:c>
      <x:c r="BK652" s="4" t="n">
        <x:v>25</x:v>
      </x:c>
      <x:c r="BL652" s="4" t="n">
        <x:v>75</x:v>
      </x:c>
      <x:c r="BM652" s="4" t="n">
        <x:v>25.233333333333334</x:v>
      </x:c>
      <x:c r="BN652" s="4" t="n">
        <x:v>22.366666666666667</x:v>
      </x:c>
      <x:c r="BO652" s="10" t="n">
        <x:v>0</x:v>
      </x:c>
      <x:c r="BP652" s="10" t="n">
        <x:v>1</x:v>
      </x:c>
      <x:c r="BQ652" s="4" t="n">
        <x:v>-0.6</x:v>
      </x:c>
      <x:c r="BR652" s="10" t="n">
        <x:v>2</x:v>
      </x:c>
      <x:c r="BS652" s="4" t="n">
        <x:v>0</x:v>
      </x:c>
      <x:c r="BT652" s="10" t="n">
        <x:v>1</x:v>
      </x:c>
      <x:c r="BU652" s="4" t="str">
        <x:v>PIT</x:v>
      </x:c>
      <x:c r="BV652" s="10"/>
      <x:c r="BW652" s="10"/>
      <x:c r="BX652" s="10" t="n">
        <x:v>603</x:v>
      </x:c>
      <x:c r="BY652" s="4"/>
      <x:c r="BZ652" s="4"/>
      <x:c r="CA652" s="4" t="str">
        <x:v>Jake Livanavage</x:v>
      </x:c>
      <x:c r="CB652" s="4" t="str">
        <x:v>livanja01</x:v>
      </x:c>
    </x:row>
    <x:row r="653" ht="22" customHeight="1">
      <x:c r="A653" s="4" t="str">
        <x:v>Jake Middleton</x:v>
      </x:c>
      <x:c r="B653" s="4" t="str">
        <x:v>jakemiddleton</x:v>
      </x:c>
      <x:c r="C653" s="10" t="n">
        <x:v>1</x:v>
      </x:c>
      <x:c r="D653" s="10" t="n">
        <x:v>0</x:v>
      </x:c>
      <x:c r="E653" s="10" t="n">
        <x:v>0</x:v>
      </x:c>
      <x:c r="F653" s="4" t="n">
        <x:f>IF(COUNT(N653,Q653,T653,W653,Z653,AC653,AF653,AI653)=8,N653*Guide!$E$5+Q653*Guide!$E$6+T653*Guide!$E$7+W653*Guide!$E$8+Z653*Guide!$E$9+AC653*Guide!$E$10+AF653*Guide!$E$11+AI653*Guide!$E$12,"")</x:f>
        <x:v>251.75</x:v>
      </x:c>
      <x:c r="G653" s="4" t="str">
        <x:f>IF(COUNT(O653,R653,U653,X653,AA653,AD653,AG653,AJ653)=8,O653*Guide!$E$5+R653*Guide!$E$6+U653*Guide!$E$7+X653*Guide!$E$8+AA653*Guide!$E$9+AD653*Guide!$E$10+AG653*Guide!$E$11+AJ653*Guide!$E$12,"")</x:f>
      </x:c>
      <x:c r="H653" s="4" t="str">
        <x:f>IF(COUNT(G653,F653)=2,G653-F653,"")</x:f>
      </x:c>
      <x:c r="I653" s="4" t="n">
        <x:f>IF(AND(ISNUMBER(F653),K653&gt;0),F653/K653,"")</x:f>
        <x:v>3.2275641025641026</x:v>
      </x:c>
      <x:c r="J653" s="4" t="str">
        <x:f>IF(AND(ISNUMBER(G653),L653&gt;0),G653/L653,"")</x:f>
      </x:c>
      <x:c r="K653" s="10" t="n">
        <x:v>78</x:v>
      </x:c>
      <x:c r="L653" s="10"/>
      <x:c r="M653" s="10" t="str">
        <x:f>IF(COUNT(L653,K653)=2,L653-K653,"")</x:f>
      </x:c>
      <x:c r="N653" s="10" t="n">
        <x:v>7</x:v>
      </x:c>
      <x:c r="O653" s="10"/>
      <x:c r="P653" s="10" t="str">
        <x:f>IF(COUNT(O653,N653)=2,O653-N653,"")</x:f>
      </x:c>
      <x:c r="Q653" s="10" t="n">
        <x:v>16</x:v>
      </x:c>
      <x:c r="R653" s="10"/>
      <x:c r="S653" s="10" t="str">
        <x:f>IF(COUNT(R653,Q653)=2,R653-Q653,"")</x:f>
      </x:c>
      <x:c r="T653" s="10" t="n">
        <x:v>-2</x:v>
      </x:c>
      <x:c r="U653" s="10"/>
      <x:c r="V653" s="10" t="str">
        <x:f>IF(COUNT(U653,T653)=2,U653-T653,"")</x:f>
      </x:c>
      <x:c r="W653" s="10" t="n">
        <x:v>0</x:v>
      </x:c>
      <x:c r="X653" s="10" t="str">
        <x:f>IF(COUNT(AV653,AW653)=2,AV653+AW653,"")</x:f>
      </x:c>
      <x:c r="Y653" s="10" t="str">
        <x:f>IF(COUNT(X653,W653)=2,X653-W653,"")</x:f>
      </x:c>
      <x:c r="Z653" s="10" t="n">
        <x:v>0</x:v>
      </x:c>
      <x:c r="AA653" s="10" t="str">
        <x:f>IF(COUNT(AX653,AY653)=2,AX653+AY653,"")</x:f>
      </x:c>
      <x:c r="AB653" s="10" t="str">
        <x:f>IF(COUNT(AA653,Z653)=2,AA653-Z653,"")</x:f>
      </x:c>
      <x:c r="AC653" s="10" t="n">
        <x:v>96</x:v>
      </x:c>
      <x:c r="AD653" s="10"/>
      <x:c r="AE653" s="10" t="str">
        <x:f>IF(COUNT(AD653,AC653)=2,AD653-AC653,"")</x:f>
      </x:c>
      <x:c r="AF653" s="10" t="n">
        <x:v>111</x:v>
      </x:c>
      <x:c r="AG653" s="10"/>
      <x:c r="AH653" s="10" t="str">
        <x:f>IF(COUNT(AG653,AF653)=2,AG653-AF653,"")</x:f>
      </x:c>
      <x:c r="AI653" s="10" t="n">
        <x:v>168</x:v>
      </x:c>
      <x:c r="AJ653" s="10"/>
      <x:c r="AK653" s="10" t="str">
        <x:f>IF(COUNT(AJ653,AI653)=2,AJ653-AI653,"")</x:f>
      </x:c>
      <x:c r="AL653" s="10" t="n">
        <x:v>30</x:v>
      </x:c>
      <x:c r="AM653" s="10"/>
      <x:c r="AN653" s="4" t="str">
        <x:v>D</x:v>
      </x:c>
      <x:c r="AO653" s="4"/>
      <x:c r="AP653" s="4" t="str">
        <x:v>MIN</x:v>
      </x:c>
      <x:c r="AQ653" s="4"/>
      <x:c r="AR653" s="4" t="n">
        <x:v>21.630000000000003</x:v>
      </x:c>
      <x:c r="AS653" s="4"/>
      <x:c r="AT653" s="4" t="n">
        <x:v>0.09</x:v>
      </x:c>
      <x:c r="AU653" s="4"/>
      <x:c r="AV653" s="10"/>
      <x:c r="AW653" s="10"/>
      <x:c r="AX653" s="10"/>
      <x:c r="AY653" s="10"/>
      <x:c r="AZ653" s="10"/>
      <x:c r="BA653" s="10"/>
      <x:c r="BB653" s="4"/>
      <x:c r="BC653" s="4"/>
      <x:c r="BD653" s="10"/>
      <x:c r="BE653" s="10"/>
      <x:c r="BF653" s="4"/>
      <x:c r="BG653" s="4"/>
      <x:c r="BH653" s="4"/>
      <x:c r="BI653" s="4"/>
      <x:c r="BJ653" s="4"/>
      <x:c r="BK653" s="4"/>
      <x:c r="BL653" s="4"/>
      <x:c r="BM653" s="4"/>
      <x:c r="BN653" s="4"/>
      <x:c r="BO653" s="10"/>
      <x:c r="BP653" s="10"/>
      <x:c r="BQ653" s="4"/>
      <x:c r="BR653" s="10"/>
      <x:c r="BS653" s="4"/>
      <x:c r="BT653" s="10"/>
      <x:c r="BU653" s="4"/>
      <x:c r="BV653" s="10" t="n">
        <x:v>460</x:v>
      </x:c>
      <x:c r="BW653" s="10"/>
      <x:c r="BX653" s="10"/>
      <x:c r="BY653" s="4" t="str">
        <x:v>Jake Middleton</x:v>
      </x:c>
      <x:c r="BZ653" s="4"/>
      <x:c r="CA653" s="4"/>
      <x:c r="CB653" s="4"/>
    </x:row>
    <x:row r="654" ht="22" customHeight="1">
      <x:c r="A654" s="4" t="str">
        <x:v>Jakob Pelletier</x:v>
      </x:c>
      <x:c r="B654" s="4" t="str">
        <x:v>jakobpelletier</x:v>
      </x:c>
      <x:c r="C654" s="10" t="n">
        <x:v>1</x:v>
      </x:c>
      <x:c r="D654" s="10" t="n">
        <x:v>0</x:v>
      </x:c>
      <x:c r="E654" s="10" t="n">
        <x:v>1</x:v>
      </x:c>
      <x:c r="F654" s="4" t="n">
        <x:f>IF(COUNT(N654,Q654,T654,W654,Z654,AC654,AF654,AI654)=8,N654*Guide!$E$5+Q654*Guide!$E$6+T654*Guide!$E$7+W654*Guide!$E$8+Z654*Guide!$E$9+AC654*Guide!$E$10+AF654*Guide!$E$11+AI654*Guide!$E$12,"")</x:f>
        <x:v>126.5</x:v>
      </x:c>
      <x:c r="G654" s="4" t="str">
        <x:f>IF(COUNT(O654,R654,U654,X654,AA654,AD654,AG654,AJ654)=8,O654*Guide!$E$5+R654*Guide!$E$6+U654*Guide!$E$7+X654*Guide!$E$8+AA654*Guide!$E$9+AD654*Guide!$E$10+AG654*Guide!$E$11+AJ654*Guide!$E$12,"")</x:f>
      </x:c>
      <x:c r="H654" s="4" t="str">
        <x:f>IF(COUNT(G654,F654)=2,G654-F654,"")</x:f>
      </x:c>
      <x:c r="I654" s="4" t="n">
        <x:f>IF(AND(ISNUMBER(F654),K654&gt;0),F654/K654,"")</x:f>
        <x:v>2.1810344827586206</x:v>
      </x:c>
      <x:c r="J654" s="4" t="str">
        <x:f>IF(AND(ISNUMBER(G654),L654&gt;0),G654/L654,"")</x:f>
      </x:c>
      <x:c r="K654" s="10" t="n">
        <x:v>58</x:v>
      </x:c>
      <x:c r="L654" s="10"/>
      <x:c r="M654" s="10" t="str">
        <x:f>IF(COUNT(L654,K654)=2,L654-K654,"")</x:f>
      </x:c>
      <x:c r="N654" s="10" t="n">
        <x:v>9</x:v>
      </x:c>
      <x:c r="O654" s="10"/>
      <x:c r="P654" s="10" t="str">
        <x:f>IF(COUNT(O654,N654)=2,O654-N654,"")</x:f>
      </x:c>
      <x:c r="Q654" s="10" t="n">
        <x:v>13</x:v>
      </x:c>
      <x:c r="R654" s="10"/>
      <x:c r="S654" s="10" t="str">
        <x:f>IF(COUNT(R654,Q654)=2,R654-Q654,"")</x:f>
      </x:c>
      <x:c r="T654" s="10" t="n">
        <x:v>0</x:v>
      </x:c>
      <x:c r="U654" s="10"/>
      <x:c r="V654" s="10" t="str">
        <x:f>IF(COUNT(U654,T654)=2,U654-T654,"")</x:f>
      </x:c>
      <x:c r="W654" s="10" t="n">
        <x:v>2</x:v>
      </x:c>
      <x:c r="X654" s="10" t="str">
        <x:f>IF(COUNT(AV654,AW654)=2,AV654+AW654,"")</x:f>
      </x:c>
      <x:c r="Y654" s="10" t="str">
        <x:f>IF(COUNT(X654,W654)=2,X654-W654,"")</x:f>
      </x:c>
      <x:c r="Z654" s="10" t="n">
        <x:v>0</x:v>
      </x:c>
      <x:c r="AA654" s="10" t="str">
        <x:f>IF(COUNT(AX654,AY654)=2,AX654+AY654,"")</x:f>
      </x:c>
      <x:c r="AB654" s="10" t="str">
        <x:f>IF(COUNT(AA654,Z654)=2,AA654-Z654,"")</x:f>
      </x:c>
      <x:c r="AC654" s="10" t="n">
        <x:v>70</x:v>
      </x:c>
      <x:c r="AD654" s="10"/>
      <x:c r="AE654" s="10" t="str">
        <x:f>IF(COUNT(AD654,AC654)=2,AD654-AC654,"")</x:f>
      </x:c>
      <x:c r="AF654" s="10" t="n">
        <x:v>53</x:v>
      </x:c>
      <x:c r="AG654" s="10"/>
      <x:c r="AH654" s="10" t="str">
        <x:f>IF(COUNT(AG654,AF654)=2,AG654-AF654,"")</x:f>
      </x:c>
      <x:c r="AI654" s="10" t="n">
        <x:v>25</x:v>
      </x:c>
      <x:c r="AJ654" s="10"/>
      <x:c r="AK654" s="10" t="str">
        <x:f>IF(COUNT(AJ654,AI654)=2,AJ654-AI654,"")</x:f>
      </x:c>
      <x:c r="AL654" s="10" t="n">
        <x:v>24</x:v>
      </x:c>
      <x:c r="AM654" s="10"/>
      <x:c r="AN654" s="4" t="str">
        <x:v>LW,RW</x:v>
      </x:c>
      <x:c r="AO654" s="4"/>
      <x:c r="AP654" s="4" t="str">
        <x:v>TB</x:v>
      </x:c>
      <x:c r="AQ654" s="4"/>
      <x:c r="AR654" s="4" t="n">
        <x:v>12.2</x:v>
      </x:c>
      <x:c r="AS654" s="4"/>
      <x:c r="AT654" s="4" t="n">
        <x:v>0.48</x:v>
      </x:c>
      <x:c r="AU654" s="4"/>
      <x:c r="AV654" s="10"/>
      <x:c r="AW654" s="10"/>
      <x:c r="AX654" s="10"/>
      <x:c r="AY654" s="10"/>
      <x:c r="AZ654" s="10" t="n">
        <x:v>34</x:v>
      </x:c>
      <x:c r="BA654" s="10" t="n">
        <x:v>28</x:v>
      </x:c>
      <x:c r="BB654" s="4" t="n">
        <x:v>54.8</x:v>
      </x:c>
      <x:c r="BC654" s="4" t="n">
        <x:v>4.8</x:v>
      </x:c>
      <x:c r="BD654" s="10" t="n">
        <x:v>25</x:v>
      </x:c>
      <x:c r="BE654" s="10" t="n">
        <x:v>21</x:v>
      </x:c>
      <x:c r="BF654" s="4" t="n">
        <x:v>54.3</x:v>
      </x:c>
      <x:c r="BG654" s="4" t="n">
        <x:v>4.9</x:v>
      </x:c>
      <x:c r="BH654" s="4" t="n">
        <x:v>0</x:v>
      </x:c>
      <x:c r="BI654" s="4" t="n">
        <x:v>92.9</x:v>
      </x:c>
      <x:c r="BJ654" s="4" t="n">
        <x:v>92.9</x:v>
      </x:c>
      <x:c r="BK654" s="4" t="n">
        <x:v>65.6</x:v>
      </x:c>
      <x:c r="BL654" s="4" t="n">
        <x:v>34.4</x:v>
      </x:c>
      <x:c r="BM654" s="4" t="n">
        <x:v>9.35</x:v>
      </x:c>
      <x:c r="BN654" s="4" t="n">
        <x:v>8.783333333333333</x:v>
      </x:c>
      <x:c r="BO654" s="10" t="n">
        <x:v>0</x:v>
      </x:c>
      <x:c r="BP654" s="10" t="n">
        <x:v>4</x:v>
      </x:c>
      <x:c r="BQ654" s="4" t="n">
        <x:v>0.3</x:v>
      </x:c>
      <x:c r="BR654" s="10" t="n">
        <x:v>7</x:v>
      </x:c>
      <x:c r="BS654" s="4" t="n">
        <x:v>57.1</x:v>
      </x:c>
      <x:c r="BT654" s="10" t="n">
        <x:v>5</x:v>
      </x:c>
      <x:c r="BU654" s="4" t="str">
        <x:v>TBL</x:v>
      </x:c>
      <x:c r="BV654" s="10" t="n">
        <x:v>489</x:v>
      </x:c>
      <x:c r="BW654" s="10"/>
      <x:c r="BX654" s="10" t="n">
        <x:v>794</x:v>
      </x:c>
      <x:c r="BY654" s="4" t="str">
        <x:v>Jakob Pelletier</x:v>
      </x:c>
      <x:c r="BZ654" s="4"/>
      <x:c r="CA654" s="4" t="str">
        <x:v>Jakob Pelletier</x:v>
      </x:c>
      <x:c r="CB654" s="4" t="str">
        <x:v>pelleja01</x:v>
      </x:c>
    </x:row>
    <x:row r="655" ht="22" customHeight="1">
      <x:c r="A655" s="4" t="str">
        <x:v>Jakub Lauko</x:v>
      </x:c>
      <x:c r="B655" s="4" t="str">
        <x:v>jakublauko</x:v>
      </x:c>
      <x:c r="C655" s="10" t="n">
        <x:v>1</x:v>
      </x:c>
      <x:c r="D655" s="10" t="n">
        <x:v>0</x:v>
      </x:c>
      <x:c r="E655" s="10" t="n">
        <x:v>0</x:v>
      </x:c>
      <x:c r="F655" s="4" t="n">
        <x:f>IF(COUNT(N655,Q655,T655,W655,Z655,AC655,AF655,AI655)=8,N655*Guide!$E$5+Q655*Guide!$E$6+T655*Guide!$E$7+W655*Guide!$E$8+Z655*Guide!$E$9+AC655*Guide!$E$10+AF655*Guide!$E$11+AI655*Guide!$E$12,"")</x:f>
        <x:v>149</x:v>
      </x:c>
      <x:c r="G655" s="4" t="str">
        <x:f>IF(COUNT(O655,R655,U655,X655,AA655,AD655,AG655,AJ655)=8,O655*Guide!$E$5+R655*Guide!$E$6+U655*Guide!$E$7+X655*Guide!$E$8+AA655*Guide!$E$9+AD655*Guide!$E$10+AG655*Guide!$E$11+AJ655*Guide!$E$12,"")</x:f>
      </x:c>
      <x:c r="H655" s="4" t="str">
        <x:f>IF(COUNT(G655,F655)=2,G655-F655,"")</x:f>
      </x:c>
      <x:c r="I655" s="4" t="n">
        <x:f>IF(AND(ISNUMBER(F655),K655&gt;0),F655/K655,"")</x:f>
        <x:v>2.0135135135135136</x:v>
      </x:c>
      <x:c r="J655" s="4" t="str">
        <x:f>IF(AND(ISNUMBER(G655),L655&gt;0),G655/L655,"")</x:f>
      </x:c>
      <x:c r="K655" s="10" t="n">
        <x:v>74</x:v>
      </x:c>
      <x:c r="L655" s="10"/>
      <x:c r="M655" s="10" t="str">
        <x:f>IF(COUNT(L655,K655)=2,L655-K655,"")</x:f>
      </x:c>
      <x:c r="N655" s="10" t="n">
        <x:v>8</x:v>
      </x:c>
      <x:c r="O655" s="10"/>
      <x:c r="P655" s="10" t="str">
        <x:f>IF(COUNT(O655,N655)=2,O655-N655,"")</x:f>
      </x:c>
      <x:c r="Q655" s="10" t="n">
        <x:v>10</x:v>
      </x:c>
      <x:c r="R655" s="10"/>
      <x:c r="S655" s="10" t="str">
        <x:f>IF(COUNT(R655,Q655)=2,R655-Q655,"")</x:f>
      </x:c>
      <x:c r="T655" s="10" t="n">
        <x:v>-4</x:v>
      </x:c>
      <x:c r="U655" s="10"/>
      <x:c r="V655" s="10" t="str">
        <x:f>IF(COUNT(U655,T655)=2,U655-T655,"")</x:f>
      </x:c>
      <x:c r="W655" s="10" t="n">
        <x:v>2</x:v>
      </x:c>
      <x:c r="X655" s="10" t="str">
        <x:f>IF(COUNT(AV655,AW655)=2,AV655+AW655,"")</x:f>
      </x:c>
      <x:c r="Y655" s="10" t="str">
        <x:f>IF(COUNT(X655,W655)=2,X655-W655,"")</x:f>
      </x:c>
      <x:c r="Z655" s="10" t="n">
        <x:v>1</x:v>
      </x:c>
      <x:c r="AA655" s="10" t="str">
        <x:f>IF(COUNT(AX655,AY655)=2,AX655+AY655,"")</x:f>
      </x:c>
      <x:c r="AB655" s="10" t="str">
        <x:f>IF(COUNT(AA655,Z655)=2,AA655-Z655,"")</x:f>
      </x:c>
      <x:c r="AC655" s="10" t="n">
        <x:v>62</x:v>
      </x:c>
      <x:c r="AD655" s="10"/>
      <x:c r="AE655" s="10" t="str">
        <x:f>IF(COUNT(AD655,AC655)=2,AD655-AC655,"")</x:f>
      </x:c>
      <x:c r="AF655" s="10" t="n">
        <x:v>162</x:v>
      </x:c>
      <x:c r="AG655" s="10"/>
      <x:c r="AH655" s="10" t="str">
        <x:f>IF(COUNT(AG655,AF655)=2,AG655-AF655,"")</x:f>
      </x:c>
      <x:c r="AI655" s="10" t="n">
        <x:v>40</x:v>
      </x:c>
      <x:c r="AJ655" s="10"/>
      <x:c r="AK655" s="10" t="str">
        <x:f>IF(COUNT(AJ655,AI655)=2,AJ655-AI655,"")</x:f>
      </x:c>
      <x:c r="AL655" s="10" t="n">
        <x:v>25</x:v>
      </x:c>
      <x:c r="AM655" s="10"/>
      <x:c r="AN655" s="4" t="str">
        <x:v>C</x:v>
      </x:c>
      <x:c r="AO655" s="4"/>
      <x:c r="AP655" s="4" t="str">
        <x:v>BOS</x:v>
      </x:c>
      <x:c r="AQ655" s="4"/>
      <x:c r="AR655" s="4" t="n">
        <x:v>10.77</x:v>
      </x:c>
      <x:c r="AS655" s="4"/>
      <x:c r="AT655" s="4" t="n">
        <x:v>0.24</x:v>
      </x:c>
      <x:c r="AU655" s="4"/>
      <x:c r="AV655" s="10"/>
      <x:c r="AW655" s="10"/>
      <x:c r="AX655" s="10"/>
      <x:c r="AY655" s="10"/>
      <x:c r="AZ655" s="10"/>
      <x:c r="BA655" s="10"/>
      <x:c r="BB655" s="4"/>
      <x:c r="BC655" s="4"/>
      <x:c r="BD655" s="10"/>
      <x:c r="BE655" s="10"/>
      <x:c r="BF655" s="4"/>
      <x:c r="BG655" s="4"/>
      <x:c r="BH655" s="4"/>
      <x:c r="BI655" s="4"/>
      <x:c r="BJ655" s="4"/>
      <x:c r="BK655" s="4"/>
      <x:c r="BL655" s="4"/>
      <x:c r="BM655" s="4"/>
      <x:c r="BN655" s="4"/>
      <x:c r="BO655" s="10"/>
      <x:c r="BP655" s="10"/>
      <x:c r="BQ655" s="4"/>
      <x:c r="BR655" s="10"/>
      <x:c r="BS655" s="4"/>
      <x:c r="BT655" s="10"/>
      <x:c r="BU655" s="4"/>
      <x:c r="BV655" s="10" t="n">
        <x:v>570</x:v>
      </x:c>
      <x:c r="BW655" s="10"/>
      <x:c r="BX655" s="10"/>
      <x:c r="BY655" s="4" t="str">
        <x:v>Jakub Lauko</x:v>
      </x:c>
      <x:c r="BZ655" s="4"/>
      <x:c r="CA655" s="4"/>
      <x:c r="CB655" s="4"/>
    </x:row>
    <x:row r="656" ht="22" customHeight="1">
      <x:c r="A656" s="4" t="str">
        <x:v>Jalen Chatfield</x:v>
      </x:c>
      <x:c r="B656" s="4" t="str">
        <x:v>jalenchatfield</x:v>
      </x:c>
      <x:c r="C656" s="10" t="n">
        <x:v>1</x:v>
      </x:c>
      <x:c r="D656" s="10" t="n">
        <x:v>0</x:v>
      </x:c>
      <x:c r="E656" s="10" t="n">
        <x:v>1</x:v>
      </x:c>
      <x:c r="F656" s="4" t="n">
        <x:f>IF(COUNT(N656,Q656,T656,W656,Z656,AC656,AF656,AI656)=8,N656*Guide!$E$5+Q656*Guide!$E$6+T656*Guide!$E$7+W656*Guide!$E$8+Z656*Guide!$E$9+AC656*Guide!$E$10+AF656*Guide!$E$11+AI656*Guide!$E$12,"")</x:f>
        <x:v>187</x:v>
      </x:c>
      <x:c r="G656" s="4" t="str">
        <x:f>IF(COUNT(O656,R656,U656,X656,AA656,AD656,AG656,AJ656)=8,O656*Guide!$E$5+R656*Guide!$E$6+U656*Guide!$E$7+X656*Guide!$E$8+AA656*Guide!$E$9+AD656*Guide!$E$10+AG656*Guide!$E$11+AJ656*Guide!$E$12,"")</x:f>
      </x:c>
      <x:c r="H656" s="4" t="str">
        <x:f>IF(COUNT(G656,F656)=2,G656-F656,"")</x:f>
      </x:c>
      <x:c r="I656" s="4" t="n">
        <x:f>IF(AND(ISNUMBER(F656),K656&gt;0),F656/K656,"")</x:f>
        <x:v>2.3974358974358974</x:v>
      </x:c>
      <x:c r="J656" s="4" t="str">
        <x:f>IF(AND(ISNUMBER(G656),L656&gt;0),G656/L656,"")</x:f>
      </x:c>
      <x:c r="K656" s="10" t="n">
        <x:v>78</x:v>
      </x:c>
      <x:c r="L656" s="10"/>
      <x:c r="M656" s="10" t="str">
        <x:f>IF(COUNT(L656,K656)=2,L656-K656,"")</x:f>
      </x:c>
      <x:c r="N656" s="10" t="n">
        <x:v>7</x:v>
      </x:c>
      <x:c r="O656" s="10"/>
      <x:c r="P656" s="10" t="str">
        <x:f>IF(COUNT(O656,N656)=2,O656-N656,"")</x:f>
      </x:c>
      <x:c r="Q656" s="10" t="n">
        <x:v>14</x:v>
      </x:c>
      <x:c r="R656" s="10"/>
      <x:c r="S656" s="10" t="str">
        <x:f>IF(COUNT(R656,Q656)=2,R656-Q656,"")</x:f>
      </x:c>
      <x:c r="T656" s="10" t="n">
        <x:v>15</x:v>
      </x:c>
      <x:c r="U656" s="10"/>
      <x:c r="V656" s="10" t="str">
        <x:f>IF(COUNT(U656,T656)=2,U656-T656,"")</x:f>
      </x:c>
      <x:c r="W656" s="10" t="n">
        <x:v>0</x:v>
      </x:c>
      <x:c r="X656" s="10" t="str">
        <x:f>IF(COUNT(AV656,AW656)=2,AV656+AW656,"")</x:f>
      </x:c>
      <x:c r="Y656" s="10" t="str">
        <x:f>IF(COUNT(X656,W656)=2,X656-W656,"")</x:f>
      </x:c>
      <x:c r="Z656" s="10" t="n">
        <x:v>1</x:v>
      </x:c>
      <x:c r="AA656" s="10" t="str">
        <x:f>IF(COUNT(AX656,AY656)=2,AX656+AY656,"")</x:f>
      </x:c>
      <x:c r="AB656" s="10" t="str">
        <x:f>IF(COUNT(AA656,Z656)=2,AA656-Z656,"")</x:f>
      </x:c>
      <x:c r="AC656" s="10" t="n">
        <x:v>113</x:v>
      </x:c>
      <x:c r="AD656" s="10"/>
      <x:c r="AE656" s="10" t="str">
        <x:f>IF(COUNT(AD656,AC656)=2,AD656-AC656,"")</x:f>
      </x:c>
      <x:c r="AF656" s="10" t="n">
        <x:v>61</x:v>
      </x:c>
      <x:c r="AG656" s="10"/>
      <x:c r="AH656" s="10" t="str">
        <x:f>IF(COUNT(AG656,AF656)=2,AG656-AF656,"")</x:f>
      </x:c>
      <x:c r="AI656" s="10" t="n">
        <x:v>74</x:v>
      </x:c>
      <x:c r="AJ656" s="10"/>
      <x:c r="AK656" s="10" t="str">
        <x:f>IF(COUNT(AJ656,AI656)=2,AJ656-AI656,"")</x:f>
      </x:c>
      <x:c r="AL656" s="10" t="n">
        <x:v>29</x:v>
      </x:c>
      <x:c r="AM656" s="10"/>
      <x:c r="AN656" s="4" t="str">
        <x:v>D</x:v>
      </x:c>
      <x:c r="AO656" s="4"/>
      <x:c r="AP656" s="4" t="str">
        <x:v>CAR</x:v>
      </x:c>
      <x:c r="AQ656" s="4"/>
      <x:c r="AR656" s="4" t="n">
        <x:v>18.270000000000003</x:v>
      </x:c>
      <x:c r="AS656" s="4"/>
      <x:c r="AT656" s="4" t="n">
        <x:v>0.05</x:v>
      </x:c>
      <x:c r="AU656" s="4"/>
      <x:c r="AV656" s="10"/>
      <x:c r="AW656" s="10"/>
      <x:c r="AX656" s="10"/>
      <x:c r="AY656" s="10"/>
      <x:c r="AZ656" s="10" t="n">
        <x:v>1432</x:v>
      </x:c>
      <x:c r="BA656" s="10" t="n">
        <x:v>1056</x:v>
      </x:c>
      <x:c r="BB656" s="4" t="n">
        <x:v>57.6</x:v>
      </x:c>
      <x:c r="BC656" s="4" t="n">
        <x:v>-2.5</x:v>
      </x:c>
      <x:c r="BD656" s="10" t="n">
        <x:v>1039</x:v>
      </x:c>
      <x:c r="BE656" s="10" t="n">
        <x:v>799</x:v>
      </x:c>
      <x:c r="BF656" s="4" t="n">
        <x:v>56.5</x:v>
      </x:c>
      <x:c r="BG656" s="4" t="n">
        <x:v>-2.7</x:v>
      </x:c>
      <x:c r="BH656" s="4" t="n">
        <x:v>10.3</x:v>
      </x:c>
      <x:c r="BI656" s="4" t="n">
        <x:v>89</x:v>
      </x:c>
      <x:c r="BJ656" s="4" t="n">
        <x:v>99.4</x:v>
      </x:c>
      <x:c r="BK656" s="4" t="n">
        <x:v>54.4</x:v>
      </x:c>
      <x:c r="BL656" s="4" t="n">
        <x:v>45.6</x:v>
      </x:c>
      <x:c r="BM656" s="4" t="n">
        <x:v>20.133333333333333</x:v>
      </x:c>
      <x:c r="BN656" s="4" t="n">
        <x:v>17.75</x:v>
      </x:c>
      <x:c r="BO656" s="10" t="n">
        <x:v>29</x:v>
      </x:c>
      <x:c r="BP656" s="10" t="n">
        <x:v>68</x:v>
      </x:c>
      <x:c r="BQ656" s="4" t="n">
        <x:v>3.4</x:v>
      </x:c>
      <x:c r="BR656" s="10" t="n">
        <x:v>262</x:v>
      </x:c>
      <x:c r="BS656" s="4" t="n">
        <x:v>38.2</x:v>
      </x:c>
      <x:c r="BT656" s="10" t="n">
        <x:v>72</x:v>
      </x:c>
      <x:c r="BU656" s="4" t="str">
        <x:v>CAR</x:v>
      </x:c>
      <x:c r="BV656" s="10" t="n">
        <x:v>500</x:v>
      </x:c>
      <x:c r="BW656" s="10"/>
      <x:c r="BX656" s="10" t="n">
        <x:v>145</x:v>
      </x:c>
      <x:c r="BY656" s="4" t="str">
        <x:v>Jalen Chatfield</x:v>
      </x:c>
      <x:c r="BZ656" s="4"/>
      <x:c r="CA656" s="4" t="str">
        <x:v>Jalen Chatfield</x:v>
      </x:c>
      <x:c r="CB656" s="4" t="str">
        <x:v>chatfja01</x:v>
      </x:c>
    </x:row>
    <x:row r="657" ht="22" customHeight="1">
      <x:c r="A657" s="4" t="str">
        <x:v>James Hagens</x:v>
      </x:c>
      <x:c r="B657" s="4" t="str">
        <x:v>jameshagens</x:v>
      </x:c>
      <x:c r="C657" s="10" t="n">
        <x:v>0</x:v>
      </x:c>
      <x:c r="D657" s="10" t="n">
        <x:v>0</x:v>
      </x:c>
      <x:c r="E657" s="10" t="n">
        <x:v>1</x:v>
      </x:c>
      <x:c r="F657" s="4" t="str">
        <x:f>IF(COUNT(N657,Q657,T657,W657,Z657,AC657,AF657,AI657)=8,N657*Guide!$E$5+Q657*Guide!$E$6+T657*Guide!$E$7+W657*Guide!$E$8+Z657*Guide!$E$9+AC657*Guide!$E$10+AF657*Guide!$E$11+AI657*Guide!$E$12,"")</x:f>
      </x:c>
      <x:c r="G657" s="4" t="str">
        <x:f>IF(COUNT(O657,R657,U657,X657,AA657,AD657,AG657,AJ657)=8,O657*Guide!$E$5+R657*Guide!$E$6+U657*Guide!$E$7+X657*Guide!$E$8+AA657*Guide!$E$9+AD657*Guide!$E$10+AG657*Guide!$E$11+AJ657*Guide!$E$12,"")</x:f>
      </x:c>
      <x:c r="H657" s="4" t="str">
        <x:f>IF(COUNT(G657,F657)=2,G657-F657,"")</x:f>
      </x:c>
      <x:c r="I657" s="4" t="str">
        <x:f>IF(AND(ISNUMBER(F657),K657&gt;0),F657/K657,"")</x:f>
      </x:c>
      <x:c r="J657" s="4" t="str">
        <x:f>IF(AND(ISNUMBER(G657),L657&gt;0),G657/L657,"")</x:f>
      </x:c>
      <x:c r="K657" s="10"/>
      <x:c r="L657" s="10"/>
      <x:c r="M657" s="10" t="str">
        <x:f>IF(COUNT(L657,K657)=2,L657-K657,"")</x:f>
      </x:c>
      <x:c r="N657" s="10"/>
      <x:c r="O657" s="10"/>
      <x:c r="P657" s="10" t="str">
        <x:f>IF(COUNT(O657,N657)=2,O657-N657,"")</x:f>
      </x:c>
      <x:c r="Q657" s="10"/>
      <x:c r="R657" s="10"/>
      <x:c r="S657" s="10" t="str">
        <x:f>IF(COUNT(R657,Q657)=2,R657-Q657,"")</x:f>
      </x:c>
      <x:c r="T657" s="10"/>
      <x:c r="U657" s="10"/>
      <x:c r="V657" s="10" t="str">
        <x:f>IF(COUNT(U657,T657)=2,U657-T657,"")</x:f>
      </x:c>
      <x:c r="W657" s="10"/>
      <x:c r="X657" s="10" t="str">
        <x:f>IF(COUNT(AV657,AW657)=2,AV657+AW657,"")</x:f>
      </x:c>
      <x:c r="Y657" s="10" t="str">
        <x:f>IF(COUNT(X657,W657)=2,X657-W657,"")</x:f>
      </x:c>
      <x:c r="Z657" s="10"/>
      <x:c r="AA657" s="10" t="str">
        <x:f>IF(COUNT(AX657,AY657)=2,AX657+AY657,"")</x:f>
      </x:c>
      <x:c r="AB657" s="10" t="str">
        <x:f>IF(COUNT(AA657,Z657)=2,AA657-Z657,"")</x:f>
      </x:c>
      <x:c r="AC657" s="10"/>
      <x:c r="AD657" s="10"/>
      <x:c r="AE657" s="10" t="str">
        <x:f>IF(COUNT(AD657,AC657)=2,AD657-AC657,"")</x:f>
      </x:c>
      <x:c r="AF657" s="10"/>
      <x:c r="AG657" s="10"/>
      <x:c r="AH657" s="10" t="str">
        <x:f>IF(COUNT(AG657,AF657)=2,AG657-AF657,"")</x:f>
      </x:c>
      <x:c r="AI657" s="10"/>
      <x:c r="AJ657" s="10"/>
      <x:c r="AK657" s="10" t="str">
        <x:f>IF(COUNT(AJ657,AI657)=2,AJ657-AI657,"")</x:f>
      </x:c>
      <x:c r="AL657" s="10"/>
      <x:c r="AM657" s="10"/>
      <x:c r="AN657" s="4"/>
      <x:c r="AO657" s="4"/>
      <x:c r="AP657" s="4"/>
      <x:c r="AQ657" s="4"/>
      <x:c r="AR657" s="4"/>
      <x:c r="AS657" s="4"/>
      <x:c r="AT657" s="4"/>
      <x:c r="AU657" s="4"/>
      <x:c r="AV657" s="10"/>
      <x:c r="AW657" s="10"/>
      <x:c r="AX657" s="10"/>
      <x:c r="AY657" s="10"/>
      <x:c r="AZ657" s="10" t="n">
        <x:v>24</x:v>
      </x:c>
      <x:c r="BA657" s="10" t="n">
        <x:v>27</x:v>
      </x:c>
      <x:c r="BB657" s="4" t="n">
        <x:v>47.1</x:v>
      </x:c>
      <x:c r="BC657" s="4" t="n">
        <x:v>3.5</x:v>
      </x:c>
      <x:c r="BD657" s="10" t="n">
        <x:v>19</x:v>
      </x:c>
      <x:c r="BE657" s="10" t="n">
        <x:v>18</x:v>
      </x:c>
      <x:c r="BF657" s="4" t="n">
        <x:v>51.4</x:v>
      </x:c>
      <x:c r="BG657" s="4" t="n">
        <x:v>4.1</x:v>
      </x:c>
      <x:c r="BH657" s="4" t="n">
        <x:v>9.1</x:v>
      </x:c>
      <x:c r="BI657" s="4" t="n">
        <x:v>100</x:v>
      </x:c>
      <x:c r="BJ657" s="4" t="n">
        <x:v>109.1</x:v>
      </x:c>
      <x:c r="BK657" s="4" t="n">
        <x:v>52.9</x:v>
      </x:c>
      <x:c r="BL657" s="4" t="n">
        <x:v>47.1</x:v>
      </x:c>
      <x:c r="BM657" s="4" t="n">
        <x:v>14.55</x:v>
      </x:c>
      <x:c r="BN657" s="4" t="n">
        <x:v>14.55</x:v>
      </x:c>
      <x:c r="BO657" s="10" t="n">
        <x:v>3</x:v>
      </x:c>
      <x:c r="BP657" s="10" t="n">
        <x:v>3</x:v>
      </x:c>
      <x:c r="BQ657" s="4" t="n">
        <x:v>0.5</x:v>
      </x:c>
      <x:c r="BR657" s="10" t="n">
        <x:v>5</x:v>
      </x:c>
      <x:c r="BS657" s="4" t="n">
        <x:v>40</x:v>
      </x:c>
      <x:c r="BT657" s="10" t="n">
        <x:v>2</x:v>
      </x:c>
      <x:c r="BU657" s="4" t="str">
        <x:v>BOS</x:v>
      </x:c>
      <x:c r="BV657" s="10"/>
      <x:c r="BW657" s="10"/>
      <x:c r="BX657" s="10" t="n">
        <x:v>376</x:v>
      </x:c>
      <x:c r="BY657" s="4"/>
      <x:c r="BZ657" s="4"/>
      <x:c r="CA657" s="4" t="str">
        <x:v>James Hagens</x:v>
      </x:c>
      <x:c r="CB657" s="4" t="str">
        <x:v>hagenja01</x:v>
      </x:c>
    </x:row>
    <x:row r="658" ht="22" customHeight="1">
      <x:c r="A658" s="4" t="str">
        <x:v>Jamie Oleksiak</x:v>
      </x:c>
      <x:c r="B658" s="4" t="str">
        <x:v>jamieoleksiak</x:v>
      </x:c>
      <x:c r="C658" s="10" t="n">
        <x:v>1</x:v>
      </x:c>
      <x:c r="D658" s="10" t="n">
        <x:v>0</x:v>
      </x:c>
      <x:c r="E658" s="10" t="n">
        <x:v>1</x:v>
      </x:c>
      <x:c r="F658" s="4" t="n">
        <x:f>IF(COUNT(N658,Q658,T658,W658,Z658,AC658,AF658,AI658)=8,N658*Guide!$E$5+Q658*Guide!$E$6+T658*Guide!$E$7+W658*Guide!$E$8+Z658*Guide!$E$9+AC658*Guide!$E$10+AF658*Guide!$E$11+AI658*Guide!$E$12,"")</x:f>
        <x:v>217</x:v>
      </x:c>
      <x:c r="G658" s="4" t="str">
        <x:f>IF(COUNT(O658,R658,U658,X658,AA658,AD658,AG658,AJ658)=8,O658*Guide!$E$5+R658*Guide!$E$6+U658*Guide!$E$7+X658*Guide!$E$8+AA658*Guide!$E$9+AD658*Guide!$E$10+AG658*Guide!$E$11+AJ658*Guide!$E$12,"")</x:f>
      </x:c>
      <x:c r="H658" s="4" t="str">
        <x:f>IF(COUNT(G658,F658)=2,G658-F658,"")</x:f>
      </x:c>
      <x:c r="I658" s="4" t="n">
        <x:f>IF(AND(ISNUMBER(F658),K658&gt;0),F658/K658,"")</x:f>
        <x:v>2.6463414634146343</x:v>
      </x:c>
      <x:c r="J658" s="4" t="str">
        <x:f>IF(AND(ISNUMBER(G658),L658&gt;0),G658/L658,"")</x:f>
      </x:c>
      <x:c r="K658" s="10" t="n">
        <x:v>82</x:v>
      </x:c>
      <x:c r="L658" s="10"/>
      <x:c r="M658" s="10" t="str">
        <x:f>IF(COUNT(L658,K658)=2,L658-K658,"")</x:f>
      </x:c>
      <x:c r="N658" s="10" t="n">
        <x:v>5</x:v>
      </x:c>
      <x:c r="O658" s="10"/>
      <x:c r="P658" s="10" t="str">
        <x:f>IF(COUNT(O658,N658)=2,O658-N658,"")</x:f>
      </x:c>
      <x:c r="Q658" s="10" t="n">
        <x:v>15</x:v>
      </x:c>
      <x:c r="R658" s="10"/>
      <x:c r="S658" s="10" t="str">
        <x:f>IF(COUNT(R658,Q658)=2,R658-Q658,"")</x:f>
      </x:c>
      <x:c r="T658" s="10" t="n">
        <x:v>0</x:v>
      </x:c>
      <x:c r="U658" s="10"/>
      <x:c r="V658" s="10" t="str">
        <x:f>IF(COUNT(U658,T658)=2,U658-T658,"")</x:f>
      </x:c>
      <x:c r="W658" s="10" t="n">
        <x:v>0</x:v>
      </x:c>
      <x:c r="X658" s="10" t="str">
        <x:f>IF(COUNT(AV658,AW658)=2,AV658+AW658,"")</x:f>
      </x:c>
      <x:c r="Y658" s="10" t="str">
        <x:f>IF(COUNT(X658,W658)=2,X658-W658,"")</x:f>
      </x:c>
      <x:c r="Z658" s="10" t="n">
        <x:v>1</x:v>
      </x:c>
      <x:c r="AA658" s="10" t="str">
        <x:f>IF(COUNT(AX658,AY658)=2,AX658+AY658,"")</x:f>
      </x:c>
      <x:c r="AB658" s="10" t="str">
        <x:f>IF(COUNT(AA658,Z658)=2,AA658-Z658,"")</x:f>
      </x:c>
      <x:c r="AC658" s="10" t="n">
        <x:v>78</x:v>
      </x:c>
      <x:c r="AD658" s="10"/>
      <x:c r="AE658" s="10" t="str">
        <x:f>IF(COUNT(AD658,AC658)=2,AD658-AC658,"")</x:f>
      </x:c>
      <x:c r="AF658" s="10" t="n">
        <x:v>77</x:v>
      </x:c>
      <x:c r="AG658" s="10"/>
      <x:c r="AH658" s="10" t="str">
        <x:f>IF(COUNT(AG658,AF658)=2,AG658-AF658,"")</x:f>
      </x:c>
      <x:c r="AI658" s="10" t="n">
        <x:v>147</x:v>
      </x:c>
      <x:c r="AJ658" s="10"/>
      <x:c r="AK658" s="10" t="str">
        <x:f>IF(COUNT(AJ658,AI658)=2,AJ658-AI658,"")</x:f>
      </x:c>
      <x:c r="AL658" s="10" t="n">
        <x:v>33</x:v>
      </x:c>
      <x:c r="AM658" s="10"/>
      <x:c r="AN658" s="4" t="str">
        <x:v>D</x:v>
      </x:c>
      <x:c r="AO658" s="4"/>
      <x:c r="AP658" s="4" t="str">
        <x:v>SEA</x:v>
      </x:c>
      <x:c r="AQ658" s="4"/>
      <x:c r="AR658" s="4" t="n">
        <x:v>18.909999999999997</x:v>
      </x:c>
      <x:c r="AS658" s="4"/>
      <x:c r="AT658" s="4" t="n">
        <x:v>0.08</x:v>
      </x:c>
      <x:c r="AU658" s="4"/>
      <x:c r="AV658" s="10"/>
      <x:c r="AW658" s="10"/>
      <x:c r="AX658" s="10"/>
      <x:c r="AY658" s="10"/>
      <x:c r="AZ658" s="10" t="n">
        <x:v>995</x:v>
      </x:c>
      <x:c r="BA658" s="10" t="n">
        <x:v>1186</x:v>
      </x:c>
      <x:c r="BB658" s="4" t="n">
        <x:v>45.6</x:v>
      </x:c>
      <x:c r="BC658" s="4" t="n">
        <x:v>0.5</x:v>
      </x:c>
      <x:c r="BD658" s="10" t="n">
        <x:v>730</x:v>
      </x:c>
      <x:c r="BE658" s="10" t="n">
        <x:v>862</x:v>
      </x:c>
      <x:c r="BF658" s="4" t="n">
        <x:v>45.9</x:v>
      </x:c>
      <x:c r="BG658" s="4" t="n">
        <x:v>0.4</x:v>
      </x:c>
      <x:c r="BH658" s="4" t="n">
        <x:v>10.9</x:v>
      </x:c>
      <x:c r="BI658" s="4" t="n">
        <x:v>92.2</x:v>
      </x:c>
      <x:c r="BJ658" s="4" t="n">
        <x:v>103.1</x:v>
      </x:c>
      <x:c r="BK658" s="4" t="n">
        <x:v>44.9</x:v>
      </x:c>
      <x:c r="BL658" s="4" t="n">
        <x:v>55.1</x:v>
      </x:c>
      <x:c r="BM658" s="4" t="n">
        <x:v>16.933333333333334</x:v>
      </x:c>
      <x:c r="BN658" s="4" t="n">
        <x:v>15.25</x:v>
      </x:c>
      <x:c r="BO658" s="10" t="n">
        <x:v>19</x:v>
      </x:c>
      <x:c r="BP658" s="10" t="n">
        <x:v>71</x:v>
      </x:c>
      <x:c r="BQ658" s="4" t="n">
        <x:v>-7.6</x:v>
      </x:c>
      <x:c r="BR658" s="10" t="n">
        <x:v>165</x:v>
      </x:c>
      <x:c r="BS658" s="4" t="n">
        <x:v>46.7</x:v>
      </x:c>
      <x:c r="BT658" s="10" t="n">
        <x:v>78</x:v>
      </x:c>
      <x:c r="BU658" s="4" t="str">
        <x:v>SEA</x:v>
      </x:c>
      <x:c r="BV658" s="10" t="n">
        <x:v>516</x:v>
      </x:c>
      <x:c r="BW658" s="10"/>
      <x:c r="BX658" s="10" t="n">
        <x:v>761</x:v>
      </x:c>
      <x:c r="BY658" s="4" t="str">
        <x:v>Jamie Oleksiak</x:v>
      </x:c>
      <x:c r="BZ658" s="4"/>
      <x:c r="CA658" s="4" t="str">
        <x:v>Jamie Oleksiak</x:v>
      </x:c>
      <x:c r="CB658" s="4" t="str">
        <x:v>oleksja01</x:v>
      </x:c>
    </x:row>
    <x:row r="659" ht="22" customHeight="1">
      <x:c r="A659" s="4" t="str">
        <x:v>Jan Rutta</x:v>
      </x:c>
      <x:c r="B659" s="4" t="str">
        <x:v>janrutta</x:v>
      </x:c>
      <x:c r="C659" s="10" t="n">
        <x:v>1</x:v>
      </x:c>
      <x:c r="D659" s="10" t="n">
        <x:v>0</x:v>
      </x:c>
      <x:c r="E659" s="10" t="n">
        <x:v>0</x:v>
      </x:c>
      <x:c r="F659" s="4" t="n">
        <x:f>IF(COUNT(N659,Q659,T659,W659,Z659,AC659,AF659,AI659)=8,N659*Guide!$E$5+Q659*Guide!$E$6+T659*Guide!$E$7+W659*Guide!$E$8+Z659*Guide!$E$9+AC659*Guide!$E$10+AF659*Guide!$E$11+AI659*Guide!$E$12,"")</x:f>
        <x:v>149.5</x:v>
      </x:c>
      <x:c r="G659" s="4" t="str">
        <x:f>IF(COUNT(O659,R659,U659,X659,AA659,AD659,AG659,AJ659)=8,O659*Guide!$E$5+R659*Guide!$E$6+U659*Guide!$E$7+X659*Guide!$E$8+AA659*Guide!$E$9+AD659*Guide!$E$10+AG659*Guide!$E$11+AJ659*Guide!$E$12,"")</x:f>
      </x:c>
      <x:c r="H659" s="4" t="str">
        <x:f>IF(COUNT(G659,F659)=2,G659-F659,"")</x:f>
      </x:c>
      <x:c r="I659" s="4" t="n">
        <x:f>IF(AND(ISNUMBER(F659),K659&gt;0),F659/K659,"")</x:f>
        <x:v>1.9415584415584415</x:v>
      </x:c>
      <x:c r="J659" s="4" t="str">
        <x:f>IF(AND(ISNUMBER(G659),L659&gt;0),G659/L659,"")</x:f>
      </x:c>
      <x:c r="K659" s="10" t="n">
        <x:v>77</x:v>
      </x:c>
      <x:c r="L659" s="10"/>
      <x:c r="M659" s="10" t="str">
        <x:f>IF(COUNT(L659,K659)=2,L659-K659,"")</x:f>
      </x:c>
      <x:c r="N659" s="10" t="n">
        <x:v>4</x:v>
      </x:c>
      <x:c r="O659" s="10"/>
      <x:c r="P659" s="10" t="str">
        <x:f>IF(COUNT(O659,N659)=2,O659-N659,"")</x:f>
      </x:c>
      <x:c r="Q659" s="10" t="n">
        <x:v>10</x:v>
      </x:c>
      <x:c r="R659" s="10"/>
      <x:c r="S659" s="10" t="str">
        <x:f>IF(COUNT(R659,Q659)=2,R659-Q659,"")</x:f>
      </x:c>
      <x:c r="T659" s="10" t="n">
        <x:v>-14</x:v>
      </x:c>
      <x:c r="U659" s="10"/>
      <x:c r="V659" s="10" t="str">
        <x:f>IF(COUNT(U659,T659)=2,U659-T659,"")</x:f>
      </x:c>
      <x:c r="W659" s="10" t="n">
        <x:v>0</x:v>
      </x:c>
      <x:c r="X659" s="10" t="str">
        <x:f>IF(COUNT(AV659,AW659)=2,AV659+AW659,"")</x:f>
      </x:c>
      <x:c r="Y659" s="10" t="str">
        <x:f>IF(COUNT(X659,W659)=2,X659-W659,"")</x:f>
      </x:c>
      <x:c r="Z659" s="10" t="n">
        <x:v>1</x:v>
      </x:c>
      <x:c r="AA659" s="10" t="str">
        <x:f>IF(COUNT(AX659,AY659)=2,AX659+AY659,"")</x:f>
      </x:c>
      <x:c r="AB659" s="10" t="str">
        <x:f>IF(COUNT(AA659,Z659)=2,AA659-Z659,"")</x:f>
      </x:c>
      <x:c r="AC659" s="10" t="n">
        <x:v>72</x:v>
      </x:c>
      <x:c r="AD659" s="10"/>
      <x:c r="AE659" s="10" t="str">
        <x:f>IF(COUNT(AD659,AC659)=2,AD659-AC659,"")</x:f>
      </x:c>
      <x:c r="AF659" s="10" t="n">
        <x:v>59</x:v>
      </x:c>
      <x:c r="AG659" s="10"/>
      <x:c r="AH659" s="10" t="str">
        <x:f>IF(COUNT(AG659,AF659)=2,AG659-AF659,"")</x:f>
      </x:c>
      <x:c r="AI659" s="10" t="n">
        <x:v>109</x:v>
      </x:c>
      <x:c r="AJ659" s="10"/>
      <x:c r="AK659" s="10" t="str">
        <x:f>IF(COUNT(AJ659,AI659)=2,AJ659-AI659,"")</x:f>
      </x:c>
      <x:c r="AL659" s="10" t="n">
        <x:v>35</x:v>
      </x:c>
      <x:c r="AM659" s="10"/>
      <x:c r="AN659" s="4" t="str">
        <x:v>D</x:v>
      </x:c>
      <x:c r="AO659" s="4"/>
      <x:c r="AP659" s="4" t="str">
        <x:v>SJ</x:v>
      </x:c>
      <x:c r="AQ659" s="4"/>
      <x:c r="AR659" s="4" t="n">
        <x:v>17.73</x:v>
      </x:c>
      <x:c r="AS659" s="4"/>
      <x:c r="AT659" s="4" t="n">
        <x:v>0.04</x:v>
      </x:c>
      <x:c r="AU659" s="4"/>
      <x:c r="AV659" s="10"/>
      <x:c r="AW659" s="10"/>
      <x:c r="AX659" s="10"/>
      <x:c r="AY659" s="10"/>
      <x:c r="AZ659" s="10"/>
      <x:c r="BA659" s="10"/>
      <x:c r="BB659" s="4"/>
      <x:c r="BC659" s="4"/>
      <x:c r="BD659" s="10"/>
      <x:c r="BE659" s="10"/>
      <x:c r="BF659" s="4"/>
      <x:c r="BG659" s="4"/>
      <x:c r="BH659" s="4"/>
      <x:c r="BI659" s="4"/>
      <x:c r="BJ659" s="4"/>
      <x:c r="BK659" s="4"/>
      <x:c r="BL659" s="4"/>
      <x:c r="BM659" s="4"/>
      <x:c r="BN659" s="4"/>
      <x:c r="BO659" s="10"/>
      <x:c r="BP659" s="10"/>
      <x:c r="BQ659" s="4"/>
      <x:c r="BR659" s="10"/>
      <x:c r="BS659" s="4"/>
      <x:c r="BT659" s="10"/>
      <x:c r="BU659" s="4"/>
      <x:c r="BV659" s="10" t="n">
        <x:v>646</x:v>
      </x:c>
      <x:c r="BW659" s="10"/>
      <x:c r="BX659" s="10"/>
      <x:c r="BY659" s="4" t="str">
        <x:v>Jan Rutta</x:v>
      </x:c>
      <x:c r="BZ659" s="4"/>
      <x:c r="CA659" s="4"/>
      <x:c r="CB659" s="4"/>
    </x:row>
    <x:row r="660" ht="22" customHeight="1">
      <x:c r="A660" s="4" t="str">
        <x:v>Jani Hakanpaa</x:v>
      </x:c>
      <x:c r="B660" s="4" t="str">
        <x:v>janihakanpaa</x:v>
      </x:c>
      <x:c r="C660" s="10" t="n">
        <x:v>1</x:v>
      </x:c>
      <x:c r="D660" s="10" t="n">
        <x:v>0</x:v>
      </x:c>
      <x:c r="E660" s="10" t="n">
        <x:v>0</x:v>
      </x:c>
      <x:c r="F660" s="4" t="n">
        <x:f>IF(COUNT(N660,Q660,T660,W660,Z660,AC660,AF660,AI660)=8,N660*Guide!$E$5+Q660*Guide!$E$6+T660*Guide!$E$7+W660*Guide!$E$8+Z660*Guide!$E$9+AC660*Guide!$E$10+AF660*Guide!$E$11+AI660*Guide!$E$12,"")</x:f>
        <x:v>161.25</x:v>
      </x:c>
      <x:c r="G660" s="4" t="str">
        <x:f>IF(COUNT(O660,R660,U660,X660,AA660,AD660,AG660,AJ660)=8,O660*Guide!$E$5+R660*Guide!$E$6+U660*Guide!$E$7+X660*Guide!$E$8+AA660*Guide!$E$9+AD660*Guide!$E$10+AG660*Guide!$E$11+AJ660*Guide!$E$12,"")</x:f>
      </x:c>
      <x:c r="H660" s="4" t="str">
        <x:f>IF(COUNT(G660,F660)=2,G660-F660,"")</x:f>
      </x:c>
      <x:c r="I660" s="4" t="n">
        <x:f>IF(AND(ISNUMBER(F660),K660&gt;0),F660/K660,"")</x:f>
        <x:v>2.6875</x:v>
      </x:c>
      <x:c r="J660" s="4" t="str">
        <x:f>IF(AND(ISNUMBER(G660),L660&gt;0),G660/L660,"")</x:f>
      </x:c>
      <x:c r="K660" s="10" t="n">
        <x:v>60</x:v>
      </x:c>
      <x:c r="L660" s="10"/>
      <x:c r="M660" s="10" t="str">
        <x:f>IF(COUNT(L660,K660)=2,L660-K660,"")</x:f>
      </x:c>
      <x:c r="N660" s="10" t="n">
        <x:v>2</x:v>
      </x:c>
      <x:c r="O660" s="10"/>
      <x:c r="P660" s="10" t="str">
        <x:f>IF(COUNT(O660,N660)=2,O660-N660,"")</x:f>
      </x:c>
      <x:c r="Q660" s="10" t="n">
        <x:v>9</x:v>
      </x:c>
      <x:c r="R660" s="10"/>
      <x:c r="S660" s="10" t="str">
        <x:f>IF(COUNT(R660,Q660)=2,R660-Q660,"")</x:f>
      </x:c>
      <x:c r="T660" s="10" t="n">
        <x:v>4</x:v>
      </x:c>
      <x:c r="U660" s="10"/>
      <x:c r="V660" s="10" t="str">
        <x:f>IF(COUNT(U660,T660)=2,U660-T660,"")</x:f>
      </x:c>
      <x:c r="W660" s="10" t="n">
        <x:v>1</x:v>
      </x:c>
      <x:c r="X660" s="10" t="str">
        <x:f>IF(COUNT(AV660,AW660)=2,AV660+AW660,"")</x:f>
      </x:c>
      <x:c r="Y660" s="10" t="str">
        <x:f>IF(COUNT(X660,W660)=2,X660-W660,"")</x:f>
      </x:c>
      <x:c r="Z660" s="10" t="n">
        <x:v>1</x:v>
      </x:c>
      <x:c r="AA660" s="10" t="str">
        <x:f>IF(COUNT(AX660,AY660)=2,AX660+AY660,"")</x:f>
      </x:c>
      <x:c r="AB660" s="10" t="str">
        <x:f>IF(COUNT(AA660,Z660)=2,AA660-Z660,"")</x:f>
      </x:c>
      <x:c r="AC660" s="10" t="n">
        <x:v>52</x:v>
      </x:c>
      <x:c r="AD660" s="10"/>
      <x:c r="AE660" s="10" t="str">
        <x:f>IF(COUNT(AD660,AC660)=2,AD660-AC660,"")</x:f>
      </x:c>
      <x:c r="AF660" s="10" t="n">
        <x:v>133</x:v>
      </x:c>
      <x:c r="AG660" s="10"/>
      <x:c r="AH660" s="10" t="str">
        <x:f>IF(COUNT(AG660,AF660)=2,AG660-AF660,"")</x:f>
      </x:c>
      <x:c r="AI660" s="10" t="n">
        <x:v>96</x:v>
      </x:c>
      <x:c r="AJ660" s="10"/>
      <x:c r="AK660" s="10" t="str">
        <x:f>IF(COUNT(AJ660,AI660)=2,AJ660-AI660,"")</x:f>
      </x:c>
      <x:c r="AL660" s="10" t="n">
        <x:v>33</x:v>
      </x:c>
      <x:c r="AM660" s="10"/>
      <x:c r="AN660" s="4" t="str">
        <x:v>D</x:v>
      </x:c>
      <x:c r="AO660" s="4"/>
      <x:c r="AP660" s="4" t="str">
        <x:v>TOR</x:v>
      </x:c>
      <x:c r="AQ660" s="4"/>
      <x:c r="AR660" s="4" t="n">
        <x:v>18.759999999999998</x:v>
      </x:c>
      <x:c r="AS660" s="4"/>
      <x:c r="AT660" s="4" t="n">
        <x:v>0.15</x:v>
      </x:c>
      <x:c r="AU660" s="4"/>
      <x:c r="AV660" s="10"/>
      <x:c r="AW660" s="10"/>
      <x:c r="AX660" s="10"/>
      <x:c r="AY660" s="10"/>
      <x:c r="AZ660" s="10"/>
      <x:c r="BA660" s="10"/>
      <x:c r="BB660" s="4"/>
      <x:c r="BC660" s="4"/>
      <x:c r="BD660" s="10"/>
      <x:c r="BE660" s="10"/>
      <x:c r="BF660" s="4"/>
      <x:c r="BG660" s="4"/>
      <x:c r="BH660" s="4"/>
      <x:c r="BI660" s="4"/>
      <x:c r="BJ660" s="4"/>
      <x:c r="BK660" s="4"/>
      <x:c r="BL660" s="4"/>
      <x:c r="BM660" s="4"/>
      <x:c r="BN660" s="4"/>
      <x:c r="BO660" s="10"/>
      <x:c r="BP660" s="10"/>
      <x:c r="BQ660" s="4"/>
      <x:c r="BR660" s="10"/>
      <x:c r="BS660" s="4"/>
      <x:c r="BT660" s="10"/>
      <x:c r="BU660" s="4"/>
      <x:c r="BV660" s="10" t="n">
        <x:v>703</x:v>
      </x:c>
      <x:c r="BW660" s="10"/>
      <x:c r="BX660" s="10"/>
      <x:c r="BY660" s="4" t="str">
        <x:v>Jani Hakanpaa</x:v>
      </x:c>
      <x:c r="BZ660" s="4"/>
      <x:c r="CA660" s="4"/>
      <x:c r="CB660" s="4"/>
    </x:row>
    <x:row r="661" ht="22" customHeight="1">
      <x:c r="A661" s="4" t="str">
        <x:v>Jani Nyman</x:v>
      </x:c>
      <x:c r="B661" s="4" t="str">
        <x:v>janinyman</x:v>
      </x:c>
      <x:c r="C661" s="10" t="n">
        <x:v>1</x:v>
      </x:c>
      <x:c r="D661" s="10" t="n">
        <x:v>0</x:v>
      </x:c>
      <x:c r="E661" s="10" t="n">
        <x:v>1</x:v>
      </x:c>
      <x:c r="F661" s="4" t="n">
        <x:f>IF(COUNT(N661,Q661,T661,W661,Z661,AC661,AF661,AI661)=8,N661*Guide!$E$5+Q661*Guide!$E$6+T661*Guide!$E$7+W661*Guide!$E$8+Z661*Guide!$E$9+AC661*Guide!$E$10+AF661*Guide!$E$11+AI661*Guide!$E$12,"")</x:f>
        <x:v>191.25</x:v>
      </x:c>
      <x:c r="G661" s="4" t="str">
        <x:f>IF(COUNT(O661,R661,U661,X661,AA661,AD661,AG661,AJ661)=8,O661*Guide!$E$5+R661*Guide!$E$6+U661*Guide!$E$7+X661*Guide!$E$8+AA661*Guide!$E$9+AD661*Guide!$E$10+AG661*Guide!$E$11+AJ661*Guide!$E$12,"")</x:f>
      </x:c>
      <x:c r="H661" s="4" t="str">
        <x:f>IF(COUNT(G661,F661)=2,G661-F661,"")</x:f>
      </x:c>
      <x:c r="I661" s="4" t="n">
        <x:f>IF(AND(ISNUMBER(F661),K661&gt;0),F661/K661,"")</x:f>
        <x:v>2.8125</x:v>
      </x:c>
      <x:c r="J661" s="4" t="str">
        <x:f>IF(AND(ISNUMBER(G661),L661&gt;0),G661/L661,"")</x:f>
      </x:c>
      <x:c r="K661" s="10" t="n">
        <x:v>68</x:v>
      </x:c>
      <x:c r="L661" s="10"/>
      <x:c r="M661" s="10" t="str">
        <x:f>IF(COUNT(L661,K661)=2,L661-K661,"")</x:f>
      </x:c>
      <x:c r="N661" s="10" t="n">
        <x:v>15</x:v>
      </x:c>
      <x:c r="O661" s="10"/>
      <x:c r="P661" s="10" t="str">
        <x:f>IF(COUNT(O661,N661)=2,O661-N661,"")</x:f>
      </x:c>
      <x:c r="Q661" s="10" t="n">
        <x:v>17</x:v>
      </x:c>
      <x:c r="R661" s="10"/>
      <x:c r="S661" s="10" t="str">
        <x:f>IF(COUNT(R661,Q661)=2,R661-Q661,"")</x:f>
      </x:c>
      <x:c r="T661" s="10" t="n">
        <x:v>-2</x:v>
      </x:c>
      <x:c r="U661" s="10"/>
      <x:c r="V661" s="10" t="str">
        <x:f>IF(COUNT(U661,T661)=2,U661-T661,"")</x:f>
      </x:c>
      <x:c r="W661" s="10" t="n">
        <x:v>10</x:v>
      </x:c>
      <x:c r="X661" s="10" t="str">
        <x:f>IF(COUNT(AV661,AW661)=2,AV661+AW661,"")</x:f>
      </x:c>
      <x:c r="Y661" s="10" t="str">
        <x:f>IF(COUNT(X661,W661)=2,X661-W661,"")</x:f>
      </x:c>
      <x:c r="Z661" s="10" t="n">
        <x:v>0</x:v>
      </x:c>
      <x:c r="AA661" s="10" t="str">
        <x:f>IF(COUNT(AX661,AY661)=2,AX661+AY661,"")</x:f>
      </x:c>
      <x:c r="AB661" s="10" t="str">
        <x:f>IF(COUNT(AA661,Z661)=2,AA661-Z661,"")</x:f>
      </x:c>
      <x:c r="AC661" s="10" t="n">
        <x:v>105</x:v>
      </x:c>
      <x:c r="AD661" s="10"/>
      <x:c r="AE661" s="10" t="str">
        <x:f>IF(COUNT(AD661,AC661)=2,AD661-AC661,"")</x:f>
      </x:c>
      <x:c r="AF661" s="10" t="n">
        <x:v>88</x:v>
      </x:c>
      <x:c r="AG661" s="10"/>
      <x:c r="AH661" s="10" t="str">
        <x:f>IF(COUNT(AG661,AF661)=2,AG661-AF661,"")</x:f>
      </x:c>
      <x:c r="AI661" s="10" t="n">
        <x:v>32</x:v>
      </x:c>
      <x:c r="AJ661" s="10"/>
      <x:c r="AK661" s="10" t="str">
        <x:f>IF(COUNT(AJ661,AI661)=2,AJ661-AI661,"")</x:f>
      </x:c>
      <x:c r="AL661" s="10"/>
      <x:c r="AM661" s="10"/>
      <x:c r="AN661" s="4" t="str">
        <x:v>RW</x:v>
      </x:c>
      <x:c r="AO661" s="4"/>
      <x:c r="AP661" s="4" t="str">
        <x:v>SEA</x:v>
      </x:c>
      <x:c r="AQ661" s="4"/>
      <x:c r="AR661" s="4" t="n">
        <x:v>13.35</x:v>
      </x:c>
      <x:c r="AS661" s="4"/>
      <x:c r="AT661" s="4" t="n">
        <x:v>1.6</x:v>
      </x:c>
      <x:c r="AU661" s="4"/>
      <x:c r="AV661" s="10"/>
      <x:c r="AW661" s="10"/>
      <x:c r="AX661" s="10"/>
      <x:c r="AY661" s="10"/>
      <x:c r="AZ661" s="10" t="n">
        <x:v>245</x:v>
      </x:c>
      <x:c r="BA661" s="10" t="n">
        <x:v>280</x:v>
      </x:c>
      <x:c r="BB661" s="4" t="n">
        <x:v>46.7</x:v>
      </x:c>
      <x:c r="BC661" s="4" t="n">
        <x:v>1.7</x:v>
      </x:c>
      <x:c r="BD661" s="10" t="n">
        <x:v>182</x:v>
      </x:c>
      <x:c r="BE661" s="10" t="n">
        <x:v>204</x:v>
      </x:c>
      <x:c r="BF661" s="4" t="n">
        <x:v>47.2</x:v>
      </x:c>
      <x:c r="BG661" s="4" t="n">
        <x:v>1.9</x:v>
      </x:c>
      <x:c r="BH661" s="4" t="n">
        <x:v>5.8</x:v>
      </x:c>
      <x:c r="BI661" s="4" t="n">
        <x:v>91.3</x:v>
      </x:c>
      <x:c r="BJ661" s="4" t="n">
        <x:v>97.1</x:v>
      </x:c>
      <x:c r="BK661" s="4" t="n">
        <x:v>69.4</x:v>
      </x:c>
      <x:c r="BL661" s="4" t="n">
        <x:v>30.6</x:v>
      </x:c>
      <x:c r="BM661" s="4" t="n">
        <x:v>10.566666666666666</x:v>
      </x:c>
      <x:c r="BN661" s="4" t="n">
        <x:v>9.766666666666667</x:v>
      </x:c>
      <x:c r="BO661" s="10" t="n">
        <x:v>1</x:v>
      </x:c>
      <x:c r="BP661" s="10" t="n">
        <x:v>13</x:v>
      </x:c>
      <x:c r="BQ661" s="4" t="n">
        <x:v>-0.2</x:v>
      </x:c>
      <x:c r="BR661" s="10" t="n">
        <x:v>70</x:v>
      </x:c>
      <x:c r="BS661" s="4" t="n">
        <x:v>47.1</x:v>
      </x:c>
      <x:c r="BT661" s="10" t="n">
        <x:v>28</x:v>
      </x:c>
      <x:c r="BU661" s="4" t="str">
        <x:v>SEA</x:v>
      </x:c>
      <x:c r="BV661" s="10" t="n">
        <x:v>346</x:v>
      </x:c>
      <x:c r="BW661" s="10"/>
      <x:c r="BX661" s="10" t="n">
        <x:v>749</x:v>
      </x:c>
      <x:c r="BY661" s="4" t="str">
        <x:v>Jani Nyman</x:v>
      </x:c>
      <x:c r="BZ661" s="4"/>
      <x:c r="CA661" s="4" t="str">
        <x:v>Jani Nyman</x:v>
      </x:c>
      <x:c r="CB661" s="4" t="str">
        <x:v>nymanja01</x:v>
      </x:c>
    </x:row>
    <x:row r="662" ht="22" customHeight="1">
      <x:c r="A662" s="4" t="str">
        <x:v>Jansen Harkins</x:v>
      </x:c>
      <x:c r="B662" s="4" t="str">
        <x:v>jansenharkins</x:v>
      </x:c>
      <x:c r="C662" s="10" t="n">
        <x:v>1</x:v>
      </x:c>
      <x:c r="D662" s="10" t="n">
        <x:v>0</x:v>
      </x:c>
      <x:c r="E662" s="10" t="n">
        <x:v>1</x:v>
      </x:c>
      <x:c r="F662" s="4" t="n">
        <x:f>IF(COUNT(N662,Q662,T662,W662,Z662,AC662,AF662,AI662)=8,N662*Guide!$E$5+Q662*Guide!$E$6+T662*Guide!$E$7+W662*Guide!$E$8+Z662*Guide!$E$9+AC662*Guide!$E$10+AF662*Guide!$E$11+AI662*Guide!$E$12,"")</x:f>
        <x:v>113.5</x:v>
      </x:c>
      <x:c r="G662" s="4" t="str">
        <x:f>IF(COUNT(O662,R662,U662,X662,AA662,AD662,AG662,AJ662)=8,O662*Guide!$E$5+R662*Guide!$E$6+U662*Guide!$E$7+X662*Guide!$E$8+AA662*Guide!$E$9+AD662*Guide!$E$10+AG662*Guide!$E$11+AJ662*Guide!$E$12,"")</x:f>
      </x:c>
      <x:c r="H662" s="4" t="str">
        <x:f>IF(COUNT(G662,F662)=2,G662-F662,"")</x:f>
      </x:c>
      <x:c r="I662" s="4" t="n">
        <x:f>IF(AND(ISNUMBER(F662),K662&gt;0),F662/K662,"")</x:f>
        <x:v>1.7196969696969697</x:v>
      </x:c>
      <x:c r="J662" s="4" t="str">
        <x:f>IF(AND(ISNUMBER(G662),L662&gt;0),G662/L662,"")</x:f>
      </x:c>
      <x:c r="K662" s="10" t="n">
        <x:v>66</x:v>
      </x:c>
      <x:c r="L662" s="10"/>
      <x:c r="M662" s="10" t="str">
        <x:f>IF(COUNT(L662,K662)=2,L662-K662,"")</x:f>
      </x:c>
      <x:c r="N662" s="10" t="n">
        <x:v>5</x:v>
      </x:c>
      <x:c r="O662" s="10"/>
      <x:c r="P662" s="10" t="str">
        <x:f>IF(COUNT(O662,N662)=2,O662-N662,"")</x:f>
      </x:c>
      <x:c r="Q662" s="10" t="n">
        <x:v>8</x:v>
      </x:c>
      <x:c r="R662" s="10"/>
      <x:c r="S662" s="10" t="str">
        <x:f>IF(COUNT(R662,Q662)=2,R662-Q662,"")</x:f>
      </x:c>
      <x:c r="T662" s="10" t="n">
        <x:v>-4</x:v>
      </x:c>
      <x:c r="U662" s="10"/>
      <x:c r="V662" s="10" t="str">
        <x:f>IF(COUNT(U662,T662)=2,U662-T662,"")</x:f>
      </x:c>
      <x:c r="W662" s="10" t="n">
        <x:v>1</x:v>
      </x:c>
      <x:c r="X662" s="10" t="str">
        <x:f>IF(COUNT(AV662,AW662)=2,AV662+AW662,"")</x:f>
      </x:c>
      <x:c r="Y662" s="10" t="str">
        <x:f>IF(COUNT(X662,W662)=2,X662-W662,"")</x:f>
      </x:c>
      <x:c r="Z662" s="10" t="n">
        <x:v>1</x:v>
      </x:c>
      <x:c r="AA662" s="10" t="str">
        <x:f>IF(COUNT(AX662,AY662)=2,AX662+AY662,"")</x:f>
      </x:c>
      <x:c r="AB662" s="10" t="str">
        <x:f>IF(COUNT(AA662,Z662)=2,AA662-Z662,"")</x:f>
      </x:c>
      <x:c r="AC662" s="10" t="n">
        <x:v>54</x:v>
      </x:c>
      <x:c r="AD662" s="10"/>
      <x:c r="AE662" s="10" t="str">
        <x:f>IF(COUNT(AD662,AC662)=2,AD662-AC662,"")</x:f>
      </x:c>
      <x:c r="AF662" s="10" t="n">
        <x:v>122</x:v>
      </x:c>
      <x:c r="AG662" s="10"/>
      <x:c r="AH662" s="10" t="str">
        <x:f>IF(COUNT(AG662,AF662)=2,AG662-AF662,"")</x:f>
      </x:c>
      <x:c r="AI662" s="10" t="n">
        <x:v>34</x:v>
      </x:c>
      <x:c r="AJ662" s="10"/>
      <x:c r="AK662" s="10" t="str">
        <x:f>IF(COUNT(AJ662,AI662)=2,AJ662-AI662,"")</x:f>
      </x:c>
      <x:c r="AL662" s="10" t="n">
        <x:v>28</x:v>
      </x:c>
      <x:c r="AM662" s="10"/>
      <x:c r="AN662" s="4" t="str">
        <x:v>C</x:v>
      </x:c>
      <x:c r="AO662" s="4"/>
      <x:c r="AP662" s="4" t="str">
        <x:v>ANA</x:v>
      </x:c>
      <x:c r="AQ662" s="4"/>
      <x:c r="AR662" s="4" t="n">
        <x:v>10.61</x:v>
      </x:c>
      <x:c r="AS662" s="4"/>
      <x:c r="AT662" s="4" t="n">
        <x:v>0.18</x:v>
      </x:c>
      <x:c r="AU662" s="4"/>
      <x:c r="AV662" s="10"/>
      <x:c r="AW662" s="10"/>
      <x:c r="AX662" s="10"/>
      <x:c r="AY662" s="10"/>
      <x:c r="AZ662" s="10" t="n">
        <x:v>379</x:v>
      </x:c>
      <x:c r="BA662" s="10" t="n">
        <x:v>390</x:v>
      </x:c>
      <x:c r="BB662" s="4" t="n">
        <x:v>49.3</x:v>
      </x:c>
      <x:c r="BC662" s="4" t="n">
        <x:v>-2.4</x:v>
      </x:c>
      <x:c r="BD662" s="10" t="n">
        <x:v>275</x:v>
      </x:c>
      <x:c r="BE662" s="10" t="n">
        <x:v>281</x:v>
      </x:c>
      <x:c r="BF662" s="4" t="n">
        <x:v>49.5</x:v>
      </x:c>
      <x:c r="BG662" s="4" t="n">
        <x:v>-2.5</x:v>
      </x:c>
      <x:c r="BH662" s="4" t="n">
        <x:v>6.1</x:v>
      </x:c>
      <x:c r="BI662" s="4" t="n">
        <x:v>91.4</x:v>
      </x:c>
      <x:c r="BJ662" s="4" t="n">
        <x:v>97.4</x:v>
      </x:c>
      <x:c r="BK662" s="4" t="n">
        <x:v>43.7</x:v>
      </x:c>
      <x:c r="BL662" s="4" t="n">
        <x:v>56.3</x:v>
      </x:c>
      <x:c r="BM662" s="4" t="n">
        <x:v>9.583333333333334</x:v>
      </x:c>
      <x:c r="BN662" s="4" t="n">
        <x:v>9.283333333333333</x:v>
      </x:c>
      <x:c r="BO662" s="10" t="n">
        <x:v>6</x:v>
      </x:c>
      <x:c r="BP662" s="10" t="n">
        <x:v>27</x:v>
      </x:c>
      <x:c r="BQ662" s="4" t="n">
        <x:v>-4.5</x:v>
      </x:c>
      <x:c r="BR662" s="10" t="n">
        <x:v>78</x:v>
      </x:c>
      <x:c r="BS662" s="4" t="n">
        <x:v>47.4</x:v>
      </x:c>
      <x:c r="BT662" s="10" t="n">
        <x:v>44</x:v>
      </x:c>
      <x:c r="BU662" s="4" t="str">
        <x:v>ANA</x:v>
      </x:c>
      <x:c r="BV662" s="10" t="n">
        <x:v>677</x:v>
      </x:c>
      <x:c r="BW662" s="10"/>
      <x:c r="BX662" s="10" t="n">
        <x:v>388</x:v>
      </x:c>
      <x:c r="BY662" s="4" t="str">
        <x:v>Jansen Harkins</x:v>
      </x:c>
      <x:c r="BZ662" s="4"/>
      <x:c r="CA662" s="4" t="str">
        <x:v>Jansen Harkins</x:v>
      </x:c>
      <x:c r="CB662" s="4" t="str">
        <x:v>harkija01</x:v>
      </x:c>
    </x:row>
    <x:row r="663" ht="22" customHeight="1">
      <x:c r="A663" s="4" t="str">
        <x:v>Jared Davidson</x:v>
      </x:c>
      <x:c r="B663" s="4" t="str">
        <x:v>jareddavidson</x:v>
      </x:c>
      <x:c r="C663" s="10" t="n">
        <x:v>0</x:v>
      </x:c>
      <x:c r="D663" s="10" t="n">
        <x:v>0</x:v>
      </x:c>
      <x:c r="E663" s="10" t="n">
        <x:v>1</x:v>
      </x:c>
      <x:c r="F663" s="4" t="str">
        <x:f>IF(COUNT(N663,Q663,T663,W663,Z663,AC663,AF663,AI663)=8,N663*Guide!$E$5+Q663*Guide!$E$6+T663*Guide!$E$7+W663*Guide!$E$8+Z663*Guide!$E$9+AC663*Guide!$E$10+AF663*Guide!$E$11+AI663*Guide!$E$12,"")</x:f>
      </x:c>
      <x:c r="G663" s="4" t="str">
        <x:f>IF(COUNT(O663,R663,U663,X663,AA663,AD663,AG663,AJ663)=8,O663*Guide!$E$5+R663*Guide!$E$6+U663*Guide!$E$7+X663*Guide!$E$8+AA663*Guide!$E$9+AD663*Guide!$E$10+AG663*Guide!$E$11+AJ663*Guide!$E$12,"")</x:f>
      </x:c>
      <x:c r="H663" s="4" t="str">
        <x:f>IF(COUNT(G663,F663)=2,G663-F663,"")</x:f>
      </x:c>
      <x:c r="I663" s="4" t="str">
        <x:f>IF(AND(ISNUMBER(F663),K663&gt;0),F663/K663,"")</x:f>
      </x:c>
      <x:c r="J663" s="4" t="str">
        <x:f>IF(AND(ISNUMBER(G663),L663&gt;0),G663/L663,"")</x:f>
      </x:c>
      <x:c r="K663" s="10"/>
      <x:c r="L663" s="10"/>
      <x:c r="M663" s="10" t="str">
        <x:f>IF(COUNT(L663,K663)=2,L663-K663,"")</x:f>
      </x:c>
      <x:c r="N663" s="10"/>
      <x:c r="O663" s="10"/>
      <x:c r="P663" s="10" t="str">
        <x:f>IF(COUNT(O663,N663)=2,O663-N663,"")</x:f>
      </x:c>
      <x:c r="Q663" s="10"/>
      <x:c r="R663" s="10"/>
      <x:c r="S663" s="10" t="str">
        <x:f>IF(COUNT(R663,Q663)=2,R663-Q663,"")</x:f>
      </x:c>
      <x:c r="T663" s="10"/>
      <x:c r="U663" s="10"/>
      <x:c r="V663" s="10" t="str">
        <x:f>IF(COUNT(U663,T663)=2,U663-T663,"")</x:f>
      </x:c>
      <x:c r="W663" s="10"/>
      <x:c r="X663" s="10" t="str">
        <x:f>IF(COUNT(AV663,AW663)=2,AV663+AW663,"")</x:f>
      </x:c>
      <x:c r="Y663" s="10" t="str">
        <x:f>IF(COUNT(X663,W663)=2,X663-W663,"")</x:f>
      </x:c>
      <x:c r="Z663" s="10"/>
      <x:c r="AA663" s="10" t="str">
        <x:f>IF(COUNT(AX663,AY663)=2,AX663+AY663,"")</x:f>
      </x:c>
      <x:c r="AB663" s="10" t="str">
        <x:f>IF(COUNT(AA663,Z663)=2,AA663-Z663,"")</x:f>
      </x:c>
      <x:c r="AC663" s="10"/>
      <x:c r="AD663" s="10"/>
      <x:c r="AE663" s="10" t="str">
        <x:f>IF(COUNT(AD663,AC663)=2,AD663-AC663,"")</x:f>
      </x:c>
      <x:c r="AF663" s="10"/>
      <x:c r="AG663" s="10"/>
      <x:c r="AH663" s="10" t="str">
        <x:f>IF(COUNT(AG663,AF663)=2,AG663-AF663,"")</x:f>
      </x:c>
      <x:c r="AI663" s="10"/>
      <x:c r="AJ663" s="10"/>
      <x:c r="AK663" s="10" t="str">
        <x:f>IF(COUNT(AJ663,AI663)=2,AJ663-AI663,"")</x:f>
      </x:c>
      <x:c r="AL663" s="10"/>
      <x:c r="AM663" s="10"/>
      <x:c r="AN663" s="4"/>
      <x:c r="AO663" s="4"/>
      <x:c r="AP663" s="4"/>
      <x:c r="AQ663" s="4"/>
      <x:c r="AR663" s="4"/>
      <x:c r="AS663" s="4"/>
      <x:c r="AT663" s="4"/>
      <x:c r="AU663" s="4"/>
      <x:c r="AV663" s="10"/>
      <x:c r="AW663" s="10"/>
      <x:c r="AX663" s="10"/>
      <x:c r="AY663" s="10"/>
      <x:c r="AZ663" s="10" t="n">
        <x:v>75</x:v>
      </x:c>
      <x:c r="BA663" s="10" t="n">
        <x:v>86</x:v>
      </x:c>
      <x:c r="BB663" s="4" t="n">
        <x:v>46.6</x:v>
      </x:c>
      <x:c r="BC663" s="4" t="n">
        <x:v>-4</x:v>
      </x:c>
      <x:c r="BD663" s="10" t="n">
        <x:v>50</x:v>
      </x:c>
      <x:c r="BE663" s="10" t="n">
        <x:v>59</x:v>
      </x:c>
      <x:c r="BF663" s="4" t="n">
        <x:v>45.9</x:v>
      </x:c>
      <x:c r="BG663" s="4" t="n">
        <x:v>-5.2</x:v>
      </x:c>
      <x:c r="BH663" s="4" t="n">
        <x:v>6.3</x:v>
      </x:c>
      <x:c r="BI663" s="4" t="n">
        <x:v>80.6</x:v>
      </x:c>
      <x:c r="BJ663" s="4" t="n">
        <x:v>86.9</x:v>
      </x:c>
      <x:c r="BK663" s="4" t="n">
        <x:v>47.5</x:v>
      </x:c>
      <x:c r="BL663" s="4" t="n">
        <x:v>52.5</x:v>
      </x:c>
      <x:c r="BM663" s="4" t="n">
        <x:v>8.716666666666667</x:v>
      </x:c>
      <x:c r="BN663" s="4" t="n">
        <x:v>8.716666666666667</x:v>
      </x:c>
      <x:c r="BO663" s="10" t="n">
        <x:v>1</x:v>
      </x:c>
      <x:c r="BP663" s="10" t="n">
        <x:v>5</x:v>
      </x:c>
      <x:c r="BQ663" s="4" t="n">
        <x:v>-0.1</x:v>
      </x:c>
      <x:c r="BR663" s="10" t="n">
        <x:v>19</x:v>
      </x:c>
      <x:c r="BS663" s="4" t="n">
        <x:v>47.4</x:v>
      </x:c>
      <x:c r="BT663" s="10" t="n">
        <x:v>10</x:v>
      </x:c>
      <x:c r="BU663" s="4" t="str">
        <x:v>MTL</x:v>
      </x:c>
      <x:c r="BV663" s="10"/>
      <x:c r="BW663" s="10"/>
      <x:c r="BX663" s="10" t="n">
        <x:v>200</x:v>
      </x:c>
      <x:c r="BY663" s="4"/>
      <x:c r="BZ663" s="4"/>
      <x:c r="CA663" s="4" t="str">
        <x:v>Jared Davidson</x:v>
      </x:c>
      <x:c r="CB663" s="4" t="str">
        <x:v>davidja01</x:v>
      </x:c>
    </x:row>
    <x:row r="664" ht="22" customHeight="1">
      <x:c r="A664" s="4" t="str">
        <x:v>Jared Wright</x:v>
      </x:c>
      <x:c r="B664" s="4" t="str">
        <x:v>jaredwright</x:v>
      </x:c>
      <x:c r="C664" s="10" t="n">
        <x:v>0</x:v>
      </x:c>
      <x:c r="D664" s="10" t="n">
        <x:v>0</x:v>
      </x:c>
      <x:c r="E664" s="10" t="n">
        <x:v>1</x:v>
      </x:c>
      <x:c r="F664" s="4" t="str">
        <x:f>IF(COUNT(N664,Q664,T664,W664,Z664,AC664,AF664,AI664)=8,N664*Guide!$E$5+Q664*Guide!$E$6+T664*Guide!$E$7+W664*Guide!$E$8+Z664*Guide!$E$9+AC664*Guide!$E$10+AF664*Guide!$E$11+AI664*Guide!$E$12,"")</x:f>
      </x:c>
      <x:c r="G664" s="4" t="str">
        <x:f>IF(COUNT(O664,R664,U664,X664,AA664,AD664,AG664,AJ664)=8,O664*Guide!$E$5+R664*Guide!$E$6+U664*Guide!$E$7+X664*Guide!$E$8+AA664*Guide!$E$9+AD664*Guide!$E$10+AG664*Guide!$E$11+AJ664*Guide!$E$12,"")</x:f>
      </x:c>
      <x:c r="H664" s="4" t="str">
        <x:f>IF(COUNT(G664,F664)=2,G664-F664,"")</x:f>
      </x:c>
      <x:c r="I664" s="4" t="str">
        <x:f>IF(AND(ISNUMBER(F664),K664&gt;0),F664/K664,"")</x:f>
      </x:c>
      <x:c r="J664" s="4" t="str">
        <x:f>IF(AND(ISNUMBER(G664),L664&gt;0),G664/L664,"")</x:f>
      </x:c>
      <x:c r="K664" s="10"/>
      <x:c r="L664" s="10"/>
      <x:c r="M664" s="10" t="str">
        <x:f>IF(COUNT(L664,K664)=2,L664-K664,"")</x:f>
      </x:c>
      <x:c r="N664" s="10"/>
      <x:c r="O664" s="10"/>
      <x:c r="P664" s="10" t="str">
        <x:f>IF(COUNT(O664,N664)=2,O664-N664,"")</x:f>
      </x:c>
      <x:c r="Q664" s="10"/>
      <x:c r="R664" s="10"/>
      <x:c r="S664" s="10" t="str">
        <x:f>IF(COUNT(R664,Q664)=2,R664-Q664,"")</x:f>
      </x:c>
      <x:c r="T664" s="10"/>
      <x:c r="U664" s="10"/>
      <x:c r="V664" s="10" t="str">
        <x:f>IF(COUNT(U664,T664)=2,U664-T664,"")</x:f>
      </x:c>
      <x:c r="W664" s="10"/>
      <x:c r="X664" s="10" t="str">
        <x:f>IF(COUNT(AV664,AW664)=2,AV664+AW664,"")</x:f>
      </x:c>
      <x:c r="Y664" s="10" t="str">
        <x:f>IF(COUNT(X664,W664)=2,X664-W664,"")</x:f>
      </x:c>
      <x:c r="Z664" s="10"/>
      <x:c r="AA664" s="10" t="str">
        <x:f>IF(COUNT(AX664,AY664)=2,AX664+AY664,"")</x:f>
      </x:c>
      <x:c r="AB664" s="10" t="str">
        <x:f>IF(COUNT(AA664,Z664)=2,AA664-Z664,"")</x:f>
      </x:c>
      <x:c r="AC664" s="10"/>
      <x:c r="AD664" s="10"/>
      <x:c r="AE664" s="10" t="str">
        <x:f>IF(COUNT(AD664,AC664)=2,AD664-AC664,"")</x:f>
      </x:c>
      <x:c r="AF664" s="10"/>
      <x:c r="AG664" s="10"/>
      <x:c r="AH664" s="10" t="str">
        <x:f>IF(COUNT(AG664,AF664)=2,AG664-AF664,"")</x:f>
      </x:c>
      <x:c r="AI664" s="10"/>
      <x:c r="AJ664" s="10"/>
      <x:c r="AK664" s="10" t="str">
        <x:f>IF(COUNT(AJ664,AI664)=2,AJ664-AI664,"")</x:f>
      </x:c>
      <x:c r="AL664" s="10"/>
      <x:c r="AM664" s="10"/>
      <x:c r="AN664" s="4"/>
      <x:c r="AO664" s="4"/>
      <x:c r="AP664" s="4"/>
      <x:c r="AQ664" s="4"/>
      <x:c r="AR664" s="4"/>
      <x:c r="AS664" s="4"/>
      <x:c r="AT664" s="4"/>
      <x:c r="AU664" s="4"/>
      <x:c r="AV664" s="10"/>
      <x:c r="AW664" s="10"/>
      <x:c r="AX664" s="10"/>
      <x:c r="AY664" s="10"/>
      <x:c r="AZ664" s="10" t="n">
        <x:v>257</x:v>
      </x:c>
      <x:c r="BA664" s="10" t="n">
        <x:v>255</x:v>
      </x:c>
      <x:c r="BB664" s="4" t="n">
        <x:v>50.2</x:v>
      </x:c>
      <x:c r="BC664" s="4" t="n">
        <x:v>-1.1</x:v>
      </x:c>
      <x:c r="BD664" s="10" t="n">
        <x:v>190</x:v>
      </x:c>
      <x:c r="BE664" s="10" t="n">
        <x:v>170</x:v>
      </x:c>
      <x:c r="BF664" s="4" t="n">
        <x:v>52.8</x:v>
      </x:c>
      <x:c r="BG664" s="4" t="n">
        <x:v>0.4</x:v>
      </x:c>
      <x:c r="BH664" s="4" t="n">
        <x:v>6.3</x:v>
      </x:c>
      <x:c r="BI664" s="4" t="n">
        <x:v>92.1</x:v>
      </x:c>
      <x:c r="BJ664" s="4" t="n">
        <x:v>98.4</x:v>
      </x:c>
      <x:c r="BK664" s="4" t="n">
        <x:v>27.7</x:v>
      </x:c>
      <x:c r="BL664" s="4" t="n">
        <x:v>72.3</x:v>
      </x:c>
      <x:c r="BM664" s="4" t="n">
        <x:v>11.433333333333334</x:v>
      </x:c>
      <x:c r="BN664" s="4" t="n">
        <x:v>11.383333333333333</x:v>
      </x:c>
      <x:c r="BO664" s="10" t="n">
        <x:v>4</x:v>
      </x:c>
      <x:c r="BP664" s="10" t="n">
        <x:v>7</x:v>
      </x:c>
      <x:c r="BQ664" s="4" t="n">
        <x:v>4</x:v>
      </x:c>
      <x:c r="BR664" s="10" t="n">
        <x:v>54</x:v>
      </x:c>
      <x:c r="BS664" s="4" t="n">
        <x:v>59.3</x:v>
      </x:c>
      <x:c r="BT664" s="10" t="n">
        <x:v>23</x:v>
      </x:c>
      <x:c r="BU664" s="4" t="str">
        <x:v>LAK</x:v>
      </x:c>
      <x:c r="BV664" s="10"/>
      <x:c r="BW664" s="10"/>
      <x:c r="BX664" s="10" t="n">
        <x:v>1084</x:v>
      </x:c>
      <x:c r="BY664" s="4"/>
      <x:c r="BZ664" s="4"/>
      <x:c r="CA664" s="4" t="str">
        <x:v>Jared Wright</x:v>
      </x:c>
      <x:c r="CB664" s="4" t="str">
        <x:v>wrighja03</x:v>
      </x:c>
    </x:row>
    <x:row r="665" ht="22" customHeight="1">
      <x:c r="A665" s="4" t="str">
        <x:v>Jaroslav Chmelar</x:v>
      </x:c>
      <x:c r="B665" s="4" t="str">
        <x:v>jaroslavchmelar</x:v>
      </x:c>
      <x:c r="C665" s="10" t="n">
        <x:v>0</x:v>
      </x:c>
      <x:c r="D665" s="10" t="n">
        <x:v>0</x:v>
      </x:c>
      <x:c r="E665" s="10" t="n">
        <x:v>1</x:v>
      </x:c>
      <x:c r="F665" s="4" t="str">
        <x:f>IF(COUNT(N665,Q665,T665,W665,Z665,AC665,AF665,AI665)=8,N665*Guide!$E$5+Q665*Guide!$E$6+T665*Guide!$E$7+W665*Guide!$E$8+Z665*Guide!$E$9+AC665*Guide!$E$10+AF665*Guide!$E$11+AI665*Guide!$E$12,"")</x:f>
      </x:c>
      <x:c r="G665" s="4" t="str">
        <x:f>IF(COUNT(O665,R665,U665,X665,AA665,AD665,AG665,AJ665)=8,O665*Guide!$E$5+R665*Guide!$E$6+U665*Guide!$E$7+X665*Guide!$E$8+AA665*Guide!$E$9+AD665*Guide!$E$10+AG665*Guide!$E$11+AJ665*Guide!$E$12,"")</x:f>
      </x:c>
      <x:c r="H665" s="4" t="str">
        <x:f>IF(COUNT(G665,F665)=2,G665-F665,"")</x:f>
      </x:c>
      <x:c r="I665" s="4" t="str">
        <x:f>IF(AND(ISNUMBER(F665),K665&gt;0),F665/K665,"")</x:f>
      </x:c>
      <x:c r="J665" s="4" t="str">
        <x:f>IF(AND(ISNUMBER(G665),L665&gt;0),G665/L665,"")</x:f>
      </x:c>
      <x:c r="K665" s="10"/>
      <x:c r="L665" s="10"/>
      <x:c r="M665" s="10" t="str">
        <x:f>IF(COUNT(L665,K665)=2,L665-K665,"")</x:f>
      </x:c>
      <x:c r="N665" s="10"/>
      <x:c r="O665" s="10"/>
      <x:c r="P665" s="10" t="str">
        <x:f>IF(COUNT(O665,N665)=2,O665-N665,"")</x:f>
      </x:c>
      <x:c r="Q665" s="10"/>
      <x:c r="R665" s="10"/>
      <x:c r="S665" s="10" t="str">
        <x:f>IF(COUNT(R665,Q665)=2,R665-Q665,"")</x:f>
      </x:c>
      <x:c r="T665" s="10"/>
      <x:c r="U665" s="10"/>
      <x:c r="V665" s="10" t="str">
        <x:f>IF(COUNT(U665,T665)=2,U665-T665,"")</x:f>
      </x:c>
      <x:c r="W665" s="10"/>
      <x:c r="X665" s="10" t="str">
        <x:f>IF(COUNT(AV665,AW665)=2,AV665+AW665,"")</x:f>
      </x:c>
      <x:c r="Y665" s="10" t="str">
        <x:f>IF(COUNT(X665,W665)=2,X665-W665,"")</x:f>
      </x:c>
      <x:c r="Z665" s="10"/>
      <x:c r="AA665" s="10" t="str">
        <x:f>IF(COUNT(AX665,AY665)=2,AX665+AY665,"")</x:f>
      </x:c>
      <x:c r="AB665" s="10" t="str">
        <x:f>IF(COUNT(AA665,Z665)=2,AA665-Z665,"")</x:f>
      </x:c>
      <x:c r="AC665" s="10"/>
      <x:c r="AD665" s="10"/>
      <x:c r="AE665" s="10" t="str">
        <x:f>IF(COUNT(AD665,AC665)=2,AD665-AC665,"")</x:f>
      </x:c>
      <x:c r="AF665" s="10"/>
      <x:c r="AG665" s="10"/>
      <x:c r="AH665" s="10" t="str">
        <x:f>IF(COUNT(AG665,AF665)=2,AG665-AF665,"")</x:f>
      </x:c>
      <x:c r="AI665" s="10"/>
      <x:c r="AJ665" s="10"/>
      <x:c r="AK665" s="10" t="str">
        <x:f>IF(COUNT(AJ665,AI665)=2,AJ665-AI665,"")</x:f>
      </x:c>
      <x:c r="AL665" s="10"/>
      <x:c r="AM665" s="10"/>
      <x:c r="AN665" s="4"/>
      <x:c r="AO665" s="4"/>
      <x:c r="AP665" s="4"/>
      <x:c r="AQ665" s="4"/>
      <x:c r="AR665" s="4"/>
      <x:c r="AS665" s="4"/>
      <x:c r="AT665" s="4"/>
      <x:c r="AU665" s="4"/>
      <x:c r="AV665" s="10"/>
      <x:c r="AW665" s="10"/>
      <x:c r="AX665" s="10"/>
      <x:c r="AY665" s="10"/>
      <x:c r="AZ665" s="10" t="n">
        <x:v>217</x:v>
      </x:c>
      <x:c r="BA665" s="10" t="n">
        <x:v>240</x:v>
      </x:c>
      <x:c r="BB665" s="4" t="n">
        <x:v>47.5</x:v>
      </x:c>
      <x:c r="BC665" s="4" t="n">
        <x:v>-2.1</x:v>
      </x:c>
      <x:c r="BD665" s="10" t="n">
        <x:v>151</x:v>
      </x:c>
      <x:c r="BE665" s="10" t="n">
        <x:v>164</x:v>
      </x:c>
      <x:c r="BF665" s="4" t="n">
        <x:v>47.9</x:v>
      </x:c>
      <x:c r="BG665" s="4" t="n">
        <x:v>-0.8</x:v>
      </x:c>
      <x:c r="BH665" s="4" t="n">
        <x:v>7.8</x:v>
      </x:c>
      <x:c r="BI665" s="4" t="n">
        <x:v>90.8</x:v>
      </x:c>
      <x:c r="BJ665" s="4" t="n">
        <x:v>98.7</x:v>
      </x:c>
      <x:c r="BK665" s="4" t="n">
        <x:v>47.7</x:v>
      </x:c>
      <x:c r="BL665" s="4" t="n">
        <x:v>52.3</x:v>
      </x:c>
      <x:c r="BM665" s="4" t="n">
        <x:v>9.15</x:v>
      </x:c>
      <x:c r="BN665" s="4" t="n">
        <x:v>9.083333333333334</x:v>
      </x:c>
      <x:c r="BO665" s="10" t="n">
        <x:v>6</x:v>
      </x:c>
      <x:c r="BP665" s="10" t="n">
        <x:v>4</x:v>
      </x:c>
      <x:c r="BQ665" s="4" t="n">
        <x:v>1.5</x:v>
      </x:c>
      <x:c r="BR665" s="10" t="n">
        <x:v>42</x:v>
      </x:c>
      <x:c r="BS665" s="4" t="n">
        <x:v>54.8</x:v>
      </x:c>
      <x:c r="BT665" s="10" t="n">
        <x:v>28</x:v>
      </x:c>
      <x:c r="BU665" s="4" t="str">
        <x:v>NYR</x:v>
      </x:c>
      <x:c r="BV665" s="10"/>
      <x:c r="BW665" s="10"/>
      <x:c r="BX665" s="10" t="n">
        <x:v>153</x:v>
      </x:c>
      <x:c r="BY665" s="4"/>
      <x:c r="BZ665" s="4"/>
      <x:c r="CA665" s="4" t="str">
        <x:v>Jaroslav Chmelar</x:v>
      </x:c>
      <x:c r="CB665" s="4" t="str">
        <x:v>chmelja01</x:v>
      </x:c>
    </x:row>
    <x:row r="666" ht="22" customHeight="1">
      <x:c r="A666" s="4" t="str">
        <x:v>Jarred Tinordi</x:v>
      </x:c>
      <x:c r="B666" s="4" t="str">
        <x:v>jarredtinordi</x:v>
      </x:c>
      <x:c r="C666" s="10" t="n">
        <x:v>1</x:v>
      </x:c>
      <x:c r="D666" s="10" t="n">
        <x:v>0</x:v>
      </x:c>
      <x:c r="E666" s="10" t="n">
        <x:v>0</x:v>
      </x:c>
      <x:c r="F666" s="4" t="n">
        <x:f>IF(COUNT(N666,Q666,T666,W666,Z666,AC666,AF666,AI666)=8,N666*Guide!$E$5+Q666*Guide!$E$6+T666*Guide!$E$7+W666*Guide!$E$8+Z666*Guide!$E$9+AC666*Guide!$E$10+AF666*Guide!$E$11+AI666*Guide!$E$12,"")</x:f>
        <x:v>160</x:v>
      </x:c>
      <x:c r="G666" s="4" t="str">
        <x:f>IF(COUNT(O666,R666,U666,X666,AA666,AD666,AG666,AJ666)=8,O666*Guide!$E$5+R666*Guide!$E$6+U666*Guide!$E$7+X666*Guide!$E$8+AA666*Guide!$E$9+AD666*Guide!$E$10+AG666*Guide!$E$11+AJ666*Guide!$E$12,"")</x:f>
      </x:c>
      <x:c r="H666" s="4" t="str">
        <x:f>IF(COUNT(G666,F666)=2,G666-F666,"")</x:f>
      </x:c>
      <x:c r="I666" s="4" t="n">
        <x:f>IF(AND(ISNUMBER(F666),K666&gt;0),F666/K666,"")</x:f>
        <x:v>2.2857142857142856</x:v>
      </x:c>
      <x:c r="J666" s="4" t="str">
        <x:f>IF(AND(ISNUMBER(G666),L666&gt;0),G666/L666,"")</x:f>
      </x:c>
      <x:c r="K666" s="10" t="n">
        <x:v>70</x:v>
      </x:c>
      <x:c r="L666" s="10"/>
      <x:c r="M666" s="10" t="str">
        <x:f>IF(COUNT(L666,K666)=2,L666-K666,"")</x:f>
      </x:c>
      <x:c r="N666" s="10" t="n">
        <x:v>1</x:v>
      </x:c>
      <x:c r="O666" s="10"/>
      <x:c r="P666" s="10" t="str">
        <x:f>IF(COUNT(O666,N666)=2,O666-N666,"")</x:f>
      </x:c>
      <x:c r="Q666" s="10" t="n">
        <x:v>12</x:v>
      </x:c>
      <x:c r="R666" s="10"/>
      <x:c r="S666" s="10" t="str">
        <x:f>IF(COUNT(R666,Q666)=2,R666-Q666,"")</x:f>
      </x:c>
      <x:c r="T666" s="10" t="n">
        <x:v>-15</x:v>
      </x:c>
      <x:c r="U666" s="10"/>
      <x:c r="V666" s="10" t="str">
        <x:f>IF(COUNT(U666,T666)=2,U666-T666,"")</x:f>
      </x:c>
      <x:c r="W666" s="10" t="n">
        <x:v>1</x:v>
      </x:c>
      <x:c r="X666" s="10" t="str">
        <x:f>IF(COUNT(AV666,AW666)=2,AV666+AW666,"")</x:f>
      </x:c>
      <x:c r="Y666" s="10" t="str">
        <x:f>IF(COUNT(X666,W666)=2,X666-W666,"")</x:f>
      </x:c>
      <x:c r="Z666" s="10" t="n">
        <x:v>1</x:v>
      </x:c>
      <x:c r="AA666" s="10" t="str">
        <x:f>IF(COUNT(AX666,AY666)=2,AX666+AY666,"")</x:f>
      </x:c>
      <x:c r="AB666" s="10" t="str">
        <x:f>IF(COUNT(AA666,Z666)=2,AA666-Z666,"")</x:f>
      </x:c>
      <x:c r="AC666" s="10" t="n">
        <x:v>41</x:v>
      </x:c>
      <x:c r="AD666" s="10"/>
      <x:c r="AE666" s="10" t="str">
        <x:f>IF(COUNT(AD666,AC666)=2,AD666-AC666,"")</x:f>
      </x:c>
      <x:c r="AF666" s="10" t="n">
        <x:v>174</x:v>
      </x:c>
      <x:c r="AG666" s="10"/>
      <x:c r="AH666" s="10" t="str">
        <x:f>IF(COUNT(AG666,AF666)=2,AG666-AF666,"")</x:f>
      </x:c>
      <x:c r="AI666" s="10" t="n">
        <x:v>103</x:v>
      </x:c>
      <x:c r="AJ666" s="10"/>
      <x:c r="AK666" s="10" t="str">
        <x:f>IF(COUNT(AJ666,AI666)=2,AJ666-AI666,"")</x:f>
      </x:c>
      <x:c r="AL666" s="10" t="n">
        <x:v>33</x:v>
      </x:c>
      <x:c r="AM666" s="10"/>
      <x:c r="AN666" s="4" t="str">
        <x:v>D</x:v>
      </x:c>
      <x:c r="AO666" s="4"/>
      <x:c r="AP666" s="4" t="str">
        <x:v>CGY</x:v>
      </x:c>
      <x:c r="AQ666" s="4"/>
      <x:c r="AR666" s="4" t="n">
        <x:v>15.88</x:v>
      </x:c>
      <x:c r="AS666" s="4"/>
      <x:c r="AT666" s="4" t="n">
        <x:v>0.15</x:v>
      </x:c>
      <x:c r="AU666" s="4"/>
      <x:c r="AV666" s="10"/>
      <x:c r="AW666" s="10"/>
      <x:c r="AX666" s="10"/>
      <x:c r="AY666" s="10"/>
      <x:c r="AZ666" s="10"/>
      <x:c r="BA666" s="10"/>
      <x:c r="BB666" s="4"/>
      <x:c r="BC666" s="4"/>
      <x:c r="BD666" s="10"/>
      <x:c r="BE666" s="10"/>
      <x:c r="BF666" s="4"/>
      <x:c r="BG666" s="4"/>
      <x:c r="BH666" s="4"/>
      <x:c r="BI666" s="4"/>
      <x:c r="BJ666" s="4"/>
      <x:c r="BK666" s="4"/>
      <x:c r="BL666" s="4"/>
      <x:c r="BM666" s="4"/>
      <x:c r="BN666" s="4"/>
      <x:c r="BO666" s="10"/>
      <x:c r="BP666" s="10"/>
      <x:c r="BQ666" s="4"/>
      <x:c r="BR666" s="10"/>
      <x:c r="BS666" s="4"/>
      <x:c r="BT666" s="10"/>
      <x:c r="BU666" s="4"/>
      <x:c r="BV666" s="10" t="n">
        <x:v>661</x:v>
      </x:c>
      <x:c r="BW666" s="10"/>
      <x:c r="BX666" s="10"/>
      <x:c r="BY666" s="4" t="str">
        <x:v>Jarred Tinordi</x:v>
      </x:c>
      <x:c r="BZ666" s="4"/>
      <x:c r="CA666" s="4"/>
      <x:c r="CB666" s="4"/>
    </x:row>
    <x:row r="667" ht="22" customHeight="1">
      <x:c r="A667" s="4" t="str">
        <x:v>Jason Dickinson</x:v>
      </x:c>
      <x:c r="B667" s="4" t="str">
        <x:v>jasondickinson</x:v>
      </x:c>
      <x:c r="C667" s="10" t="n">
        <x:v>1</x:v>
      </x:c>
      <x:c r="D667" s="10" t="n">
        <x:v>0</x:v>
      </x:c>
      <x:c r="E667" s="10" t="n">
        <x:v>1</x:v>
      </x:c>
      <x:c r="F667" s="4" t="n">
        <x:f>IF(COUNT(N667,Q667,T667,W667,Z667,AC667,AF667,AI667)=8,N667*Guide!$E$5+Q667*Guide!$E$6+T667*Guide!$E$7+W667*Guide!$E$8+Z667*Guide!$E$9+AC667*Guide!$E$10+AF667*Guide!$E$11+AI667*Guide!$E$12,"")</x:f>
        <x:v>198.75</x:v>
      </x:c>
      <x:c r="G667" s="4" t="str">
        <x:f>IF(COUNT(O667,R667,U667,X667,AA667,AD667,AG667,AJ667)=8,O667*Guide!$E$5+R667*Guide!$E$6+U667*Guide!$E$7+X667*Guide!$E$8+AA667*Guide!$E$9+AD667*Guide!$E$10+AG667*Guide!$E$11+AJ667*Guide!$E$12,"")</x:f>
      </x:c>
      <x:c r="H667" s="4" t="str">
        <x:f>IF(COUNT(G667,F667)=2,G667-F667,"")</x:f>
      </x:c>
      <x:c r="I667" s="4" t="n">
        <x:f>IF(AND(ISNUMBER(F667),K667&gt;0),F667/K667,"")</x:f>
        <x:v>2.5158227848101267</x:v>
      </x:c>
      <x:c r="J667" s="4" t="str">
        <x:f>IF(AND(ISNUMBER(G667),L667&gt;0),G667/L667,"")</x:f>
      </x:c>
      <x:c r="K667" s="10" t="n">
        <x:v>79</x:v>
      </x:c>
      <x:c r="L667" s="10"/>
      <x:c r="M667" s="10" t="str">
        <x:f>IF(COUNT(L667,K667)=2,L667-K667,"")</x:f>
      </x:c>
      <x:c r="N667" s="10" t="n">
        <x:v>13</x:v>
      </x:c>
      <x:c r="O667" s="10"/>
      <x:c r="P667" s="10" t="str">
        <x:f>IF(COUNT(O667,N667)=2,O667-N667,"")</x:f>
      </x:c>
      <x:c r="Q667" s="10" t="n">
        <x:v>14</x:v>
      </x:c>
      <x:c r="R667" s="10"/>
      <x:c r="S667" s="10" t="str">
        <x:f>IF(COUNT(R667,Q667)=2,R667-Q667,"")</x:f>
      </x:c>
      <x:c r="T667" s="10" t="n">
        <x:v>-9</x:v>
      </x:c>
      <x:c r="U667" s="10"/>
      <x:c r="V667" s="10" t="str">
        <x:f>IF(COUNT(U667,T667)=2,U667-T667,"")</x:f>
      </x:c>
      <x:c r="W667" s="10" t="n">
        <x:v>2</x:v>
      </x:c>
      <x:c r="X667" s="10" t="str">
        <x:f>IF(COUNT(AV667,AW667)=2,AV667+AW667,"")</x:f>
      </x:c>
      <x:c r="Y667" s="10" t="str">
        <x:f>IF(COUNT(X667,W667)=2,X667-W667,"")</x:f>
      </x:c>
      <x:c r="Z667" s="10" t="n">
        <x:v>1</x:v>
      </x:c>
      <x:c r="AA667" s="10" t="str">
        <x:f>IF(COUNT(AX667,AY667)=2,AX667+AY667,"")</x:f>
      </x:c>
      <x:c r="AB667" s="10" t="str">
        <x:f>IF(COUNT(AA667,Z667)=2,AA667-Z667,"")</x:f>
      </x:c>
      <x:c r="AC667" s="10" t="n">
        <x:v>90</x:v>
      </x:c>
      <x:c r="AD667" s="10"/>
      <x:c r="AE667" s="10" t="str">
        <x:f>IF(COUNT(AD667,AC667)=2,AD667-AC667,"")</x:f>
      </x:c>
      <x:c r="AF667" s="10" t="n">
        <x:v>129</x:v>
      </x:c>
      <x:c r="AG667" s="10"/>
      <x:c r="AH667" s="10" t="str">
        <x:f>IF(COUNT(AG667,AF667)=2,AG667-AF667,"")</x:f>
      </x:c>
      <x:c r="AI667" s="10" t="n">
        <x:v>72</x:v>
      </x:c>
      <x:c r="AJ667" s="10"/>
      <x:c r="AK667" s="10" t="str">
        <x:f>IF(COUNT(AJ667,AI667)=2,AJ667-AI667,"")</x:f>
      </x:c>
      <x:c r="AL667" s="10" t="n">
        <x:v>30</x:v>
      </x:c>
      <x:c r="AM667" s="10"/>
      <x:c r="AN667" s="4" t="str">
        <x:v>C</x:v>
      </x:c>
      <x:c r="AO667" s="4"/>
      <x:c r="AP667" s="4" t="str">
        <x:v>CHI</x:v>
      </x:c>
      <x:c r="AQ667" s="4"/>
      <x:c r="AR667" s="4" t="n">
        <x:v>15.639999999999999</x:v>
      </x:c>
      <x:c r="AS667" s="4"/>
      <x:c r="AT667" s="4" t="n">
        <x:v>0.24</x:v>
      </x:c>
      <x:c r="AU667" s="4"/>
      <x:c r="AV667" s="10"/>
      <x:c r="AW667" s="10"/>
      <x:c r="AX667" s="10"/>
      <x:c r="AY667" s="10"/>
      <x:c r="AZ667" s="10" t="n">
        <x:v>689</x:v>
      </x:c>
      <x:c r="BA667" s="10" t="n">
        <x:v>785</x:v>
      </x:c>
      <x:c r="BB667" s="4" t="n">
        <x:v>46.7</x:v>
      </x:c>
      <x:c r="BC667" s="4" t="n">
        <x:v>-0.5</x:v>
      </x:c>
      <x:c r="BD667" s="10" t="n">
        <x:v>524</x:v>
      </x:c>
      <x:c r="BE667" s="10" t="n">
        <x:v>578</x:v>
      </x:c>
      <x:c r="BF667" s="4" t="n">
        <x:v>47.5</x:v>
      </x:c>
      <x:c r="BG667" s="4" t="n">
        <x:v>1</x:v>
      </x:c>
      <x:c r="BH667" s="4" t="n">
        <x:v>10.1</x:v>
      </x:c>
      <x:c r="BI667" s="4" t="n">
        <x:v>87.6</x:v>
      </x:c>
      <x:c r="BJ667" s="4" t="n">
        <x:v>97.7</x:v>
      </x:c>
      <x:c r="BK667" s="4" t="n">
        <x:v>26.6</x:v>
      </x:c>
      <x:c r="BL667" s="4" t="n">
        <x:v>73.4</x:v>
      </x:c>
      <x:c r="BM667" s="4" t="n">
        <x:v>15.533333333333333</x:v>
      </x:c>
      <x:c r="BN667" s="4" t="n">
        <x:v>13.316666666666666</x:v>
      </x:c>
      <x:c r="BO667" s="10" t="n">
        <x:v>13</x:v>
      </x:c>
      <x:c r="BP667" s="10" t="n">
        <x:v>41</x:v>
      </x:c>
      <x:c r="BQ667" s="4" t="n">
        <x:v>-7.6</x:v>
      </x:c>
      <x:c r="BR667" s="10" t="n">
        <x:v>152</x:v>
      </x:c>
      <x:c r="BS667" s="4" t="n">
        <x:v>48</x:v>
      </x:c>
      <x:c r="BT667" s="10" t="n">
        <x:v>64</x:v>
      </x:c>
      <x:c r="BU667" s="4" t="str">
        <x:v>TOT</x:v>
      </x:c>
      <x:c r="BV667" s="10" t="n">
        <x:v>408</x:v>
      </x:c>
      <x:c r="BW667" s="10"/>
      <x:c r="BX667" s="10" t="n">
        <x:v>216</x:v>
      </x:c>
      <x:c r="BY667" s="4" t="str">
        <x:v>Jason Dickinson</x:v>
      </x:c>
      <x:c r="BZ667" s="4"/>
      <x:c r="CA667" s="4" t="str">
        <x:v>Jason Dickinson</x:v>
      </x:c>
      <x:c r="CB667" s="4" t="str">
        <x:v>dickija01</x:v>
      </x:c>
    </x:row>
    <x:row r="668" ht="22" customHeight="1">
      <x:c r="A668" s="4" t="str">
        <x:v>Jason Polin</x:v>
      </x:c>
      <x:c r="B668" s="4" t="str">
        <x:v>jasonpolin</x:v>
      </x:c>
      <x:c r="C668" s="10" t="n">
        <x:v>0</x:v>
      </x:c>
      <x:c r="D668" s="10" t="n">
        <x:v>0</x:v>
      </x:c>
      <x:c r="E668" s="10" t="n">
        <x:v>1</x:v>
      </x:c>
      <x:c r="F668" s="4" t="str">
        <x:f>IF(COUNT(N668,Q668,T668,W668,Z668,AC668,AF668,AI668)=8,N668*Guide!$E$5+Q668*Guide!$E$6+T668*Guide!$E$7+W668*Guide!$E$8+Z668*Guide!$E$9+AC668*Guide!$E$10+AF668*Guide!$E$11+AI668*Guide!$E$12,"")</x:f>
      </x:c>
      <x:c r="G668" s="4" t="str">
        <x:f>IF(COUNT(O668,R668,U668,X668,AA668,AD668,AG668,AJ668)=8,O668*Guide!$E$5+R668*Guide!$E$6+U668*Guide!$E$7+X668*Guide!$E$8+AA668*Guide!$E$9+AD668*Guide!$E$10+AG668*Guide!$E$11+AJ668*Guide!$E$12,"")</x:f>
      </x:c>
      <x:c r="H668" s="4" t="str">
        <x:f>IF(COUNT(G668,F668)=2,G668-F668,"")</x:f>
      </x:c>
      <x:c r="I668" s="4" t="str">
        <x:f>IF(AND(ISNUMBER(F668),K668&gt;0),F668/K668,"")</x:f>
      </x:c>
      <x:c r="J668" s="4" t="str">
        <x:f>IF(AND(ISNUMBER(G668),L668&gt;0),G668/L668,"")</x:f>
      </x:c>
      <x:c r="K668" s="10"/>
      <x:c r="L668" s="10"/>
      <x:c r="M668" s="10" t="str">
        <x:f>IF(COUNT(L668,K668)=2,L668-K668,"")</x:f>
      </x:c>
      <x:c r="N668" s="10"/>
      <x:c r="O668" s="10"/>
      <x:c r="P668" s="10" t="str">
        <x:f>IF(COUNT(O668,N668)=2,O668-N668,"")</x:f>
      </x:c>
      <x:c r="Q668" s="10"/>
      <x:c r="R668" s="10"/>
      <x:c r="S668" s="10" t="str">
        <x:f>IF(COUNT(R668,Q668)=2,R668-Q668,"")</x:f>
      </x:c>
      <x:c r="T668" s="10"/>
      <x:c r="U668" s="10"/>
      <x:c r="V668" s="10" t="str">
        <x:f>IF(COUNT(U668,T668)=2,U668-T668,"")</x:f>
      </x:c>
      <x:c r="W668" s="10"/>
      <x:c r="X668" s="10" t="str">
        <x:f>IF(COUNT(AV668,AW668)=2,AV668+AW668,"")</x:f>
      </x:c>
      <x:c r="Y668" s="10" t="str">
        <x:f>IF(COUNT(X668,W668)=2,X668-W668,"")</x:f>
      </x:c>
      <x:c r="Z668" s="10"/>
      <x:c r="AA668" s="10" t="str">
        <x:f>IF(COUNT(AX668,AY668)=2,AX668+AY668,"")</x:f>
      </x:c>
      <x:c r="AB668" s="10" t="str">
        <x:f>IF(COUNT(AA668,Z668)=2,AA668-Z668,"")</x:f>
      </x:c>
      <x:c r="AC668" s="10"/>
      <x:c r="AD668" s="10"/>
      <x:c r="AE668" s="10" t="str">
        <x:f>IF(COUNT(AD668,AC668)=2,AD668-AC668,"")</x:f>
      </x:c>
      <x:c r="AF668" s="10"/>
      <x:c r="AG668" s="10"/>
      <x:c r="AH668" s="10" t="str">
        <x:f>IF(COUNT(AG668,AF668)=2,AG668-AF668,"")</x:f>
      </x:c>
      <x:c r="AI668" s="10"/>
      <x:c r="AJ668" s="10"/>
      <x:c r="AK668" s="10" t="str">
        <x:f>IF(COUNT(AJ668,AI668)=2,AJ668-AI668,"")</x:f>
      </x:c>
      <x:c r="AL668" s="10"/>
      <x:c r="AM668" s="10"/>
      <x:c r="AN668" s="4"/>
      <x:c r="AO668" s="4"/>
      <x:c r="AP668" s="4"/>
      <x:c r="AQ668" s="4"/>
      <x:c r="AR668" s="4"/>
      <x:c r="AS668" s="4"/>
      <x:c r="AT668" s="4"/>
      <x:c r="AU668" s="4"/>
      <x:c r="AV668" s="10"/>
      <x:c r="AW668" s="10"/>
      <x:c r="AX668" s="10"/>
      <x:c r="AY668" s="10"/>
      <x:c r="AZ668" s="10" t="n">
        <x:v>29</x:v>
      </x:c>
      <x:c r="BA668" s="10" t="n">
        <x:v>17</x:v>
      </x:c>
      <x:c r="BB668" s="4" t="n">
        <x:v>63</x:v>
      </x:c>
      <x:c r="BC668" s="4" t="n">
        <x:v>13.3</x:v>
      </x:c>
      <x:c r="BD668" s="10" t="n">
        <x:v>18</x:v>
      </x:c>
      <x:c r="BE668" s="10" t="n">
        <x:v>9</x:v>
      </x:c>
      <x:c r="BF668" s="4" t="n">
        <x:v>66.7</x:v>
      </x:c>
      <x:c r="BG668" s="4" t="n">
        <x:v>15.2</x:v>
      </x:c>
      <x:c r="BH668" s="4" t="n">
        <x:v>11.1</x:v>
      </x:c>
      <x:c r="BI668" s="4" t="n">
        <x:v>100</x:v>
      </x:c>
      <x:c r="BJ668" s="4" t="n">
        <x:v>111.1</x:v>
      </x:c>
      <x:c r="BK668" s="4" t="n">
        <x:v>57.1</x:v>
      </x:c>
      <x:c r="BL668" s="4" t="n">
        <x:v>42.9</x:v>
      </x:c>
      <x:c r="BM668" s="4" t="n">
        <x:v>7.583333333333333</x:v>
      </x:c>
      <x:c r="BN668" s="4" t="n">
        <x:v>7.583333333333333</x:v>
      </x:c>
      <x:c r="BO668" s="10" t="n">
        <x:v>0</x:v>
      </x:c>
      <x:c r="BP668" s="10" t="n">
        <x:v>0</x:v>
      </x:c>
      <x:c r="BQ668" s="4" t="n">
        <x:v>0.7</x:v>
      </x:c>
      <x:c r="BR668" s="10" t="n">
        <x:v>5</x:v>
      </x:c>
      <x:c r="BS668" s="4" t="n">
        <x:v>0</x:v>
      </x:c>
      <x:c r="BT668" s="10" t="n">
        <x:v>4</x:v>
      </x:c>
      <x:c r="BU668" s="4" t="str">
        <x:v>COL</x:v>
      </x:c>
      <x:c r="BV668" s="10"/>
      <x:c r="BW668" s="10"/>
      <x:c r="BX668" s="10" t="n">
        <x:v>827</x:v>
      </x:c>
      <x:c r="BY668" s="4"/>
      <x:c r="BZ668" s="4"/>
      <x:c r="CA668" s="4" t="str">
        <x:v>Jason Polin</x:v>
      </x:c>
      <x:c r="CB668" s="4" t="str">
        <x:v>polinja01</x:v>
      </x:c>
    </x:row>
    <x:row r="669" ht="22" customHeight="1">
      <x:c r="A669" s="4" t="str">
        <x:v>Jaycob Megna</x:v>
      </x:c>
      <x:c r="B669" s="4" t="str">
        <x:v>jaycobmegna</x:v>
      </x:c>
      <x:c r="C669" s="10" t="n">
        <x:v>0</x:v>
      </x:c>
      <x:c r="D669" s="10" t="n">
        <x:v>0</x:v>
      </x:c>
      <x:c r="E669" s="10" t="n">
        <x:v>1</x:v>
      </x:c>
      <x:c r="F669" s="4" t="str">
        <x:f>IF(COUNT(N669,Q669,T669,W669,Z669,AC669,AF669,AI669)=8,N669*Guide!$E$5+Q669*Guide!$E$6+T669*Guide!$E$7+W669*Guide!$E$8+Z669*Guide!$E$9+AC669*Guide!$E$10+AF669*Guide!$E$11+AI669*Guide!$E$12,"")</x:f>
      </x:c>
      <x:c r="G669" s="4" t="str">
        <x:f>IF(COUNT(O669,R669,U669,X669,AA669,AD669,AG669,AJ669)=8,O669*Guide!$E$5+R669*Guide!$E$6+U669*Guide!$E$7+X669*Guide!$E$8+AA669*Guide!$E$9+AD669*Guide!$E$10+AG669*Guide!$E$11+AJ669*Guide!$E$12,"")</x:f>
      </x:c>
      <x:c r="H669" s="4" t="str">
        <x:f>IF(COUNT(G669,F669)=2,G669-F669,"")</x:f>
      </x:c>
      <x:c r="I669" s="4" t="str">
        <x:f>IF(AND(ISNUMBER(F669),K669&gt;0),F669/K669,"")</x:f>
      </x:c>
      <x:c r="J669" s="4" t="str">
        <x:f>IF(AND(ISNUMBER(G669),L669&gt;0),G669/L669,"")</x:f>
      </x:c>
      <x:c r="K669" s="10"/>
      <x:c r="L669" s="10"/>
      <x:c r="M669" s="10" t="str">
        <x:f>IF(COUNT(L669,K669)=2,L669-K669,"")</x:f>
      </x:c>
      <x:c r="N669" s="10"/>
      <x:c r="O669" s="10"/>
      <x:c r="P669" s="10" t="str">
        <x:f>IF(COUNT(O669,N669)=2,O669-N669,"")</x:f>
      </x:c>
      <x:c r="Q669" s="10"/>
      <x:c r="R669" s="10"/>
      <x:c r="S669" s="10" t="str">
        <x:f>IF(COUNT(R669,Q669)=2,R669-Q669,"")</x:f>
      </x:c>
      <x:c r="T669" s="10"/>
      <x:c r="U669" s="10"/>
      <x:c r="V669" s="10" t="str">
        <x:f>IF(COUNT(U669,T669)=2,U669-T669,"")</x:f>
      </x:c>
      <x:c r="W669" s="10"/>
      <x:c r="X669" s="10" t="str">
        <x:f>IF(COUNT(AV669,AW669)=2,AV669+AW669,"")</x:f>
      </x:c>
      <x:c r="Y669" s="10" t="str">
        <x:f>IF(COUNT(X669,W669)=2,X669-W669,"")</x:f>
      </x:c>
      <x:c r="Z669" s="10"/>
      <x:c r="AA669" s="10" t="str">
        <x:f>IF(COUNT(AX669,AY669)=2,AX669+AY669,"")</x:f>
      </x:c>
      <x:c r="AB669" s="10" t="str">
        <x:f>IF(COUNT(AA669,Z669)=2,AA669-Z669,"")</x:f>
      </x:c>
      <x:c r="AC669" s="10"/>
      <x:c r="AD669" s="10"/>
      <x:c r="AE669" s="10" t="str">
        <x:f>IF(COUNT(AD669,AC669)=2,AD669-AC669,"")</x:f>
      </x:c>
      <x:c r="AF669" s="10"/>
      <x:c r="AG669" s="10"/>
      <x:c r="AH669" s="10" t="str">
        <x:f>IF(COUNT(AG669,AF669)=2,AG669-AF669,"")</x:f>
      </x:c>
      <x:c r="AI669" s="10"/>
      <x:c r="AJ669" s="10"/>
      <x:c r="AK669" s="10" t="str">
        <x:f>IF(COUNT(AJ669,AI669)=2,AJ669-AI669,"")</x:f>
      </x:c>
      <x:c r="AL669" s="10"/>
      <x:c r="AM669" s="10"/>
      <x:c r="AN669" s="4"/>
      <x:c r="AO669" s="4"/>
      <x:c r="AP669" s="4"/>
      <x:c r="AQ669" s="4"/>
      <x:c r="AR669" s="4"/>
      <x:c r="AS669" s="4"/>
      <x:c r="AT669" s="4"/>
      <x:c r="AU669" s="4"/>
      <x:c r="AV669" s="10"/>
      <x:c r="AW669" s="10"/>
      <x:c r="AX669" s="10"/>
      <x:c r="AY669" s="10"/>
      <x:c r="AZ669" s="10" t="n">
        <x:v>27</x:v>
      </x:c>
      <x:c r="BA669" s="10" t="n">
        <x:v>33</x:v>
      </x:c>
      <x:c r="BB669" s="4" t="n">
        <x:v>45</x:v>
      </x:c>
      <x:c r="BC669" s="4" t="n">
        <x:v>-7.5</x:v>
      </x:c>
      <x:c r="BD669" s="10" t="n">
        <x:v>21</x:v>
      </x:c>
      <x:c r="BE669" s="10" t="n">
        <x:v>28</x:v>
      </x:c>
      <x:c r="BF669" s="4" t="n">
        <x:v>42.9</x:v>
      </x:c>
      <x:c r="BG669" s="4" t="n">
        <x:v>-11.1</x:v>
      </x:c>
      <x:c r="BH669" s="4" t="n">
        <x:v>0</x:v>
      </x:c>
      <x:c r="BI669" s="4" t="n">
        <x:v>64.3</x:v>
      </x:c>
      <x:c r="BJ669" s="4" t="n">
        <x:v>64.3</x:v>
      </x:c>
      <x:c r="BK669" s="4" t="n">
        <x:v>35.3</x:v>
      </x:c>
      <x:c r="BL669" s="4" t="n">
        <x:v>64.7</x:v>
      </x:c>
      <x:c r="BM669" s="4" t="n">
        <x:v>10.616666666666667</x:v>
      </x:c>
      <x:c r="BN669" s="4" t="n">
        <x:v>10.416666666666666</x:v>
      </x:c>
      <x:c r="BO669" s="10" t="n">
        <x:v>0</x:v>
      </x:c>
      <x:c r="BP669" s="10" t="n">
        <x:v>2</x:v>
      </x:c>
      <x:c r="BQ669" s="4" t="n">
        <x:v>-0.9</x:v>
      </x:c>
      <x:c r="BR669" s="10" t="n">
        <x:v>1</x:v>
      </x:c>
      <x:c r="BS669" s="4" t="n">
        <x:v>100</x:v>
      </x:c>
      <x:c r="BT669" s="10" t="n">
        <x:v>4</x:v>
      </x:c>
      <x:c r="BU669" s="4" t="str">
        <x:v>VEG</x:v>
      </x:c>
      <x:c r="BV669" s="10"/>
      <x:c r="BW669" s="10"/>
      <x:c r="BX669" s="10" t="n">
        <x:v>684</x:v>
      </x:c>
      <x:c r="BY669" s="4"/>
      <x:c r="BZ669" s="4"/>
      <x:c r="CA669" s="4" t="str">
        <x:v>Jaycob Megna</x:v>
      </x:c>
      <x:c r="CB669" s="4" t="str">
        <x:v>megnaja02</x:v>
      </x:c>
    </x:row>
    <x:row r="670" ht="22" customHeight="1">
      <x:c r="A670" s="4" t="str">
        <x:v>Jayden Struble</x:v>
      </x:c>
      <x:c r="B670" s="4" t="str">
        <x:v>jaydenstruble</x:v>
      </x:c>
      <x:c r="C670" s="10" t="n">
        <x:v>1</x:v>
      </x:c>
      <x:c r="D670" s="10" t="n">
        <x:v>0</x:v>
      </x:c>
      <x:c r="E670" s="10" t="n">
        <x:v>1</x:v>
      </x:c>
      <x:c r="F670" s="4" t="n">
        <x:f>IF(COUNT(N670,Q670,T670,W670,Z670,AC670,AF670,AI670)=8,N670*Guide!$E$5+Q670*Guide!$E$6+T670*Guide!$E$7+W670*Guide!$E$8+Z670*Guide!$E$9+AC670*Guide!$E$10+AF670*Guide!$E$11+AI670*Guide!$E$12,"")</x:f>
        <x:v>134.25</x:v>
      </x:c>
      <x:c r="G670" s="4" t="str">
        <x:f>IF(COUNT(O670,R670,U670,X670,AA670,AD670,AG670,AJ670)=8,O670*Guide!$E$5+R670*Guide!$E$6+U670*Guide!$E$7+X670*Guide!$E$8+AA670*Guide!$E$9+AD670*Guide!$E$10+AG670*Guide!$E$11+AJ670*Guide!$E$12,"")</x:f>
      </x:c>
      <x:c r="H670" s="4" t="str">
        <x:f>IF(COUNT(G670,F670)=2,G670-F670,"")</x:f>
      </x:c>
      <x:c r="I670" s="4" t="n">
        <x:f>IF(AND(ISNUMBER(F670),K670&gt;0),F670/K670,"")</x:f>
        <x:v>2.1653225806451615</x:v>
      </x:c>
      <x:c r="J670" s="4" t="str">
        <x:f>IF(AND(ISNUMBER(G670),L670&gt;0),G670/L670,"")</x:f>
      </x:c>
      <x:c r="K670" s="10" t="n">
        <x:v>62</x:v>
      </x:c>
      <x:c r="L670" s="10"/>
      <x:c r="M670" s="10" t="str">
        <x:f>IF(COUNT(L670,K670)=2,L670-K670,"")</x:f>
      </x:c>
      <x:c r="N670" s="10" t="n">
        <x:v>3</x:v>
      </x:c>
      <x:c r="O670" s="10"/>
      <x:c r="P670" s="10" t="str">
        <x:f>IF(COUNT(O670,N670)=2,O670-N670,"")</x:f>
      </x:c>
      <x:c r="Q670" s="10" t="n">
        <x:v>11</x:v>
      </x:c>
      <x:c r="R670" s="10"/>
      <x:c r="S670" s="10" t="str">
        <x:f>IF(COUNT(R670,Q670)=2,R670-Q670,"")</x:f>
      </x:c>
      <x:c r="T670" s="10" t="n">
        <x:v>1</x:v>
      </x:c>
      <x:c r="U670" s="10"/>
      <x:c r="V670" s="10" t="str">
        <x:f>IF(COUNT(U670,T670)=2,U670-T670,"")</x:f>
      </x:c>
      <x:c r="W670" s="10" t="n">
        <x:v>0</x:v>
      </x:c>
      <x:c r="X670" s="10" t="str">
        <x:f>IF(COUNT(AV670,AW670)=2,AV670+AW670,"")</x:f>
      </x:c>
      <x:c r="Y670" s="10" t="str">
        <x:f>IF(COUNT(X670,W670)=2,X670-W670,"")</x:f>
      </x:c>
      <x:c r="Z670" s="10" t="n">
        <x:v>0</x:v>
      </x:c>
      <x:c r="AA670" s="10" t="str">
        <x:f>IF(COUNT(AX670,AY670)=2,AX670+AY670,"")</x:f>
      </x:c>
      <x:c r="AB670" s="10" t="str">
        <x:f>IF(COUNT(AA670,Z670)=2,AA670-Z670,"")</x:f>
      </x:c>
      <x:c r="AC670" s="10" t="n">
        <x:v>52</x:v>
      </x:c>
      <x:c r="AD670" s="10"/>
      <x:c r="AE670" s="10" t="str">
        <x:f>IF(COUNT(AD670,AC670)=2,AD670-AC670,"")</x:f>
      </x:c>
      <x:c r="AF670" s="10" t="n">
        <x:v>124</x:v>
      </x:c>
      <x:c r="AG670" s="10"/>
      <x:c r="AH670" s="10" t="str">
        <x:f>IF(COUNT(AG670,AF670)=2,AG670-AF670,"")</x:f>
      </x:c>
      <x:c r="AI670" s="10" t="n">
        <x:v>59</x:v>
      </x:c>
      <x:c r="AJ670" s="10"/>
      <x:c r="AK670" s="10" t="str">
        <x:f>IF(COUNT(AJ670,AI670)=2,AJ670-AI670,"")</x:f>
      </x:c>
      <x:c r="AL670" s="10" t="n">
        <x:v>24</x:v>
      </x:c>
      <x:c r="AM670" s="10"/>
      <x:c r="AN670" s="4" t="str">
        <x:v>D</x:v>
      </x:c>
      <x:c r="AO670" s="4"/>
      <x:c r="AP670" s="4" t="str">
        <x:v>MTL</x:v>
      </x:c>
      <x:c r="AQ670" s="4"/>
      <x:c r="AR670" s="4" t="n">
        <x:v>15.140000000000002</x:v>
      </x:c>
      <x:c r="AS670" s="4"/>
      <x:c r="AT670" s="4" t="n">
        <x:v>0.05</x:v>
      </x:c>
      <x:c r="AU670" s="4"/>
      <x:c r="AV670" s="10"/>
      <x:c r="AW670" s="10"/>
      <x:c r="AX670" s="10"/>
      <x:c r="AY670" s="10"/>
      <x:c r="AZ670" s="10" t="n">
        <x:v>715</x:v>
      </x:c>
      <x:c r="BA670" s="10" t="n">
        <x:v>718</x:v>
      </x:c>
      <x:c r="BB670" s="4" t="n">
        <x:v>49.9</x:v>
      </x:c>
      <x:c r="BC670" s="4" t="n">
        <x:v>1</x:v>
      </x:c>
      <x:c r="BD670" s="10" t="n">
        <x:v>516</x:v>
      </x:c>
      <x:c r="BE670" s="10" t="n">
        <x:v>517</x:v>
      </x:c>
      <x:c r="BF670" s="4" t="n">
        <x:v>50</x:v>
      </x:c>
      <x:c r="BG670" s="4" t="n">
        <x:v>0.1</x:v>
      </x:c>
      <x:c r="BH670" s="4" t="n">
        <x:v>11.7</x:v>
      </x:c>
      <x:c r="BI670" s="4" t="n">
        <x:v>90.6</x:v>
      </x:c>
      <x:c r="BJ670" s="4" t="n">
        <x:v>102.3</x:v>
      </x:c>
      <x:c r="BK670" s="4" t="n">
        <x:v>58.9</x:v>
      </x:c>
      <x:c r="BL670" s="4" t="n">
        <x:v>41.1</x:v>
      </x:c>
      <x:c r="BM670" s="4" t="n">
        <x:v>14.016666666666667</x:v>
      </x:c>
      <x:c r="BN670" s="4" t="n">
        <x:v>13.866666666666667</x:v>
      </x:c>
      <x:c r="BO670" s="10" t="n">
        <x:v>13</x:v>
      </x:c>
      <x:c r="BP670" s="10" t="n">
        <x:v>52</x:v>
      </x:c>
      <x:c r="BQ670" s="4" t="n">
        <x:v>-1.9</x:v>
      </x:c>
      <x:c r="BR670" s="10" t="n">
        <x:v>89</x:v>
      </x:c>
      <x:c r="BS670" s="4" t="n">
        <x:v>29.2</x:v>
      </x:c>
      <x:c r="BT670" s="10" t="n">
        <x:v>59</x:v>
      </x:c>
      <x:c r="BU670" s="4" t="str">
        <x:v>MTL</x:v>
      </x:c>
      <x:c r="BV670" s="10" t="n">
        <x:v>647</x:v>
      </x:c>
      <x:c r="BW670" s="10"/>
      <x:c r="BX670" s="10" t="n">
        <x:v>991</x:v>
      </x:c>
      <x:c r="BY670" s="4" t="str">
        <x:v>Jayden Struble</x:v>
      </x:c>
      <x:c r="BZ670" s="4"/>
      <x:c r="CA670" s="4" t="str">
        <x:v>Jayden Struble</x:v>
      </x:c>
      <x:c r="CB670" s="4" t="str">
        <x:v>strubja01</x:v>
      </x:c>
    </x:row>
    <x:row r="671" ht="22" customHeight="1">
      <x:c r="A671" s="4" t="str">
        <x:v>Jeff Malott</x:v>
      </x:c>
      <x:c r="B671" s="4" t="str">
        <x:v>jeffmalott</x:v>
      </x:c>
      <x:c r="C671" s="10" t="n">
        <x:v>0</x:v>
      </x:c>
      <x:c r="D671" s="10" t="n">
        <x:v>0</x:v>
      </x:c>
      <x:c r="E671" s="10" t="n">
        <x:v>1</x:v>
      </x:c>
      <x:c r="F671" s="4" t="str">
        <x:f>IF(COUNT(N671,Q671,T671,W671,Z671,AC671,AF671,AI671)=8,N671*Guide!$E$5+Q671*Guide!$E$6+T671*Guide!$E$7+W671*Guide!$E$8+Z671*Guide!$E$9+AC671*Guide!$E$10+AF671*Guide!$E$11+AI671*Guide!$E$12,"")</x:f>
      </x:c>
      <x:c r="G671" s="4" t="str">
        <x:f>IF(COUNT(O671,R671,U671,X671,AA671,AD671,AG671,AJ671)=8,O671*Guide!$E$5+R671*Guide!$E$6+U671*Guide!$E$7+X671*Guide!$E$8+AA671*Guide!$E$9+AD671*Guide!$E$10+AG671*Guide!$E$11+AJ671*Guide!$E$12,"")</x:f>
      </x:c>
      <x:c r="H671" s="4" t="str">
        <x:f>IF(COUNT(G671,F671)=2,G671-F671,"")</x:f>
      </x:c>
      <x:c r="I671" s="4" t="str">
        <x:f>IF(AND(ISNUMBER(F671),K671&gt;0),F671/K671,"")</x:f>
      </x:c>
      <x:c r="J671" s="4" t="str">
        <x:f>IF(AND(ISNUMBER(G671),L671&gt;0),G671/L671,"")</x:f>
      </x:c>
      <x:c r="K671" s="10"/>
      <x:c r="L671" s="10"/>
      <x:c r="M671" s="10" t="str">
        <x:f>IF(COUNT(L671,K671)=2,L671-K671,"")</x:f>
      </x:c>
      <x:c r="N671" s="10"/>
      <x:c r="O671" s="10"/>
      <x:c r="P671" s="10" t="str">
        <x:f>IF(COUNT(O671,N671)=2,O671-N671,"")</x:f>
      </x:c>
      <x:c r="Q671" s="10"/>
      <x:c r="R671" s="10"/>
      <x:c r="S671" s="10" t="str">
        <x:f>IF(COUNT(R671,Q671)=2,R671-Q671,"")</x:f>
      </x:c>
      <x:c r="T671" s="10"/>
      <x:c r="U671" s="10"/>
      <x:c r="V671" s="10" t="str">
        <x:f>IF(COUNT(U671,T671)=2,U671-T671,"")</x:f>
      </x:c>
      <x:c r="W671" s="10"/>
      <x:c r="X671" s="10" t="str">
        <x:f>IF(COUNT(AV671,AW671)=2,AV671+AW671,"")</x:f>
      </x:c>
      <x:c r="Y671" s="10" t="str">
        <x:f>IF(COUNT(X671,W671)=2,X671-W671,"")</x:f>
      </x:c>
      <x:c r="Z671" s="10"/>
      <x:c r="AA671" s="10" t="str">
        <x:f>IF(COUNT(AX671,AY671)=2,AX671+AY671,"")</x:f>
      </x:c>
      <x:c r="AB671" s="10" t="str">
        <x:f>IF(COUNT(AA671,Z671)=2,AA671-Z671,"")</x:f>
      </x:c>
      <x:c r="AC671" s="10"/>
      <x:c r="AD671" s="10"/>
      <x:c r="AE671" s="10" t="str">
        <x:f>IF(COUNT(AD671,AC671)=2,AD671-AC671,"")</x:f>
      </x:c>
      <x:c r="AF671" s="10"/>
      <x:c r="AG671" s="10"/>
      <x:c r="AH671" s="10" t="str">
        <x:f>IF(COUNT(AG671,AF671)=2,AG671-AF671,"")</x:f>
      </x:c>
      <x:c r="AI671" s="10"/>
      <x:c r="AJ671" s="10"/>
      <x:c r="AK671" s="10" t="str">
        <x:f>IF(COUNT(AJ671,AI671)=2,AJ671-AI671,"")</x:f>
      </x:c>
      <x:c r="AL671" s="10"/>
      <x:c r="AM671" s="10"/>
      <x:c r="AN671" s="4"/>
      <x:c r="AO671" s="4"/>
      <x:c r="AP671" s="4"/>
      <x:c r="AQ671" s="4"/>
      <x:c r="AR671" s="4"/>
      <x:c r="AS671" s="4"/>
      <x:c r="AT671" s="4"/>
      <x:c r="AU671" s="4"/>
      <x:c r="AV671" s="10"/>
      <x:c r="AW671" s="10"/>
      <x:c r="AX671" s="10"/>
      <x:c r="AY671" s="10"/>
      <x:c r="AZ671" s="10" t="n">
        <x:v>540</x:v>
      </x:c>
      <x:c r="BA671" s="10" t="n">
        <x:v>497</x:v>
      </x:c>
      <x:c r="BB671" s="4" t="n">
        <x:v>52.1</x:v>
      </x:c>
      <x:c r="BC671" s="4" t="n">
        <x:v>0.6</x:v>
      </x:c>
      <x:c r="BD671" s="10" t="n">
        <x:v>376</x:v>
      </x:c>
      <x:c r="BE671" s="10" t="n">
        <x:v>330</x:v>
      </x:c>
      <x:c r="BF671" s="4" t="n">
        <x:v>53.3</x:v>
      </x:c>
      <x:c r="BG671" s="4" t="n">
        <x:v>2.2</x:v>
      </x:c>
      <x:c r="BH671" s="4" t="n">
        <x:v>7.9</x:v>
      </x:c>
      <x:c r="BI671" s="4" t="n">
        <x:v>87.5</x:v>
      </x:c>
      <x:c r="BJ671" s="4" t="n">
        <x:v>95.4</x:v>
      </x:c>
      <x:c r="BK671" s="4" t="n">
        <x:v>44.3</x:v>
      </x:c>
      <x:c r="BL671" s="4" t="n">
        <x:v>55.7</x:v>
      </x:c>
      <x:c r="BM671" s="4" t="n">
        <x:v>8.816666666666666</x:v>
      </x:c>
      <x:c r="BN671" s="4" t="n">
        <x:v>8.75</x:v>
      </x:c>
      <x:c r="BO671" s="10" t="n">
        <x:v>8</x:v>
      </x:c>
      <x:c r="BP671" s="10" t="n">
        <x:v>18</x:v>
      </x:c>
      <x:c r="BQ671" s="4" t="n">
        <x:v>3.1</x:v>
      </x:c>
      <x:c r="BR671" s="10" t="n">
        <x:v>126</x:v>
      </x:c>
      <x:c r="BS671" s="4" t="n">
        <x:v>42.9</x:v>
      </x:c>
      <x:c r="BT671" s="10" t="n">
        <x:v>58</x:v>
      </x:c>
      <x:c r="BU671" s="4" t="str">
        <x:v>LAK</x:v>
      </x:c>
      <x:c r="BV671" s="10"/>
      <x:c r="BW671" s="10"/>
      <x:c r="BX671" s="10" t="n">
        <x:v>636</x:v>
      </x:c>
      <x:c r="BY671" s="4"/>
      <x:c r="BZ671" s="4"/>
      <x:c r="CA671" s="4" t="str">
        <x:v>Jeff Malott</x:v>
      </x:c>
      <x:c r="CB671" s="4" t="str">
        <x:v>malotje01</x:v>
      </x:c>
    </x:row>
    <x:row r="672" ht="22" customHeight="1">
      <x:c r="A672" s="4" t="str">
        <x:v>Jeff Petry</x:v>
      </x:c>
      <x:c r="B672" s="4" t="str">
        <x:v>jeffpetry</x:v>
      </x:c>
      <x:c r="C672" s="10" t="n">
        <x:v>1</x:v>
      </x:c>
      <x:c r="D672" s="10" t="n">
        <x:v>0</x:v>
      </x:c>
      <x:c r="E672" s="10" t="n">
        <x:v>1</x:v>
      </x:c>
      <x:c r="F672" s="4" t="n">
        <x:f>IF(COUNT(N672,Q672,T672,W672,Z672,AC672,AF672,AI672)=8,N672*Guide!$E$5+Q672*Guide!$E$6+T672*Guide!$E$7+W672*Guide!$E$8+Z672*Guide!$E$9+AC672*Guide!$E$10+AF672*Guide!$E$11+AI672*Guide!$E$12,"")</x:f>
        <x:v>193.5</x:v>
      </x:c>
      <x:c r="G672" s="4" t="str">
        <x:f>IF(COUNT(O672,R672,U672,X672,AA672,AD672,AG672,AJ672)=8,O672*Guide!$E$5+R672*Guide!$E$6+U672*Guide!$E$7+X672*Guide!$E$8+AA672*Guide!$E$9+AD672*Guide!$E$10+AG672*Guide!$E$11+AJ672*Guide!$E$12,"")</x:f>
      </x:c>
      <x:c r="H672" s="4" t="str">
        <x:f>IF(COUNT(G672,F672)=2,G672-F672,"")</x:f>
      </x:c>
      <x:c r="I672" s="4" t="n">
        <x:f>IF(AND(ISNUMBER(F672),K672&gt;0),F672/K672,"")</x:f>
        <x:v>2.6506849315068495</x:v>
      </x:c>
      <x:c r="J672" s="4" t="str">
        <x:f>IF(AND(ISNUMBER(G672),L672&gt;0),G672/L672,"")</x:f>
      </x:c>
      <x:c r="K672" s="10" t="n">
        <x:v>73</x:v>
      </x:c>
      <x:c r="L672" s="10"/>
      <x:c r="M672" s="10" t="str">
        <x:f>IF(COUNT(L672,K672)=2,L672-K672,"")</x:f>
      </x:c>
      <x:c r="N672" s="10" t="n">
        <x:v>3</x:v>
      </x:c>
      <x:c r="O672" s="10"/>
      <x:c r="P672" s="10" t="str">
        <x:f>IF(COUNT(O672,N672)=2,O672-N672,"")</x:f>
      </x:c>
      <x:c r="Q672" s="10" t="n">
        <x:v>18</x:v>
      </x:c>
      <x:c r="R672" s="10"/>
      <x:c r="S672" s="10" t="str">
        <x:f>IF(COUNT(R672,Q672)=2,R672-Q672,"")</x:f>
      </x:c>
      <x:c r="T672" s="10" t="n">
        <x:v>-5</x:v>
      </x:c>
      <x:c r="U672" s="10"/>
      <x:c r="V672" s="10" t="str">
        <x:f>IF(COUNT(U672,T672)=2,U672-T672,"")</x:f>
      </x:c>
      <x:c r="W672" s="10" t="n">
        <x:v>1</x:v>
      </x:c>
      <x:c r="X672" s="10" t="str">
        <x:f>IF(COUNT(AV672,AW672)=2,AV672+AW672,"")</x:f>
      </x:c>
      <x:c r="Y672" s="10" t="str">
        <x:f>IF(COUNT(X672,W672)=2,X672-W672,"")</x:f>
      </x:c>
      <x:c r="Z672" s="10" t="n">
        <x:v>0</x:v>
      </x:c>
      <x:c r="AA672" s="10" t="str">
        <x:f>IF(COUNT(AX672,AY672)=2,AX672+AY672,"")</x:f>
      </x:c>
      <x:c r="AB672" s="10" t="str">
        <x:f>IF(COUNT(AA672,Z672)=2,AA672-Z672,"")</x:f>
      </x:c>
      <x:c r="AC672" s="10" t="n">
        <x:v>66</x:v>
      </x:c>
      <x:c r="AD672" s="10"/>
      <x:c r="AE672" s="10" t="str">
        <x:f>IF(COUNT(AD672,AC672)=2,AD672-AC672,"")</x:f>
      </x:c>
      <x:c r="AF672" s="10" t="n">
        <x:v>94</x:v>
      </x:c>
      <x:c r="AG672" s="10"/>
      <x:c r="AH672" s="10" t="str">
        <x:f>IF(COUNT(AG672,AF672)=2,AG672-AF672,"")</x:f>
      </x:c>
      <x:c r="AI672" s="10" t="n">
        <x:v>122</x:v>
      </x:c>
      <x:c r="AJ672" s="10"/>
      <x:c r="AK672" s="10" t="str">
        <x:f>IF(COUNT(AJ672,AI672)=2,AJ672-AI672,"")</x:f>
      </x:c>
      <x:c r="AL672" s="10" t="n">
        <x:v>38</x:v>
      </x:c>
      <x:c r="AM672" s="10"/>
      <x:c r="AN672" s="4" t="str">
        <x:v>D</x:v>
      </x:c>
      <x:c r="AO672" s="4"/>
      <x:c r="AP672" s="4" t="str">
        <x:v>FLA</x:v>
      </x:c>
      <x:c r="AQ672" s="4"/>
      <x:c r="AR672" s="4" t="n">
        <x:v>19.03</x:v>
      </x:c>
      <x:c r="AS672" s="4"/>
      <x:c r="AT672" s="4" t="n">
        <x:v>0.23</x:v>
      </x:c>
      <x:c r="AU672" s="4"/>
      <x:c r="AV672" s="10"/>
      <x:c r="AW672" s="10"/>
      <x:c r="AX672" s="10"/>
      <x:c r="AY672" s="10"/>
      <x:c r="AZ672" s="10" t="n">
        <x:v>877</x:v>
      </x:c>
      <x:c r="BA672" s="10" t="n">
        <x:v>810</x:v>
      </x:c>
      <x:c r="BB672" s="4" t="n">
        <x:v>52</x:v>
      </x:c>
      <x:c r="BC672" s="4" t="n">
        <x:v>-0.8</x:v>
      </x:c>
      <x:c r="BD672" s="10" t="n">
        <x:v>630</x:v>
      </x:c>
      <x:c r="BE672" s="10" t="n">
        <x:v>590</x:v>
      </x:c>
      <x:c r="BF672" s="4" t="n">
        <x:v>51.6</x:v>
      </x:c>
      <x:c r="BG672" s="4" t="n">
        <x:v>-0.9</x:v>
      </x:c>
      <x:c r="BH672" s="4" t="n">
        <x:v>8.4</x:v>
      </x:c>
      <x:c r="BI672" s="4" t="n">
        <x:v>87</x:v>
      </x:c>
      <x:c r="BJ672" s="4" t="n">
        <x:v>95.3</x:v>
      </x:c>
      <x:c r="BK672" s="4" t="n">
        <x:v>54.8</x:v>
      </x:c>
      <x:c r="BL672" s="4" t="n">
        <x:v>45.2</x:v>
      </x:c>
      <x:c r="BM672" s="4" t="n">
        <x:v>14.766666666666667</x:v>
      </x:c>
      <x:c r="BN672" s="4" t="n">
        <x:v>13.35</x:v>
      </x:c>
      <x:c r="BO672" s="10" t="n">
        <x:v>9</x:v>
      </x:c>
      <x:c r="BP672" s="10" t="n">
        <x:v>52</x:v>
      </x:c>
      <x:c r="BQ672" s="4" t="n">
        <x:v>2.4</x:v>
      </x:c>
      <x:c r="BR672" s="10" t="n">
        <x:v>156</x:v>
      </x:c>
      <x:c r="BS672" s="4" t="n">
        <x:v>34.6</x:v>
      </x:c>
      <x:c r="BT672" s="10" t="n">
        <x:v>67</x:v>
      </x:c>
      <x:c r="BU672" s="4" t="str">
        <x:v>TOT</x:v>
      </x:c>
      <x:c r="BV672" s="10" t="n">
        <x:v>499</x:v>
      </x:c>
      <x:c r="BW672" s="10"/>
      <x:c r="BX672" s="10" t="n">
        <x:v>807</x:v>
      </x:c>
      <x:c r="BY672" s="4" t="str">
        <x:v>Jeff Petry</x:v>
      </x:c>
      <x:c r="BZ672" s="4"/>
      <x:c r="CA672" s="4" t="str">
        <x:v>Jeff Petry</x:v>
      </x:c>
      <x:c r="CB672" s="4" t="str">
        <x:v>petryje01</x:v>
      </x:c>
    </x:row>
    <x:row r="673" ht="22" customHeight="1">
      <x:c r="A673" s="4" t="str">
        <x:v>Jeff Skinner</x:v>
      </x:c>
      <x:c r="B673" s="4" t="str">
        <x:v>jeffskinner</x:v>
      </x:c>
      <x:c r="C673" s="10" t="n">
        <x:v>1</x:v>
      </x:c>
      <x:c r="D673" s="10" t="n">
        <x:v>0</x:v>
      </x:c>
      <x:c r="E673" s="10" t="n">
        <x:v>1</x:v>
      </x:c>
      <x:c r="F673" s="4" t="n">
        <x:f>IF(COUNT(N673,Q673,T673,W673,Z673,AC673,AF673,AI673)=8,N673*Guide!$E$5+Q673*Guide!$E$6+T673*Guide!$E$7+W673*Guide!$E$8+Z673*Guide!$E$9+AC673*Guide!$E$10+AF673*Guide!$E$11+AI673*Guide!$E$12,"")</x:f>
        <x:v>199</x:v>
      </x:c>
      <x:c r="G673" s="4" t="str">
        <x:f>IF(COUNT(O673,R673,U673,X673,AA673,AD673,AG673,AJ673)=8,O673*Guide!$E$5+R673*Guide!$E$6+U673*Guide!$E$7+X673*Guide!$E$8+AA673*Guide!$E$9+AD673*Guide!$E$10+AG673*Guide!$E$11+AJ673*Guide!$E$12,"")</x:f>
      </x:c>
      <x:c r="H673" s="4" t="str">
        <x:f>IF(COUNT(G673,F673)=2,G673-F673,"")</x:f>
      </x:c>
      <x:c r="I673" s="4" t="n">
        <x:f>IF(AND(ISNUMBER(F673),K673&gt;0),F673/K673,"")</x:f>
        <x:v>2.689189189189189</x:v>
      </x:c>
      <x:c r="J673" s="4" t="str">
        <x:f>IF(AND(ISNUMBER(G673),L673&gt;0),G673/L673,"")</x:f>
      </x:c>
      <x:c r="K673" s="10" t="n">
        <x:v>74</x:v>
      </x:c>
      <x:c r="L673" s="10"/>
      <x:c r="M673" s="10" t="str">
        <x:f>IF(COUNT(L673,K673)=2,L673-K673,"")</x:f>
      </x:c>
      <x:c r="N673" s="10" t="n">
        <x:v>18</x:v>
      </x:c>
      <x:c r="O673" s="10"/>
      <x:c r="P673" s="10" t="str">
        <x:f>IF(COUNT(O673,N673)=2,O673-N673,"")</x:f>
      </x:c>
      <x:c r="Q673" s="10" t="n">
        <x:v>19</x:v>
      </x:c>
      <x:c r="R673" s="10"/>
      <x:c r="S673" s="10" t="str">
        <x:f>IF(COUNT(R673,Q673)=2,R673-Q673,"")</x:f>
      </x:c>
      <x:c r="T673" s="10" t="n">
        <x:v>5</x:v>
      </x:c>
      <x:c r="U673" s="10"/>
      <x:c r="V673" s="10" t="str">
        <x:f>IF(COUNT(U673,T673)=2,U673-T673,"")</x:f>
      </x:c>
      <x:c r="W673" s="10" t="n">
        <x:v>5</x:v>
      </x:c>
      <x:c r="X673" s="10" t="str">
        <x:f>IF(COUNT(AV673,AW673)=2,AV673+AW673,"")</x:f>
      </x:c>
      <x:c r="Y673" s="10" t="str">
        <x:f>IF(COUNT(X673,W673)=2,X673-W673,"")</x:f>
      </x:c>
      <x:c r="Z673" s="10" t="n">
        <x:v>0</x:v>
      </x:c>
      <x:c r="AA673" s="10" t="str">
        <x:f>IF(COUNT(AX673,AY673)=2,AX673+AY673,"")</x:f>
      </x:c>
      <x:c r="AB673" s="10" t="str">
        <x:f>IF(COUNT(AA673,Z673)=2,AA673-Z673,"")</x:f>
      </x:c>
      <x:c r="AC673" s="10" t="n">
        <x:v>144</x:v>
      </x:c>
      <x:c r="AD673" s="10"/>
      <x:c r="AE673" s="10" t="str">
        <x:f>IF(COUNT(AD673,AC673)=2,AD673-AC673,"")</x:f>
      </x:c>
      <x:c r="AF673" s="10" t="n">
        <x:v>39</x:v>
      </x:c>
      <x:c r="AG673" s="10"/>
      <x:c r="AH673" s="10" t="str">
        <x:f>IF(COUNT(AG673,AF673)=2,AG673-AF673,"")</x:f>
      </x:c>
      <x:c r="AI673" s="10" t="n">
        <x:v>19</x:v>
      </x:c>
      <x:c r="AJ673" s="10"/>
      <x:c r="AK673" s="10" t="str">
        <x:f>IF(COUNT(AJ673,AI673)=2,AJ673-AI673,"")</x:f>
      </x:c>
      <x:c r="AL673" s="10" t="n">
        <x:v>33</x:v>
      </x:c>
      <x:c r="AM673" s="10"/>
      <x:c r="AN673" s="4" t="str">
        <x:v>LW</x:v>
      </x:c>
      <x:c r="AO673" s="4"/>
      <x:c r="AP673" s="4" t="str">
        <x:v>SJ</x:v>
      </x:c>
      <x:c r="AQ673" s="4"/>
      <x:c r="AR673" s="4" t="n">
        <x:v>13.229999999999999</x:v>
      </x:c>
      <x:c r="AS673" s="4"/>
      <x:c r="AT673" s="4" t="n">
        <x:v>1.35</x:v>
      </x:c>
      <x:c r="AU673" s="4"/>
      <x:c r="AV673" s="10"/>
      <x:c r="AW673" s="10"/>
      <x:c r="AX673" s="10"/>
      <x:c r="AY673" s="10"/>
      <x:c r="AZ673" s="10" t="n">
        <x:v>296</x:v>
      </x:c>
      <x:c r="BA673" s="10" t="n">
        <x:v>368</x:v>
      </x:c>
      <x:c r="BB673" s="4" t="n">
        <x:v>44.6</x:v>
      </x:c>
      <x:c r="BC673" s="4" t="n">
        <x:v>-0.7</x:v>
      </x:c>
      <x:c r="BD673" s="10" t="n">
        <x:v>205</x:v>
      </x:c>
      <x:c r="BE673" s="10" t="n">
        <x:v>276</x:v>
      </x:c>
      <x:c r="BF673" s="4" t="n">
        <x:v>42.6</x:v>
      </x:c>
      <x:c r="BG673" s="4" t="n">
        <x:v>-2</x:v>
      </x:c>
      <x:c r="BH673" s="4" t="n">
        <x:v>9</x:v>
      </x:c>
      <x:c r="BI673" s="4" t="n">
        <x:v>88.6</x:v>
      </x:c>
      <x:c r="BJ673" s="4" t="n">
        <x:v>97.6</x:v>
      </x:c>
      <x:c r="BK673" s="4" t="n">
        <x:v>39.8</x:v>
      </x:c>
      <x:c r="BL673" s="4" t="n">
        <x:v>60.2</x:v>
      </x:c>
      <x:c r="BM673" s="4" t="n">
        <x:v>12.35</x:v>
      </x:c>
      <x:c r="BN673" s="4" t="n">
        <x:v>10.583333333333334</x:v>
      </x:c>
      <x:c r="BO673" s="10" t="n">
        <x:v>10</x:v>
      </x:c>
      <x:c r="BP673" s="10" t="n">
        <x:v>27</x:v>
      </x:c>
      <x:c r="BQ673" s="4" t="n">
        <x:v>-2.3</x:v>
      </x:c>
      <x:c r="BR673" s="10" t="n">
        <x:v>117</x:v>
      </x:c>
      <x:c r="BS673" s="4" t="n">
        <x:v>47.9</x:v>
      </x:c>
      <x:c r="BT673" s="10" t="n">
        <x:v>32</x:v>
      </x:c>
      <x:c r="BU673" s="4" t="str">
        <x:v>SJS</x:v>
      </x:c>
      <x:c r="BV673" s="10" t="n">
        <x:v>288</x:v>
      </x:c>
      <x:c r="BW673" s="10"/>
      <x:c r="BX673" s="10" t="n">
        <x:v>938</x:v>
      </x:c>
      <x:c r="BY673" s="4" t="str">
        <x:v>Jeff Skinner</x:v>
      </x:c>
      <x:c r="BZ673" s="4"/>
      <x:c r="CA673" s="4" t="str">
        <x:v>Jeff Skinner</x:v>
      </x:c>
      <x:c r="CB673" s="4" t="str">
        <x:v>skinnje01</x:v>
      </x:c>
    </x:row>
    <x:row r="674" ht="22" customHeight="1">
      <x:c r="A674" s="4" t="str">
        <x:v>Jeffrey Viel</x:v>
      </x:c>
      <x:c r="B674" s="4" t="str">
        <x:v>jeffreyviel</x:v>
      </x:c>
      <x:c r="C674" s="10" t="n">
        <x:v>0</x:v>
      </x:c>
      <x:c r="D674" s="10" t="n">
        <x:v>0</x:v>
      </x:c>
      <x:c r="E674" s="10" t="n">
        <x:v>1</x:v>
      </x:c>
      <x:c r="F674" s="4" t="str">
        <x:f>IF(COUNT(N674,Q674,T674,W674,Z674,AC674,AF674,AI674)=8,N674*Guide!$E$5+Q674*Guide!$E$6+T674*Guide!$E$7+W674*Guide!$E$8+Z674*Guide!$E$9+AC674*Guide!$E$10+AF674*Guide!$E$11+AI674*Guide!$E$12,"")</x:f>
      </x:c>
      <x:c r="G674" s="4" t="str">
        <x:f>IF(COUNT(O674,R674,U674,X674,AA674,AD674,AG674,AJ674)=8,O674*Guide!$E$5+R674*Guide!$E$6+U674*Guide!$E$7+X674*Guide!$E$8+AA674*Guide!$E$9+AD674*Guide!$E$10+AG674*Guide!$E$11+AJ674*Guide!$E$12,"")</x:f>
      </x:c>
      <x:c r="H674" s="4" t="str">
        <x:f>IF(COUNT(G674,F674)=2,G674-F674,"")</x:f>
      </x:c>
      <x:c r="I674" s="4" t="str">
        <x:f>IF(AND(ISNUMBER(F674),K674&gt;0),F674/K674,"")</x:f>
      </x:c>
      <x:c r="J674" s="4" t="str">
        <x:f>IF(AND(ISNUMBER(G674),L674&gt;0),G674/L674,"")</x:f>
      </x:c>
      <x:c r="K674" s="10"/>
      <x:c r="L674" s="10"/>
      <x:c r="M674" s="10" t="str">
        <x:f>IF(COUNT(L674,K674)=2,L674-K674,"")</x:f>
      </x:c>
      <x:c r="N674" s="10"/>
      <x:c r="O674" s="10"/>
      <x:c r="P674" s="10" t="str">
        <x:f>IF(COUNT(O674,N674)=2,O674-N674,"")</x:f>
      </x:c>
      <x:c r="Q674" s="10"/>
      <x:c r="R674" s="10"/>
      <x:c r="S674" s="10" t="str">
        <x:f>IF(COUNT(R674,Q674)=2,R674-Q674,"")</x:f>
      </x:c>
      <x:c r="T674" s="10"/>
      <x:c r="U674" s="10"/>
      <x:c r="V674" s="10" t="str">
        <x:f>IF(COUNT(U674,T674)=2,U674-T674,"")</x:f>
      </x:c>
      <x:c r="W674" s="10"/>
      <x:c r="X674" s="10" t="str">
        <x:f>IF(COUNT(AV674,AW674)=2,AV674+AW674,"")</x:f>
      </x:c>
      <x:c r="Y674" s="10" t="str">
        <x:f>IF(COUNT(X674,W674)=2,X674-W674,"")</x:f>
      </x:c>
      <x:c r="Z674" s="10"/>
      <x:c r="AA674" s="10" t="str">
        <x:f>IF(COUNT(AX674,AY674)=2,AX674+AY674,"")</x:f>
      </x:c>
      <x:c r="AB674" s="10" t="str">
        <x:f>IF(COUNT(AA674,Z674)=2,AA674-Z674,"")</x:f>
      </x:c>
      <x:c r="AC674" s="10"/>
      <x:c r="AD674" s="10"/>
      <x:c r="AE674" s="10" t="str">
        <x:f>IF(COUNT(AD674,AC674)=2,AD674-AC674,"")</x:f>
      </x:c>
      <x:c r="AF674" s="10"/>
      <x:c r="AG674" s="10"/>
      <x:c r="AH674" s="10" t="str">
        <x:f>IF(COUNT(AG674,AF674)=2,AG674-AF674,"")</x:f>
      </x:c>
      <x:c r="AI674" s="10"/>
      <x:c r="AJ674" s="10"/>
      <x:c r="AK674" s="10" t="str">
        <x:f>IF(COUNT(AJ674,AI674)=2,AJ674-AI674,"")</x:f>
      </x:c>
      <x:c r="AL674" s="10"/>
      <x:c r="AM674" s="10"/>
      <x:c r="AN674" s="4"/>
      <x:c r="AO674" s="4"/>
      <x:c r="AP674" s="4"/>
      <x:c r="AQ674" s="4"/>
      <x:c r="AR674" s="4"/>
      <x:c r="AS674" s="4"/>
      <x:c r="AT674" s="4"/>
      <x:c r="AU674" s="4"/>
      <x:c r="AV674" s="10"/>
      <x:c r="AW674" s="10"/>
      <x:c r="AX674" s="10"/>
      <x:c r="AY674" s="10"/>
      <x:c r="AZ674" s="10" t="n">
        <x:v>602</x:v>
      </x:c>
      <x:c r="BA674" s="10" t="n">
        <x:v>522</x:v>
      </x:c>
      <x:c r="BB674" s="4" t="n">
        <x:v>53.6</x:v>
      </x:c>
      <x:c r="BC674" s="4" t="n">
        <x:v>1.2</x:v>
      </x:c>
      <x:c r="BD674" s="10" t="n">
        <x:v>448</x:v>
      </x:c>
      <x:c r="BE674" s="10" t="n">
        <x:v>365</x:v>
      </x:c>
      <x:c r="BF674" s="4" t="n">
        <x:v>55.1</x:v>
      </x:c>
      <x:c r="BG674" s="4" t="n">
        <x:v>2.9</x:v>
      </x:c>
      <x:c r="BH674" s="4" t="n">
        <x:v>8.6</x:v>
      </x:c>
      <x:c r="BI674" s="4" t="n">
        <x:v>88.3</x:v>
      </x:c>
      <x:c r="BJ674" s="4" t="n">
        <x:v>96.9</x:v>
      </x:c>
      <x:c r="BK674" s="4" t="n">
        <x:v>47.1</x:v>
      </x:c>
      <x:c r="BL674" s="4" t="n">
        <x:v>52.9</x:v>
      </x:c>
      <x:c r="BM674" s="4" t="n">
        <x:v>11.933333333333334</x:v>
      </x:c>
      <x:c r="BN674" s="4" t="n">
        <x:v>11.766666666666667</x:v>
      </x:c>
      <x:c r="BO674" s="10" t="n">
        <x:v>8</x:v>
      </x:c>
      <x:c r="BP674" s="10" t="n">
        <x:v>30</x:v>
      </x:c>
      <x:c r="BQ674" s="4" t="n">
        <x:v>4.4</x:v>
      </x:c>
      <x:c r="BR674" s="10" t="n">
        <x:v>128</x:v>
      </x:c>
      <x:c r="BS674" s="4" t="n">
        <x:v>48.4</x:v>
      </x:c>
      <x:c r="BT674" s="10" t="n">
        <x:v>45</x:v>
      </x:c>
      <x:c r="BU674" s="4" t="str">
        <x:v>TOT</x:v>
      </x:c>
      <x:c r="BV674" s="10"/>
      <x:c r="BW674" s="10"/>
      <x:c r="BX674" s="10" t="n">
        <x:v>1050</x:v>
      </x:c>
      <x:c r="BY674" s="4"/>
      <x:c r="BZ674" s="4"/>
      <x:c r="CA674" s="4" t="str">
        <x:v>Jeffrey Viel</x:v>
      </x:c>
      <x:c r="CB674" s="4" t="str">
        <x:v>vielje01</x:v>
      </x:c>
    </x:row>
    <x:row r="675" ht="22" customHeight="1">
      <x:c r="A675" s="4" t="str">
        <x:v>Jeremy Lauzon</x:v>
      </x:c>
      <x:c r="B675" s="4" t="str">
        <x:v>jeremylauzon</x:v>
      </x:c>
      <x:c r="C675" s="10" t="n">
        <x:v>1</x:v>
      </x:c>
      <x:c r="D675" s="10" t="n">
        <x:v>0</x:v>
      </x:c>
      <x:c r="E675" s="10" t="n">
        <x:v>1</x:v>
      </x:c>
      <x:c r="F675" s="4" t="n">
        <x:f>IF(COUNT(N675,Q675,T675,W675,Z675,AC675,AF675,AI675)=8,N675*Guide!$E$5+Q675*Guide!$E$6+T675*Guide!$E$7+W675*Guide!$E$8+Z675*Guide!$E$9+AC675*Guide!$E$10+AF675*Guide!$E$11+AI675*Guide!$E$12,"")</x:f>
        <x:v>222.25</x:v>
      </x:c>
      <x:c r="G675" s="4" t="str">
        <x:f>IF(COUNT(O675,R675,U675,X675,AA675,AD675,AG675,AJ675)=8,O675*Guide!$E$5+R675*Guide!$E$6+U675*Guide!$E$7+X675*Guide!$E$8+AA675*Guide!$E$9+AD675*Guide!$E$10+AG675*Guide!$E$11+AJ675*Guide!$E$12,"")</x:f>
      </x:c>
      <x:c r="H675" s="4" t="str">
        <x:f>IF(COUNT(G675,F675)=2,G675-F675,"")</x:f>
      </x:c>
      <x:c r="I675" s="4" t="n">
        <x:f>IF(AND(ISNUMBER(F675),K675&gt;0),F675/K675,"")</x:f>
        <x:v>2.8493589743589745</x:v>
      </x:c>
      <x:c r="J675" s="4" t="str">
        <x:f>IF(AND(ISNUMBER(G675),L675&gt;0),G675/L675,"")</x:f>
      </x:c>
      <x:c r="K675" s="10" t="n">
        <x:v>78</x:v>
      </x:c>
      <x:c r="L675" s="10"/>
      <x:c r="M675" s="10" t="str">
        <x:f>IF(COUNT(L675,K675)=2,L675-K675,"")</x:f>
      </x:c>
      <x:c r="N675" s="10" t="n">
        <x:v>4</x:v>
      </x:c>
      <x:c r="O675" s="10"/>
      <x:c r="P675" s="10" t="str">
        <x:f>IF(COUNT(O675,N675)=2,O675-N675,"")</x:f>
      </x:c>
      <x:c r="Q675" s="10" t="n">
        <x:v>10</x:v>
      </x:c>
      <x:c r="R675" s="10"/>
      <x:c r="S675" s="10" t="str">
        <x:f>IF(COUNT(R675,Q675)=2,R675-Q675,"")</x:f>
      </x:c>
      <x:c r="T675" s="10" t="n">
        <x:v>-1</x:v>
      </x:c>
      <x:c r="U675" s="10"/>
      <x:c r="V675" s="10" t="str">
        <x:f>IF(COUNT(U675,T675)=2,U675-T675,"")</x:f>
      </x:c>
      <x:c r="W675" s="10" t="n">
        <x:v>0</x:v>
      </x:c>
      <x:c r="X675" s="10" t="str">
        <x:f>IF(COUNT(AV675,AW675)=2,AV675+AW675,"")</x:f>
      </x:c>
      <x:c r="Y675" s="10" t="str">
        <x:f>IF(COUNT(X675,W675)=2,X675-W675,"")</x:f>
      </x:c>
      <x:c r="Z675" s="10" t="n">
        <x:v>1</x:v>
      </x:c>
      <x:c r="AA675" s="10" t="str">
        <x:f>IF(COUNT(AX675,AY675)=2,AX675+AY675,"")</x:f>
      </x:c>
      <x:c r="AB675" s="10" t="str">
        <x:f>IF(COUNT(AA675,Z675)=2,AA675-Z675,"")</x:f>
      </x:c>
      <x:c r="AC675" s="10" t="n">
        <x:v>80</x:v>
      </x:c>
      <x:c r="AD675" s="10"/>
      <x:c r="AE675" s="10" t="str">
        <x:f>IF(COUNT(AD675,AC675)=2,AD675-AC675,"")</x:f>
      </x:c>
      <x:c r="AF675" s="10" t="n">
        <x:v>323</x:v>
      </x:c>
      <x:c r="AG675" s="10"/>
      <x:c r="AH675" s="10" t="str">
        <x:f>IF(COUNT(AG675,AF675)=2,AG675-AF675,"")</x:f>
      </x:c>
      <x:c r="AI675" s="10" t="n">
        <x:v>98</x:v>
      </x:c>
      <x:c r="AJ675" s="10"/>
      <x:c r="AK675" s="10" t="str">
        <x:f>IF(COUNT(AJ675,AI675)=2,AJ675-AI675,"")</x:f>
      </x:c>
      <x:c r="AL675" s="10" t="n">
        <x:v>28</x:v>
      </x:c>
      <x:c r="AM675" s="10"/>
      <x:c r="AN675" s="4" t="str">
        <x:v>D</x:v>
      </x:c>
      <x:c r="AO675" s="4"/>
      <x:c r="AP675" s="4" t="str">
        <x:v>VGK</x:v>
      </x:c>
      <x:c r="AQ675" s="4"/>
      <x:c r="AR675" s="4" t="n">
        <x:v>18</x:v>
      </x:c>
      <x:c r="AS675" s="4"/>
      <x:c r="AT675" s="4" t="n">
        <x:v>0.08</x:v>
      </x:c>
      <x:c r="AU675" s="4"/>
      <x:c r="AV675" s="10"/>
      <x:c r="AW675" s="10"/>
      <x:c r="AX675" s="10"/>
      <x:c r="AY675" s="10"/>
      <x:c r="AZ675" s="10" t="n">
        <x:v>954</x:v>
      </x:c>
      <x:c r="BA675" s="10" t="n">
        <x:v>928</x:v>
      </x:c>
      <x:c r="BB675" s="4" t="n">
        <x:v>50.7</x:v>
      </x:c>
      <x:c r="BC675" s="4" t="n">
        <x:v>-2.5</x:v>
      </x:c>
      <x:c r="BD675" s="10" t="n">
        <x:v>690</x:v>
      </x:c>
      <x:c r="BE675" s="10" t="n">
        <x:v>662</x:v>
      </x:c>
      <x:c r="BF675" s="4" t="n">
        <x:v>51</x:v>
      </x:c>
      <x:c r="BG675" s="4" t="n">
        <x:v>-2.4</x:v>
      </x:c>
      <x:c r="BH675" s="4" t="n">
        <x:v>10.2</x:v>
      </x:c>
      <x:c r="BI675" s="4" t="n">
        <x:v>87.3</x:v>
      </x:c>
      <x:c r="BJ675" s="4" t="n">
        <x:v>97.5</x:v>
      </x:c>
      <x:c r="BK675" s="4" t="n">
        <x:v>49.2</x:v>
      </x:c>
      <x:c r="BL675" s="4" t="n">
        <x:v>50.8</x:v>
      </x:c>
      <x:c r="BM675" s="4" t="n">
        <x:v>17.183333333333334</x:v>
      </x:c>
      <x:c r="BN675" s="4" t="n">
        <x:v>15.25</x:v>
      </x:c>
      <x:c r="BO675" s="10" t="n">
        <x:v>11</x:v>
      </x:c>
      <x:c r="BP675" s="10" t="n">
        <x:v>45</x:v>
      </x:c>
      <x:c r="BQ675" s="4" t="n">
        <x:v>4.8</x:v>
      </x:c>
      <x:c r="BR675" s="10" t="n">
        <x:v>176</x:v>
      </x:c>
      <x:c r="BS675" s="4" t="n">
        <x:v>41.5</x:v>
      </x:c>
      <x:c r="BT675" s="10" t="n">
        <x:v>68</x:v>
      </x:c>
      <x:c r="BU675" s="4" t="str">
        <x:v>VEG</x:v>
      </x:c>
      <x:c r="BV675" s="10" t="n">
        <x:v>641</x:v>
      </x:c>
      <x:c r="BW675" s="10"/>
      <x:c r="BX675" s="10" t="n">
        <x:v>580</x:v>
      </x:c>
      <x:c r="BY675" s="4" t="str">
        <x:v>Jeremy Lauzon</x:v>
      </x:c>
      <x:c r="BZ675" s="4"/>
      <x:c r="CA675" s="4" t="str">
        <x:v>Jeremy Lauzon</x:v>
      </x:c>
      <x:c r="CB675" s="4" t="str">
        <x:v>lauzoje01</x:v>
      </x:c>
    </x:row>
    <x:row r="676" ht="22" customHeight="1">
      <x:c r="A676" s="4" t="str">
        <x:v>Jesper Boqvist</x:v>
      </x:c>
      <x:c r="B676" s="4" t="str">
        <x:v>jesperboqvist</x:v>
      </x:c>
      <x:c r="C676" s="10" t="n">
        <x:v>1</x:v>
      </x:c>
      <x:c r="D676" s="10" t="n">
        <x:v>0</x:v>
      </x:c>
      <x:c r="E676" s="10" t="n">
        <x:v>1</x:v>
      </x:c>
      <x:c r="F676" s="4" t="n">
        <x:f>IF(COUNT(N676,Q676,T676,W676,Z676,AC676,AF676,AI676)=8,N676*Guide!$E$5+Q676*Guide!$E$6+T676*Guide!$E$7+W676*Guide!$E$8+Z676*Guide!$E$9+AC676*Guide!$E$10+AF676*Guide!$E$11+AI676*Guide!$E$12,"")</x:f>
        <x:v>178</x:v>
      </x:c>
      <x:c r="G676" s="4" t="str">
        <x:f>IF(COUNT(O676,R676,U676,X676,AA676,AD676,AG676,AJ676)=8,O676*Guide!$E$5+R676*Guide!$E$6+U676*Guide!$E$7+X676*Guide!$E$8+AA676*Guide!$E$9+AD676*Guide!$E$10+AG676*Guide!$E$11+AJ676*Guide!$E$12,"")</x:f>
      </x:c>
      <x:c r="H676" s="4" t="str">
        <x:f>IF(COUNT(G676,F676)=2,G676-F676,"")</x:f>
      </x:c>
      <x:c r="I676" s="4" t="n">
        <x:f>IF(AND(ISNUMBER(F676),K676&gt;0),F676/K676,"")</x:f>
        <x:v>2.4383561643835616</x:v>
      </x:c>
      <x:c r="J676" s="4" t="str">
        <x:f>IF(AND(ISNUMBER(G676),L676&gt;0),G676/L676,"")</x:f>
      </x:c>
      <x:c r="K676" s="10" t="n">
        <x:v>73</x:v>
      </x:c>
      <x:c r="L676" s="10"/>
      <x:c r="M676" s="10" t="str">
        <x:f>IF(COUNT(L676,K676)=2,L676-K676,"")</x:f>
      </x:c>
      <x:c r="N676" s="10" t="n">
        <x:v>12</x:v>
      </x:c>
      <x:c r="O676" s="10"/>
      <x:c r="P676" s="10" t="str">
        <x:f>IF(COUNT(O676,N676)=2,O676-N676,"")</x:f>
      </x:c>
      <x:c r="Q676" s="10" t="n">
        <x:v>15</x:v>
      </x:c>
      <x:c r="R676" s="10"/>
      <x:c r="S676" s="10" t="str">
        <x:f>IF(COUNT(R676,Q676)=2,R676-Q676,"")</x:f>
      </x:c>
      <x:c r="T676" s="10" t="n">
        <x:v>2</x:v>
      </x:c>
      <x:c r="U676" s="10"/>
      <x:c r="V676" s="10" t="str">
        <x:f>IF(COUNT(U676,T676)=2,U676-T676,"")</x:f>
      </x:c>
      <x:c r="W676" s="10" t="n">
        <x:v>2</x:v>
      </x:c>
      <x:c r="X676" s="10" t="str">
        <x:f>IF(COUNT(AV676,AW676)=2,AV676+AW676,"")</x:f>
      </x:c>
      <x:c r="Y676" s="10" t="str">
        <x:f>IF(COUNT(X676,W676)=2,X676-W676,"")</x:f>
      </x:c>
      <x:c r="Z676" s="10" t="n">
        <x:v>1</x:v>
      </x:c>
      <x:c r="AA676" s="10" t="str">
        <x:f>IF(COUNT(AX676,AY676)=2,AX676+AY676,"")</x:f>
      </x:c>
      <x:c r="AB676" s="10" t="str">
        <x:f>IF(COUNT(AA676,Z676)=2,AA676-Z676,"")</x:f>
      </x:c>
      <x:c r="AC676" s="10" t="n">
        <x:v>82</x:v>
      </x:c>
      <x:c r="AD676" s="10"/>
      <x:c r="AE676" s="10" t="str">
        <x:f>IF(COUNT(AD676,AC676)=2,AD676-AC676,"")</x:f>
      </x:c>
      <x:c r="AF676" s="10" t="n">
        <x:v>146</x:v>
      </x:c>
      <x:c r="AG676" s="10"/>
      <x:c r="AH676" s="10" t="str">
        <x:f>IF(COUNT(AG676,AF676)=2,AG676-AF676,"")</x:f>
      </x:c>
      <x:c r="AI676" s="10" t="n">
        <x:v>28</x:v>
      </x:c>
      <x:c r="AJ676" s="10"/>
      <x:c r="AK676" s="10" t="str">
        <x:f>IF(COUNT(AJ676,AI676)=2,AJ676-AI676,"")</x:f>
      </x:c>
      <x:c r="AL676" s="10" t="n">
        <x:v>27</x:v>
      </x:c>
      <x:c r="AM676" s="10"/>
      <x:c r="AN676" s="4" t="str">
        <x:v>C</x:v>
      </x:c>
      <x:c r="AO676" s="4"/>
      <x:c r="AP676" s="4" t="str">
        <x:v>FLA</x:v>
      </x:c>
      <x:c r="AQ676" s="4"/>
      <x:c r="AR676" s="4" t="n">
        <x:v>12.979999999999999</x:v>
      </x:c>
      <x:c r="AS676" s="4"/>
      <x:c r="AT676" s="4" t="n">
        <x:v>0.28</x:v>
      </x:c>
      <x:c r="AU676" s="4"/>
      <x:c r="AV676" s="10"/>
      <x:c r="AW676" s="10"/>
      <x:c r="AX676" s="10"/>
      <x:c r="AY676" s="10"/>
      <x:c r="AZ676" s="10" t="n">
        <x:v>672</x:v>
      </x:c>
      <x:c r="BA676" s="10" t="n">
        <x:v>727</x:v>
      </x:c>
      <x:c r="BB676" s="4" t="n">
        <x:v>48</x:v>
      </x:c>
      <x:c r="BC676" s="4" t="n">
        <x:v>-5.1</x:v>
      </x:c>
      <x:c r="BD676" s="10" t="n">
        <x:v>489</x:v>
      </x:c>
      <x:c r="BE676" s="10" t="n">
        <x:v>518</x:v>
      </x:c>
      <x:c r="BF676" s="4" t="n">
        <x:v>48.6</x:v>
      </x:c>
      <x:c r="BG676" s="4" t="n">
        <x:v>-3.4</x:v>
      </x:c>
      <x:c r="BH676" s="4" t="n">
        <x:v>7.4</x:v>
      </x:c>
      <x:c r="BI676" s="4" t="n">
        <x:v>89.6</x:v>
      </x:c>
      <x:c r="BJ676" s="4" t="n">
        <x:v>97.1</x:v>
      </x:c>
      <x:c r="BK676" s="4" t="n">
        <x:v>53</x:v>
      </x:c>
      <x:c r="BL676" s="4" t="n">
        <x:v>47</x:v>
      </x:c>
      <x:c r="BM676" s="4" t="n">
        <x:v>11.833333333333334</x:v>
      </x:c>
      <x:c r="BN676" s="4" t="n">
        <x:v>10.7</x:v>
      </x:c>
      <x:c r="BO676" s="10" t="n">
        <x:v>9</x:v>
      </x:c>
      <x:c r="BP676" s="10" t="n">
        <x:v>55</x:v>
      </x:c>
      <x:c r="BQ676" s="4" t="n">
        <x:v>-1.8</x:v>
      </x:c>
      <x:c r="BR676" s="10" t="n">
        <x:v>143</x:v>
      </x:c>
      <x:c r="BS676" s="4" t="n">
        <x:v>44.8</x:v>
      </x:c>
      <x:c r="BT676" s="10" t="n">
        <x:v>73</x:v>
      </x:c>
      <x:c r="BU676" s="4" t="str">
        <x:v>FLA</x:v>
      </x:c>
      <x:c r="BV676" s="10" t="n">
        <x:v>412</x:v>
      </x:c>
      <x:c r="BW676" s="10"/>
      <x:c r="BX676" s="10" t="n">
        <x:v>82</x:v>
      </x:c>
      <x:c r="BY676" s="4" t="str">
        <x:v>Jesper Boqvist</x:v>
      </x:c>
      <x:c r="BZ676" s="4"/>
      <x:c r="CA676" s="4" t="str">
        <x:v>Jesper Boqvist</x:v>
      </x:c>
      <x:c r="CB676" s="4" t="str">
        <x:v>boqvije01</x:v>
      </x:c>
    </x:row>
    <x:row r="677" ht="22" customHeight="1">
      <x:c r="A677" s="4" t="str">
        <x:v>Jesperi Kotkaniemi</x:v>
      </x:c>
      <x:c r="B677" s="4" t="str">
        <x:v>jesperikotkaniemi</x:v>
      </x:c>
      <x:c r="C677" s="10" t="n">
        <x:v>1</x:v>
      </x:c>
      <x:c r="D677" s="10" t="n">
        <x:v>0</x:v>
      </x:c>
      <x:c r="E677" s="10" t="n">
        <x:v>1</x:v>
      </x:c>
      <x:c r="F677" s="4" t="n">
        <x:f>IF(COUNT(N677,Q677,T677,W677,Z677,AC677,AF677,AI677)=8,N677*Guide!$E$5+Q677*Guide!$E$6+T677*Guide!$E$7+W677*Guide!$E$8+Z677*Guide!$E$9+AC677*Guide!$E$10+AF677*Guide!$E$11+AI677*Guide!$E$12,"")</x:f>
        <x:v>219.75</x:v>
      </x:c>
      <x:c r="G677" s="4" t="str">
        <x:f>IF(COUNT(O677,R677,U677,X677,AA677,AD677,AG677,AJ677)=8,O677*Guide!$E$5+R677*Guide!$E$6+U677*Guide!$E$7+X677*Guide!$E$8+AA677*Guide!$E$9+AD677*Guide!$E$10+AG677*Guide!$E$11+AJ677*Guide!$E$12,"")</x:f>
      </x:c>
      <x:c r="H677" s="4" t="str">
        <x:f>IF(COUNT(G677,F677)=2,G677-F677,"")</x:f>
      </x:c>
      <x:c r="I677" s="4" t="n">
        <x:f>IF(AND(ISNUMBER(F677),K677&gt;0),F677/K677,"")</x:f>
        <x:v>2.746875</x:v>
      </x:c>
      <x:c r="J677" s="4" t="str">
        <x:f>IF(AND(ISNUMBER(G677),L677&gt;0),G677/L677,"")</x:f>
      </x:c>
      <x:c r="K677" s="10" t="n">
        <x:v>80</x:v>
      </x:c>
      <x:c r="L677" s="10"/>
      <x:c r="M677" s="10" t="str">
        <x:f>IF(COUNT(L677,K677)=2,L677-K677,"")</x:f>
      </x:c>
      <x:c r="N677" s="10" t="n">
        <x:v>16</x:v>
      </x:c>
      <x:c r="O677" s="10"/>
      <x:c r="P677" s="10" t="str">
        <x:f>IF(COUNT(O677,N677)=2,O677-N677,"")</x:f>
      </x:c>
      <x:c r="Q677" s="10" t="n">
        <x:v>24</x:v>
      </x:c>
      <x:c r="R677" s="10"/>
      <x:c r="S677" s="10" t="str">
        <x:f>IF(COUNT(R677,Q677)=2,R677-Q677,"")</x:f>
      </x:c>
      <x:c r="T677" s="10" t="n">
        <x:v>7</x:v>
      </x:c>
      <x:c r="U677" s="10"/>
      <x:c r="V677" s="10" t="str">
        <x:f>IF(COUNT(U677,T677)=2,U677-T677,"")</x:f>
      </x:c>
      <x:c r="W677" s="10" t="n">
        <x:v>6</x:v>
      </x:c>
      <x:c r="X677" s="10" t="str">
        <x:f>IF(COUNT(AV677,AW677)=2,AV677+AW677,"")</x:f>
      </x:c>
      <x:c r="Y677" s="10" t="str">
        <x:f>IF(COUNT(X677,W677)=2,X677-W677,"")</x:f>
      </x:c>
      <x:c r="Z677" s="10" t="n">
        <x:v>0</x:v>
      </x:c>
      <x:c r="AA677" s="10" t="str">
        <x:f>IF(COUNT(AX677,AY677)=2,AX677+AY677,"")</x:f>
      </x:c>
      <x:c r="AB677" s="10" t="str">
        <x:f>IF(COUNT(AA677,Z677)=2,AA677-Z677,"")</x:f>
      </x:c>
      <x:c r="AC677" s="10" t="n">
        <x:v>119</x:v>
      </x:c>
      <x:c r="AD677" s="10"/>
      <x:c r="AE677" s="10" t="str">
        <x:f>IF(COUNT(AD677,AC677)=2,AD677-AC677,"")</x:f>
      </x:c>
      <x:c r="AF677" s="10" t="n">
        <x:v>71</x:v>
      </x:c>
      <x:c r="AG677" s="10"/>
      <x:c r="AH677" s="10" t="str">
        <x:f>IF(COUNT(AG677,AF677)=2,AG677-AF677,"")</x:f>
      </x:c>
      <x:c r="AI677" s="10" t="n">
        <x:v>31</x:v>
      </x:c>
      <x:c r="AJ677" s="10"/>
      <x:c r="AK677" s="10" t="str">
        <x:f>IF(COUNT(AJ677,AI677)=2,AJ677-AI677,"")</x:f>
      </x:c>
      <x:c r="AL677" s="10" t="n">
        <x:v>25</x:v>
      </x:c>
      <x:c r="AM677" s="10"/>
      <x:c r="AN677" s="4" t="str">
        <x:v>C</x:v>
      </x:c>
      <x:c r="AO677" s="4"/>
      <x:c r="AP677" s="4" t="str">
        <x:v>CAR</x:v>
      </x:c>
      <x:c r="AQ677" s="4"/>
      <x:c r="AR677" s="4" t="n">
        <x:v>14.27</x:v>
      </x:c>
      <x:c r="AS677" s="4"/>
      <x:c r="AT677" s="4" t="n">
        <x:v>1.41</x:v>
      </x:c>
      <x:c r="AU677" s="4"/>
      <x:c r="AV677" s="10"/>
      <x:c r="AW677" s="10"/>
      <x:c r="AX677" s="10"/>
      <x:c r="AY677" s="10"/>
      <x:c r="AZ677" s="10" t="n">
        <x:v>460</x:v>
      </x:c>
      <x:c r="BA677" s="10" t="n">
        <x:v>385</x:v>
      </x:c>
      <x:c r="BB677" s="4" t="n">
        <x:v>54.4</x:v>
      </x:c>
      <x:c r="BC677" s="4" t="n">
        <x:v>-3.6</x:v>
      </x:c>
      <x:c r="BD677" s="10" t="n">
        <x:v>310</x:v>
      </x:c>
      <x:c r="BE677" s="10" t="n">
        <x:v>269</x:v>
      </x:c>
      <x:c r="BF677" s="4" t="n">
        <x:v>53.5</x:v>
      </x:c>
      <x:c r="BG677" s="4" t="n">
        <x:v>-2.6</x:v>
      </x:c>
      <x:c r="BH677" s="4" t="n">
        <x:v>10.3</x:v>
      </x:c>
      <x:c r="BI677" s="4" t="n">
        <x:v>91.2</x:v>
      </x:c>
      <x:c r="BJ677" s="4" t="n">
        <x:v>101.5</x:v>
      </x:c>
      <x:c r="BK677" s="4" t="n">
        <x:v>60.8</x:v>
      </x:c>
      <x:c r="BL677" s="4" t="n">
        <x:v>39.2</x:v>
      </x:c>
      <x:c r="BM677" s="4" t="n">
        <x:v>11.35</x:v>
      </x:c>
      <x:c r="BN677" s="4" t="n">
        <x:v>10.933333333333334</x:v>
      </x:c>
      <x:c r="BO677" s="10" t="n">
        <x:v>3</x:v>
      </x:c>
      <x:c r="BP677" s="10" t="n">
        <x:v>32</x:v>
      </x:c>
      <x:c r="BQ677" s="4" t="n">
        <x:v>-1.2</x:v>
      </x:c>
      <x:c r="BR677" s="10" t="n">
        <x:v>80</x:v>
      </x:c>
      <x:c r="BS677" s="4" t="n">
        <x:v>52.5</x:v>
      </x:c>
      <x:c r="BT677" s="10" t="n">
        <x:v>42</x:v>
      </x:c>
      <x:c r="BU677" s="4" t="str">
        <x:v>CAR</x:v>
      </x:c>
      <x:c r="BV677" s="10" t="n">
        <x:v>253</x:v>
      </x:c>
      <x:c r="BW677" s="10"/>
      <x:c r="BX677" s="10" t="n">
        <x:v>538</x:v>
      </x:c>
      <x:c r="BY677" s="4" t="str">
        <x:v>Jesperi Kotkaniemi</x:v>
      </x:c>
      <x:c r="BZ677" s="4"/>
      <x:c r="CA677" s="4" t="str">
        <x:v>Jesperi Kotkaniemi</x:v>
      </x:c>
      <x:c r="CB677" s="4" t="str">
        <x:v>kotkaje01</x:v>
      </x:c>
    </x:row>
    <x:row r="678" ht="22" customHeight="1">
      <x:c r="A678" s="4" t="str">
        <x:v>Jett Luchanko</x:v>
      </x:c>
      <x:c r="B678" s="4" t="str">
        <x:v>jettluchanko</x:v>
      </x:c>
      <x:c r="C678" s="10" t="n">
        <x:v>0</x:v>
      </x:c>
      <x:c r="D678" s="10" t="n">
        <x:v>0</x:v>
      </x:c>
      <x:c r="E678" s="10" t="n">
        <x:v>1</x:v>
      </x:c>
      <x:c r="F678" s="4" t="str">
        <x:f>IF(COUNT(N678,Q678,T678,W678,Z678,AC678,AF678,AI678)=8,N678*Guide!$E$5+Q678*Guide!$E$6+T678*Guide!$E$7+W678*Guide!$E$8+Z678*Guide!$E$9+AC678*Guide!$E$10+AF678*Guide!$E$11+AI678*Guide!$E$12,"")</x:f>
      </x:c>
      <x:c r="G678" s="4" t="str">
        <x:f>IF(COUNT(O678,R678,U678,X678,AA678,AD678,AG678,AJ678)=8,O678*Guide!$E$5+R678*Guide!$E$6+U678*Guide!$E$7+X678*Guide!$E$8+AA678*Guide!$E$9+AD678*Guide!$E$10+AG678*Guide!$E$11+AJ678*Guide!$E$12,"")</x:f>
      </x:c>
      <x:c r="H678" s="4" t="str">
        <x:f>IF(COUNT(G678,F678)=2,G678-F678,"")</x:f>
      </x:c>
      <x:c r="I678" s="4" t="str">
        <x:f>IF(AND(ISNUMBER(F678),K678&gt;0),F678/K678,"")</x:f>
      </x:c>
      <x:c r="J678" s="4" t="str">
        <x:f>IF(AND(ISNUMBER(G678),L678&gt;0),G678/L678,"")</x:f>
      </x:c>
      <x:c r="K678" s="10"/>
      <x:c r="L678" s="10"/>
      <x:c r="M678" s="10" t="str">
        <x:f>IF(COUNT(L678,K678)=2,L678-K678,"")</x:f>
      </x:c>
      <x:c r="N678" s="10"/>
      <x:c r="O678" s="10"/>
      <x:c r="P678" s="10" t="str">
        <x:f>IF(COUNT(O678,N678)=2,O678-N678,"")</x:f>
      </x:c>
      <x:c r="Q678" s="10"/>
      <x:c r="R678" s="10"/>
      <x:c r="S678" s="10" t="str">
        <x:f>IF(COUNT(R678,Q678)=2,R678-Q678,"")</x:f>
      </x:c>
      <x:c r="T678" s="10"/>
      <x:c r="U678" s="10"/>
      <x:c r="V678" s="10" t="str">
        <x:f>IF(COUNT(U678,T678)=2,U678-T678,"")</x:f>
      </x:c>
      <x:c r="W678" s="10"/>
      <x:c r="X678" s="10" t="str">
        <x:f>IF(COUNT(AV678,AW678)=2,AV678+AW678,"")</x:f>
      </x:c>
      <x:c r="Y678" s="10" t="str">
        <x:f>IF(COUNT(X678,W678)=2,X678-W678,"")</x:f>
      </x:c>
      <x:c r="Z678" s="10"/>
      <x:c r="AA678" s="10" t="str">
        <x:f>IF(COUNT(AX678,AY678)=2,AX678+AY678,"")</x:f>
      </x:c>
      <x:c r="AB678" s="10" t="str">
        <x:f>IF(COUNT(AA678,Z678)=2,AA678-Z678,"")</x:f>
      </x:c>
      <x:c r="AC678" s="10"/>
      <x:c r="AD678" s="10"/>
      <x:c r="AE678" s="10" t="str">
        <x:f>IF(COUNT(AD678,AC678)=2,AD678-AC678,"")</x:f>
      </x:c>
      <x:c r="AF678" s="10"/>
      <x:c r="AG678" s="10"/>
      <x:c r="AH678" s="10" t="str">
        <x:f>IF(COUNT(AG678,AF678)=2,AG678-AF678,"")</x:f>
      </x:c>
      <x:c r="AI678" s="10"/>
      <x:c r="AJ678" s="10"/>
      <x:c r="AK678" s="10" t="str">
        <x:f>IF(COUNT(AJ678,AI678)=2,AJ678-AI678,"")</x:f>
      </x:c>
      <x:c r="AL678" s="10"/>
      <x:c r="AM678" s="10"/>
      <x:c r="AN678" s="4"/>
      <x:c r="AO678" s="4"/>
      <x:c r="AP678" s="4"/>
      <x:c r="AQ678" s="4"/>
      <x:c r="AR678" s="4"/>
      <x:c r="AS678" s="4"/>
      <x:c r="AT678" s="4"/>
      <x:c r="AU678" s="4"/>
      <x:c r="AV678" s="10"/>
      <x:c r="AW678" s="10"/>
      <x:c r="AX678" s="10"/>
      <x:c r="AY678" s="10"/>
      <x:c r="AZ678" s="10" t="n">
        <x:v>22</x:v>
      </x:c>
      <x:c r="BA678" s="10" t="n">
        <x:v>24</x:v>
      </x:c>
      <x:c r="BB678" s="4" t="n">
        <x:v>47.8</x:v>
      </x:c>
      <x:c r="BC678" s="4" t="n">
        <x:v>-0.1</x:v>
      </x:c>
      <x:c r="BD678" s="10" t="n">
        <x:v>17</x:v>
      </x:c>
      <x:c r="BE678" s="10" t="n">
        <x:v>16</x:v>
      </x:c>
      <x:c r="BF678" s="4" t="n">
        <x:v>51.5</x:v>
      </x:c>
      <x:c r="BG678" s="4" t="n">
        <x:v>4.3</x:v>
      </x:c>
      <x:c r="BH678" s="4" t="n">
        <x:v>0</x:v>
      </x:c>
      <x:c r="BI678" s="4" t="n">
        <x:v>72.7</x:v>
      </x:c>
      <x:c r="BJ678" s="4" t="n">
        <x:v>72.7</x:v>
      </x:c>
      <x:c r="BK678" s="4" t="n">
        <x:v>75</x:v>
      </x:c>
      <x:c r="BL678" s="4" t="n">
        <x:v>25</x:v>
      </x:c>
      <x:c r="BM678" s="4" t="n">
        <x:v>8.966666666666667</x:v>
      </x:c>
      <x:c r="BN678" s="4" t="n">
        <x:v>8.866666666666667</x:v>
      </x:c>
      <x:c r="BO678" s="10" t="n">
        <x:v>0</x:v>
      </x:c>
      <x:c r="BP678" s="10" t="n">
        <x:v>1</x:v>
      </x:c>
      <x:c r="BQ678" s="4" t="n">
        <x:v>-0.3</x:v>
      </x:c>
      <x:c r="BR678" s="10" t="n">
        <x:v>2</x:v>
      </x:c>
      <x:c r="BS678" s="4" t="n">
        <x:v>50</x:v>
      </x:c>
      <x:c r="BT678" s="10" t="n">
        <x:v>4</x:v>
      </x:c>
      <x:c r="BU678" s="4" t="str">
        <x:v>PHI</x:v>
      </x:c>
      <x:c r="BV678" s="10"/>
      <x:c r="BW678" s="10"/>
      <x:c r="BX678" s="10" t="n">
        <x:v>609</x:v>
      </x:c>
      <x:c r="BY678" s="4"/>
      <x:c r="BZ678" s="4"/>
      <x:c r="CA678" s="4" t="str">
        <x:v>Jett Luchanko</x:v>
      </x:c>
      <x:c r="CB678" s="4" t="str">
        <x:v>luchaje01</x:v>
      </x:c>
    </x:row>
    <x:row r="679" ht="22" customHeight="1">
      <x:c r="A679" s="4" t="str">
        <x:v>Jimmy Vesey</x:v>
      </x:c>
      <x:c r="B679" s="4" t="str">
        <x:v>jimmyvesey</x:v>
      </x:c>
      <x:c r="C679" s="10" t="n">
        <x:v>1</x:v>
      </x:c>
      <x:c r="D679" s="10" t="n">
        <x:v>0</x:v>
      </x:c>
      <x:c r="E679" s="10" t="n">
        <x:v>0</x:v>
      </x:c>
      <x:c r="F679" s="4" t="n">
        <x:f>IF(COUNT(N679,Q679,T679,W679,Z679,AC679,AF679,AI679)=8,N679*Guide!$E$5+Q679*Guide!$E$6+T679*Guide!$E$7+W679*Guide!$E$8+Z679*Guide!$E$9+AC679*Guide!$E$10+AF679*Guide!$E$11+AI679*Guide!$E$12,"")</x:f>
        <x:v>98.25</x:v>
      </x:c>
      <x:c r="G679" s="4" t="str">
        <x:f>IF(COUNT(O679,R679,U679,X679,AA679,AD679,AG679,AJ679)=8,O679*Guide!$E$5+R679*Guide!$E$6+U679*Guide!$E$7+X679*Guide!$E$8+AA679*Guide!$E$9+AD679*Guide!$E$10+AG679*Guide!$E$11+AJ679*Guide!$E$12,"")</x:f>
      </x:c>
      <x:c r="H679" s="4" t="str">
        <x:f>IF(COUNT(G679,F679)=2,G679-F679,"")</x:f>
      </x:c>
      <x:c r="I679" s="4" t="n">
        <x:f>IF(AND(ISNUMBER(F679),K679&gt;0),F679/K679,"")</x:f>
        <x:v>1.6375</x:v>
      </x:c>
      <x:c r="J679" s="4" t="str">
        <x:f>IF(AND(ISNUMBER(G679),L679&gt;0),G679/L679,"")</x:f>
      </x:c>
      <x:c r="K679" s="10" t="n">
        <x:v>60</x:v>
      </x:c>
      <x:c r="L679" s="10"/>
      <x:c r="M679" s="10" t="str">
        <x:f>IF(COUNT(L679,K679)=2,L679-K679,"")</x:f>
      </x:c>
      <x:c r="N679" s="10" t="n">
        <x:v>8</x:v>
      </x:c>
      <x:c r="O679" s="10"/>
      <x:c r="P679" s="10" t="str">
        <x:f>IF(COUNT(O679,N679)=2,O679-N679,"")</x:f>
      </x:c>
      <x:c r="Q679" s="10" t="n">
        <x:v>8</x:v>
      </x:c>
      <x:c r="R679" s="10"/>
      <x:c r="S679" s="10" t="str">
        <x:f>IF(COUNT(R679,Q679)=2,R679-Q679,"")</x:f>
      </x:c>
      <x:c r="T679" s="10" t="n">
        <x:v>-1</x:v>
      </x:c>
      <x:c r="U679" s="10"/>
      <x:c r="V679" s="10" t="str">
        <x:f>IF(COUNT(U679,T679)=2,U679-T679,"")</x:f>
      </x:c>
      <x:c r="W679" s="10" t="n">
        <x:v>0</x:v>
      </x:c>
      <x:c r="X679" s="10" t="str">
        <x:f>IF(COUNT(AV679,AW679)=2,AV679+AW679,"")</x:f>
      </x:c>
      <x:c r="Y679" s="10" t="str">
        <x:f>IF(COUNT(X679,W679)=2,X679-W679,"")</x:f>
      </x:c>
      <x:c r="Z679" s="10" t="n">
        <x:v>0</x:v>
      </x:c>
      <x:c r="AA679" s="10" t="str">
        <x:f>IF(COUNT(AX679,AY679)=2,AX679+AY679,"")</x:f>
      </x:c>
      <x:c r="AB679" s="10" t="str">
        <x:f>IF(COUNT(AA679,Z679)=2,AA679-Z679,"")</x:f>
      </x:c>
      <x:c r="AC679" s="10" t="n">
        <x:v>60</x:v>
      </x:c>
      <x:c r="AD679" s="10"/>
      <x:c r="AE679" s="10" t="str">
        <x:f>IF(COUNT(AD679,AC679)=2,AD679-AC679,"")</x:f>
      </x:c>
      <x:c r="AF679" s="10" t="n">
        <x:v>50</x:v>
      </x:c>
      <x:c r="AG679" s="10"/>
      <x:c r="AH679" s="10" t="str">
        <x:f>IF(COUNT(AG679,AF679)=2,AG679-AF679,"")</x:f>
      </x:c>
      <x:c r="AI679" s="10" t="n">
        <x:v>21</x:v>
      </x:c>
      <x:c r="AJ679" s="10"/>
      <x:c r="AK679" s="10" t="str">
        <x:f>IF(COUNT(AJ679,AI679)=2,AJ679-AI679,"")</x:f>
      </x:c>
      <x:c r="AL679" s="10" t="n">
        <x:v>32</x:v>
      </x:c>
      <x:c r="AM679" s="10"/>
      <x:c r="AN679" s="4" t="str">
        <x:v>LW</x:v>
      </x:c>
      <x:c r="AO679" s="4"/>
      <x:c r="AP679" s="4" t="str">
        <x:v>COL</x:v>
      </x:c>
      <x:c r="AQ679" s="4"/>
      <x:c r="AR679" s="4" t="n">
        <x:v>10.989999999999998</x:v>
      </x:c>
      <x:c r="AS679" s="4"/>
      <x:c r="AT679" s="4" t="n">
        <x:v>0.12</x:v>
      </x:c>
      <x:c r="AU679" s="4"/>
      <x:c r="AV679" s="10"/>
      <x:c r="AW679" s="10"/>
      <x:c r="AX679" s="10"/>
      <x:c r="AY679" s="10"/>
      <x:c r="AZ679" s="10"/>
      <x:c r="BA679" s="10"/>
      <x:c r="BB679" s="4"/>
      <x:c r="BC679" s="4"/>
      <x:c r="BD679" s="10"/>
      <x:c r="BE679" s="10"/>
      <x:c r="BF679" s="4"/>
      <x:c r="BG679" s="4"/>
      <x:c r="BH679" s="4"/>
      <x:c r="BI679" s="4"/>
      <x:c r="BJ679" s="4"/>
      <x:c r="BK679" s="4"/>
      <x:c r="BL679" s="4"/>
      <x:c r="BM679" s="4"/>
      <x:c r="BN679" s="4"/>
      <x:c r="BO679" s="10"/>
      <x:c r="BP679" s="10"/>
      <x:c r="BQ679" s="4"/>
      <x:c r="BR679" s="10"/>
      <x:c r="BS679" s="4"/>
      <x:c r="BT679" s="10"/>
      <x:c r="BU679" s="4"/>
      <x:c r="BV679" s="10" t="n">
        <x:v>616</x:v>
      </x:c>
      <x:c r="BW679" s="10"/>
      <x:c r="BX679" s="10"/>
      <x:c r="BY679" s="4" t="str">
        <x:v>Jimmy Vesey</x:v>
      </x:c>
      <x:c r="BZ679" s="4"/>
      <x:c r="CA679" s="4"/>
      <x:c r="CB679" s="4"/>
    </x:row>
    <x:row r="680" ht="22" customHeight="1">
      <x:c r="A680" s="4" t="str">
        <x:v>Jiri Kulich</x:v>
      </x:c>
      <x:c r="B680" s="4" t="str">
        <x:v>jirikulich</x:v>
      </x:c>
      <x:c r="C680" s="10" t="n">
        <x:v>1</x:v>
      </x:c>
      <x:c r="D680" s="10" t="n">
        <x:v>0</x:v>
      </x:c>
      <x:c r="E680" s="10" t="n">
        <x:v>1</x:v>
      </x:c>
      <x:c r="F680" s="4" t="n">
        <x:f>IF(COUNT(N680,Q680,T680,W680,Z680,AC680,AF680,AI680)=8,N680*Guide!$E$5+Q680*Guide!$E$6+T680*Guide!$E$7+W680*Guide!$E$8+Z680*Guide!$E$9+AC680*Guide!$E$10+AF680*Guide!$E$11+AI680*Guide!$E$12,"")</x:f>
        <x:v>283.25</x:v>
      </x:c>
      <x:c r="G680" s="4" t="str">
        <x:f>IF(COUNT(O680,R680,U680,X680,AA680,AD680,AG680,AJ680)=8,O680*Guide!$E$5+R680*Guide!$E$6+U680*Guide!$E$7+X680*Guide!$E$8+AA680*Guide!$E$9+AD680*Guide!$E$10+AG680*Guide!$E$11+AJ680*Guide!$E$12,"")</x:f>
      </x:c>
      <x:c r="H680" s="4" t="str">
        <x:f>IF(COUNT(G680,F680)=2,G680-F680,"")</x:f>
      </x:c>
      <x:c r="I680" s="4" t="n">
        <x:f>IF(AND(ISNUMBER(F680),K680&gt;0),F680/K680,"")</x:f>
        <x:v>3.6314102564102564</x:v>
      </x:c>
      <x:c r="J680" s="4" t="str">
        <x:f>IF(AND(ISNUMBER(G680),L680&gt;0),G680/L680,"")</x:f>
      </x:c>
      <x:c r="K680" s="10" t="n">
        <x:v>78</x:v>
      </x:c>
      <x:c r="L680" s="10"/>
      <x:c r="M680" s="10" t="str">
        <x:f>IF(COUNT(L680,K680)=2,L680-K680,"")</x:f>
      </x:c>
      <x:c r="N680" s="10" t="n">
        <x:v>28</x:v>
      </x:c>
      <x:c r="O680" s="10"/>
      <x:c r="P680" s="10" t="str">
        <x:f>IF(COUNT(O680,N680)=2,O680-N680,"")</x:f>
      </x:c>
      <x:c r="Q680" s="10" t="n">
        <x:v>22</x:v>
      </x:c>
      <x:c r="R680" s="10"/>
      <x:c r="S680" s="10" t="str">
        <x:f>IF(COUNT(R680,Q680)=2,R680-Q680,"")</x:f>
      </x:c>
      <x:c r="T680" s="10" t="n">
        <x:v>-2</x:v>
      </x:c>
      <x:c r="U680" s="10"/>
      <x:c r="V680" s="10" t="str">
        <x:f>IF(COUNT(U680,T680)=2,U680-T680,"")</x:f>
      </x:c>
      <x:c r="W680" s="10" t="n">
        <x:v>11</x:v>
      </x:c>
      <x:c r="X680" s="10" t="str">
        <x:f>IF(COUNT(AV680,AW680)=2,AV680+AW680,"")</x:f>
      </x:c>
      <x:c r="Y680" s="10" t="str">
        <x:f>IF(COUNT(X680,W680)=2,X680-W680,"")</x:f>
      </x:c>
      <x:c r="Z680" s="10" t="n">
        <x:v>0</x:v>
      </x:c>
      <x:c r="AA680" s="10" t="str">
        <x:f>IF(COUNT(AX680,AY680)=2,AX680+AY680,"")</x:f>
      </x:c>
      <x:c r="AB680" s="10" t="str">
        <x:f>IF(COUNT(AA680,Z680)=2,AA680-Z680,"")</x:f>
      </x:c>
      <x:c r="AC680" s="10" t="n">
        <x:v>191</x:v>
      </x:c>
      <x:c r="AD680" s="10"/>
      <x:c r="AE680" s="10" t="str">
        <x:f>IF(COUNT(AD680,AC680)=2,AD680-AC680,"")</x:f>
      </x:c>
      <x:c r="AF680" s="10" t="n">
        <x:v>53</x:v>
      </x:c>
      <x:c r="AG680" s="10"/>
      <x:c r="AH680" s="10" t="str">
        <x:f>IF(COUNT(AG680,AF680)=2,AG680-AF680,"")</x:f>
      </x:c>
      <x:c r="AI680" s="10" t="n">
        <x:v>47</x:v>
      </x:c>
      <x:c r="AJ680" s="10"/>
      <x:c r="AK680" s="10" t="str">
        <x:f>IF(COUNT(AJ680,AI680)=2,AJ680-AI680,"")</x:f>
      </x:c>
      <x:c r="AL680" s="10" t="n">
        <x:v>21</x:v>
      </x:c>
      <x:c r="AM680" s="10"/>
      <x:c r="AN680" s="4" t="str">
        <x:v>C</x:v>
      </x:c>
      <x:c r="AO680" s="4"/>
      <x:c r="AP680" s="4" t="str">
        <x:v>BUF</x:v>
      </x:c>
      <x:c r="AQ680" s="4"/>
      <x:c r="AR680" s="4" t="n">
        <x:v>16.32</x:v>
      </x:c>
      <x:c r="AS680" s="4"/>
      <x:c r="AT680" s="4" t="n">
        <x:v>2.45</x:v>
      </x:c>
      <x:c r="AU680" s="4"/>
      <x:c r="AV680" s="10"/>
      <x:c r="AW680" s="10"/>
      <x:c r="AX680" s="10"/>
      <x:c r="AY680" s="10"/>
      <x:c r="AZ680" s="10" t="n">
        <x:v>196</x:v>
      </x:c>
      <x:c r="BA680" s="10" t="n">
        <x:v>190</x:v>
      </x:c>
      <x:c r="BB680" s="4" t="n">
        <x:v>50.8</x:v>
      </x:c>
      <x:c r="BC680" s="4" t="n">
        <x:v>3.3</x:v>
      </x:c>
      <x:c r="BD680" s="10" t="n">
        <x:v>129</x:v>
      </x:c>
      <x:c r="BE680" s="10" t="n">
        <x:v>132</x:v>
      </x:c>
      <x:c r="BF680" s="4" t="n">
        <x:v>49.4</x:v>
      </x:c>
      <x:c r="BG680" s="4" t="n">
        <x:v>1.6</x:v>
      </x:c>
      <x:c r="BH680" s="4" t="n">
        <x:v>8.1</x:v>
      </x:c>
      <x:c r="BI680" s="4" t="n">
        <x:v>87.9</x:v>
      </x:c>
      <x:c r="BJ680" s="4" t="n">
        <x:v>96.1</x:v>
      </x:c>
      <x:c r="BK680" s="4" t="n">
        <x:v>54.5</x:v>
      </x:c>
      <x:c r="BL680" s="4" t="n">
        <x:v>45.5</x:v>
      </x:c>
      <x:c r="BM680" s="4" t="n">
        <x:v>16.366666666666667</x:v>
      </x:c>
      <x:c r="BN680" s="4" t="n">
        <x:v>14.7</x:v>
      </x:c>
      <x:c r="BO680" s="10" t="n">
        <x:v>1</x:v>
      </x:c>
      <x:c r="BP680" s="10" t="n">
        <x:v>10</x:v>
      </x:c>
      <x:c r="BQ680" s="4" t="n">
        <x:v>-2</x:v>
      </x:c>
      <x:c r="BR680" s="10" t="n">
        <x:v>43</x:v>
      </x:c>
      <x:c r="BS680" s="4" t="n">
        <x:v>46.5</x:v>
      </x:c>
      <x:c r="BT680" s="10" t="n">
        <x:v>12</x:v>
      </x:c>
      <x:c r="BU680" s="4" t="str">
        <x:v>BUF</x:v>
      </x:c>
      <x:c r="BV680" s="10" t="n">
        <x:v>157</x:v>
      </x:c>
      <x:c r="BW680" s="10"/>
      <x:c r="BX680" s="10" t="n">
        <x:v>549</x:v>
      </x:c>
      <x:c r="BY680" s="4" t="str">
        <x:v>Jiri Kulich</x:v>
      </x:c>
      <x:c r="BZ680" s="4"/>
      <x:c r="CA680" s="4" t="str">
        <x:v>Jiri Kulich</x:v>
      </x:c>
      <x:c r="CB680" s="4" t="str">
        <x:v>kulicji01</x:v>
      </x:c>
    </x:row>
    <x:row r="681" ht="22" customHeight="1">
      <x:c r="A681" s="4" t="str">
        <x:v>Joakim Kemell</x:v>
      </x:c>
      <x:c r="B681" s="4" t="str">
        <x:v>joakimkemell</x:v>
      </x:c>
      <x:c r="C681" s="10" t="n">
        <x:v>0</x:v>
      </x:c>
      <x:c r="D681" s="10" t="n">
        <x:v>0</x:v>
      </x:c>
      <x:c r="E681" s="10" t="n">
        <x:v>1</x:v>
      </x:c>
      <x:c r="F681" s="4" t="str">
        <x:f>IF(COUNT(N681,Q681,T681,W681,Z681,AC681,AF681,AI681)=8,N681*Guide!$E$5+Q681*Guide!$E$6+T681*Guide!$E$7+W681*Guide!$E$8+Z681*Guide!$E$9+AC681*Guide!$E$10+AF681*Guide!$E$11+AI681*Guide!$E$12,"")</x:f>
      </x:c>
      <x:c r="G681" s="4" t="str">
        <x:f>IF(COUNT(O681,R681,U681,X681,AA681,AD681,AG681,AJ681)=8,O681*Guide!$E$5+R681*Guide!$E$6+U681*Guide!$E$7+X681*Guide!$E$8+AA681*Guide!$E$9+AD681*Guide!$E$10+AG681*Guide!$E$11+AJ681*Guide!$E$12,"")</x:f>
      </x:c>
      <x:c r="H681" s="4" t="str">
        <x:f>IF(COUNT(G681,F681)=2,G681-F681,"")</x:f>
      </x:c>
      <x:c r="I681" s="4" t="str">
        <x:f>IF(AND(ISNUMBER(F681),K681&gt;0),F681/K681,"")</x:f>
      </x:c>
      <x:c r="J681" s="4" t="str">
        <x:f>IF(AND(ISNUMBER(G681),L681&gt;0),G681/L681,"")</x:f>
      </x:c>
      <x:c r="K681" s="10"/>
      <x:c r="L681" s="10"/>
      <x:c r="M681" s="10" t="str">
        <x:f>IF(COUNT(L681,K681)=2,L681-K681,"")</x:f>
      </x:c>
      <x:c r="N681" s="10"/>
      <x:c r="O681" s="10"/>
      <x:c r="P681" s="10" t="str">
        <x:f>IF(COUNT(O681,N681)=2,O681-N681,"")</x:f>
      </x:c>
      <x:c r="Q681" s="10"/>
      <x:c r="R681" s="10"/>
      <x:c r="S681" s="10" t="str">
        <x:f>IF(COUNT(R681,Q681)=2,R681-Q681,"")</x:f>
      </x:c>
      <x:c r="T681" s="10"/>
      <x:c r="U681" s="10"/>
      <x:c r="V681" s="10" t="str">
        <x:f>IF(COUNT(U681,T681)=2,U681-T681,"")</x:f>
      </x:c>
      <x:c r="W681" s="10"/>
      <x:c r="X681" s="10" t="str">
        <x:f>IF(COUNT(AV681,AW681)=2,AV681+AW681,"")</x:f>
      </x:c>
      <x:c r="Y681" s="10" t="str">
        <x:f>IF(COUNT(X681,W681)=2,X681-W681,"")</x:f>
      </x:c>
      <x:c r="Z681" s="10"/>
      <x:c r="AA681" s="10" t="str">
        <x:f>IF(COUNT(AX681,AY681)=2,AX681+AY681,"")</x:f>
      </x:c>
      <x:c r="AB681" s="10" t="str">
        <x:f>IF(COUNT(AA681,Z681)=2,AA681-Z681,"")</x:f>
      </x:c>
      <x:c r="AC681" s="10"/>
      <x:c r="AD681" s="10"/>
      <x:c r="AE681" s="10" t="str">
        <x:f>IF(COUNT(AD681,AC681)=2,AD681-AC681,"")</x:f>
      </x:c>
      <x:c r="AF681" s="10"/>
      <x:c r="AG681" s="10"/>
      <x:c r="AH681" s="10" t="str">
        <x:f>IF(COUNT(AG681,AF681)=2,AG681-AF681,"")</x:f>
      </x:c>
      <x:c r="AI681" s="10"/>
      <x:c r="AJ681" s="10"/>
      <x:c r="AK681" s="10" t="str">
        <x:f>IF(COUNT(AJ681,AI681)=2,AJ681-AI681,"")</x:f>
      </x:c>
      <x:c r="AL681" s="10"/>
      <x:c r="AM681" s="10"/>
      <x:c r="AN681" s="4"/>
      <x:c r="AO681" s="4"/>
      <x:c r="AP681" s="4"/>
      <x:c r="AQ681" s="4"/>
      <x:c r="AR681" s="4"/>
      <x:c r="AS681" s="4"/>
      <x:c r="AT681" s="4"/>
      <x:c r="AU681" s="4"/>
      <x:c r="AV681" s="10"/>
      <x:c r="AW681" s="10"/>
      <x:c r="AX681" s="10"/>
      <x:c r="AY681" s="10"/>
      <x:c r="AZ681" s="10" t="n">
        <x:v>118</x:v>
      </x:c>
      <x:c r="BA681" s="10" t="n">
        <x:v>183</x:v>
      </x:c>
      <x:c r="BB681" s="4" t="n">
        <x:v>39.2</x:v>
      </x:c>
      <x:c r="BC681" s="4" t="n">
        <x:v>-7.7</x:v>
      </x:c>
      <x:c r="BD681" s="10" t="n">
        <x:v>84</x:v>
      </x:c>
      <x:c r="BE681" s="10" t="n">
        <x:v>130</x:v>
      </x:c>
      <x:c r="BF681" s="4" t="n">
        <x:v>39.3</x:v>
      </x:c>
      <x:c r="BG681" s="4" t="n">
        <x:v>-5.9</x:v>
      </x:c>
      <x:c r="BH681" s="4" t="n">
        <x:v>10.5</x:v>
      </x:c>
      <x:c r="BI681" s="4" t="n">
        <x:v>93.6</x:v>
      </x:c>
      <x:c r="BJ681" s="4" t="n">
        <x:v>104.1</x:v>
      </x:c>
      <x:c r="BK681" s="4" t="n">
        <x:v>37.1</x:v>
      </x:c>
      <x:c r="BL681" s="4" t="n">
        <x:v>62.9</x:v>
      </x:c>
      <x:c r="BM681" s="4" t="n">
        <x:v>10.416666666666666</x:v>
      </x:c>
      <x:c r="BN681" s="4" t="n">
        <x:v>9.216666666666667</x:v>
      </x:c>
      <x:c r="BO681" s="10" t="n">
        <x:v>4</x:v>
      </x:c>
      <x:c r="BP681" s="10" t="n">
        <x:v>5</x:v>
      </x:c>
      <x:c r="BQ681" s="4" t="n">
        <x:v>-1</x:v>
      </x:c>
      <x:c r="BR681" s="10" t="n">
        <x:v>34</x:v>
      </x:c>
      <x:c r="BS681" s="4" t="n">
        <x:v>35.3</x:v>
      </x:c>
      <x:c r="BT681" s="10" t="n">
        <x:v>16</x:v>
      </x:c>
      <x:c r="BU681" s="4" t="str">
        <x:v>NSH</x:v>
      </x:c>
      <x:c r="BV681" s="10"/>
      <x:c r="BW681" s="10"/>
      <x:c r="BX681" s="10" t="n">
        <x:v>511</x:v>
      </x:c>
      <x:c r="BY681" s="4"/>
      <x:c r="BZ681" s="4"/>
      <x:c r="CA681" s="4" t="str">
        <x:v>Joakim Kemell</x:v>
      </x:c>
      <x:c r="CB681" s="4" t="str">
        <x:v>kemeljo01</x:v>
      </x:c>
    </x:row>
    <x:row r="682" ht="22" customHeight="1">
      <x:c r="A682" s="4" t="str">
        <x:v>Joe Veleno</x:v>
      </x:c>
      <x:c r="B682" s="4" t="str">
        <x:v>joeveleno</x:v>
      </x:c>
      <x:c r="C682" s="10" t="n">
        <x:v>1</x:v>
      </x:c>
      <x:c r="D682" s="10" t="n">
        <x:v>0</x:v>
      </x:c>
      <x:c r="E682" s="10" t="n">
        <x:v>1</x:v>
      </x:c>
      <x:c r="F682" s="4" t="n">
        <x:f>IF(COUNT(N682,Q682,T682,W682,Z682,AC682,AF682,AI682)=8,N682*Guide!$E$5+Q682*Guide!$E$6+T682*Guide!$E$7+W682*Guide!$E$8+Z682*Guide!$E$9+AC682*Guide!$E$10+AF682*Guide!$E$11+AI682*Guide!$E$12,"")</x:f>
        <x:v>151.5</x:v>
      </x:c>
      <x:c r="G682" s="4" t="str">
        <x:f>IF(COUNT(O682,R682,U682,X682,AA682,AD682,AG682,AJ682)=8,O682*Guide!$E$5+R682*Guide!$E$6+U682*Guide!$E$7+X682*Guide!$E$8+AA682*Guide!$E$9+AD682*Guide!$E$10+AG682*Guide!$E$11+AJ682*Guide!$E$12,"")</x:f>
      </x:c>
      <x:c r="H682" s="4" t="str">
        <x:f>IF(COUNT(G682,F682)=2,G682-F682,"")</x:f>
      </x:c>
      <x:c r="I682" s="4" t="n">
        <x:f>IF(AND(ISNUMBER(F682),K682&gt;0),F682/K682,"")</x:f>
        <x:v>1.993421052631579</x:v>
      </x:c>
      <x:c r="J682" s="4" t="str">
        <x:f>IF(AND(ISNUMBER(G682),L682&gt;0),G682/L682,"")</x:f>
      </x:c>
      <x:c r="K682" s="10" t="n">
        <x:v>76</x:v>
      </x:c>
      <x:c r="L682" s="10"/>
      <x:c r="M682" s="10" t="str">
        <x:f>IF(COUNT(L682,K682)=2,L682-K682,"")</x:f>
      </x:c>
      <x:c r="N682" s="10" t="n">
        <x:v>10</x:v>
      </x:c>
      <x:c r="O682" s="10"/>
      <x:c r="P682" s="10" t="str">
        <x:f>IF(COUNT(O682,N682)=2,O682-N682,"")</x:f>
      </x:c>
      <x:c r="Q682" s="10" t="n">
        <x:v>12</x:v>
      </x:c>
      <x:c r="R682" s="10"/>
      <x:c r="S682" s="10" t="str">
        <x:f>IF(COUNT(R682,Q682)=2,R682-Q682,"")</x:f>
      </x:c>
      <x:c r="T682" s="10" t="n">
        <x:v>-11</x:v>
      </x:c>
      <x:c r="U682" s="10"/>
      <x:c r="V682" s="10" t="str">
        <x:f>IF(COUNT(U682,T682)=2,U682-T682,"")</x:f>
      </x:c>
      <x:c r="W682" s="10" t="n">
        <x:v>2</x:v>
      </x:c>
      <x:c r="X682" s="10" t="str">
        <x:f>IF(COUNT(AV682,AW682)=2,AV682+AW682,"")</x:f>
      </x:c>
      <x:c r="Y682" s="10" t="str">
        <x:f>IF(COUNT(X682,W682)=2,X682-W682,"")</x:f>
      </x:c>
      <x:c r="Z682" s="10" t="n">
        <x:v>0</x:v>
      </x:c>
      <x:c r="AA682" s="10" t="str">
        <x:f>IF(COUNT(AX682,AY682)=2,AX682+AY682,"")</x:f>
      </x:c>
      <x:c r="AB682" s="10" t="str">
        <x:f>IF(COUNT(AA682,Z682)=2,AA682-Z682,"")</x:f>
      </x:c>
      <x:c r="AC682" s="10" t="n">
        <x:v>76</x:v>
      </x:c>
      <x:c r="AD682" s="10"/>
      <x:c r="AE682" s="10" t="str">
        <x:f>IF(COUNT(AD682,AC682)=2,AD682-AC682,"")</x:f>
      </x:c>
      <x:c r="AF682" s="10" t="n">
        <x:v>136</x:v>
      </x:c>
      <x:c r="AG682" s="10"/>
      <x:c r="AH682" s="10" t="str">
        <x:f>IF(COUNT(AG682,AF682)=2,AG682-AF682,"")</x:f>
      </x:c>
      <x:c r="AI682" s="10" t="n">
        <x:v>42</x:v>
      </x:c>
      <x:c r="AJ682" s="10"/>
      <x:c r="AK682" s="10" t="str">
        <x:f>IF(COUNT(AJ682,AI682)=2,AJ682-AI682,"")</x:f>
      </x:c>
      <x:c r="AL682" s="10" t="n">
        <x:v>26</x:v>
      </x:c>
      <x:c r="AM682" s="10"/>
      <x:c r="AN682" s="4" t="str">
        <x:v>C</x:v>
      </x:c>
      <x:c r="AO682" s="4"/>
      <x:c r="AP682" s="4" t="str">
        <x:v>MTL</x:v>
      </x:c>
      <x:c r="AQ682" s="4"/>
      <x:c r="AR682" s="4" t="n">
        <x:v>12.68</x:v>
      </x:c>
      <x:c r="AS682" s="4"/>
      <x:c r="AT682" s="4" t="n">
        <x:v>0.33</x:v>
      </x:c>
      <x:c r="AU682" s="4"/>
      <x:c r="AV682" s="10"/>
      <x:c r="AW682" s="10"/>
      <x:c r="AX682" s="10"/>
      <x:c r="AY682" s="10"/>
      <x:c r="AZ682" s="10" t="n">
        <x:v>518</x:v>
      </x:c>
      <x:c r="BA682" s="10" t="n">
        <x:v>596</x:v>
      </x:c>
      <x:c r="BB682" s="4" t="n">
        <x:v>46.5</x:v>
      </x:c>
      <x:c r="BC682" s="4" t="n">
        <x:v>-2.6</x:v>
      </x:c>
      <x:c r="BD682" s="10" t="n">
        <x:v>353</x:v>
      </x:c>
      <x:c r="BE682" s="10" t="n">
        <x:v>411</x:v>
      </x:c>
      <x:c r="BF682" s="4" t="n">
        <x:v>46.2</x:v>
      </x:c>
      <x:c r="BG682" s="4" t="n">
        <x:v>-4.1</x:v>
      </x:c>
      <x:c r="BH682" s="4" t="n">
        <x:v>8.3</x:v>
      </x:c>
      <x:c r="BI682" s="4" t="n">
        <x:v>88.4</x:v>
      </x:c>
      <x:c r="BJ682" s="4" t="n">
        <x:v>96.6</x:v>
      </x:c>
      <x:c r="BK682" s="4" t="n">
        <x:v>43.3</x:v>
      </x:c>
      <x:c r="BL682" s="4" t="n">
        <x:v>56.7</x:v>
      </x:c>
      <x:c r="BM682" s="4" t="n">
        <x:v>12.083333333333334</x:v>
      </x:c>
      <x:c r="BN682" s="4" t="n">
        <x:v>10.516666666666667</x:v>
      </x:c>
      <x:c r="BO682" s="10" t="n">
        <x:v>8</x:v>
      </x:c>
      <x:c r="BP682" s="10" t="n">
        <x:v>19</x:v>
      </x:c>
      <x:c r="BQ682" s="4" t="n">
        <x:v>-1.4</x:v>
      </x:c>
      <x:c r="BR682" s="10" t="n">
        <x:v>100</x:v>
      </x:c>
      <x:c r="BS682" s="4" t="n">
        <x:v>52</x:v>
      </x:c>
      <x:c r="BT682" s="10" t="n">
        <x:v>61</x:v>
      </x:c>
      <x:c r="BU682" s="4" t="str">
        <x:v>MTL</x:v>
      </x:c>
      <x:c r="BV682" s="10" t="n">
        <x:v>485</x:v>
      </x:c>
      <x:c r="BW682" s="10"/>
      <x:c r="BX682" s="10" t="n">
        <x:v>1048</x:v>
      </x:c>
      <x:c r="BY682" s="4" t="str">
        <x:v>Joe Veleno</x:v>
      </x:c>
      <x:c r="BZ682" s="4"/>
      <x:c r="CA682" s="4" t="str">
        <x:v>Joe Veleno</x:v>
      </x:c>
      <x:c r="CB682" s="4" t="str">
        <x:v>velenjo01</x:v>
      </x:c>
    </x:row>
    <x:row r="683" ht="22" customHeight="1">
      <x:c r="A683" s="4" t="str">
        <x:v>Joel Hanley</x:v>
      </x:c>
      <x:c r="B683" s="4" t="str">
        <x:v>joelhanley</x:v>
      </x:c>
      <x:c r="C683" s="10" t="n">
        <x:v>1</x:v>
      </x:c>
      <x:c r="D683" s="10" t="n">
        <x:v>0</x:v>
      </x:c>
      <x:c r="E683" s="10" t="n">
        <x:v>1</x:v>
      </x:c>
      <x:c r="F683" s="4" t="n">
        <x:f>IF(COUNT(N683,Q683,T683,W683,Z683,AC683,AF683,AI683)=8,N683*Guide!$E$5+Q683*Guide!$E$6+T683*Guide!$E$7+W683*Guide!$E$8+Z683*Guide!$E$9+AC683*Guide!$E$10+AF683*Guide!$E$11+AI683*Guide!$E$12,"")</x:f>
        <x:v>138.5</x:v>
      </x:c>
      <x:c r="G683" s="4" t="str">
        <x:f>IF(COUNT(O683,R683,U683,X683,AA683,AD683,AG683,AJ683)=8,O683*Guide!$E$5+R683*Guide!$E$6+U683*Guide!$E$7+X683*Guide!$E$8+AA683*Guide!$E$9+AD683*Guide!$E$10+AG683*Guide!$E$11+AJ683*Guide!$E$12,"")</x:f>
      </x:c>
      <x:c r="H683" s="4" t="str">
        <x:f>IF(COUNT(G683,F683)=2,G683-F683,"")</x:f>
      </x:c>
      <x:c r="I683" s="4" t="n">
        <x:f>IF(AND(ISNUMBER(F683),K683&gt;0),F683/K683,"")</x:f>
        <x:v>2.308333333333333</x:v>
      </x:c>
      <x:c r="J683" s="4" t="str">
        <x:f>IF(AND(ISNUMBER(G683),L683&gt;0),G683/L683,"")</x:f>
      </x:c>
      <x:c r="K683" s="10" t="n">
        <x:v>60</x:v>
      </x:c>
      <x:c r="L683" s="10"/>
      <x:c r="M683" s="10" t="str">
        <x:f>IF(COUNT(L683,K683)=2,L683-K683,"")</x:f>
      </x:c>
      <x:c r="N683" s="10" t="n">
        <x:v>2</x:v>
      </x:c>
      <x:c r="O683" s="10"/>
      <x:c r="P683" s="10" t="str">
        <x:f>IF(COUNT(O683,N683)=2,O683-N683,"")</x:f>
      </x:c>
      <x:c r="Q683" s="10" t="n">
        <x:v>10</x:v>
      </x:c>
      <x:c r="R683" s="10"/>
      <x:c r="S683" s="10" t="str">
        <x:f>IF(COUNT(R683,Q683)=2,R683-Q683,"")</x:f>
      </x:c>
      <x:c r="T683" s="10" t="n">
        <x:v>5</x:v>
      </x:c>
      <x:c r="U683" s="10"/>
      <x:c r="V683" s="10" t="str">
        <x:f>IF(COUNT(U683,T683)=2,U683-T683,"")</x:f>
      </x:c>
      <x:c r="W683" s="10" t="n">
        <x:v>0</x:v>
      </x:c>
      <x:c r="X683" s="10" t="str">
        <x:f>IF(COUNT(AV683,AW683)=2,AV683+AW683,"")</x:f>
      </x:c>
      <x:c r="Y683" s="10" t="str">
        <x:f>IF(COUNT(X683,W683)=2,X683-W683,"")</x:f>
      </x:c>
      <x:c r="Z683" s="10" t="n">
        <x:v>0</x:v>
      </x:c>
      <x:c r="AA683" s="10" t="str">
        <x:f>IF(COUNT(AX683,AY683)=2,AX683+AY683,"")</x:f>
      </x:c>
      <x:c r="AB683" s="10" t="str">
        <x:f>IF(COUNT(AA683,Z683)=2,AA683-Z683,"")</x:f>
      </x:c>
      <x:c r="AC683" s="10" t="n">
        <x:v>45</x:v>
      </x:c>
      <x:c r="AD683" s="10"/>
      <x:c r="AE683" s="10" t="str">
        <x:f>IF(COUNT(AD683,AC683)=2,AD683-AC683,"")</x:f>
      </x:c>
      <x:c r="AF683" s="10" t="n">
        <x:v>61</x:v>
      </x:c>
      <x:c r="AG683" s="10"/>
      <x:c r="AH683" s="10" t="str">
        <x:f>IF(COUNT(AG683,AF683)=2,AG683-AF683,"")</x:f>
      </x:c>
      <x:c r="AI683" s="10" t="n">
        <x:v>92</x:v>
      </x:c>
      <x:c r="AJ683" s="10"/>
      <x:c r="AK683" s="10" t="str">
        <x:f>IF(COUNT(AJ683,AI683)=2,AJ683-AI683,"")</x:f>
      </x:c>
      <x:c r="AL683" s="10" t="n">
        <x:v>34</x:v>
      </x:c>
      <x:c r="AM683" s="10"/>
      <x:c r="AN683" s="4" t="str">
        <x:v>D</x:v>
      </x:c>
      <x:c r="AO683" s="4"/>
      <x:c r="AP683" s="4" t="str">
        <x:v>CGY</x:v>
      </x:c>
      <x:c r="AQ683" s="4"/>
      <x:c r="AR683" s="4" t="n">
        <x:v>17.830000000000002</x:v>
      </x:c>
      <x:c r="AS683" s="4"/>
      <x:c r="AT683" s="4" t="n">
        <x:v>0.1</x:v>
      </x:c>
      <x:c r="AU683" s="4"/>
      <x:c r="AV683" s="10"/>
      <x:c r="AW683" s="10"/>
      <x:c r="AX683" s="10"/>
      <x:c r="AY683" s="10"/>
      <x:c r="AZ683" s="10" t="n">
        <x:v>919</x:v>
      </x:c>
      <x:c r="BA683" s="10" t="n">
        <x:v>795</x:v>
      </x:c>
      <x:c r="BB683" s="4" t="n">
        <x:v>53.6</x:v>
      </x:c>
      <x:c r="BC683" s="4" t="n">
        <x:v>5.1</x:v>
      </x:c>
      <x:c r="BD683" s="10" t="n">
        <x:v>628</x:v>
      </x:c>
      <x:c r="BE683" s="10" t="n">
        <x:v>558</x:v>
      </x:c>
      <x:c r="BF683" s="4" t="n">
        <x:v>53</x:v>
      </x:c>
      <x:c r="BG683" s="4" t="n">
        <x:v>4.9</x:v>
      </x:c>
      <x:c r="BH683" s="4" t="n">
        <x:v>6.1</x:v>
      </x:c>
      <x:c r="BI683" s="4" t="n">
        <x:v>91.1</x:v>
      </x:c>
      <x:c r="BJ683" s="4" t="n">
        <x:v>97.2</x:v>
      </x:c>
      <x:c r="BK683" s="4" t="n">
        <x:v>60</x:v>
      </x:c>
      <x:c r="BL683" s="4" t="n">
        <x:v>40</x:v>
      </x:c>
      <x:c r="BM683" s="4" t="n">
        <x:v>14.666666666666666</x:v>
      </x:c>
      <x:c r="BN683" s="4" t="n">
        <x:v>13.683333333333334</x:v>
      </x:c>
      <x:c r="BO683" s="10" t="n">
        <x:v>10</x:v>
      </x:c>
      <x:c r="BP683" s="10" t="n">
        <x:v>53</x:v>
      </x:c>
      <x:c r="BQ683" s="4" t="n">
        <x:v>-0.8</x:v>
      </x:c>
      <x:c r="BR683" s="10" t="n">
        <x:v>118</x:v>
      </x:c>
      <x:c r="BS683" s="4" t="n">
        <x:v>36.4</x:v>
      </x:c>
      <x:c r="BT683" s="10" t="n">
        <x:v>68</x:v>
      </x:c>
      <x:c r="BU683" s="4" t="str">
        <x:v>CGY</x:v>
      </x:c>
      <x:c r="BV683" s="10" t="n">
        <x:v>688</x:v>
      </x:c>
      <x:c r="BW683" s="10"/>
      <x:c r="BX683" s="10" t="n">
        <x:v>387</x:v>
      </x:c>
      <x:c r="BY683" s="4" t="str">
        <x:v>Joel Hanley</x:v>
      </x:c>
      <x:c r="BZ683" s="4"/>
      <x:c r="CA683" s="4" t="str">
        <x:v>Joel Hanley</x:v>
      </x:c>
      <x:c r="CB683" s="4" t="str">
        <x:v>hanlejo01</x:v>
      </x:c>
    </x:row>
    <x:row r="684" ht="22" customHeight="1">
      <x:c r="A684" s="4" t="str">
        <x:v>Joel Kiviranta</x:v>
      </x:c>
      <x:c r="B684" s="4" t="str">
        <x:v>joelkiviranta</x:v>
      </x:c>
      <x:c r="C684" s="10" t="n">
        <x:v>1</x:v>
      </x:c>
      <x:c r="D684" s="10" t="n">
        <x:v>0</x:v>
      </x:c>
      <x:c r="E684" s="10" t="n">
        <x:v>1</x:v>
      </x:c>
      <x:c r="F684" s="4" t="n">
        <x:f>IF(COUNT(N684,Q684,T684,W684,Z684,AC684,AF684,AI684)=8,N684*Guide!$E$5+Q684*Guide!$E$6+T684*Guide!$E$7+W684*Guide!$E$8+Z684*Guide!$E$9+AC684*Guide!$E$10+AF684*Guide!$E$11+AI684*Guide!$E$12,"")</x:f>
        <x:v>149.25</x:v>
      </x:c>
      <x:c r="G684" s="4" t="str">
        <x:f>IF(COUNT(O684,R684,U684,X684,AA684,AD684,AG684,AJ684)=8,O684*Guide!$E$5+R684*Guide!$E$6+U684*Guide!$E$7+X684*Guide!$E$8+AA684*Guide!$E$9+AD684*Guide!$E$10+AG684*Guide!$E$11+AJ684*Guide!$E$12,"")</x:f>
      </x:c>
      <x:c r="H684" s="4" t="str">
        <x:f>IF(COUNT(G684,F684)=2,G684-F684,"")</x:f>
      </x:c>
      <x:c r="I684" s="4" t="n">
        <x:f>IF(AND(ISNUMBER(F684),K684&gt;0),F684/K684,"")</x:f>
        <x:v>2.016891891891892</x:v>
      </x:c>
      <x:c r="J684" s="4" t="str">
        <x:f>IF(AND(ISNUMBER(G684),L684&gt;0),G684/L684,"")</x:f>
      </x:c>
      <x:c r="K684" s="10" t="n">
        <x:v>74</x:v>
      </x:c>
      <x:c r="L684" s="10"/>
      <x:c r="M684" s="10" t="str">
        <x:f>IF(COUNT(L684,K684)=2,L684-K684,"")</x:f>
      </x:c>
      <x:c r="N684" s="10" t="n">
        <x:v>11</x:v>
      </x:c>
      <x:c r="O684" s="10"/>
      <x:c r="P684" s="10" t="str">
        <x:f>IF(COUNT(O684,N684)=2,O684-N684,"")</x:f>
      </x:c>
      <x:c r="Q684" s="10" t="n">
        <x:v>8</x:v>
      </x:c>
      <x:c r="R684" s="10"/>
      <x:c r="S684" s="10" t="str">
        <x:f>IF(COUNT(R684,Q684)=2,R684-Q684,"")</x:f>
      </x:c>
      <x:c r="T684" s="10" t="n">
        <x:v>3</x:v>
      </x:c>
      <x:c r="U684" s="10"/>
      <x:c r="V684" s="10" t="str">
        <x:f>IF(COUNT(U684,T684)=2,U684-T684,"")</x:f>
      </x:c>
      <x:c r="W684" s="10" t="n">
        <x:v>1</x:v>
      </x:c>
      <x:c r="X684" s="10" t="str">
        <x:f>IF(COUNT(AV684,AW684)=2,AV684+AW684,"")</x:f>
      </x:c>
      <x:c r="Y684" s="10" t="str">
        <x:f>IF(COUNT(X684,W684)=2,X684-W684,"")</x:f>
      </x:c>
      <x:c r="Z684" s="10" t="n">
        <x:v>1</x:v>
      </x:c>
      <x:c r="AA684" s="10" t="str">
        <x:f>IF(COUNT(AX684,AY684)=2,AX684+AY684,"")</x:f>
      </x:c>
      <x:c r="AB684" s="10" t="str">
        <x:f>IF(COUNT(AA684,Z684)=2,AA684-Z684,"")</x:f>
      </x:c>
      <x:c r="AC684" s="10" t="n">
        <x:v>75</x:v>
      </x:c>
      <x:c r="AD684" s="10"/>
      <x:c r="AE684" s="10" t="str">
        <x:f>IF(COUNT(AD684,AC684)=2,AD684-AC684,"")</x:f>
      </x:c>
      <x:c r="AF684" s="10" t="n">
        <x:v>108</x:v>
      </x:c>
      <x:c r="AG684" s="10"/>
      <x:c r="AH684" s="10" t="str">
        <x:f>IF(COUNT(AG684,AF684)=2,AG684-AF684,"")</x:f>
      </x:c>
      <x:c r="AI684" s="10" t="n">
        <x:v>38</x:v>
      </x:c>
      <x:c r="AJ684" s="10"/>
      <x:c r="AK684" s="10" t="str">
        <x:f>IF(COUNT(AJ684,AI684)=2,AJ684-AI684,"")</x:f>
      </x:c>
      <x:c r="AL684" s="10" t="n">
        <x:v>29</x:v>
      </x:c>
      <x:c r="AM684" s="10"/>
      <x:c r="AN684" s="4" t="str">
        <x:v>LW</x:v>
      </x:c>
      <x:c r="AO684" s="4"/>
      <x:c r="AP684" s="4" t="str">
        <x:v>COL</x:v>
      </x:c>
      <x:c r="AQ684" s="4"/>
      <x:c r="AR684" s="4" t="n">
        <x:v>12.2</x:v>
      </x:c>
      <x:c r="AS684" s="4"/>
      <x:c r="AT684" s="4" t="n">
        <x:v>0.18</x:v>
      </x:c>
      <x:c r="AU684" s="4"/>
      <x:c r="AV684" s="10"/>
      <x:c r="AW684" s="10"/>
      <x:c r="AX684" s="10"/>
      <x:c r="AY684" s="10"/>
      <x:c r="AZ684" s="10" t="n">
        <x:v>537</x:v>
      </x:c>
      <x:c r="BA684" s="10" t="n">
        <x:v>390</x:v>
      </x:c>
      <x:c r="BB684" s="4" t="n">
        <x:v>57.9</x:v>
      </x:c>
      <x:c r="BC684" s="4" t="n">
        <x:v>2</x:v>
      </x:c>
      <x:c r="BD684" s="10" t="n">
        <x:v>375</x:v>
      </x:c>
      <x:c r="BE684" s="10" t="n">
        <x:v>275</x:v>
      </x:c>
      <x:c r="BF684" s="4" t="n">
        <x:v>57.7</x:v>
      </x:c>
      <x:c r="BG684" s="4" t="n">
        <x:v>3</x:v>
      </x:c>
      <x:c r="BH684" s="4" t="n">
        <x:v>8.2</x:v>
      </x:c>
      <x:c r="BI684" s="4" t="n">
        <x:v>92.5</x:v>
      </x:c>
      <x:c r="BJ684" s="4" t="n">
        <x:v>100.6</x:v>
      </x:c>
      <x:c r="BK684" s="4" t="n">
        <x:v>41.4</x:v>
      </x:c>
      <x:c r="BL684" s="4" t="n">
        <x:v>58.6</x:v>
      </x:c>
      <x:c r="BM684" s="4" t="n">
        <x:v>10.366666666666667</x:v>
      </x:c>
      <x:c r="BN684" s="4" t="n">
        <x:v>9.266666666666667</x:v>
      </x:c>
      <x:c r="BO684" s="10" t="n">
        <x:v>8</x:v>
      </x:c>
      <x:c r="BP684" s="10" t="n">
        <x:v>17</x:v>
      </x:c>
      <x:c r="BQ684" s="4" t="n">
        <x:v>5.4</x:v>
      </x:c>
      <x:c r="BR684" s="10" t="n">
        <x:v>92</x:v>
      </x:c>
      <x:c r="BS684" s="4" t="n">
        <x:v>54.3</x:v>
      </x:c>
      <x:c r="BT684" s="10" t="n">
        <x:v>51</x:v>
      </x:c>
      <x:c r="BU684" s="4" t="str">
        <x:v>COL</x:v>
      </x:c>
      <x:c r="BV684" s="10" t="n">
        <x:v>550</x:v>
      </x:c>
      <x:c r="BW684" s="10"/>
      <x:c r="BX684" s="10" t="n">
        <x:v>522</x:v>
      </x:c>
      <x:c r="BY684" s="4" t="str">
        <x:v>Joel Kiviranta</x:v>
      </x:c>
      <x:c r="BZ684" s="4"/>
      <x:c r="CA684" s="4" t="str">
        <x:v>Joel Kiviranta</x:v>
      </x:c>
      <x:c r="CB684" s="4" t="str">
        <x:v>kivirjo01</x:v>
      </x:c>
    </x:row>
    <x:row r="685" ht="22" customHeight="1">
      <x:c r="A685" s="4" t="str">
        <x:v>Joel Nystrom</x:v>
      </x:c>
      <x:c r="B685" s="4" t="str">
        <x:v>joelnystrom</x:v>
      </x:c>
      <x:c r="C685" s="10" t="n">
        <x:v>0</x:v>
      </x:c>
      <x:c r="D685" s="10" t="n">
        <x:v>0</x:v>
      </x:c>
      <x:c r="E685" s="10" t="n">
        <x:v>1</x:v>
      </x:c>
      <x:c r="F685" s="4" t="str">
        <x:f>IF(COUNT(N685,Q685,T685,W685,Z685,AC685,AF685,AI685)=8,N685*Guide!$E$5+Q685*Guide!$E$6+T685*Guide!$E$7+W685*Guide!$E$8+Z685*Guide!$E$9+AC685*Guide!$E$10+AF685*Guide!$E$11+AI685*Guide!$E$12,"")</x:f>
      </x:c>
      <x:c r="G685" s="4" t="str">
        <x:f>IF(COUNT(O685,R685,U685,X685,AA685,AD685,AG685,AJ685)=8,O685*Guide!$E$5+R685*Guide!$E$6+U685*Guide!$E$7+X685*Guide!$E$8+AA685*Guide!$E$9+AD685*Guide!$E$10+AG685*Guide!$E$11+AJ685*Guide!$E$12,"")</x:f>
      </x:c>
      <x:c r="H685" s="4" t="str">
        <x:f>IF(COUNT(G685,F685)=2,G685-F685,"")</x:f>
      </x:c>
      <x:c r="I685" s="4" t="str">
        <x:f>IF(AND(ISNUMBER(F685),K685&gt;0),F685/K685,"")</x:f>
      </x:c>
      <x:c r="J685" s="4" t="str">
        <x:f>IF(AND(ISNUMBER(G685),L685&gt;0),G685/L685,"")</x:f>
      </x:c>
      <x:c r="K685" s="10"/>
      <x:c r="L685" s="10"/>
      <x:c r="M685" s="10" t="str">
        <x:f>IF(COUNT(L685,K685)=2,L685-K685,"")</x:f>
      </x:c>
      <x:c r="N685" s="10"/>
      <x:c r="O685" s="10"/>
      <x:c r="P685" s="10" t="str">
        <x:f>IF(COUNT(O685,N685)=2,O685-N685,"")</x:f>
      </x:c>
      <x:c r="Q685" s="10"/>
      <x:c r="R685" s="10"/>
      <x:c r="S685" s="10" t="str">
        <x:f>IF(COUNT(R685,Q685)=2,R685-Q685,"")</x:f>
      </x:c>
      <x:c r="T685" s="10"/>
      <x:c r="U685" s="10"/>
      <x:c r="V685" s="10" t="str">
        <x:f>IF(COUNT(U685,T685)=2,U685-T685,"")</x:f>
      </x:c>
      <x:c r="W685" s="10"/>
      <x:c r="X685" s="10" t="str">
        <x:f>IF(COUNT(AV685,AW685)=2,AV685+AW685,"")</x:f>
      </x:c>
      <x:c r="Y685" s="10" t="str">
        <x:f>IF(COUNT(X685,W685)=2,X685-W685,"")</x:f>
      </x:c>
      <x:c r="Z685" s="10"/>
      <x:c r="AA685" s="10" t="str">
        <x:f>IF(COUNT(AX685,AY685)=2,AX685+AY685,"")</x:f>
      </x:c>
      <x:c r="AB685" s="10" t="str">
        <x:f>IF(COUNT(AA685,Z685)=2,AA685-Z685,"")</x:f>
      </x:c>
      <x:c r="AC685" s="10"/>
      <x:c r="AD685" s="10"/>
      <x:c r="AE685" s="10" t="str">
        <x:f>IF(COUNT(AD685,AC685)=2,AD685-AC685,"")</x:f>
      </x:c>
      <x:c r="AF685" s="10"/>
      <x:c r="AG685" s="10"/>
      <x:c r="AH685" s="10" t="str">
        <x:f>IF(COUNT(AG685,AF685)=2,AG685-AF685,"")</x:f>
      </x:c>
      <x:c r="AI685" s="10"/>
      <x:c r="AJ685" s="10"/>
      <x:c r="AK685" s="10" t="str">
        <x:f>IF(COUNT(AJ685,AI685)=2,AJ685-AI685,"")</x:f>
      </x:c>
      <x:c r="AL685" s="10"/>
      <x:c r="AM685" s="10"/>
      <x:c r="AN685" s="4"/>
      <x:c r="AO685" s="4"/>
      <x:c r="AP685" s="4"/>
      <x:c r="AQ685" s="4"/>
      <x:c r="AR685" s="4"/>
      <x:c r="AS685" s="4"/>
      <x:c r="AT685" s="4"/>
      <x:c r="AU685" s="4"/>
      <x:c r="AV685" s="10"/>
      <x:c r="AW685" s="10"/>
      <x:c r="AX685" s="10"/>
      <x:c r="AY685" s="10"/>
      <x:c r="AZ685" s="10" t="n">
        <x:v>601</x:v>
      </x:c>
      <x:c r="BA685" s="10" t="n">
        <x:v>418</x:v>
      </x:c>
      <x:c r="BB685" s="4" t="n">
        <x:v>59</x:v>
      </x:c>
      <x:c r="BC685" s="4" t="n">
        <x:v>-0.1</x:v>
      </x:c>
      <x:c r="BD685" s="10" t="n">
        <x:v>422</x:v>
      </x:c>
      <x:c r="BE685" s="10" t="n">
        <x:v>321</x:v>
      </x:c>
      <x:c r="BF685" s="4" t="n">
        <x:v>56.8</x:v>
      </x:c>
      <x:c r="BG685" s="4" t="n">
        <x:v>-1.1</x:v>
      </x:c>
      <x:c r="BH685" s="4" t="n">
        <x:v>9.4</x:v>
      </x:c>
      <x:c r="BI685" s="4" t="n">
        <x:v>91.2</x:v>
      </x:c>
      <x:c r="BJ685" s="4" t="n">
        <x:v>100.5</x:v>
      </x:c>
      <x:c r="BK685" s="4" t="n">
        <x:v>64.5</x:v>
      </x:c>
      <x:c r="BL685" s="4" t="n">
        <x:v>35.5</x:v>
      </x:c>
      <x:c r="BM685" s="4" t="n">
        <x:v>15.183333333333334</x:v>
      </x:c>
      <x:c r="BN685" s="4" t="n">
        <x:v>14.016666666666667</x:v>
      </x:c>
      <x:c r="BO685" s="10" t="n">
        <x:v>5</x:v>
      </x:c>
      <x:c r="BP685" s="10" t="n">
        <x:v>32</x:v>
      </x:c>
      <x:c r="BQ685" s="4" t="n">
        <x:v>4.4</x:v>
      </x:c>
      <x:c r="BR685" s="10" t="n">
        <x:v>121</x:v>
      </x:c>
      <x:c r="BS685" s="4" t="n">
        <x:v>35.5</x:v>
      </x:c>
      <x:c r="BT685" s="10" t="n">
        <x:v>38</x:v>
      </x:c>
      <x:c r="BU685" s="4" t="str">
        <x:v>CAR</x:v>
      </x:c>
      <x:c r="BV685" s="10"/>
      <x:c r="BW685" s="10"/>
      <x:c r="BX685" s="10" t="n">
        <x:v>751</x:v>
      </x:c>
      <x:c r="BY685" s="4"/>
      <x:c r="BZ685" s="4"/>
      <x:c r="CA685" s="4" t="str">
        <x:v>Joel Nystrom</x:v>
      </x:c>
      <x:c r="CB685" s="4" t="str">
        <x:v>nystrjo01</x:v>
      </x:c>
    </x:row>
    <x:row r="686" ht="22" customHeight="1">
      <x:c r="A686" s="4" t="str">
        <x:v>Joey Anderson</x:v>
      </x:c>
      <x:c r="B686" s="4" t="str">
        <x:v>joeyanderson</x:v>
      </x:c>
      <x:c r="C686" s="10" t="n">
        <x:v>1</x:v>
      </x:c>
      <x:c r="D686" s="10" t="n">
        <x:v>0</x:v>
      </x:c>
      <x:c r="E686" s="10" t="n">
        <x:v>0</x:v>
      </x:c>
      <x:c r="F686" s="4" t="n">
        <x:f>IF(COUNT(N686,Q686,T686,W686,Z686,AC686,AF686,AI686)=8,N686*Guide!$E$5+Q686*Guide!$E$6+T686*Guide!$E$7+W686*Guide!$E$8+Z686*Guide!$E$9+AC686*Guide!$E$10+AF686*Guide!$E$11+AI686*Guide!$E$12,"")</x:f>
        <x:v>71.25</x:v>
      </x:c>
      <x:c r="G686" s="4" t="str">
        <x:f>IF(COUNT(O686,R686,U686,X686,AA686,AD686,AG686,AJ686)=8,O686*Guide!$E$5+R686*Guide!$E$6+U686*Guide!$E$7+X686*Guide!$E$8+AA686*Guide!$E$9+AD686*Guide!$E$10+AG686*Guide!$E$11+AJ686*Guide!$E$12,"")</x:f>
      </x:c>
      <x:c r="H686" s="4" t="str">
        <x:f>IF(COUNT(G686,F686)=2,G686-F686,"")</x:f>
      </x:c>
      <x:c r="I686" s="4" t="n">
        <x:f>IF(AND(ISNUMBER(F686),K686&gt;0),F686/K686,"")</x:f>
        <x:v>1.8269230769230769</x:v>
      </x:c>
      <x:c r="J686" s="4" t="str">
        <x:f>IF(AND(ISNUMBER(G686),L686&gt;0),G686/L686,"")</x:f>
      </x:c>
      <x:c r="K686" s="10" t="n">
        <x:v>39</x:v>
      </x:c>
      <x:c r="L686" s="10"/>
      <x:c r="M686" s="10" t="str">
        <x:f>IF(COUNT(L686,K686)=2,L686-K686,"")</x:f>
      </x:c>
      <x:c r="N686" s="10" t="n">
        <x:v>5</x:v>
      </x:c>
      <x:c r="O686" s="10"/>
      <x:c r="P686" s="10" t="str">
        <x:f>IF(COUNT(O686,N686)=2,O686-N686,"")</x:f>
      </x:c>
      <x:c r="Q686" s="10" t="n">
        <x:v>6</x:v>
      </x:c>
      <x:c r="R686" s="10"/>
      <x:c r="S686" s="10" t="str">
        <x:f>IF(COUNT(R686,Q686)=2,R686-Q686,"")</x:f>
      </x:c>
      <x:c r="T686" s="10" t="n">
        <x:v>-2</x:v>
      </x:c>
      <x:c r="U686" s="10"/>
      <x:c r="V686" s="10" t="str">
        <x:f>IF(COUNT(U686,T686)=2,U686-T686,"")</x:f>
      </x:c>
      <x:c r="W686" s="10" t="n">
        <x:v>0</x:v>
      </x:c>
      <x:c r="X686" s="10" t="str">
        <x:f>IF(COUNT(AV686,AW686)=2,AV686+AW686,"")</x:f>
      </x:c>
      <x:c r="Y686" s="10" t="str">
        <x:f>IF(COUNT(X686,W686)=2,X686-W686,"")</x:f>
      </x:c>
      <x:c r="Z686" s="10" t="n">
        <x:v>1</x:v>
      </x:c>
      <x:c r="AA686" s="10" t="str">
        <x:f>IF(COUNT(AX686,AY686)=2,AX686+AY686,"")</x:f>
      </x:c>
      <x:c r="AB686" s="10" t="str">
        <x:f>IF(COUNT(AA686,Z686)=2,AA686-Z686,"")</x:f>
      </x:c>
      <x:c r="AC686" s="10" t="n">
        <x:v>39</x:v>
      </x:c>
      <x:c r="AD686" s="10"/>
      <x:c r="AE686" s="10" t="str">
        <x:f>IF(COUNT(AD686,AC686)=2,AD686-AC686,"")</x:f>
      </x:c>
      <x:c r="AF686" s="10" t="n">
        <x:v>27</x:v>
      </x:c>
      <x:c r="AG686" s="10"/>
      <x:c r="AH686" s="10" t="str">
        <x:f>IF(COUNT(AG686,AF686)=2,AG686-AF686,"")</x:f>
      </x:c>
      <x:c r="AI686" s="10" t="n">
        <x:v>21</x:v>
      </x:c>
      <x:c r="AJ686" s="10"/>
      <x:c r="AK686" s="10" t="str">
        <x:f>IF(COUNT(AJ686,AI686)=2,AJ686-AI686,"")</x:f>
      </x:c>
      <x:c r="AL686" s="10" t="n">
        <x:v>27</x:v>
      </x:c>
      <x:c r="AM686" s="10"/>
      <x:c r="AN686" s="4" t="str">
        <x:v>RW</x:v>
      </x:c>
      <x:c r="AO686" s="4"/>
      <x:c r="AP686" s="4" t="str">
        <x:v>CHI</x:v>
      </x:c>
      <x:c r="AQ686" s="4"/>
      <x:c r="AR686" s="4" t="n">
        <x:v>12.56</x:v>
      </x:c>
      <x:c r="AS686" s="4"/>
      <x:c r="AT686" s="4" t="n">
        <x:v>0.18</x:v>
      </x:c>
      <x:c r="AU686" s="4"/>
      <x:c r="AV686" s="10"/>
      <x:c r="AW686" s="10"/>
      <x:c r="AX686" s="10"/>
      <x:c r="AY686" s="10"/>
      <x:c r="AZ686" s="10"/>
      <x:c r="BA686" s="10"/>
      <x:c r="BB686" s="4"/>
      <x:c r="BC686" s="4"/>
      <x:c r="BD686" s="10"/>
      <x:c r="BE686" s="10"/>
      <x:c r="BF686" s="4"/>
      <x:c r="BG686" s="4"/>
      <x:c r="BH686" s="4"/>
      <x:c r="BI686" s="4"/>
      <x:c r="BJ686" s="4"/>
      <x:c r="BK686" s="4"/>
      <x:c r="BL686" s="4"/>
      <x:c r="BM686" s="4"/>
      <x:c r="BN686" s="4"/>
      <x:c r="BO686" s="10"/>
      <x:c r="BP686" s="10"/>
      <x:c r="BQ686" s="4"/>
      <x:c r="BR686" s="10"/>
      <x:c r="BS686" s="4"/>
      <x:c r="BT686" s="10"/>
      <x:c r="BU686" s="4"/>
      <x:c r="BV686" s="10" t="n">
        <x:v>721</x:v>
      </x:c>
      <x:c r="BW686" s="10"/>
      <x:c r="BX686" s="10"/>
      <x:c r="BY686" s="4" t="str">
        <x:v>Joey Anderson</x:v>
      </x:c>
      <x:c r="BZ686" s="4"/>
      <x:c r="CA686" s="4"/>
      <x:c r="CB686" s="4"/>
    </x:row>
    <x:row r="687" ht="22" customHeight="1">
      <x:c r="A687" s="4" t="str">
        <x:v>John Beecher</x:v>
      </x:c>
      <x:c r="B687" s="4" t="str">
        <x:v>johnbeecher</x:v>
      </x:c>
      <x:c r="C687" s="10" t="n">
        <x:v>1</x:v>
      </x:c>
      <x:c r="D687" s="10" t="n">
        <x:v>0</x:v>
      </x:c>
      <x:c r="E687" s="10" t="n">
        <x:v>1</x:v>
      </x:c>
      <x:c r="F687" s="4" t="n">
        <x:f>IF(COUNT(N687,Q687,T687,W687,Z687,AC687,AF687,AI687)=8,N687*Guide!$E$5+Q687*Guide!$E$6+T687*Guide!$E$7+W687*Guide!$E$8+Z687*Guide!$E$9+AC687*Guide!$E$10+AF687*Guide!$E$11+AI687*Guide!$E$12,"")</x:f>
        <x:v>146</x:v>
      </x:c>
      <x:c r="G687" s="4" t="str">
        <x:f>IF(COUNT(O687,R687,U687,X687,AA687,AD687,AG687,AJ687)=8,O687*Guide!$E$5+R687*Guide!$E$6+U687*Guide!$E$7+X687*Guide!$E$8+AA687*Guide!$E$9+AD687*Guide!$E$10+AG687*Guide!$E$11+AJ687*Guide!$E$12,"")</x:f>
      </x:c>
      <x:c r="H687" s="4" t="str">
        <x:f>IF(COUNT(G687,F687)=2,G687-F687,"")</x:f>
      </x:c>
      <x:c r="I687" s="4" t="n">
        <x:f>IF(AND(ISNUMBER(F687),K687&gt;0),F687/K687,"")</x:f>
        <x:v>1.9210526315789473</x:v>
      </x:c>
      <x:c r="J687" s="4" t="str">
        <x:f>IF(AND(ISNUMBER(G687),L687&gt;0),G687/L687,"")</x:f>
      </x:c>
      <x:c r="K687" s="10" t="n">
        <x:v>76</x:v>
      </x:c>
      <x:c r="L687" s="10"/>
      <x:c r="M687" s="10" t="str">
        <x:f>IF(COUNT(L687,K687)=2,L687-K687,"")</x:f>
      </x:c>
      <x:c r="N687" s="10" t="n">
        <x:v>8</x:v>
      </x:c>
      <x:c r="O687" s="10"/>
      <x:c r="P687" s="10" t="str">
        <x:f>IF(COUNT(O687,N687)=2,O687-N687,"")</x:f>
      </x:c>
      <x:c r="Q687" s="10" t="n">
        <x:v>10</x:v>
      </x:c>
      <x:c r="R687" s="10"/>
      <x:c r="S687" s="10" t="str">
        <x:f>IF(COUNT(R687,Q687)=2,R687-Q687,"")</x:f>
      </x:c>
      <x:c r="T687" s="10" t="n">
        <x:v>-4</x:v>
      </x:c>
      <x:c r="U687" s="10"/>
      <x:c r="V687" s="10" t="str">
        <x:f>IF(COUNT(U687,T687)=2,U687-T687,"")</x:f>
      </x:c>
      <x:c r="W687" s="10" t="n">
        <x:v>0</x:v>
      </x:c>
      <x:c r="X687" s="10" t="str">
        <x:f>IF(COUNT(AV687,AW687)=2,AV687+AW687,"")</x:f>
      </x:c>
      <x:c r="Y687" s="10" t="str">
        <x:f>IF(COUNT(X687,W687)=2,X687-W687,"")</x:f>
      </x:c>
      <x:c r="Z687" s="10" t="n">
        <x:v>1</x:v>
      </x:c>
      <x:c r="AA687" s="10" t="str">
        <x:f>IF(COUNT(AX687,AY687)=2,AX687+AY687,"")</x:f>
      </x:c>
      <x:c r="AB687" s="10" t="str">
        <x:f>IF(COUNT(AA687,Z687)=2,AA687-Z687,"")</x:f>
      </x:c>
      <x:c r="AC687" s="10" t="n">
        <x:v>56</x:v>
      </x:c>
      <x:c r="AD687" s="10"/>
      <x:c r="AE687" s="10" t="str">
        <x:f>IF(COUNT(AD687,AC687)=2,AD687-AC687,"")</x:f>
      </x:c>
      <x:c r="AF687" s="10" t="n">
        <x:v>107</x:v>
      </x:c>
      <x:c r="AG687" s="10"/>
      <x:c r="AH687" s="10" t="str">
        <x:f>IF(COUNT(AG687,AF687)=2,AG687-AF687,"")</x:f>
      </x:c>
      <x:c r="AI687" s="10" t="n">
        <x:v>59</x:v>
      </x:c>
      <x:c r="AJ687" s="10"/>
      <x:c r="AK687" s="10" t="str">
        <x:f>IF(COUNT(AJ687,AI687)=2,AJ687-AI687,"")</x:f>
      </x:c>
      <x:c r="AL687" s="10" t="n">
        <x:v>24</x:v>
      </x:c>
      <x:c r="AM687" s="10"/>
      <x:c r="AN687" s="4" t="str">
        <x:v>C</x:v>
      </x:c>
      <x:c r="AO687" s="4"/>
      <x:c r="AP687" s="4" t="str">
        <x:v>BOS</x:v>
      </x:c>
      <x:c r="AQ687" s="4"/>
      <x:c r="AR687" s="4" t="n">
        <x:v>11.55</x:v>
      </x:c>
      <x:c r="AS687" s="4"/>
      <x:c r="AT687" s="4" t="n">
        <x:v>0.14</x:v>
      </x:c>
      <x:c r="AU687" s="4"/>
      <x:c r="AV687" s="10"/>
      <x:c r="AW687" s="10"/>
      <x:c r="AX687" s="10"/>
      <x:c r="AY687" s="10"/>
      <x:c r="AZ687" s="10" t="n">
        <x:v>271</x:v>
      </x:c>
      <x:c r="BA687" s="10" t="n">
        <x:v>374</x:v>
      </x:c>
      <x:c r="BB687" s="4" t="n">
        <x:v>42</x:v>
      </x:c>
      <x:c r="BC687" s="4" t="n">
        <x:v>-5.1</x:v>
      </x:c>
      <x:c r="BD687" s="10" t="n">
        <x:v>181</x:v>
      </x:c>
      <x:c r="BE687" s="10" t="n">
        <x:v>247</x:v>
      </x:c>
      <x:c r="BF687" s="4" t="n">
        <x:v>42.3</x:v>
      </x:c>
      <x:c r="BG687" s="4" t="n">
        <x:v>-5</x:v>
      </x:c>
      <x:c r="BH687" s="4" t="n">
        <x:v>4.3</x:v>
      </x:c>
      <x:c r="BI687" s="4" t="n">
        <x:v>92.1</x:v>
      </x:c>
      <x:c r="BJ687" s="4" t="n">
        <x:v>96.4</x:v>
      </x:c>
      <x:c r="BK687" s="4" t="n">
        <x:v>30.8</x:v>
      </x:c>
      <x:c r="BL687" s="4" t="n">
        <x:v>69.2</x:v>
      </x:c>
      <x:c r="BM687" s="4" t="n">
        <x:v>10.433333333333334</x:v>
      </x:c>
      <x:c r="BN687" s="4" t="n">
        <x:v>8.8</x:v>
      </x:c>
      <x:c r="BO687" s="10" t="n">
        <x:v>6</x:v>
      </x:c>
      <x:c r="BP687" s="10" t="n">
        <x:v>14</x:v>
      </x:c>
      <x:c r="BQ687" s="4" t="n">
        <x:v>-3.7</x:v>
      </x:c>
      <x:c r="BR687" s="10" t="n">
        <x:v>68</x:v>
      </x:c>
      <x:c r="BS687" s="4" t="n">
        <x:v>54.4</x:v>
      </x:c>
      <x:c r="BT687" s="10" t="n">
        <x:v>35</x:v>
      </x:c>
      <x:c r="BU687" s="4" t="str">
        <x:v>TOT</x:v>
      </x:c>
      <x:c r="BV687" s="10" t="n">
        <x:v>575</x:v>
      </x:c>
      <x:c r="BW687" s="10"/>
      <x:c r="BX687" s="10" t="n">
        <x:v>41</x:v>
      </x:c>
      <x:c r="BY687" s="4" t="str">
        <x:v>John Beecher</x:v>
      </x:c>
      <x:c r="BZ687" s="4"/>
      <x:c r="CA687" s="4" t="str">
        <x:v>John Beecher</x:v>
      </x:c>
      <x:c r="CB687" s="4" t="str">
        <x:v>beechjo01</x:v>
      </x:c>
    </x:row>
    <x:row r="688" ht="22" customHeight="1">
      <x:c r="A688" s="4" t="str">
        <x:v>John Hayden</x:v>
      </x:c>
      <x:c r="B688" s="4" t="str">
        <x:v>johnhayden</x:v>
      </x:c>
      <x:c r="C688" s="10" t="n">
        <x:v>1</x:v>
      </x:c>
      <x:c r="D688" s="10" t="n">
        <x:v>0</x:v>
      </x:c>
      <x:c r="E688" s="10" t="n">
        <x:v>1</x:v>
      </x:c>
      <x:c r="F688" s="4" t="n">
        <x:f>IF(COUNT(N688,Q688,T688,W688,Z688,AC688,AF688,AI688)=8,N688*Guide!$E$5+Q688*Guide!$E$6+T688*Guide!$E$7+W688*Guide!$E$8+Z688*Guide!$E$9+AC688*Guide!$E$10+AF688*Guide!$E$11+AI688*Guide!$E$12,"")</x:f>
        <x:v>76.5</x:v>
      </x:c>
      <x:c r="G688" s="4" t="str">
        <x:f>IF(COUNT(O688,R688,U688,X688,AA688,AD688,AG688,AJ688)=8,O688*Guide!$E$5+R688*Guide!$E$6+U688*Guide!$E$7+X688*Guide!$E$8+AA688*Guide!$E$9+AD688*Guide!$E$10+AG688*Guide!$E$11+AJ688*Guide!$E$12,"")</x:f>
      </x:c>
      <x:c r="H688" s="4" t="str">
        <x:f>IF(COUNT(G688,F688)=2,G688-F688,"")</x:f>
      </x:c>
      <x:c r="I688" s="4" t="n">
        <x:f>IF(AND(ISNUMBER(F688),K688&gt;0),F688/K688,"")</x:f>
        <x:v>1.9125</x:v>
      </x:c>
      <x:c r="J688" s="4" t="str">
        <x:f>IF(AND(ISNUMBER(G688),L688&gt;0),G688/L688,"")</x:f>
      </x:c>
      <x:c r="K688" s="10" t="n">
        <x:v>40</x:v>
      </x:c>
      <x:c r="L688" s="10"/>
      <x:c r="M688" s="10" t="str">
        <x:f>IF(COUNT(L688,K688)=2,L688-K688,"")</x:f>
      </x:c>
      <x:c r="N688" s="10" t="n">
        <x:v>4</x:v>
      </x:c>
      <x:c r="O688" s="10"/>
      <x:c r="P688" s="10" t="str">
        <x:f>IF(COUNT(O688,N688)=2,O688-N688,"")</x:f>
      </x:c>
      <x:c r="Q688" s="10" t="n">
        <x:v>5</x:v>
      </x:c>
      <x:c r="R688" s="10"/>
      <x:c r="S688" s="10" t="str">
        <x:f>IF(COUNT(R688,Q688)=2,R688-Q688,"")</x:f>
      </x:c>
      <x:c r="T688" s="10" t="n">
        <x:v>0</x:v>
      </x:c>
      <x:c r="U688" s="10"/>
      <x:c r="V688" s="10" t="str">
        <x:f>IF(COUNT(U688,T688)=2,U688-T688,"")</x:f>
      </x:c>
      <x:c r="W688" s="10" t="n">
        <x:v>0</x:v>
      </x:c>
      <x:c r="X688" s="10" t="str">
        <x:f>IF(COUNT(AV688,AW688)=2,AV688+AW688,"")</x:f>
      </x:c>
      <x:c r="Y688" s="10" t="str">
        <x:f>IF(COUNT(X688,W688)=2,X688-W688,"")</x:f>
      </x:c>
      <x:c r="Z688" s="10" t="n">
        <x:v>0</x:v>
      </x:c>
      <x:c r="AA688" s="10" t="str">
        <x:f>IF(COUNT(AX688,AY688)=2,AX688+AY688,"")</x:f>
      </x:c>
      <x:c r="AB688" s="10" t="str">
        <x:f>IF(COUNT(AA688,Z688)=2,AA688-Z688,"")</x:f>
      </x:c>
      <x:c r="AC688" s="10" t="n">
        <x:v>36</x:v>
      </x:c>
      <x:c r="AD688" s="10"/>
      <x:c r="AE688" s="10" t="str">
        <x:f>IF(COUNT(AD688,AC688)=2,AD688-AC688,"")</x:f>
      </x:c>
      <x:c r="AF688" s="10" t="n">
        <x:v>71</x:v>
      </x:c>
      <x:c r="AG688" s="10"/>
      <x:c r="AH688" s="10" t="str">
        <x:f>IF(COUNT(AG688,AF688)=2,AG688-AF688,"")</x:f>
      </x:c>
      <x:c r="AI688" s="10" t="n">
        <x:v>25</x:v>
      </x:c>
      <x:c r="AJ688" s="10"/>
      <x:c r="AK688" s="10" t="str">
        <x:f>IF(COUNT(AJ688,AI688)=2,AJ688-AI688,"")</x:f>
      </x:c>
      <x:c r="AL688" s="10" t="n">
        <x:v>30</x:v>
      </x:c>
      <x:c r="AM688" s="10"/>
      <x:c r="AN688" s="4" t="str">
        <x:v>C</x:v>
      </x:c>
      <x:c r="AO688" s="4"/>
      <x:c r="AP688" s="4" t="str">
        <x:v>SEA</x:v>
      </x:c>
      <x:c r="AQ688" s="4"/>
      <x:c r="AR688" s="4" t="n">
        <x:v>8.28</x:v>
      </x:c>
      <x:c r="AS688" s="4"/>
      <x:c r="AT688" s="4" t="n">
        <x:v>0</x:v>
      </x:c>
      <x:c r="AU688" s="4"/>
      <x:c r="AV688" s="10"/>
      <x:c r="AW688" s="10"/>
      <x:c r="AX688" s="10"/>
      <x:c r="AY688" s="10"/>
      <x:c r="AZ688" s="10" t="n">
        <x:v>13</x:v>
      </x:c>
      <x:c r="BA688" s="10" t="n">
        <x:v>27</x:v>
      </x:c>
      <x:c r="BB688" s="4" t="n">
        <x:v>32.5</x:v>
      </x:c>
      <x:c r="BC688" s="4" t="n">
        <x:v>-13.7</x:v>
      </x:c>
      <x:c r="BD688" s="10" t="n">
        <x:v>9</x:v>
      </x:c>
      <x:c r="BE688" s="10" t="n">
        <x:v>17</x:v>
      </x:c>
      <x:c r="BF688" s="4" t="n">
        <x:v>34.6</x:v>
      </x:c>
      <x:c r="BG688" s="4" t="n">
        <x:v>-10.1</x:v>
      </x:c>
      <x:c r="BH688" s="4" t="n">
        <x:v>0</x:v>
      </x:c>
      <x:c r="BI688" s="4" t="n">
        <x:v>91.7</x:v>
      </x:c>
      <x:c r="BJ688" s="4" t="n">
        <x:v>91.7</x:v>
      </x:c>
      <x:c r="BK688" s="4" t="n">
        <x:v>11.1</x:v>
      </x:c>
      <x:c r="BL688" s="4" t="n">
        <x:v>88.9</x:v>
      </x:c>
      <x:c r="BM688" s="4" t="n">
        <x:v>10.083333333333334</x:v>
      </x:c>
      <x:c r="BN688" s="4" t="n">
        <x:v>9</x:v>
      </x:c>
      <x:c r="BO688" s="10" t="n">
        <x:v>1</x:v>
      </x:c>
      <x:c r="BP688" s="10" t="n">
        <x:v>2</x:v>
      </x:c>
      <x:c r="BQ688" s="4" t="n">
        <x:v>-1.1</x:v>
      </x:c>
      <x:c r="BR688" s="10" t="n">
        <x:v>5</x:v>
      </x:c>
      <x:c r="BS688" s="4" t="n">
        <x:v>40</x:v>
      </x:c>
      <x:c r="BT688" s="10" t="n">
        <x:v>3</x:v>
      </x:c>
      <x:c r="BU688" s="4" t="str">
        <x:v>SEA</x:v>
      </x:c>
      <x:c r="BV688" s="10" t="n">
        <x:v>740</x:v>
      </x:c>
      <x:c r="BW688" s="10"/>
      <x:c r="BX688" s="10" t="n">
        <x:v>395</x:v>
      </x:c>
      <x:c r="BY688" s="4" t="str">
        <x:v>John Hayden</x:v>
      </x:c>
      <x:c r="BZ688" s="4"/>
      <x:c r="CA688" s="4" t="str">
        <x:v>John Hayden</x:v>
      </x:c>
      <x:c r="CB688" s="4" t="str">
        <x:v>haydejo01</x:v>
      </x:c>
    </x:row>
    <x:row r="689" ht="22" customHeight="1">
      <x:c r="A689" s="4" t="str">
        <x:v>John Leonard</x:v>
      </x:c>
      <x:c r="B689" s="4" t="str">
        <x:v>johnleonard</x:v>
      </x:c>
      <x:c r="C689" s="10" t="n">
        <x:v>0</x:v>
      </x:c>
      <x:c r="D689" s="10" t="n">
        <x:v>0</x:v>
      </x:c>
      <x:c r="E689" s="10" t="n">
        <x:v>1</x:v>
      </x:c>
      <x:c r="F689" s="4" t="str">
        <x:f>IF(COUNT(N689,Q689,T689,W689,Z689,AC689,AF689,AI689)=8,N689*Guide!$E$5+Q689*Guide!$E$6+T689*Guide!$E$7+W689*Guide!$E$8+Z689*Guide!$E$9+AC689*Guide!$E$10+AF689*Guide!$E$11+AI689*Guide!$E$12,"")</x:f>
      </x:c>
      <x:c r="G689" s="4" t="str">
        <x:f>IF(COUNT(O689,R689,U689,X689,AA689,AD689,AG689,AJ689)=8,O689*Guide!$E$5+R689*Guide!$E$6+U689*Guide!$E$7+X689*Guide!$E$8+AA689*Guide!$E$9+AD689*Guide!$E$10+AG689*Guide!$E$11+AJ689*Guide!$E$12,"")</x:f>
      </x:c>
      <x:c r="H689" s="4" t="str">
        <x:f>IF(COUNT(G689,F689)=2,G689-F689,"")</x:f>
      </x:c>
      <x:c r="I689" s="4" t="str">
        <x:f>IF(AND(ISNUMBER(F689),K689&gt;0),F689/K689,"")</x:f>
      </x:c>
      <x:c r="J689" s="4" t="str">
        <x:f>IF(AND(ISNUMBER(G689),L689&gt;0),G689/L689,"")</x:f>
      </x:c>
      <x:c r="K689" s="10"/>
      <x:c r="L689" s="10"/>
      <x:c r="M689" s="10" t="str">
        <x:f>IF(COUNT(L689,K689)=2,L689-K689,"")</x:f>
      </x:c>
      <x:c r="N689" s="10"/>
      <x:c r="O689" s="10"/>
      <x:c r="P689" s="10" t="str">
        <x:f>IF(COUNT(O689,N689)=2,O689-N689,"")</x:f>
      </x:c>
      <x:c r="Q689" s="10"/>
      <x:c r="R689" s="10"/>
      <x:c r="S689" s="10" t="str">
        <x:f>IF(COUNT(R689,Q689)=2,R689-Q689,"")</x:f>
      </x:c>
      <x:c r="T689" s="10"/>
      <x:c r="U689" s="10"/>
      <x:c r="V689" s="10" t="str">
        <x:f>IF(COUNT(U689,T689)=2,U689-T689,"")</x:f>
      </x:c>
      <x:c r="W689" s="10"/>
      <x:c r="X689" s="10" t="str">
        <x:f>IF(COUNT(AV689,AW689)=2,AV689+AW689,"")</x:f>
      </x:c>
      <x:c r="Y689" s="10" t="str">
        <x:f>IF(COUNT(X689,W689)=2,X689-W689,"")</x:f>
      </x:c>
      <x:c r="Z689" s="10"/>
      <x:c r="AA689" s="10" t="str">
        <x:f>IF(COUNT(AX689,AY689)=2,AX689+AY689,"")</x:f>
      </x:c>
      <x:c r="AB689" s="10" t="str">
        <x:f>IF(COUNT(AA689,Z689)=2,AA689-Z689,"")</x:f>
      </x:c>
      <x:c r="AC689" s="10"/>
      <x:c r="AD689" s="10"/>
      <x:c r="AE689" s="10" t="str">
        <x:f>IF(COUNT(AD689,AC689)=2,AD689-AC689,"")</x:f>
      </x:c>
      <x:c r="AF689" s="10"/>
      <x:c r="AG689" s="10"/>
      <x:c r="AH689" s="10" t="str">
        <x:f>IF(COUNT(AG689,AF689)=2,AG689-AF689,"")</x:f>
      </x:c>
      <x:c r="AI689" s="10"/>
      <x:c r="AJ689" s="10"/>
      <x:c r="AK689" s="10" t="str">
        <x:f>IF(COUNT(AJ689,AI689)=2,AJ689-AI689,"")</x:f>
      </x:c>
      <x:c r="AL689" s="10"/>
      <x:c r="AM689" s="10"/>
      <x:c r="AN689" s="4"/>
      <x:c r="AO689" s="4"/>
      <x:c r="AP689" s="4"/>
      <x:c r="AQ689" s="4"/>
      <x:c r="AR689" s="4"/>
      <x:c r="AS689" s="4"/>
      <x:c r="AT689" s="4"/>
      <x:c r="AU689" s="4"/>
      <x:c r="AV689" s="10"/>
      <x:c r="AW689" s="10"/>
      <x:c r="AX689" s="10"/>
      <x:c r="AY689" s="10"/>
      <x:c r="AZ689" s="10" t="n">
        <x:v>104</x:v>
      </x:c>
      <x:c r="BA689" s="10" t="n">
        <x:v>126</x:v>
      </x:c>
      <x:c r="BB689" s="4" t="n">
        <x:v>45.2</x:v>
      </x:c>
      <x:c r="BC689" s="4" t="n">
        <x:v>-0.4</x:v>
      </x:c>
      <x:c r="BD689" s="10" t="n">
        <x:v>76</x:v>
      </x:c>
      <x:c r="BE689" s="10" t="n">
        <x:v>88</x:v>
      </x:c>
      <x:c r="BF689" s="4" t="n">
        <x:v>46.3</x:v>
      </x:c>
      <x:c r="BG689" s="4" t="n">
        <x:v>-0.8</x:v>
      </x:c>
      <x:c r="BH689" s="4" t="n">
        <x:v>4.4</x:v>
      </x:c>
      <x:c r="BI689" s="4" t="n">
        <x:v>89.6</x:v>
      </x:c>
      <x:c r="BJ689" s="4" t="n">
        <x:v>94</x:v>
      </x:c>
      <x:c r="BK689" s="4" t="n">
        <x:v>50.7</x:v>
      </x:c>
      <x:c r="BL689" s="4" t="n">
        <x:v>49.3</x:v>
      </x:c>
      <x:c r="BM689" s="4" t="n">
        <x:v>11.5</x:v>
      </x:c>
      <x:c r="BN689" s="4" t="n">
        <x:v>10.333333333333334</x:v>
      </x:c>
      <x:c r="BO689" s="10" t="n">
        <x:v>2</x:v>
      </x:c>
      <x:c r="BP689" s="10" t="n">
        <x:v>13</x:v>
      </x:c>
      <x:c r="BQ689" s="4" t="n">
        <x:v>-0.4</x:v>
      </x:c>
      <x:c r="BR689" s="10" t="n">
        <x:v>30</x:v>
      </x:c>
      <x:c r="BS689" s="4" t="n">
        <x:v>36.7</x:v>
      </x:c>
      <x:c r="BT689" s="10" t="n">
        <x:v>11</x:v>
      </x:c>
      <x:c r="BU689" s="4" t="str">
        <x:v>DET</x:v>
      </x:c>
      <x:c r="BV689" s="10"/>
      <x:c r="BW689" s="10"/>
      <x:c r="BX689" s="10" t="n">
        <x:v>591</x:v>
      </x:c>
      <x:c r="BY689" s="4"/>
      <x:c r="BZ689" s="4"/>
      <x:c r="CA689" s="4" t="str">
        <x:v>John Leonard</x:v>
      </x:c>
      <x:c r="CB689" s="4" t="str">
        <x:v>leonajo01</x:v>
      </x:c>
    </x:row>
    <x:row r="690" ht="22" customHeight="1">
      <x:c r="A690" s="4" t="str">
        <x:v>Johnathan Kovacevic</x:v>
      </x:c>
      <x:c r="B690" s="4" t="str">
        <x:v>johnathankovacevic</x:v>
      </x:c>
      <x:c r="C690" s="10" t="n">
        <x:v>1</x:v>
      </x:c>
      <x:c r="D690" s="10" t="n">
        <x:v>0</x:v>
      </x:c>
      <x:c r="E690" s="10" t="n">
        <x:v>1</x:v>
      </x:c>
      <x:c r="F690" s="4" t="n">
        <x:f>IF(COUNT(N690,Q690,T690,W690,Z690,AC690,AF690,AI690)=8,N690*Guide!$E$5+Q690*Guide!$E$6+T690*Guide!$E$7+W690*Guide!$E$8+Z690*Guide!$E$9+AC690*Guide!$E$10+AF690*Guide!$E$11+AI690*Guide!$E$12,"")</x:f>
        <x:v>187.5</x:v>
      </x:c>
      <x:c r="G690" s="4" t="str">
        <x:f>IF(COUNT(O690,R690,U690,X690,AA690,AD690,AG690,AJ690)=8,O690*Guide!$E$5+R690*Guide!$E$6+U690*Guide!$E$7+X690*Guide!$E$8+AA690*Guide!$E$9+AD690*Guide!$E$10+AG690*Guide!$E$11+AJ690*Guide!$E$12,"")</x:f>
      </x:c>
      <x:c r="H690" s="4" t="str">
        <x:f>IF(COUNT(G690,F690)=2,G690-F690,"")</x:f>
      </x:c>
      <x:c r="I690" s="4" t="n">
        <x:f>IF(AND(ISNUMBER(F690),K690&gt;0),F690/K690,"")</x:f>
        <x:v>2.3734177215189876</x:v>
      </x:c>
      <x:c r="J690" s="4" t="str">
        <x:f>IF(AND(ISNUMBER(G690),L690&gt;0),G690/L690,"")</x:f>
      </x:c>
      <x:c r="K690" s="10" t="n">
        <x:v>79</x:v>
      </x:c>
      <x:c r="L690" s="10"/>
      <x:c r="M690" s="10" t="str">
        <x:f>IF(COUNT(L690,K690)=2,L690-K690,"")</x:f>
      </x:c>
      <x:c r="N690" s="10" t="n">
        <x:v>4</x:v>
      </x:c>
      <x:c r="O690" s="10"/>
      <x:c r="P690" s="10" t="str">
        <x:f>IF(COUNT(O690,N690)=2,O690-N690,"")</x:f>
      </x:c>
      <x:c r="Q690" s="10" t="n">
        <x:v>14</x:v>
      </x:c>
      <x:c r="R690" s="10"/>
      <x:c r="S690" s="10" t="str">
        <x:f>IF(COUNT(R690,Q690)=2,R690-Q690,"")</x:f>
      </x:c>
      <x:c r="T690" s="10" t="n">
        <x:v>9</x:v>
      </x:c>
      <x:c r="U690" s="10"/>
      <x:c r="V690" s="10" t="str">
        <x:f>IF(COUNT(U690,T690)=2,U690-T690,"")</x:f>
      </x:c>
      <x:c r="W690" s="10" t="n">
        <x:v>1</x:v>
      </x:c>
      <x:c r="X690" s="10" t="str">
        <x:f>IF(COUNT(AV690,AW690)=2,AV690+AW690,"")</x:f>
      </x:c>
      <x:c r="Y690" s="10" t="str">
        <x:f>IF(COUNT(X690,W690)=2,X690-W690,"")</x:f>
      </x:c>
      <x:c r="Z690" s="10" t="n">
        <x:v>1</x:v>
      </x:c>
      <x:c r="AA690" s="10" t="str">
        <x:f>IF(COUNT(AX690,AY690)=2,AX690+AY690,"")</x:f>
      </x:c>
      <x:c r="AB690" s="10" t="str">
        <x:f>IF(COUNT(AA690,Z690)=2,AA690-Z690,"")</x:f>
      </x:c>
      <x:c r="AC690" s="10" t="n">
        <x:v>75</x:v>
      </x:c>
      <x:c r="AD690" s="10"/>
      <x:c r="AE690" s="10" t="str">
        <x:f>IF(COUNT(AD690,AC690)=2,AD690-AC690,"")</x:f>
      </x:c>
      <x:c r="AF690" s="10" t="n">
        <x:v>91</x:v>
      </x:c>
      <x:c r="AG690" s="10"/>
      <x:c r="AH690" s="10" t="str">
        <x:f>IF(COUNT(AG690,AF690)=2,AG690-AF690,"")</x:f>
      </x:c>
      <x:c r="AI690" s="10" t="n">
        <x:v>100</x:v>
      </x:c>
      <x:c r="AJ690" s="10"/>
      <x:c r="AK690" s="10" t="str">
        <x:f>IF(COUNT(AJ690,AI690)=2,AJ690-AI690,"")</x:f>
      </x:c>
      <x:c r="AL690" s="10" t="n">
        <x:v>28</x:v>
      </x:c>
      <x:c r="AM690" s="10"/>
      <x:c r="AN690" s="4" t="str">
        <x:v>D</x:v>
      </x:c>
      <x:c r="AO690" s="4"/>
      <x:c r="AP690" s="4" t="str">
        <x:v>NJ</x:v>
      </x:c>
      <x:c r="AQ690" s="4"/>
      <x:c r="AR690" s="4" t="n">
        <x:v>19.310000000000002</x:v>
      </x:c>
      <x:c r="AS690" s="4"/>
      <x:c r="AT690" s="4" t="n">
        <x:v>0.1</x:v>
      </x:c>
      <x:c r="AU690" s="4"/>
      <x:c r="AV690" s="10"/>
      <x:c r="AW690" s="10"/>
      <x:c r="AX690" s="10"/>
      <x:c r="AY690" s="10"/>
      <x:c r="AZ690" s="10" t="n">
        <x:v>523</x:v>
      </x:c>
      <x:c r="BA690" s="10" t="n">
        <x:v>503</x:v>
      </x:c>
      <x:c r="BB690" s="4" t="n">
        <x:v>51</x:v>
      </x:c>
      <x:c r="BC690" s="4" t="n">
        <x:v>-1.6</x:v>
      </x:c>
      <x:c r="BD690" s="10" t="n">
        <x:v>397</x:v>
      </x:c>
      <x:c r="BE690" s="10" t="n">
        <x:v>372</x:v>
      </x:c>
      <x:c r="BF690" s="4" t="n">
        <x:v>51.6</x:v>
      </x:c>
      <x:c r="BG690" s="4" t="n">
        <x:v>-0.3</x:v>
      </x:c>
      <x:c r="BH690" s="4" t="n">
        <x:v>9.8</x:v>
      </x:c>
      <x:c r="BI690" s="4" t="n">
        <x:v>89.3</x:v>
      </x:c>
      <x:c r="BJ690" s="4" t="n">
        <x:v>99.1</x:v>
      </x:c>
      <x:c r="BK690" s="4" t="n">
        <x:v>39.7</x:v>
      </x:c>
      <x:c r="BL690" s="4" t="n">
        <x:v>60.3</x:v>
      </x:c>
      <x:c r="BM690" s="4" t="n">
        <x:v>17.866666666666667</x:v>
      </x:c>
      <x:c r="BN690" s="4" t="n">
        <x:v>16.233333333333334</x:v>
      </x:c>
      <x:c r="BO690" s="10" t="n">
        <x:v>9</x:v>
      </x:c>
      <x:c r="BP690" s="10" t="n">
        <x:v>28</x:v>
      </x:c>
      <x:c r="BQ690" s="4" t="n">
        <x:v>0.8</x:v>
      </x:c>
      <x:c r="BR690" s="10" t="n">
        <x:v>78</x:v>
      </x:c>
      <x:c r="BS690" s="4" t="n">
        <x:v>38.5</x:v>
      </x:c>
      <x:c r="BT690" s="10" t="n">
        <x:v>34</x:v>
      </x:c>
      <x:c r="BU690" s="4" t="str">
        <x:v>NJD</x:v>
      </x:c>
      <x:c r="BV690" s="10" t="n">
        <x:v>562</x:v>
      </x:c>
      <x:c r="BW690" s="10"/>
      <x:c r="BX690" s="10" t="n">
        <x:v>539</x:v>
      </x:c>
      <x:c r="BY690" s="4" t="str">
        <x:v>Johnathan Kovacevic</x:v>
      </x:c>
      <x:c r="BZ690" s="4"/>
      <x:c r="CA690" s="4" t="str">
        <x:v>Johnathan Kovacevic</x:v>
      </x:c>
      <x:c r="CB690" s="4" t="str">
        <x:v>kovacjo01</x:v>
      </x:c>
    </x:row>
    <x:row r="691" ht="22" customHeight="1">
      <x:c r="A691" s="4" t="str">
        <x:v>Jon Merrill</x:v>
      </x:c>
      <x:c r="B691" s="4" t="str">
        <x:v>jonmerrill</x:v>
      </x:c>
      <x:c r="C691" s="10" t="n">
        <x:v>1</x:v>
      </x:c>
      <x:c r="D691" s="10" t="n">
        <x:v>0</x:v>
      </x:c>
      <x:c r="E691" s="10" t="n">
        <x:v>0</x:v>
      </x:c>
      <x:c r="F691" s="4" t="n">
        <x:f>IF(COUNT(N691,Q691,T691,W691,Z691,AC691,AF691,AI691)=8,N691*Guide!$E$5+Q691*Guide!$E$6+T691*Guide!$E$7+W691*Guide!$E$8+Z691*Guide!$E$9+AC691*Guide!$E$10+AF691*Guide!$E$11+AI691*Guide!$E$12,"")</x:f>
        <x:v>115</x:v>
      </x:c>
      <x:c r="G691" s="4" t="str">
        <x:f>IF(COUNT(O691,R691,U691,X691,AA691,AD691,AG691,AJ691)=8,O691*Guide!$E$5+R691*Guide!$E$6+U691*Guide!$E$7+X691*Guide!$E$8+AA691*Guide!$E$9+AD691*Guide!$E$10+AG691*Guide!$E$11+AJ691*Guide!$E$12,"")</x:f>
      </x:c>
      <x:c r="H691" s="4" t="str">
        <x:f>IF(COUNT(G691,F691)=2,G691-F691,"")</x:f>
      </x:c>
      <x:c r="I691" s="4" t="n">
        <x:f>IF(AND(ISNUMBER(F691),K691&gt;0),F691/K691,"")</x:f>
        <x:v>1.5972222222222223</x:v>
      </x:c>
      <x:c r="J691" s="4" t="str">
        <x:f>IF(AND(ISNUMBER(G691),L691&gt;0),G691/L691,"")</x:f>
      </x:c>
      <x:c r="K691" s="10" t="n">
        <x:v>72</x:v>
      </x:c>
      <x:c r="L691" s="10"/>
      <x:c r="M691" s="10" t="str">
        <x:f>IF(COUNT(L691,K691)=2,L691-K691,"")</x:f>
      </x:c>
      <x:c r="N691" s="10" t="n">
        <x:v>3</x:v>
      </x:c>
      <x:c r="O691" s="10"/>
      <x:c r="P691" s="10" t="str">
        <x:f>IF(COUNT(O691,N691)=2,O691-N691,"")</x:f>
      </x:c>
      <x:c r="Q691" s="10" t="n">
        <x:v>8</x:v>
      </x:c>
      <x:c r="R691" s="10"/>
      <x:c r="S691" s="10" t="str">
        <x:f>IF(COUNT(R691,Q691)=2,R691-Q691,"")</x:f>
      </x:c>
      <x:c r="T691" s="10" t="n">
        <x:v>-5</x:v>
      </x:c>
      <x:c r="U691" s="10"/>
      <x:c r="V691" s="10" t="str">
        <x:f>IF(COUNT(U691,T691)=2,U691-T691,"")</x:f>
      </x:c>
      <x:c r="W691" s="10" t="n">
        <x:v>0</x:v>
      </x:c>
      <x:c r="X691" s="10" t="str">
        <x:f>IF(COUNT(AV691,AW691)=2,AV691+AW691,"")</x:f>
      </x:c>
      <x:c r="Y691" s="10" t="str">
        <x:f>IF(COUNT(X691,W691)=2,X691-W691,"")</x:f>
      </x:c>
      <x:c r="Z691" s="10" t="n">
        <x:v>0</x:v>
      </x:c>
      <x:c r="AA691" s="10" t="str">
        <x:f>IF(COUNT(AX691,AY691)=2,AX691+AY691,"")</x:f>
      </x:c>
      <x:c r="AB691" s="10" t="str">
        <x:f>IF(COUNT(AA691,Z691)=2,AA691-Z691,"")</x:f>
      </x:c>
      <x:c r="AC691" s="10" t="n">
        <x:v>46</x:v>
      </x:c>
      <x:c r="AD691" s="10"/>
      <x:c r="AE691" s="10" t="str">
        <x:f>IF(COUNT(AD691,AC691)=2,AD691-AC691,"")</x:f>
      </x:c>
      <x:c r="AF691" s="10" t="n">
        <x:v>38</x:v>
      </x:c>
      <x:c r="AG691" s="10"/>
      <x:c r="AH691" s="10" t="str">
        <x:f>IF(COUNT(AG691,AF691)=2,AG691-AF691,"")</x:f>
      </x:c>
      <x:c r="AI691" s="10" t="n">
        <x:v>84</x:v>
      </x:c>
      <x:c r="AJ691" s="10"/>
      <x:c r="AK691" s="10" t="str">
        <x:f>IF(COUNT(AJ691,AI691)=2,AJ691-AI691,"")</x:f>
      </x:c>
      <x:c r="AL691" s="10" t="n">
        <x:v>33</x:v>
      </x:c>
      <x:c r="AM691" s="10"/>
      <x:c r="AN691" s="4" t="str">
        <x:v>D</x:v>
      </x:c>
      <x:c r="AO691" s="4"/>
      <x:c r="AP691" s="4" t="str">
        <x:v>MIN</x:v>
      </x:c>
      <x:c r="AQ691" s="4"/>
      <x:c r="AR691" s="4" t="n">
        <x:v>13.93</x:v>
      </x:c>
      <x:c r="AS691" s="4"/>
      <x:c r="AT691" s="4" t="n">
        <x:v>0.04</x:v>
      </x:c>
      <x:c r="AU691" s="4"/>
      <x:c r="AV691" s="10"/>
      <x:c r="AW691" s="10"/>
      <x:c r="AX691" s="10"/>
      <x:c r="AY691" s="10"/>
      <x:c r="AZ691" s="10"/>
      <x:c r="BA691" s="10"/>
      <x:c r="BB691" s="4"/>
      <x:c r="BC691" s="4"/>
      <x:c r="BD691" s="10"/>
      <x:c r="BE691" s="10"/>
      <x:c r="BF691" s="4"/>
      <x:c r="BG691" s="4"/>
      <x:c r="BH691" s="4"/>
      <x:c r="BI691" s="4"/>
      <x:c r="BJ691" s="4"/>
      <x:c r="BK691" s="4"/>
      <x:c r="BL691" s="4"/>
      <x:c r="BM691" s="4"/>
      <x:c r="BN691" s="4"/>
      <x:c r="BO691" s="10"/>
      <x:c r="BP691" s="10"/>
      <x:c r="BQ691" s="4"/>
      <x:c r="BR691" s="10"/>
      <x:c r="BS691" s="4"/>
      <x:c r="BT691" s="10"/>
      <x:c r="BU691" s="4"/>
      <x:c r="BV691" s="10" t="n">
        <x:v>707</x:v>
      </x:c>
      <x:c r="BW691" s="10"/>
      <x:c r="BX691" s="10"/>
      <x:c r="BY691" s="4" t="str">
        <x:v>Jon Merrill</x:v>
      </x:c>
      <x:c r="BZ691" s="4"/>
      <x:c r="CA691" s="4"/>
      <x:c r="CB691" s="4"/>
    </x:row>
    <x:row r="692" ht="22" customHeight="1">
      <x:c r="A692" s="4" t="str">
        <x:v>Jonah Gadjovich</x:v>
      </x:c>
      <x:c r="B692" s="4" t="str">
        <x:v>jonahgadjovich</x:v>
      </x:c>
      <x:c r="C692" s="10" t="n">
        <x:v>1</x:v>
      </x:c>
      <x:c r="D692" s="10" t="n">
        <x:v>0</x:v>
      </x:c>
      <x:c r="E692" s="10" t="n">
        <x:v>1</x:v>
      </x:c>
      <x:c r="F692" s="4" t="n">
        <x:f>IF(COUNT(N692,Q692,T692,W692,Z692,AC692,AF692,AI692)=8,N692*Guide!$E$5+Q692*Guide!$E$6+T692*Guide!$E$7+W692*Guide!$E$8+Z692*Guide!$E$9+AC692*Guide!$E$10+AF692*Guide!$E$11+AI692*Guide!$E$12,"")</x:f>
        <x:v>129.5</x:v>
      </x:c>
      <x:c r="G692" s="4" t="str">
        <x:f>IF(COUNT(O692,R692,U692,X692,AA692,AD692,AG692,AJ692)=8,O692*Guide!$E$5+R692*Guide!$E$6+U692*Guide!$E$7+X692*Guide!$E$8+AA692*Guide!$E$9+AD692*Guide!$E$10+AG692*Guide!$E$11+AJ692*Guide!$E$12,"")</x:f>
      </x:c>
      <x:c r="H692" s="4" t="str">
        <x:f>IF(COUNT(G692,F692)=2,G692-F692,"")</x:f>
      </x:c>
      <x:c r="I692" s="4" t="n">
        <x:f>IF(AND(ISNUMBER(F692),K692&gt;0),F692/K692,"")</x:f>
        <x:v>1.9923076923076923</x:v>
      </x:c>
      <x:c r="J692" s="4" t="str">
        <x:f>IF(AND(ISNUMBER(G692),L692&gt;0),G692/L692,"")</x:f>
      </x:c>
      <x:c r="K692" s="10" t="n">
        <x:v>65</x:v>
      </x:c>
      <x:c r="L692" s="10"/>
      <x:c r="M692" s="10" t="str">
        <x:f>IF(COUNT(L692,K692)=2,L692-K692,"")</x:f>
      </x:c>
      <x:c r="N692" s="10" t="n">
        <x:v>7</x:v>
      </x:c>
      <x:c r="O692" s="10"/>
      <x:c r="P692" s="10" t="str">
        <x:f>IF(COUNT(O692,N692)=2,O692-N692,"")</x:f>
      </x:c>
      <x:c r="Q692" s="10" t="n">
        <x:v>7</x:v>
      </x:c>
      <x:c r="R692" s="10"/>
      <x:c r="S692" s="10" t="str">
        <x:f>IF(COUNT(R692,Q692)=2,R692-Q692,"")</x:f>
      </x:c>
      <x:c r="T692" s="10" t="n">
        <x:v>-1</x:v>
      </x:c>
      <x:c r="U692" s="10"/>
      <x:c r="V692" s="10" t="str">
        <x:f>IF(COUNT(U692,T692)=2,U692-T692,"")</x:f>
      </x:c>
      <x:c r="W692" s="10" t="n">
        <x:v>2</x:v>
      </x:c>
      <x:c r="X692" s="10" t="str">
        <x:f>IF(COUNT(AV692,AW692)=2,AV692+AW692,"")</x:f>
      </x:c>
      <x:c r="Y692" s="10" t="str">
        <x:f>IF(COUNT(X692,W692)=2,X692-W692,"")</x:f>
      </x:c>
      <x:c r="Z692" s="10" t="n">
        <x:v>0</x:v>
      </x:c>
      <x:c r="AA692" s="10" t="str">
        <x:f>IF(COUNT(AX692,AY692)=2,AX692+AY692,"")</x:f>
      </x:c>
      <x:c r="AB692" s="10" t="str">
        <x:f>IF(COUNT(AA692,Z692)=2,AA692-Z692,"")</x:f>
      </x:c>
      <x:c r="AC692" s="10" t="n">
        <x:v>62</x:v>
      </x:c>
      <x:c r="AD692" s="10"/>
      <x:c r="AE692" s="10" t="str">
        <x:f>IF(COUNT(AD692,AC692)=2,AD692-AC692,"")</x:f>
      </x:c>
      <x:c r="AF692" s="10" t="n">
        <x:v>178</x:v>
      </x:c>
      <x:c r="AG692" s="10"/>
      <x:c r="AH692" s="10" t="str">
        <x:f>IF(COUNT(AG692,AF692)=2,AG692-AF692,"")</x:f>
      </x:c>
      <x:c r="AI692" s="10" t="n">
        <x:v>26</x:v>
      </x:c>
      <x:c r="AJ692" s="10"/>
      <x:c r="AK692" s="10" t="str">
        <x:f>IF(COUNT(AJ692,AI692)=2,AJ692-AI692,"")</x:f>
      </x:c>
      <x:c r="AL692" s="10" t="n">
        <x:v>27</x:v>
      </x:c>
      <x:c r="AM692" s="10"/>
      <x:c r="AN692" s="4" t="str">
        <x:v>LW</x:v>
      </x:c>
      <x:c r="AO692" s="4"/>
      <x:c r="AP692" s="4" t="str">
        <x:v>FLA</x:v>
      </x:c>
      <x:c r="AQ692" s="4"/>
      <x:c r="AR692" s="4" t="n">
        <x:v>8.61</x:v>
      </x:c>
      <x:c r="AS692" s="4"/>
      <x:c r="AT692" s="4" t="n">
        <x:v>0.27</x:v>
      </x:c>
      <x:c r="AU692" s="4"/>
      <x:c r="AV692" s="10"/>
      <x:c r="AW692" s="10"/>
      <x:c r="AX692" s="10"/>
      <x:c r="AY692" s="10"/>
      <x:c r="AZ692" s="10" t="n">
        <x:v>68</x:v>
      </x:c>
      <x:c r="BA692" s="10" t="n">
        <x:v>81</x:v>
      </x:c>
      <x:c r="BB692" s="4" t="n">
        <x:v>45.6</x:v>
      </x:c>
      <x:c r="BC692" s="4" t="n">
        <x:v>-8</x:v>
      </x:c>
      <x:c r="BD692" s="10" t="n">
        <x:v>39</x:v>
      </x:c>
      <x:c r="BE692" s="10" t="n">
        <x:v>51</x:v>
      </x:c>
      <x:c r="BF692" s="4" t="n">
        <x:v>43.3</x:v>
      </x:c>
      <x:c r="BG692" s="4" t="n">
        <x:v>-9</x:v>
      </x:c>
      <x:c r="BH692" s="4" t="n">
        <x:v>11.5</x:v>
      </x:c>
      <x:c r="BI692" s="4" t="n">
        <x:v>96.6</x:v>
      </x:c>
      <x:c r="BJ692" s="4" t="n">
        <x:v>108.1</x:v>
      </x:c>
      <x:c r="BK692" s="4" t="n">
        <x:v>42.6</x:v>
      </x:c>
      <x:c r="BL692" s="4" t="n">
        <x:v>57.4</x:v>
      </x:c>
      <x:c r="BM692" s="4" t="n">
        <x:v>7.95</x:v>
      </x:c>
      <x:c r="BN692" s="4" t="n">
        <x:v>7.916666666666667</x:v>
      </x:c>
      <x:c r="BO692" s="10" t="n">
        <x:v>3</x:v>
      </x:c>
      <x:c r="BP692" s="10" t="n">
        <x:v>3</x:v>
      </x:c>
      <x:c r="BQ692" s="4" t="n">
        <x:v>0.8</x:v>
      </x:c>
      <x:c r="BR692" s="10" t="n">
        <x:v>12</x:v>
      </x:c>
      <x:c r="BS692" s="4" t="n">
        <x:v>66.7</x:v>
      </x:c>
      <x:c r="BT692" s="10" t="n">
        <x:v>10</x:v>
      </x:c>
      <x:c r="BU692" s="4" t="str">
        <x:v>FLA</x:v>
      </x:c>
      <x:c r="BV692" s="10" t="n">
        <x:v>648</x:v>
      </x:c>
      <x:c r="BW692" s="10"/>
      <x:c r="BX692" s="10" t="n">
        <x:v>318</x:v>
      </x:c>
      <x:c r="BY692" s="4" t="str">
        <x:v>Jonah Gadjovich</x:v>
      </x:c>
      <x:c r="BZ692" s="4"/>
      <x:c r="CA692" s="4" t="str">
        <x:v>Jonah Gadjovich</x:v>
      </x:c>
      <x:c r="CB692" s="4" t="str">
        <x:v>gadjojo01</x:v>
      </x:c>
    </x:row>
    <x:row r="693" ht="22" customHeight="1">
      <x:c r="A693" s="4" t="str">
        <x:v>Jonas Rondbjerg</x:v>
      </x:c>
      <x:c r="B693" s="4" t="str">
        <x:v>jonasrondbjerg</x:v>
      </x:c>
      <x:c r="C693" s="10" t="n">
        <x:v>1</x:v>
      </x:c>
      <x:c r="D693" s="10" t="n">
        <x:v>0</x:v>
      </x:c>
      <x:c r="E693" s="10" t="n">
        <x:v>0</x:v>
      </x:c>
      <x:c r="F693" s="4" t="n">
        <x:f>IF(COUNT(N693,Q693,T693,W693,Z693,AC693,AF693,AI693)=8,N693*Guide!$E$5+Q693*Guide!$E$6+T693*Guide!$E$7+W693*Guide!$E$8+Z693*Guide!$E$9+AC693*Guide!$E$10+AF693*Guide!$E$11+AI693*Guide!$E$12,"")</x:f>
        <x:v>55.75</x:v>
      </x:c>
      <x:c r="G693" s="4" t="str">
        <x:f>IF(COUNT(O693,R693,U693,X693,AA693,AD693,AG693,AJ693)=8,O693*Guide!$E$5+R693*Guide!$E$6+U693*Guide!$E$7+X693*Guide!$E$8+AA693*Guide!$E$9+AD693*Guide!$E$10+AG693*Guide!$E$11+AJ693*Guide!$E$12,"")</x:f>
      </x:c>
      <x:c r="H693" s="4" t="str">
        <x:f>IF(COUNT(G693,F693)=2,G693-F693,"")</x:f>
      </x:c>
      <x:c r="I693" s="4" t="n">
        <x:f>IF(AND(ISNUMBER(F693),K693&gt;0),F693/K693,"")</x:f>
        <x:v>1.6893939393939394</x:v>
      </x:c>
      <x:c r="J693" s="4" t="str">
        <x:f>IF(AND(ISNUMBER(G693),L693&gt;0),G693/L693,"")</x:f>
      </x:c>
      <x:c r="K693" s="10" t="n">
        <x:v>33</x:v>
      </x:c>
      <x:c r="L693" s="10"/>
      <x:c r="M693" s="10" t="str">
        <x:f>IF(COUNT(L693,K693)=2,L693-K693,"")</x:f>
      </x:c>
      <x:c r="N693" s="10" t="n">
        <x:v>4</x:v>
      </x:c>
      <x:c r="O693" s="10"/>
      <x:c r="P693" s="10" t="str">
        <x:f>IF(COUNT(O693,N693)=2,O693-N693,"")</x:f>
      </x:c>
      <x:c r="Q693" s="10" t="n">
        <x:v>5</x:v>
      </x:c>
      <x:c r="R693" s="10"/>
      <x:c r="S693" s="10" t="str">
        <x:f>IF(COUNT(R693,Q693)=2,R693-Q693,"")</x:f>
      </x:c>
      <x:c r="T693" s="10" t="n">
        <x:v>-1</x:v>
      </x:c>
      <x:c r="U693" s="10"/>
      <x:c r="V693" s="10" t="str">
        <x:f>IF(COUNT(U693,T693)=2,U693-T693,"")</x:f>
      </x:c>
      <x:c r="W693" s="10" t="n">
        <x:v>0</x:v>
      </x:c>
      <x:c r="X693" s="10" t="str">
        <x:f>IF(COUNT(AV693,AW693)=2,AV693+AW693,"")</x:f>
      </x:c>
      <x:c r="Y693" s="10" t="str">
        <x:f>IF(COUNT(X693,W693)=2,X693-W693,"")</x:f>
      </x:c>
      <x:c r="Z693" s="10" t="n">
        <x:v>0</x:v>
      </x:c>
      <x:c r="AA693" s="10" t="str">
        <x:f>IF(COUNT(AX693,AY693)=2,AX693+AY693,"")</x:f>
      </x:c>
      <x:c r="AB693" s="10" t="str">
        <x:f>IF(COUNT(AA693,Z693)=2,AA693-Z693,"")</x:f>
      </x:c>
      <x:c r="AC693" s="10" t="n">
        <x:v>37</x:v>
      </x:c>
      <x:c r="AD693" s="10"/>
      <x:c r="AE693" s="10" t="str">
        <x:f>IF(COUNT(AD693,AC693)=2,AD693-AC693,"")</x:f>
      </x:c>
      <x:c r="AF693" s="10" t="n">
        <x:v>12</x:v>
      </x:c>
      <x:c r="AG693" s="10"/>
      <x:c r="AH693" s="10" t="str">
        <x:f>IF(COUNT(AG693,AF693)=2,AG693-AF693,"")</x:f>
      </x:c>
      <x:c r="AI693" s="10" t="n">
        <x:v>18</x:v>
      </x:c>
      <x:c r="AJ693" s="10"/>
      <x:c r="AK693" s="10" t="str">
        <x:f>IF(COUNT(AJ693,AI693)=2,AJ693-AI693,"")</x:f>
      </x:c>
      <x:c r="AL693" s="10" t="n">
        <x:v>26</x:v>
      </x:c>
      <x:c r="AM693" s="10"/>
      <x:c r="AN693" s="4" t="str">
        <x:v>RW</x:v>
      </x:c>
      <x:c r="AO693" s="4"/>
      <x:c r="AP693" s="4" t="str">
        <x:v>VGK</x:v>
      </x:c>
      <x:c r="AQ693" s="4"/>
      <x:c r="AR693" s="4" t="n">
        <x:v>11.69</x:v>
      </x:c>
      <x:c r="AS693" s="4"/>
      <x:c r="AT693" s="4" t="n">
        <x:v>0</x:v>
      </x:c>
      <x:c r="AU693" s="4"/>
      <x:c r="AV693" s="10"/>
      <x:c r="AW693" s="10"/>
      <x:c r="AX693" s="10"/>
      <x:c r="AY693" s="10"/>
      <x:c r="AZ693" s="10"/>
      <x:c r="BA693" s="10"/>
      <x:c r="BB693" s="4"/>
      <x:c r="BC693" s="4"/>
      <x:c r="BD693" s="10"/>
      <x:c r="BE693" s="10"/>
      <x:c r="BF693" s="4"/>
      <x:c r="BG693" s="4"/>
      <x:c r="BH693" s="4"/>
      <x:c r="BI693" s="4"/>
      <x:c r="BJ693" s="4"/>
      <x:c r="BK693" s="4"/>
      <x:c r="BL693" s="4"/>
      <x:c r="BM693" s="4"/>
      <x:c r="BN693" s="4"/>
      <x:c r="BO693" s="10"/>
      <x:c r="BP693" s="10"/>
      <x:c r="BQ693" s="4"/>
      <x:c r="BR693" s="10"/>
      <x:c r="BS693" s="4"/>
      <x:c r="BT693" s="10"/>
      <x:c r="BU693" s="4"/>
      <x:c r="BV693" s="10" t="n">
        <x:v>742</x:v>
      </x:c>
      <x:c r="BW693" s="10"/>
      <x:c r="BX693" s="10"/>
      <x:c r="BY693" s="4" t="str">
        <x:v>Jonas Rondbjerg</x:v>
      </x:c>
      <x:c r="BZ693" s="4"/>
      <x:c r="CA693" s="4"/>
      <x:c r="CB693" s="4"/>
    </x:row>
    <x:row r="694" ht="22" customHeight="1">
      <x:c r="A694" s="4" t="str">
        <x:v>Jonas Røndbjerg</x:v>
      </x:c>
      <x:c r="B694" s="4" t="str">
        <x:v>jonasrndbjerg</x:v>
      </x:c>
      <x:c r="C694" s="10" t="n">
        <x:v>0</x:v>
      </x:c>
      <x:c r="D694" s="10" t="n">
        <x:v>0</x:v>
      </x:c>
      <x:c r="E694" s="10" t="n">
        <x:v>1</x:v>
      </x:c>
      <x:c r="F694" s="4" t="str">
        <x:f>IF(COUNT(N694,Q694,T694,W694,Z694,AC694,AF694,AI694)=8,N694*Guide!$E$5+Q694*Guide!$E$6+T694*Guide!$E$7+W694*Guide!$E$8+Z694*Guide!$E$9+AC694*Guide!$E$10+AF694*Guide!$E$11+AI694*Guide!$E$12,"")</x:f>
      </x:c>
      <x:c r="G694" s="4" t="str">
        <x:f>IF(COUNT(O694,R694,U694,X694,AA694,AD694,AG694,AJ694)=8,O694*Guide!$E$5+R694*Guide!$E$6+U694*Guide!$E$7+X694*Guide!$E$8+AA694*Guide!$E$9+AD694*Guide!$E$10+AG694*Guide!$E$11+AJ694*Guide!$E$12,"")</x:f>
      </x:c>
      <x:c r="H694" s="4" t="str">
        <x:f>IF(COUNT(G694,F694)=2,G694-F694,"")</x:f>
      </x:c>
      <x:c r="I694" s="4" t="str">
        <x:f>IF(AND(ISNUMBER(F694),K694&gt;0),F694/K694,"")</x:f>
      </x:c>
      <x:c r="J694" s="4" t="str">
        <x:f>IF(AND(ISNUMBER(G694),L694&gt;0),G694/L694,"")</x:f>
      </x:c>
      <x:c r="K694" s="10"/>
      <x:c r="L694" s="10"/>
      <x:c r="M694" s="10" t="str">
        <x:f>IF(COUNT(L694,K694)=2,L694-K694,"")</x:f>
      </x:c>
      <x:c r="N694" s="10"/>
      <x:c r="O694" s="10"/>
      <x:c r="P694" s="10" t="str">
        <x:f>IF(COUNT(O694,N694)=2,O694-N694,"")</x:f>
      </x:c>
      <x:c r="Q694" s="10"/>
      <x:c r="R694" s="10"/>
      <x:c r="S694" s="10" t="str">
        <x:f>IF(COUNT(R694,Q694)=2,R694-Q694,"")</x:f>
      </x:c>
      <x:c r="T694" s="10"/>
      <x:c r="U694" s="10"/>
      <x:c r="V694" s="10" t="str">
        <x:f>IF(COUNT(U694,T694)=2,U694-T694,"")</x:f>
      </x:c>
      <x:c r="W694" s="10"/>
      <x:c r="X694" s="10" t="str">
        <x:f>IF(COUNT(AV694,AW694)=2,AV694+AW694,"")</x:f>
      </x:c>
      <x:c r="Y694" s="10" t="str">
        <x:f>IF(COUNT(X694,W694)=2,X694-W694,"")</x:f>
      </x:c>
      <x:c r="Z694" s="10"/>
      <x:c r="AA694" s="10" t="str">
        <x:f>IF(COUNT(AX694,AY694)=2,AX694+AY694,"")</x:f>
      </x:c>
      <x:c r="AB694" s="10" t="str">
        <x:f>IF(COUNT(AA694,Z694)=2,AA694-Z694,"")</x:f>
      </x:c>
      <x:c r="AC694" s="10"/>
      <x:c r="AD694" s="10"/>
      <x:c r="AE694" s="10" t="str">
        <x:f>IF(COUNT(AD694,AC694)=2,AD694-AC694,"")</x:f>
      </x:c>
      <x:c r="AF694" s="10"/>
      <x:c r="AG694" s="10"/>
      <x:c r="AH694" s="10" t="str">
        <x:f>IF(COUNT(AG694,AF694)=2,AG694-AF694,"")</x:f>
      </x:c>
      <x:c r="AI694" s="10"/>
      <x:c r="AJ694" s="10"/>
      <x:c r="AK694" s="10" t="str">
        <x:f>IF(COUNT(AJ694,AI694)=2,AJ694-AI694,"")</x:f>
      </x:c>
      <x:c r="AL694" s="10"/>
      <x:c r="AM694" s="10"/>
      <x:c r="AN694" s="4"/>
      <x:c r="AO694" s="4"/>
      <x:c r="AP694" s="4"/>
      <x:c r="AQ694" s="4"/>
      <x:c r="AR694" s="4"/>
      <x:c r="AS694" s="4"/>
      <x:c r="AT694" s="4"/>
      <x:c r="AU694" s="4"/>
      <x:c r="AV694" s="10"/>
      <x:c r="AW694" s="10"/>
      <x:c r="AX694" s="10"/>
      <x:c r="AY694" s="10"/>
      <x:c r="AZ694" s="10" t="n">
        <x:v>38</x:v>
      </x:c>
      <x:c r="BA694" s="10" t="n">
        <x:v>39</x:v>
      </x:c>
      <x:c r="BB694" s="4" t="n">
        <x:v>49.4</x:v>
      </x:c>
      <x:c r="BC694" s="4" t="n">
        <x:v>-0.3</x:v>
      </x:c>
      <x:c r="BD694" s="10" t="n">
        <x:v>29</x:v>
      </x:c>
      <x:c r="BE694" s="10" t="n">
        <x:v>30</x:v>
      </x:c>
      <x:c r="BF694" s="4" t="n">
        <x:v>49.2</x:v>
      </x:c>
      <x:c r="BG694" s="4" t="n">
        <x:v>0.2</x:v>
      </x:c>
      <x:c r="BH694" s="4" t="n">
        <x:v>10</x:v>
      </x:c>
      <x:c r="BI694" s="4" t="n">
        <x:v>77.8</x:v>
      </x:c>
      <x:c r="BJ694" s="4" t="n">
        <x:v>87.8</x:v>
      </x:c>
      <x:c r="BK694" s="4" t="n">
        <x:v>57.9</x:v>
      </x:c>
      <x:c r="BL694" s="4" t="n">
        <x:v>42.1</x:v>
      </x:c>
      <x:c r="BM694" s="4" t="n">
        <x:v>12.083333333333334</x:v>
      </x:c>
      <x:c r="BN694" s="4" t="n">
        <x:v>11.666666666666666</x:v>
      </x:c>
      <x:c r="BO694" s="10" t="n">
        <x:v>1</x:v>
      </x:c>
      <x:c r="BP694" s="10" t="n">
        <x:v>0</x:v>
      </x:c>
      <x:c r="BQ694" s="4" t="n">
        <x:v>0.6</x:v>
      </x:c>
      <x:c r="BR694" s="10" t="n">
        <x:v>12</x:v>
      </x:c>
      <x:c r="BS694" s="4" t="n">
        <x:v>50</x:v>
      </x:c>
      <x:c r="BT694" s="10" t="n">
        <x:v>4</x:v>
      </x:c>
      <x:c r="BU694" s="4" t="str">
        <x:v>VEG</x:v>
      </x:c>
      <x:c r="BV694" s="10"/>
      <x:c r="BW694" s="10"/>
      <x:c r="BX694" s="10" t="n">
        <x:v>886</x:v>
      </x:c>
      <x:c r="BY694" s="4"/>
      <x:c r="BZ694" s="4"/>
      <x:c r="CA694" s="4" t="str">
        <x:v>Jonas Røndbjerg</x:v>
      </x:c>
      <x:c r="CB694" s="4" t="str">
        <x:v>rondbjo01</x:v>
      </x:c>
    </x:row>
    <x:row r="695" ht="22" customHeight="1">
      <x:c r="A695" s="4" t="str">
        <x:v>Jonas Siegenthaler</x:v>
      </x:c>
      <x:c r="B695" s="4" t="str">
        <x:v>jonassiegenthaler</x:v>
      </x:c>
      <x:c r="C695" s="10" t="n">
        <x:v>1</x:v>
      </x:c>
      <x:c r="D695" s="10" t="n">
        <x:v>0</x:v>
      </x:c>
      <x:c r="E695" s="10" t="n">
        <x:v>1</x:v>
      </x:c>
      <x:c r="F695" s="4" t="n">
        <x:f>IF(COUNT(N695,Q695,T695,W695,Z695,AC695,AF695,AI695)=8,N695*Guide!$E$5+Q695*Guide!$E$6+T695*Guide!$E$7+W695*Guide!$E$8+Z695*Guide!$E$9+AC695*Guide!$E$10+AF695*Guide!$E$11+AI695*Guide!$E$12,"")</x:f>
        <x:v>210.5</x:v>
      </x:c>
      <x:c r="G695" s="4" t="str">
        <x:f>IF(COUNT(O695,R695,U695,X695,AA695,AD695,AG695,AJ695)=8,O695*Guide!$E$5+R695*Guide!$E$6+U695*Guide!$E$7+X695*Guide!$E$8+AA695*Guide!$E$9+AD695*Guide!$E$10+AG695*Guide!$E$11+AJ695*Guide!$E$12,"")</x:f>
      </x:c>
      <x:c r="H695" s="4" t="str">
        <x:f>IF(COUNT(G695,F695)=2,G695-F695,"")</x:f>
      </x:c>
      <x:c r="I695" s="4" t="n">
        <x:f>IF(AND(ISNUMBER(F695),K695&gt;0),F695/K695,"")</x:f>
        <x:v>2.63125</x:v>
      </x:c>
      <x:c r="J695" s="4" t="str">
        <x:f>IF(AND(ISNUMBER(G695),L695&gt;0),G695/L695,"")</x:f>
      </x:c>
      <x:c r="K695" s="10" t="n">
        <x:v>80</x:v>
      </x:c>
      <x:c r="L695" s="10"/>
      <x:c r="M695" s="10" t="str">
        <x:f>IF(COUNT(L695,K695)=2,L695-K695,"")</x:f>
      </x:c>
      <x:c r="N695" s="10" t="n">
        <x:v>3</x:v>
      </x:c>
      <x:c r="O695" s="10"/>
      <x:c r="P695" s="10" t="str">
        <x:f>IF(COUNT(O695,N695)=2,O695-N695,"")</x:f>
      </x:c>
      <x:c r="Q695" s="10" t="n">
        <x:v>13</x:v>
      </x:c>
      <x:c r="R695" s="10"/>
      <x:c r="S695" s="10" t="str">
        <x:f>IF(COUNT(R695,Q695)=2,R695-Q695,"")</x:f>
      </x:c>
      <x:c r="T695" s="10" t="n">
        <x:v>13</x:v>
      </x:c>
      <x:c r="U695" s="10"/>
      <x:c r="V695" s="10" t="str">
        <x:f>IF(COUNT(U695,T695)=2,U695-T695,"")</x:f>
      </x:c>
      <x:c r="W695" s="10" t="n">
        <x:v>0</x:v>
      </x:c>
      <x:c r="X695" s="10" t="str">
        <x:f>IF(COUNT(AV695,AW695)=2,AV695+AW695,"")</x:f>
      </x:c>
      <x:c r="Y695" s="10" t="str">
        <x:f>IF(COUNT(X695,W695)=2,X695-W695,"")</x:f>
      </x:c>
      <x:c r="Z695" s="10" t="n">
        <x:v>1</x:v>
      </x:c>
      <x:c r="AA695" s="10" t="str">
        <x:f>IF(COUNT(AX695,AY695)=2,AX695+AY695,"")</x:f>
      </x:c>
      <x:c r="AB695" s="10" t="str">
        <x:f>IF(COUNT(AA695,Z695)=2,AA695-Z695,"")</x:f>
      </x:c>
      <x:c r="AC695" s="10" t="n">
        <x:v>79</x:v>
      </x:c>
      <x:c r="AD695" s="10"/>
      <x:c r="AE695" s="10" t="str">
        <x:f>IF(COUNT(AD695,AC695)=2,AD695-AC695,"")</x:f>
      </x:c>
      <x:c r="AF695" s="10" t="n">
        <x:v>99</x:v>
      </x:c>
      <x:c r="AG695" s="10"/>
      <x:c r="AH695" s="10" t="str">
        <x:f>IF(COUNT(AG695,AF695)=2,AG695-AF695,"")</x:f>
      </x:c>
      <x:c r="AI695" s="10" t="n">
        <x:v>132</x:v>
      </x:c>
      <x:c r="AJ695" s="10"/>
      <x:c r="AK695" s="10" t="str">
        <x:f>IF(COUNT(AJ695,AI695)=2,AJ695-AI695,"")</x:f>
      </x:c>
      <x:c r="AL695" s="10" t="n">
        <x:v>28</x:v>
      </x:c>
      <x:c r="AM695" s="10"/>
      <x:c r="AN695" s="4" t="str">
        <x:v>D</x:v>
      </x:c>
      <x:c r="AO695" s="4"/>
      <x:c r="AP695" s="4" t="str">
        <x:v>NJ</x:v>
      </x:c>
      <x:c r="AQ695" s="4"/>
      <x:c r="AR695" s="4" t="n">
        <x:v>19.59</x:v>
      </x:c>
      <x:c r="AS695" s="4"/>
      <x:c r="AT695" s="4" t="n">
        <x:v>0.07</x:v>
      </x:c>
      <x:c r="AU695" s="4"/>
      <x:c r="AV695" s="10"/>
      <x:c r="AW695" s="10"/>
      <x:c r="AX695" s="10"/>
      <x:c r="AY695" s="10"/>
      <x:c r="AZ695" s="10" t="n">
        <x:v>1369</x:v>
      </x:c>
      <x:c r="BA695" s="10" t="n">
        <x:v>1398</x:v>
      </x:c>
      <x:c r="BB695" s="4" t="n">
        <x:v>49.5</x:v>
      </x:c>
      <x:c r="BC695" s="4" t="n">
        <x:v>-3.4</x:v>
      </x:c>
      <x:c r="BD695" s="10" t="n">
        <x:v>994</x:v>
      </x:c>
      <x:c r="BE695" s="10" t="n">
        <x:v>1004</x:v>
      </x:c>
      <x:c r="BF695" s="4" t="n">
        <x:v>49.7</x:v>
      </x:c>
      <x:c r="BG695" s="4" t="n">
        <x:v>-2.8</x:v>
      </x:c>
      <x:c r="BH695" s="4" t="n">
        <x:v>8.4</x:v>
      </x:c>
      <x:c r="BI695" s="4" t="n">
        <x:v>90.2</x:v>
      </x:c>
      <x:c r="BJ695" s="4" t="n">
        <x:v>98.6</x:v>
      </x:c>
      <x:c r="BK695" s="4" t="n">
        <x:v>44</x:v>
      </x:c>
      <x:c r="BL695" s="4" t="n">
        <x:v>56</x:v>
      </x:c>
      <x:c r="BM695" s="4" t="n">
        <x:v>19.483333333333334</x:v>
      </x:c>
      <x:c r="BN695" s="4" t="n">
        <x:v>17.716666666666665</x:v>
      </x:c>
      <x:c r="BO695" s="10" t="n">
        <x:v>21</x:v>
      </x:c>
      <x:c r="BP695" s="10" t="n">
        <x:v>90</x:v>
      </x:c>
      <x:c r="BQ695" s="4" t="n">
        <x:v>-5.3</x:v>
      </x:c>
      <x:c r="BR695" s="10" t="n">
        <x:v>166</x:v>
      </x:c>
      <x:c r="BS695" s="4" t="n">
        <x:v>36.1</x:v>
      </x:c>
      <x:c r="BT695" s="10" t="n">
        <x:v>82</x:v>
      </x:c>
      <x:c r="BU695" s="4" t="str">
        <x:v>NJD</x:v>
      </x:c>
      <x:c r="BV695" s="10" t="n">
        <x:v>598</x:v>
      </x:c>
      <x:c r="BW695" s="10"/>
      <x:c r="BX695" s="10" t="n">
        <x:v>933</x:v>
      </x:c>
      <x:c r="BY695" s="4" t="str">
        <x:v>Jonas Siegenthaler</x:v>
      </x:c>
      <x:c r="BZ695" s="4"/>
      <x:c r="CA695" s="4" t="str">
        <x:v>Jonas Siegenthaler</x:v>
      </x:c>
      <x:c r="CB695" s="4" t="str">
        <x:v>siegejo01</x:v>
      </x:c>
    </x:row>
    <x:row r="696" ht="22" customHeight="1">
      <x:c r="A696" s="4" t="str">
        <x:v>Jonathan Aspirot</x:v>
      </x:c>
      <x:c r="B696" s="4" t="str">
        <x:v>jonathanaspirot</x:v>
      </x:c>
      <x:c r="C696" s="10" t="n">
        <x:v>0</x:v>
      </x:c>
      <x:c r="D696" s="10" t="n">
        <x:v>0</x:v>
      </x:c>
      <x:c r="E696" s="10" t="n">
        <x:v>1</x:v>
      </x:c>
      <x:c r="F696" s="4" t="str">
        <x:f>IF(COUNT(N696,Q696,T696,W696,Z696,AC696,AF696,AI696)=8,N696*Guide!$E$5+Q696*Guide!$E$6+T696*Guide!$E$7+W696*Guide!$E$8+Z696*Guide!$E$9+AC696*Guide!$E$10+AF696*Guide!$E$11+AI696*Guide!$E$12,"")</x:f>
      </x:c>
      <x:c r="G696" s="4" t="str">
        <x:f>IF(COUNT(O696,R696,U696,X696,AA696,AD696,AG696,AJ696)=8,O696*Guide!$E$5+R696*Guide!$E$6+U696*Guide!$E$7+X696*Guide!$E$8+AA696*Guide!$E$9+AD696*Guide!$E$10+AG696*Guide!$E$11+AJ696*Guide!$E$12,"")</x:f>
      </x:c>
      <x:c r="H696" s="4" t="str">
        <x:f>IF(COUNT(G696,F696)=2,G696-F696,"")</x:f>
      </x:c>
      <x:c r="I696" s="4" t="str">
        <x:f>IF(AND(ISNUMBER(F696),K696&gt;0),F696/K696,"")</x:f>
      </x:c>
      <x:c r="J696" s="4" t="str">
        <x:f>IF(AND(ISNUMBER(G696),L696&gt;0),G696/L696,"")</x:f>
      </x:c>
      <x:c r="K696" s="10"/>
      <x:c r="L696" s="10"/>
      <x:c r="M696" s="10" t="str">
        <x:f>IF(COUNT(L696,K696)=2,L696-K696,"")</x:f>
      </x:c>
      <x:c r="N696" s="10"/>
      <x:c r="O696" s="10"/>
      <x:c r="P696" s="10" t="str">
        <x:f>IF(COUNT(O696,N696)=2,O696-N696,"")</x:f>
      </x:c>
      <x:c r="Q696" s="10"/>
      <x:c r="R696" s="10"/>
      <x:c r="S696" s="10" t="str">
        <x:f>IF(COUNT(R696,Q696)=2,R696-Q696,"")</x:f>
      </x:c>
      <x:c r="T696" s="10"/>
      <x:c r="U696" s="10"/>
      <x:c r="V696" s="10" t="str">
        <x:f>IF(COUNT(U696,T696)=2,U696-T696,"")</x:f>
      </x:c>
      <x:c r="W696" s="10"/>
      <x:c r="X696" s="10" t="str">
        <x:f>IF(COUNT(AV696,AW696)=2,AV696+AW696,"")</x:f>
      </x:c>
      <x:c r="Y696" s="10" t="str">
        <x:f>IF(COUNT(X696,W696)=2,X696-W696,"")</x:f>
      </x:c>
      <x:c r="Z696" s="10"/>
      <x:c r="AA696" s="10" t="str">
        <x:f>IF(COUNT(AX696,AY696)=2,AX696+AY696,"")</x:f>
      </x:c>
      <x:c r="AB696" s="10" t="str">
        <x:f>IF(COUNT(AA696,Z696)=2,AA696-Z696,"")</x:f>
      </x:c>
      <x:c r="AC696" s="10"/>
      <x:c r="AD696" s="10"/>
      <x:c r="AE696" s="10" t="str">
        <x:f>IF(COUNT(AD696,AC696)=2,AD696-AC696,"")</x:f>
      </x:c>
      <x:c r="AF696" s="10"/>
      <x:c r="AG696" s="10"/>
      <x:c r="AH696" s="10" t="str">
        <x:f>IF(COUNT(AG696,AF696)=2,AG696-AF696,"")</x:f>
      </x:c>
      <x:c r="AI696" s="10"/>
      <x:c r="AJ696" s="10"/>
      <x:c r="AK696" s="10" t="str">
        <x:f>IF(COUNT(AJ696,AI696)=2,AJ696-AI696,"")</x:f>
      </x:c>
      <x:c r="AL696" s="10"/>
      <x:c r="AM696" s="10"/>
      <x:c r="AN696" s="4"/>
      <x:c r="AO696" s="4"/>
      <x:c r="AP696" s="4"/>
      <x:c r="AQ696" s="4"/>
      <x:c r="AR696" s="4"/>
      <x:c r="AS696" s="4"/>
      <x:c r="AT696" s="4"/>
      <x:c r="AU696" s="4"/>
      <x:c r="AV696" s="10"/>
      <x:c r="AW696" s="10"/>
      <x:c r="AX696" s="10"/>
      <x:c r="AY696" s="10"/>
      <x:c r="AZ696" s="10" t="n">
        <x:v>884</x:v>
      </x:c>
      <x:c r="BA696" s="10" t="n">
        <x:v>946</x:v>
      </x:c>
      <x:c r="BB696" s="4" t="n">
        <x:v>48.3</x:v>
      </x:c>
      <x:c r="BC696" s="4" t="n">
        <x:v>-0.1</x:v>
      </x:c>
      <x:c r="BD696" s="10" t="n">
        <x:v>662</x:v>
      </x:c>
      <x:c r="BE696" s="10" t="n">
        <x:v>681</x:v>
      </x:c>
      <x:c r="BF696" s="4" t="n">
        <x:v>49.3</x:v>
      </x:c>
      <x:c r="BG696" s="4" t="n">
        <x:v>1.3</x:v>
      </x:c>
      <x:c r="BH696" s="4" t="n">
        <x:v>13.6</x:v>
      </x:c>
      <x:c r="BI696" s="4" t="n">
        <x:v>92.9</x:v>
      </x:c>
      <x:c r="BJ696" s="4" t="n">
        <x:v>106.5</x:v>
      </x:c>
      <x:c r="BK696" s="4" t="n">
        <x:v>44.9</x:v>
      </x:c>
      <x:c r="BL696" s="4" t="n">
        <x:v>55.1</x:v>
      </x:c>
      <x:c r="BM696" s="4" t="n">
        <x:v>16.733333333333334</x:v>
      </x:c>
      <x:c r="BN696" s="4" t="n">
        <x:v>15.616666666666667</x:v>
      </x:c>
      <x:c r="BO696" s="10" t="n">
        <x:v>10</x:v>
      </x:c>
      <x:c r="BP696" s="10" t="n">
        <x:v>56</x:v>
      </x:c>
      <x:c r="BQ696" s="4" t="n">
        <x:v>-0.6</x:v>
      </x:c>
      <x:c r="BR696" s="10" t="n">
        <x:v>129</x:v>
      </x:c>
      <x:c r="BS696" s="4" t="n">
        <x:v>36.4</x:v>
      </x:c>
      <x:c r="BT696" s="10" t="n">
        <x:v>61</x:v>
      </x:c>
      <x:c r="BU696" s="4" t="str">
        <x:v>BOS</x:v>
      </x:c>
      <x:c r="BV696" s="10"/>
      <x:c r="BW696" s="10"/>
      <x:c r="BX696" s="10" t="n">
        <x:v>20</x:v>
      </x:c>
      <x:c r="BY696" s="4"/>
      <x:c r="BZ696" s="4"/>
      <x:c r="CA696" s="4" t="str">
        <x:v>Jonathan Aspirot</x:v>
      </x:c>
      <x:c r="CB696" s="4" t="str">
        <x:v>aspirjo01</x:v>
      </x:c>
    </x:row>
    <x:row r="697" ht="22" customHeight="1">
      <x:c r="A697" s="4" t="str">
        <x:v>Jonathan Lekkerimaki</x:v>
      </x:c>
      <x:c r="B697" s="4" t="str">
        <x:v>jonathanlekkerimaki</x:v>
      </x:c>
      <x:c r="C697" s="10" t="n">
        <x:v>1</x:v>
      </x:c>
      <x:c r="D697" s="10" t="n">
        <x:v>0</x:v>
      </x:c>
      <x:c r="E697" s="10" t="n">
        <x:v>1</x:v>
      </x:c>
      <x:c r="F697" s="4" t="n">
        <x:f>IF(COUNT(N697,Q697,T697,W697,Z697,AC697,AF697,AI697)=8,N697*Guide!$E$5+Q697*Guide!$E$6+T697*Guide!$E$7+W697*Guide!$E$8+Z697*Guide!$E$9+AC697*Guide!$E$10+AF697*Guide!$E$11+AI697*Guide!$E$12,"")</x:f>
        <x:v>184.5</x:v>
      </x:c>
      <x:c r="G697" s="4" t="str">
        <x:f>IF(COUNT(O697,R697,U697,X697,AA697,AD697,AG697,AJ697)=8,O697*Guide!$E$5+R697*Guide!$E$6+U697*Guide!$E$7+X697*Guide!$E$8+AA697*Guide!$E$9+AD697*Guide!$E$10+AG697*Guide!$E$11+AJ697*Guide!$E$12,"")</x:f>
      </x:c>
      <x:c r="H697" s="4" t="str">
        <x:f>IF(COUNT(G697,F697)=2,G697-F697,"")</x:f>
      </x:c>
      <x:c r="I697" s="4" t="n">
        <x:f>IF(AND(ISNUMBER(F697),K697&gt;0),F697/K697,"")</x:f>
        <x:v>2.5625</x:v>
      </x:c>
      <x:c r="J697" s="4" t="str">
        <x:f>IF(AND(ISNUMBER(G697),L697&gt;0),G697/L697,"")</x:f>
      </x:c>
      <x:c r="K697" s="10" t="n">
        <x:v>72</x:v>
      </x:c>
      <x:c r="L697" s="10"/>
      <x:c r="M697" s="10" t="str">
        <x:f>IF(COUNT(L697,K697)=2,L697-K697,"")</x:f>
      </x:c>
      <x:c r="N697" s="10" t="n">
        <x:v>15</x:v>
      </x:c>
      <x:c r="O697" s="10"/>
      <x:c r="P697" s="10" t="str">
        <x:f>IF(COUNT(O697,N697)=2,O697-N697,"")</x:f>
      </x:c>
      <x:c r="Q697" s="10" t="n">
        <x:v>20</x:v>
      </x:c>
      <x:c r="R697" s="10"/>
      <x:c r="S697" s="10" t="str">
        <x:f>IF(COUNT(R697,Q697)=2,R697-Q697,"")</x:f>
      </x:c>
      <x:c r="T697" s="10" t="n">
        <x:v>-2</x:v>
      </x:c>
      <x:c r="U697" s="10"/>
      <x:c r="V697" s="10" t="str">
        <x:f>IF(COUNT(U697,T697)=2,U697-T697,"")</x:f>
      </x:c>
      <x:c r="W697" s="10" t="n">
        <x:v>11</x:v>
      </x:c>
      <x:c r="X697" s="10" t="str">
        <x:f>IF(COUNT(AV697,AW697)=2,AV697+AW697,"")</x:f>
      </x:c>
      <x:c r="Y697" s="10" t="str">
        <x:f>IF(COUNT(X697,W697)=2,X697-W697,"")</x:f>
      </x:c>
      <x:c r="Z697" s="10" t="n">
        <x:v>0</x:v>
      </x:c>
      <x:c r="AA697" s="10" t="str">
        <x:f>IF(COUNT(AX697,AY697)=2,AX697+AY697,"")</x:f>
      </x:c>
      <x:c r="AB697" s="10" t="str">
        <x:f>IF(COUNT(AA697,Z697)=2,AA697-Z697,"")</x:f>
      </x:c>
      <x:c r="AC697" s="10" t="n">
        <x:v>104</x:v>
      </x:c>
      <x:c r="AD697" s="10"/>
      <x:c r="AE697" s="10" t="str">
        <x:f>IF(COUNT(AD697,AC697)=2,AD697-AC697,"")</x:f>
      </x:c>
      <x:c r="AF697" s="10" t="n">
        <x:v>49</x:v>
      </x:c>
      <x:c r="AG697" s="10"/>
      <x:c r="AH697" s="10" t="str">
        <x:f>IF(COUNT(AG697,AF697)=2,AG697-AF697,"")</x:f>
      </x:c>
      <x:c r="AI697" s="10" t="n">
        <x:v>23</x:v>
      </x:c>
      <x:c r="AJ697" s="10"/>
      <x:c r="AK697" s="10" t="str">
        <x:f>IF(COUNT(AJ697,AI697)=2,AJ697-AI697,"")</x:f>
      </x:c>
      <x:c r="AL697" s="10" t="n">
        <x:v>21</x:v>
      </x:c>
      <x:c r="AM697" s="10"/>
      <x:c r="AN697" s="4" t="str">
        <x:v>RW</x:v>
      </x:c>
      <x:c r="AO697" s="4"/>
      <x:c r="AP697" s="4" t="str">
        <x:v>VAN</x:v>
      </x:c>
      <x:c r="AQ697" s="4"/>
      <x:c r="AR697" s="4" t="n">
        <x:v>13.129999999999999</x:v>
      </x:c>
      <x:c r="AS697" s="4"/>
      <x:c r="AT697" s="4" t="n">
        <x:v>2.05</x:v>
      </x:c>
      <x:c r="AU697" s="4"/>
      <x:c r="AV697" s="10"/>
      <x:c r="AW697" s="10"/>
      <x:c r="AX697" s="10"/>
      <x:c r="AY697" s="10"/>
      <x:c r="AZ697" s="10" t="n">
        <x:v>82</x:v>
      </x:c>
      <x:c r="BA697" s="10" t="n">
        <x:v>145</x:v>
      </x:c>
      <x:c r="BB697" s="4" t="n">
        <x:v>36.1</x:v>
      </x:c>
      <x:c r="BC697" s="4" t="n">
        <x:v>-10.2</x:v>
      </x:c>
      <x:c r="BD697" s="10" t="n">
        <x:v>55</x:v>
      </x:c>
      <x:c r="BE697" s="10" t="n">
        <x:v>104</x:v>
      </x:c>
      <x:c r="BF697" s="4" t="n">
        <x:v>34.6</x:v>
      </x:c>
      <x:c r="BG697" s="4" t="n">
        <x:v>-11.7</x:v>
      </x:c>
      <x:c r="BH697" s="4" t="n">
        <x:v>9.4</x:v>
      </x:c>
      <x:c r="BI697" s="4" t="n">
        <x:v>92.8</x:v>
      </x:c>
      <x:c r="BJ697" s="4" t="n">
        <x:v>102.1</x:v>
      </x:c>
      <x:c r="BK697" s="4" t="n">
        <x:v>68.4</x:v>
      </x:c>
      <x:c r="BL697" s="4" t="n">
        <x:v>31.6</x:v>
      </x:c>
      <x:c r="BM697" s="4" t="n">
        <x:v>11.683333333333334</x:v>
      </x:c>
      <x:c r="BN697" s="4" t="n">
        <x:v>9.916666666666666</x:v>
      </x:c>
      <x:c r="BO697" s="10" t="n">
        <x:v>1</x:v>
      </x:c>
      <x:c r="BP697" s="10" t="n">
        <x:v>7</x:v>
      </x:c>
      <x:c r="BQ697" s="4" t="n">
        <x:v>-4.5</x:v>
      </x:c>
      <x:c r="BR697" s="10" t="n">
        <x:v>26</x:v>
      </x:c>
      <x:c r="BS697" s="4" t="n">
        <x:v>38.5</x:v>
      </x:c>
      <x:c r="BT697" s="10" t="n">
        <x:v>13</x:v>
      </x:c>
      <x:c r="BU697" s="4" t="str">
        <x:v>VAN</x:v>
      </x:c>
      <x:c r="BV697" s="10" t="n">
        <x:v>311</x:v>
      </x:c>
      <x:c r="BW697" s="10"/>
      <x:c r="BX697" s="10" t="n">
        <x:v>590</x:v>
      </x:c>
      <x:c r="BY697" s="4" t="str">
        <x:v>Jonathan Lekkerimaki</x:v>
      </x:c>
      <x:c r="BZ697" s="4"/>
      <x:c r="CA697" s="4" t="str">
        <x:v>Jonathan Lekkerimäki</x:v>
      </x:c>
      <x:c r="CB697" s="4" t="str">
        <x:v>lekkejo01</x:v>
      </x:c>
    </x:row>
    <x:row r="698" ht="22" customHeight="1">
      <x:c r="A698" s="4" t="str">
        <x:v>Jonny Brodzinski</x:v>
      </x:c>
      <x:c r="B698" s="4" t="str">
        <x:v>jonnybrodzinski</x:v>
      </x:c>
      <x:c r="C698" s="10" t="n">
        <x:v>1</x:v>
      </x:c>
      <x:c r="D698" s="10" t="n">
        <x:v>0</x:v>
      </x:c>
      <x:c r="E698" s="10" t="n">
        <x:v>1</x:v>
      </x:c>
      <x:c r="F698" s="4" t="n">
        <x:f>IF(COUNT(N698,Q698,T698,W698,Z698,AC698,AF698,AI698)=8,N698*Guide!$E$5+Q698*Guide!$E$6+T698*Guide!$E$7+W698*Guide!$E$8+Z698*Guide!$E$9+AC698*Guide!$E$10+AF698*Guide!$E$11+AI698*Guide!$E$12,"")</x:f>
        <x:v>131.75</x:v>
      </x:c>
      <x:c r="G698" s="4" t="str">
        <x:f>IF(COUNT(O698,R698,U698,X698,AA698,AD698,AG698,AJ698)=8,O698*Guide!$E$5+R698*Guide!$E$6+U698*Guide!$E$7+X698*Guide!$E$8+AA698*Guide!$E$9+AD698*Guide!$E$10+AG698*Guide!$E$11+AJ698*Guide!$E$12,"")</x:f>
      </x:c>
      <x:c r="H698" s="4" t="str">
        <x:f>IF(COUNT(G698,F698)=2,G698-F698,"")</x:f>
      </x:c>
      <x:c r="I698" s="4" t="n">
        <x:f>IF(AND(ISNUMBER(F698),K698&gt;0),F698/K698,"")</x:f>
        <x:v>1.9375</x:v>
      </x:c>
      <x:c r="J698" s="4" t="str">
        <x:f>IF(AND(ISNUMBER(G698),L698&gt;0),G698/L698,"")</x:f>
      </x:c>
      <x:c r="K698" s="10" t="n">
        <x:v>68</x:v>
      </x:c>
      <x:c r="L698" s="10"/>
      <x:c r="M698" s="10" t="str">
        <x:f>IF(COUNT(L698,K698)=2,L698-K698,"")</x:f>
      </x:c>
      <x:c r="N698" s="10" t="n">
        <x:v>11</x:v>
      </x:c>
      <x:c r="O698" s="10"/>
      <x:c r="P698" s="10" t="str">
        <x:f>IF(COUNT(O698,N698)=2,O698-N698,"")</x:f>
      </x:c>
      <x:c r="Q698" s="10" t="n">
        <x:v>12</x:v>
      </x:c>
      <x:c r="R698" s="10"/>
      <x:c r="S698" s="10" t="str">
        <x:f>IF(COUNT(R698,Q698)=2,R698-Q698,"")</x:f>
      </x:c>
      <x:c r="T698" s="10" t="n">
        <x:v>-3</x:v>
      </x:c>
      <x:c r="U698" s="10"/>
      <x:c r="V698" s="10" t="str">
        <x:f>IF(COUNT(U698,T698)=2,U698-T698,"")</x:f>
      </x:c>
      <x:c r="W698" s="10" t="n">
        <x:v>3</x:v>
      </x:c>
      <x:c r="X698" s="10" t="str">
        <x:f>IF(COUNT(AV698,AW698)=2,AV698+AW698,"")</x:f>
      </x:c>
      <x:c r="Y698" s="10" t="str">
        <x:f>IF(COUNT(X698,W698)=2,X698-W698,"")</x:f>
      </x:c>
      <x:c r="Z698" s="10" t="n">
        <x:v>0</x:v>
      </x:c>
      <x:c r="AA698" s="10" t="str">
        <x:f>IF(COUNT(AX698,AY698)=2,AX698+AY698,"")</x:f>
      </x:c>
      <x:c r="AB698" s="10" t="str">
        <x:f>IF(COUNT(AA698,Z698)=2,AA698-Z698,"")</x:f>
      </x:c>
      <x:c r="AC698" s="10" t="n">
        <x:v>94</x:v>
      </x:c>
      <x:c r="AD698" s="10"/>
      <x:c r="AE698" s="10" t="str">
        <x:f>IF(COUNT(AD698,AC698)=2,AD698-AC698,"")</x:f>
      </x:c>
      <x:c r="AF698" s="10" t="n">
        <x:v>35</x:v>
      </x:c>
      <x:c r="AG698" s="10"/>
      <x:c r="AH698" s="10" t="str">
        <x:f>IF(COUNT(AG698,AF698)=2,AG698-AF698,"")</x:f>
      </x:c>
      <x:c r="AI698" s="10" t="n">
        <x:v>26</x:v>
      </x:c>
      <x:c r="AJ698" s="10"/>
      <x:c r="AK698" s="10" t="str">
        <x:f>IF(COUNT(AJ698,AI698)=2,AJ698-AI698,"")</x:f>
      </x:c>
      <x:c r="AL698" s="10" t="n">
        <x:v>32</x:v>
      </x:c>
      <x:c r="AM698" s="10"/>
      <x:c r="AN698" s="4" t="str">
        <x:v>C</x:v>
      </x:c>
      <x:c r="AO698" s="4"/>
      <x:c r="AP698" s="4" t="str">
        <x:v>NYR</x:v>
      </x:c>
      <x:c r="AQ698" s="4"/>
      <x:c r="AR698" s="4" t="n">
        <x:v>11.22</x:v>
      </x:c>
      <x:c r="AS698" s="4"/>
      <x:c r="AT698" s="4" t="n">
        <x:v>0.72</x:v>
      </x:c>
      <x:c r="AU698" s="4"/>
      <x:c r="AV698" s="10"/>
      <x:c r="AW698" s="10"/>
      <x:c r="AX698" s="10"/>
      <x:c r="AY698" s="10"/>
      <x:c r="AZ698" s="10" t="n">
        <x:v>509</x:v>
      </x:c>
      <x:c r="BA698" s="10" t="n">
        <x:v>564</x:v>
      </x:c>
      <x:c r="BB698" s="4" t="n">
        <x:v>47.4</x:v>
      </x:c>
      <x:c r="BC698" s="4" t="n">
        <x:v>-1.2</x:v>
      </x:c>
      <x:c r="BD698" s="10" t="n">
        <x:v>364</x:v>
      </x:c>
      <x:c r="BE698" s="10" t="n">
        <x:v>403</x:v>
      </x:c>
      <x:c r="BF698" s="4" t="n">
        <x:v>47.5</x:v>
      </x:c>
      <x:c r="BG698" s="4" t="n">
        <x:v>-0.2</x:v>
      </x:c>
      <x:c r="BH698" s="4" t="n">
        <x:v>7.8</x:v>
      </x:c>
      <x:c r="BI698" s="4" t="n">
        <x:v>92.3</x:v>
      </x:c>
      <x:c r="BJ698" s="4" t="n">
        <x:v>100.1</x:v>
      </x:c>
      <x:c r="BK698" s="4" t="n">
        <x:v>44.9</x:v>
      </x:c>
      <x:c r="BL698" s="4" t="n">
        <x:v>55.1</x:v>
      </x:c>
      <x:c r="BM698" s="4" t="n">
        <x:v>11.166666666666666</x:v>
      </x:c>
      <x:c r="BN698" s="4" t="n">
        <x:v>10.533333333333333</x:v>
      </x:c>
      <x:c r="BO698" s="10" t="n">
        <x:v>14</x:v>
      </x:c>
      <x:c r="BP698" s="10" t="n">
        <x:v>20</x:v>
      </x:c>
      <x:c r="BQ698" s="4" t="n">
        <x:v>0.2</x:v>
      </x:c>
      <x:c r="BR698" s="10" t="n">
        <x:v>153</x:v>
      </x:c>
      <x:c r="BS698" s="4" t="n">
        <x:v>41.2</x:v>
      </x:c>
      <x:c r="BT698" s="10" t="n">
        <x:v>55</x:v>
      </x:c>
      <x:c r="BU698" s="4" t="str">
        <x:v>NYR</x:v>
      </x:c>
      <x:c r="BV698" s="10" t="n">
        <x:v>477</x:v>
      </x:c>
      <x:c r="BW698" s="10"/>
      <x:c r="BX698" s="10" t="n">
        <x:v>99</x:v>
      </x:c>
      <x:c r="BY698" s="4" t="str">
        <x:v>Jonny Brodzinski</x:v>
      </x:c>
      <x:c r="BZ698" s="4"/>
      <x:c r="CA698" s="4" t="str">
        <x:v>Jonny Brodzinski</x:v>
      </x:c>
      <x:c r="CB698" s="4" t="str">
        <x:v>brodzjo01</x:v>
      </x:c>
    </x:row>
    <x:row r="699" ht="22" customHeight="1">
      <x:c r="A699" s="4" t="str">
        <x:v>Joona Koppanen</x:v>
      </x:c>
      <x:c r="B699" s="4" t="str">
        <x:v>joonakoppanen</x:v>
      </x:c>
      <x:c r="C699" s="10" t="n">
        <x:v>0</x:v>
      </x:c>
      <x:c r="D699" s="10" t="n">
        <x:v>0</x:v>
      </x:c>
      <x:c r="E699" s="10" t="n">
        <x:v>1</x:v>
      </x:c>
      <x:c r="F699" s="4" t="str">
        <x:f>IF(COUNT(N699,Q699,T699,W699,Z699,AC699,AF699,AI699)=8,N699*Guide!$E$5+Q699*Guide!$E$6+T699*Guide!$E$7+W699*Guide!$E$8+Z699*Guide!$E$9+AC699*Guide!$E$10+AF699*Guide!$E$11+AI699*Guide!$E$12,"")</x:f>
      </x:c>
      <x:c r="G699" s="4" t="str">
        <x:f>IF(COUNT(O699,R699,U699,X699,AA699,AD699,AG699,AJ699)=8,O699*Guide!$E$5+R699*Guide!$E$6+U699*Guide!$E$7+X699*Guide!$E$8+AA699*Guide!$E$9+AD699*Guide!$E$10+AG699*Guide!$E$11+AJ699*Guide!$E$12,"")</x:f>
      </x:c>
      <x:c r="H699" s="4" t="str">
        <x:f>IF(COUNT(G699,F699)=2,G699-F699,"")</x:f>
      </x:c>
      <x:c r="I699" s="4" t="str">
        <x:f>IF(AND(ISNUMBER(F699),K699&gt;0),F699/K699,"")</x:f>
      </x:c>
      <x:c r="J699" s="4" t="str">
        <x:f>IF(AND(ISNUMBER(G699),L699&gt;0),G699/L699,"")</x:f>
      </x:c>
      <x:c r="K699" s="10"/>
      <x:c r="L699" s="10"/>
      <x:c r="M699" s="10" t="str">
        <x:f>IF(COUNT(L699,K699)=2,L699-K699,"")</x:f>
      </x:c>
      <x:c r="N699" s="10"/>
      <x:c r="O699" s="10"/>
      <x:c r="P699" s="10" t="str">
        <x:f>IF(COUNT(O699,N699)=2,O699-N699,"")</x:f>
      </x:c>
      <x:c r="Q699" s="10"/>
      <x:c r="R699" s="10"/>
      <x:c r="S699" s="10" t="str">
        <x:f>IF(COUNT(R699,Q699)=2,R699-Q699,"")</x:f>
      </x:c>
      <x:c r="T699" s="10"/>
      <x:c r="U699" s="10"/>
      <x:c r="V699" s="10" t="str">
        <x:f>IF(COUNT(U699,T699)=2,U699-T699,"")</x:f>
      </x:c>
      <x:c r="W699" s="10"/>
      <x:c r="X699" s="10" t="str">
        <x:f>IF(COUNT(AV699,AW699)=2,AV699+AW699,"")</x:f>
      </x:c>
      <x:c r="Y699" s="10" t="str">
        <x:f>IF(COUNT(X699,W699)=2,X699-W699,"")</x:f>
      </x:c>
      <x:c r="Z699" s="10"/>
      <x:c r="AA699" s="10" t="str">
        <x:f>IF(COUNT(AX699,AY699)=2,AX699+AY699,"")</x:f>
      </x:c>
      <x:c r="AB699" s="10" t="str">
        <x:f>IF(COUNT(AA699,Z699)=2,AA699-Z699,"")</x:f>
      </x:c>
      <x:c r="AC699" s="10"/>
      <x:c r="AD699" s="10"/>
      <x:c r="AE699" s="10" t="str">
        <x:f>IF(COUNT(AD699,AC699)=2,AD699-AC699,"")</x:f>
      </x:c>
      <x:c r="AF699" s="10"/>
      <x:c r="AG699" s="10"/>
      <x:c r="AH699" s="10" t="str">
        <x:f>IF(COUNT(AG699,AF699)=2,AG699-AF699,"")</x:f>
      </x:c>
      <x:c r="AI699" s="10"/>
      <x:c r="AJ699" s="10"/>
      <x:c r="AK699" s="10" t="str">
        <x:f>IF(COUNT(AJ699,AI699)=2,AJ699-AI699,"")</x:f>
      </x:c>
      <x:c r="AL699" s="10"/>
      <x:c r="AM699" s="10"/>
      <x:c r="AN699" s="4"/>
      <x:c r="AO699" s="4"/>
      <x:c r="AP699" s="4"/>
      <x:c r="AQ699" s="4"/>
      <x:c r="AR699" s="4"/>
      <x:c r="AS699" s="4"/>
      <x:c r="AT699" s="4"/>
      <x:c r="AU699" s="4"/>
      <x:c r="AV699" s="10"/>
      <x:c r="AW699" s="10"/>
      <x:c r="AX699" s="10"/>
      <x:c r="AY699" s="10"/>
      <x:c r="AZ699" s="10" t="n">
        <x:v>127</x:v>
      </x:c>
      <x:c r="BA699" s="10" t="n">
        <x:v>130</x:v>
      </x:c>
      <x:c r="BB699" s="4" t="n">
        <x:v>49.4</x:v>
      </x:c>
      <x:c r="BC699" s="4" t="n">
        <x:v>-2</x:v>
      </x:c>
      <x:c r="BD699" s="10" t="n">
        <x:v>86</x:v>
      </x:c>
      <x:c r="BE699" s="10" t="n">
        <x:v>90</x:v>
      </x:c>
      <x:c r="BF699" s="4" t="n">
        <x:v>48.9</x:v>
      </x:c>
      <x:c r="BG699" s="4" t="n">
        <x:v>-2.5</x:v>
      </x:c>
      <x:c r="BH699" s="4" t="n">
        <x:v>8.5</x:v>
      </x:c>
      <x:c r="BI699" s="4" t="n">
        <x:v>90</x:v>
      </x:c>
      <x:c r="BJ699" s="4" t="n">
        <x:v>98.5</x:v>
      </x:c>
      <x:c r="BK699" s="4" t="n">
        <x:v>25.3</x:v>
      </x:c>
      <x:c r="BL699" s="4" t="n">
        <x:v>74.7</x:v>
      </x:c>
      <x:c r="BM699" s="4" t="n">
        <x:v>12.133333333333333</x:v>
      </x:c>
      <x:c r="BN699" s="4" t="n">
        <x:v>10.533333333333333</x:v>
      </x:c>
      <x:c r="BO699" s="10" t="n">
        <x:v>4</x:v>
      </x:c>
      <x:c r="BP699" s="10" t="n">
        <x:v>5</x:v>
      </x:c>
      <x:c r="BQ699" s="4" t="n">
        <x:v>-2.1</x:v>
      </x:c>
      <x:c r="BR699" s="10" t="n">
        <x:v>18</x:v>
      </x:c>
      <x:c r="BS699" s="4" t="n">
        <x:v>38.9</x:v>
      </x:c>
      <x:c r="BT699" s="10" t="n">
        <x:v>13</x:v>
      </x:c>
      <x:c r="BU699" s="4" t="str">
        <x:v>PIT</x:v>
      </x:c>
      <x:c r="BV699" s="10"/>
      <x:c r="BW699" s="10"/>
      <x:c r="BX699" s="10" t="n">
        <x:v>535</x:v>
      </x:c>
      <x:c r="BY699" s="4"/>
      <x:c r="BZ699" s="4"/>
      <x:c r="CA699" s="4" t="str">
        <x:v>Joona Koppanen</x:v>
      </x:c>
      <x:c r="CB699" s="4" t="str">
        <x:v>koppajo01</x:v>
      </x:c>
    </x:row>
    <x:row r="700" ht="22" customHeight="1">
      <x:c r="A700" s="4" t="str">
        <x:v>Jordan Greenway</x:v>
      </x:c>
      <x:c r="B700" s="4" t="str">
        <x:v>jordangreenway</x:v>
      </x:c>
      <x:c r="C700" s="10" t="n">
        <x:v>1</x:v>
      </x:c>
      <x:c r="D700" s="10" t="n">
        <x:v>0</x:v>
      </x:c>
      <x:c r="E700" s="10" t="n">
        <x:v>1</x:v>
      </x:c>
      <x:c r="F700" s="4" t="n">
        <x:f>IF(COUNT(N700,Q700,T700,W700,Z700,AC700,AF700,AI700)=8,N700*Guide!$E$5+Q700*Guide!$E$6+T700*Guide!$E$7+W700*Guide!$E$8+Z700*Guide!$E$9+AC700*Guide!$E$10+AF700*Guide!$E$11+AI700*Guide!$E$12,"")</x:f>
        <x:v>196</x:v>
      </x:c>
      <x:c r="G700" s="4" t="str">
        <x:f>IF(COUNT(O700,R700,U700,X700,AA700,AD700,AG700,AJ700)=8,O700*Guide!$E$5+R700*Guide!$E$6+U700*Guide!$E$7+X700*Guide!$E$8+AA700*Guide!$E$9+AD700*Guide!$E$10+AG700*Guide!$E$11+AJ700*Guide!$E$12,"")</x:f>
      </x:c>
      <x:c r="H700" s="4" t="str">
        <x:f>IF(COUNT(G700,F700)=2,G700-F700,"")</x:f>
      </x:c>
      <x:c r="I700" s="4" t="n">
        <x:f>IF(AND(ISNUMBER(F700),K700&gt;0),F700/K700,"")</x:f>
        <x:v>2.7222222222222223</x:v>
      </x:c>
      <x:c r="J700" s="4" t="str">
        <x:f>IF(AND(ISNUMBER(G700),L700&gt;0),G700/L700,"")</x:f>
      </x:c>
      <x:c r="K700" s="10" t="n">
        <x:v>72</x:v>
      </x:c>
      <x:c r="L700" s="10"/>
      <x:c r="M700" s="10" t="str">
        <x:f>IF(COUNT(L700,K700)=2,L700-K700,"")</x:f>
      </x:c>
      <x:c r="N700" s="10" t="n">
        <x:v>10</x:v>
      </x:c>
      <x:c r="O700" s="10"/>
      <x:c r="P700" s="10" t="str">
        <x:f>IF(COUNT(O700,N700)=2,O700-N700,"")</x:f>
      </x:c>
      <x:c r="Q700" s="10" t="n">
        <x:v>13</x:v>
      </x:c>
      <x:c r="R700" s="10"/>
      <x:c r="S700" s="10" t="str">
        <x:f>IF(COUNT(R700,Q700)=2,R700-Q700,"")</x:f>
      </x:c>
      <x:c r="T700" s="10" t="n">
        <x:v>-2</x:v>
      </x:c>
      <x:c r="U700" s="10"/>
      <x:c r="V700" s="10" t="str">
        <x:f>IF(COUNT(U700,T700)=2,U700-T700,"")</x:f>
      </x:c>
      <x:c r="W700" s="10" t="n">
        <x:v>2</x:v>
      </x:c>
      <x:c r="X700" s="10" t="str">
        <x:f>IF(COUNT(AV700,AW700)=2,AV700+AW700,"")</x:f>
      </x:c>
      <x:c r="Y700" s="10" t="str">
        <x:f>IF(COUNT(X700,W700)=2,X700-W700,"")</x:f>
      </x:c>
      <x:c r="Z700" s="10" t="n">
        <x:v>1</x:v>
      </x:c>
      <x:c r="AA700" s="10" t="str">
        <x:f>IF(COUNT(AX700,AY700)=2,AX700+AY700,"")</x:f>
      </x:c>
      <x:c r="AB700" s="10" t="str">
        <x:f>IF(COUNT(AA700,Z700)=2,AA700-Z700,"")</x:f>
      </x:c>
      <x:c r="AC700" s="10" t="n">
        <x:v>96</x:v>
      </x:c>
      <x:c r="AD700" s="10"/>
      <x:c r="AE700" s="10" t="str">
        <x:f>IF(COUNT(AD700,AC700)=2,AD700-AC700,"")</x:f>
      </x:c>
      <x:c r="AF700" s="10" t="n">
        <x:v>186</x:v>
      </x:c>
      <x:c r="AG700" s="10"/>
      <x:c r="AH700" s="10" t="str">
        <x:f>IF(COUNT(AG700,AF700)=2,AG700-AF700,"")</x:f>
      </x:c>
      <x:c r="AI700" s="10" t="n">
        <x:v>58</x:v>
      </x:c>
      <x:c r="AJ700" s="10"/>
      <x:c r="AK700" s="10" t="str">
        <x:f>IF(COUNT(AJ700,AI700)=2,AJ700-AI700,"")</x:f>
      </x:c>
      <x:c r="AL700" s="10" t="n">
        <x:v>28</x:v>
      </x:c>
      <x:c r="AM700" s="10"/>
      <x:c r="AN700" s="4" t="str">
        <x:v>LW</x:v>
      </x:c>
      <x:c r="AO700" s="4"/>
      <x:c r="AP700" s="4" t="str">
        <x:v>BUF</x:v>
      </x:c>
      <x:c r="AQ700" s="4"/>
      <x:c r="AR700" s="4" t="n">
        <x:v>15.249999999999998</x:v>
      </x:c>
      <x:c r="AS700" s="4"/>
      <x:c r="AT700" s="4" t="n">
        <x:v>0.29</x:v>
      </x:c>
      <x:c r="AU700" s="4"/>
      <x:c r="AV700" s="10"/>
      <x:c r="AW700" s="10"/>
      <x:c r="AX700" s="10"/>
      <x:c r="AY700" s="10"/>
      <x:c r="AZ700" s="10" t="n">
        <x:v>333</x:v>
      </x:c>
      <x:c r="BA700" s="10" t="n">
        <x:v>461</x:v>
      </x:c>
      <x:c r="BB700" s="4" t="n">
        <x:v>41.9</x:v>
      </x:c>
      <x:c r="BC700" s="4" t="n">
        <x:v>-7.6</x:v>
      </x:c>
      <x:c r="BD700" s="10" t="n">
        <x:v>253</x:v>
      </x:c>
      <x:c r="BE700" s="10" t="n">
        <x:v>321</x:v>
      </x:c>
      <x:c r="BF700" s="4" t="n">
        <x:v>44.1</x:v>
      </x:c>
      <x:c r="BG700" s="4" t="n">
        <x:v>-5.5</x:v>
      </x:c>
      <x:c r="BH700" s="4" t="n">
        <x:v>5.3</x:v>
      </x:c>
      <x:c r="BI700" s="4" t="n">
        <x:v>90.2</x:v>
      </x:c>
      <x:c r="BJ700" s="4" t="n">
        <x:v>95.5</x:v>
      </x:c>
      <x:c r="BK700" s="4" t="n">
        <x:v>30.7</x:v>
      </x:c>
      <x:c r="BL700" s="4" t="n">
        <x:v>69.3</x:v>
      </x:c>
      <x:c r="BM700" s="4" t="n">
        <x:v>12.45</x:v>
      </x:c>
      <x:c r="BN700" s="4" t="n">
        <x:v>10.583333333333334</x:v>
      </x:c>
      <x:c r="BO700" s="10" t="n">
        <x:v>6</x:v>
      </x:c>
      <x:c r="BP700" s="10" t="n">
        <x:v>19</x:v>
      </x:c>
      <x:c r="BQ700" s="4" t="n">
        <x:v>-4.2</x:v>
      </x:c>
      <x:c r="BR700" s="10" t="n">
        <x:v>68</x:v>
      </x:c>
      <x:c r="BS700" s="4" t="n">
        <x:v>47.1</x:v>
      </x:c>
      <x:c r="BT700" s="10" t="n">
        <x:v>40</x:v>
      </x:c>
      <x:c r="BU700" s="4" t="str">
        <x:v>BUF</x:v>
      </x:c>
      <x:c r="BV700" s="10" t="n">
        <x:v>466</x:v>
      </x:c>
      <x:c r="BW700" s="10"/>
      <x:c r="BX700" s="10" t="n">
        <x:v>357</x:v>
      </x:c>
      <x:c r="BY700" s="4" t="str">
        <x:v>Jordan Greenway</x:v>
      </x:c>
      <x:c r="BZ700" s="4"/>
      <x:c r="CA700" s="4" t="str">
        <x:v>Jordan Greenway</x:v>
      </x:c>
      <x:c r="CB700" s="4" t="str">
        <x:v>greenjo02</x:v>
      </x:c>
    </x:row>
    <x:row r="701" ht="22" customHeight="1">
      <x:c r="A701" s="4" t="str">
        <x:v>Jordan Harris</x:v>
      </x:c>
      <x:c r="B701" s="4" t="str">
        <x:v>jordanharris</x:v>
      </x:c>
      <x:c r="C701" s="10" t="n">
        <x:v>1</x:v>
      </x:c>
      <x:c r="D701" s="10" t="n">
        <x:v>0</x:v>
      </x:c>
      <x:c r="E701" s="10" t="n">
        <x:v>1</x:v>
      </x:c>
      <x:c r="F701" s="4" t="n">
        <x:f>IF(COUNT(N701,Q701,T701,W701,Z701,AC701,AF701,AI701)=8,N701*Guide!$E$5+Q701*Guide!$E$6+T701*Guide!$E$7+W701*Guide!$E$8+Z701*Guide!$E$9+AC701*Guide!$E$10+AF701*Guide!$E$11+AI701*Guide!$E$12,"")</x:f>
        <x:v>78.25</x:v>
      </x:c>
      <x:c r="G701" s="4" t="str">
        <x:f>IF(COUNT(O701,R701,U701,X701,AA701,AD701,AG701,AJ701)=8,O701*Guide!$E$5+R701*Guide!$E$6+U701*Guide!$E$7+X701*Guide!$E$8+AA701*Guide!$E$9+AD701*Guide!$E$10+AG701*Guide!$E$11+AJ701*Guide!$E$12,"")</x:f>
      </x:c>
      <x:c r="H701" s="4" t="str">
        <x:f>IF(COUNT(G701,F701)=2,G701-F701,"")</x:f>
      </x:c>
      <x:c r="I701" s="4" t="n">
        <x:f>IF(AND(ISNUMBER(F701),K701&gt;0),F701/K701,"")</x:f>
        <x:v>1.565</x:v>
      </x:c>
      <x:c r="J701" s="4" t="str">
        <x:f>IF(AND(ISNUMBER(G701),L701&gt;0),G701/L701,"")</x:f>
      </x:c>
      <x:c r="K701" s="10" t="n">
        <x:v>50</x:v>
      </x:c>
      <x:c r="L701" s="10"/>
      <x:c r="M701" s="10" t="str">
        <x:f>IF(COUNT(L701,K701)=2,L701-K701,"")</x:f>
      </x:c>
      <x:c r="N701" s="10" t="n">
        <x:v>2</x:v>
      </x:c>
      <x:c r="O701" s="10"/>
      <x:c r="P701" s="10" t="str">
        <x:f>IF(COUNT(O701,N701)=2,O701-N701,"")</x:f>
      </x:c>
      <x:c r="Q701" s="10" t="n">
        <x:v>7</x:v>
      </x:c>
      <x:c r="R701" s="10"/>
      <x:c r="S701" s="10" t="str">
        <x:f>IF(COUNT(R701,Q701)=2,R701-Q701,"")</x:f>
      </x:c>
      <x:c r="T701" s="10" t="n">
        <x:v>-4</x:v>
      </x:c>
      <x:c r="U701" s="10"/>
      <x:c r="V701" s="10" t="str">
        <x:f>IF(COUNT(U701,T701)=2,U701-T701,"")</x:f>
      </x:c>
      <x:c r="W701" s="10" t="n">
        <x:v>0</x:v>
      </x:c>
      <x:c r="X701" s="10" t="str">
        <x:f>IF(COUNT(AV701,AW701)=2,AV701+AW701,"")</x:f>
      </x:c>
      <x:c r="Y701" s="10" t="str">
        <x:f>IF(COUNT(X701,W701)=2,X701-W701,"")</x:f>
      </x:c>
      <x:c r="Z701" s="10" t="n">
        <x:v>0</x:v>
      </x:c>
      <x:c r="AA701" s="10" t="str">
        <x:f>IF(COUNT(AX701,AY701)=2,AX701+AY701,"")</x:f>
      </x:c>
      <x:c r="AB701" s="10" t="str">
        <x:f>IF(COUNT(AA701,Z701)=2,AA701-Z701,"")</x:f>
      </x:c>
      <x:c r="AC701" s="10" t="n">
        <x:v>29</x:v>
      </x:c>
      <x:c r="AD701" s="10"/>
      <x:c r="AE701" s="10" t="str">
        <x:f>IF(COUNT(AD701,AC701)=2,AD701-AC701,"")</x:f>
      </x:c>
      <x:c r="AF701" s="10" t="n">
        <x:v>31</x:v>
      </x:c>
      <x:c r="AG701" s="10"/>
      <x:c r="AH701" s="10" t="str">
        <x:f>IF(COUNT(AG701,AF701)=2,AG701-AF701,"")</x:f>
      </x:c>
      <x:c r="AI701" s="10" t="n">
        <x:v>51</x:v>
      </x:c>
      <x:c r="AJ701" s="10"/>
      <x:c r="AK701" s="10" t="str">
        <x:f>IF(COUNT(AJ701,AI701)=2,AJ701-AI701,"")</x:f>
      </x:c>
      <x:c r="AL701" s="10" t="n">
        <x:v>25</x:v>
      </x:c>
      <x:c r="AM701" s="10"/>
      <x:c r="AN701" s="4" t="str">
        <x:v>D</x:v>
      </x:c>
      <x:c r="AO701" s="4"/>
      <x:c r="AP701" s="4" t="str">
        <x:v>BOS</x:v>
      </x:c>
      <x:c r="AQ701" s="4"/>
      <x:c r="AR701" s="4" t="n">
        <x:v>12.43</x:v>
      </x:c>
      <x:c r="AS701" s="4"/>
      <x:c r="AT701" s="4" t="n">
        <x:v>0.11</x:v>
      </x:c>
      <x:c r="AU701" s="4"/>
      <x:c r="AV701" s="10"/>
      <x:c r="AW701" s="10"/>
      <x:c r="AX701" s="10"/>
      <x:c r="AY701" s="10"/>
      <x:c r="AZ701" s="10" t="n">
        <x:v>118</x:v>
      </x:c>
      <x:c r="BA701" s="10" t="n">
        <x:v>97</x:v>
      </x:c>
      <x:c r="BB701" s="4" t="n">
        <x:v>54.9</x:v>
      </x:c>
      <x:c r="BC701" s="4" t="n">
        <x:v>5.3</x:v>
      </x:c>
      <x:c r="BD701" s="10" t="n">
        <x:v>88</x:v>
      </x:c>
      <x:c r="BE701" s="10" t="n">
        <x:v>67</x:v>
      </x:c>
      <x:c r="BF701" s="4" t="n">
        <x:v>56.8</x:v>
      </x:c>
      <x:c r="BG701" s="4" t="n">
        <x:v>7</x:v>
      </x:c>
      <x:c r="BH701" s="4" t="n">
        <x:v>7.7</x:v>
      </x:c>
      <x:c r="BI701" s="4" t="n">
        <x:v>90.5</x:v>
      </x:c>
      <x:c r="BJ701" s="4" t="n">
        <x:v>98.2</x:v>
      </x:c>
      <x:c r="BK701" s="4" t="n">
        <x:v>40</x:v>
      </x:c>
      <x:c r="BL701" s="4" t="n">
        <x:v>60</x:v>
      </x:c>
      <x:c r="BM701" s="4" t="n">
        <x:v>15.9</x:v>
      </x:c>
      <x:c r="BN701" s="4" t="n">
        <x:v>14.3</x:v>
      </x:c>
      <x:c r="BO701" s="10" t="n">
        <x:v>1</x:v>
      </x:c>
      <x:c r="BP701" s="10" t="n">
        <x:v>6</x:v>
      </x:c>
      <x:c r="BQ701" s="4" t="n">
        <x:v>-0.1</x:v>
      </x:c>
      <x:c r="BR701" s="10" t="n">
        <x:v>19</x:v>
      </x:c>
      <x:c r="BS701" s="4" t="n">
        <x:v>63.2</x:v>
      </x:c>
      <x:c r="BT701" s="10" t="n">
        <x:v>8</x:v>
      </x:c>
      <x:c r="BU701" s="4" t="str">
        <x:v>BOS</x:v>
      </x:c>
      <x:c r="BV701" s="10" t="n">
        <x:v>737</x:v>
      </x:c>
      <x:c r="BW701" s="10"/>
      <x:c r="BX701" s="10" t="n">
        <x:v>390</x:v>
      </x:c>
      <x:c r="BY701" s="4" t="str">
        <x:v>Jordan Harris</x:v>
      </x:c>
      <x:c r="BZ701" s="4"/>
      <x:c r="CA701" s="4" t="str">
        <x:v>Jordan Harris</x:v>
      </x:c>
      <x:c r="CB701" s="4" t="str">
        <x:v>harrijo01</x:v>
      </x:c>
    </x:row>
    <x:row r="702" ht="22" customHeight="1">
      <x:c r="A702" s="4" t="str">
        <x:v>Jordan Oesterle</x:v>
      </x:c>
      <x:c r="B702" s="4" t="str">
        <x:v>jordanoesterle</x:v>
      </x:c>
      <x:c r="C702" s="10" t="n">
        <x:v>1</x:v>
      </x:c>
      <x:c r="D702" s="10" t="n">
        <x:v>0</x:v>
      </x:c>
      <x:c r="E702" s="10" t="n">
        <x:v>1</x:v>
      </x:c>
      <x:c r="F702" s="4" t="n">
        <x:f>IF(COUNT(N702,Q702,T702,W702,Z702,AC702,AF702,AI702)=8,N702*Guide!$E$5+Q702*Guide!$E$6+T702*Guide!$E$7+W702*Guide!$E$8+Z702*Guide!$E$9+AC702*Guide!$E$10+AF702*Guide!$E$11+AI702*Guide!$E$12,"")</x:f>
        <x:v>110</x:v>
      </x:c>
      <x:c r="G702" s="4" t="str">
        <x:f>IF(COUNT(O702,R702,U702,X702,AA702,AD702,AG702,AJ702)=8,O702*Guide!$E$5+R702*Guide!$E$6+U702*Guide!$E$7+X702*Guide!$E$8+AA702*Guide!$E$9+AD702*Guide!$E$10+AG702*Guide!$E$11+AJ702*Guide!$E$12,"")</x:f>
      </x:c>
      <x:c r="H702" s="4" t="str">
        <x:f>IF(COUNT(G702,F702)=2,G702-F702,"")</x:f>
      </x:c>
      <x:c r="I702" s="4" t="n">
        <x:f>IF(AND(ISNUMBER(F702),K702&gt;0),F702/K702,"")</x:f>
        <x:v>2.2916666666666665</x:v>
      </x:c>
      <x:c r="J702" s="4" t="str">
        <x:f>IF(AND(ISNUMBER(G702),L702&gt;0),G702/L702,"")</x:f>
      </x:c>
      <x:c r="K702" s="10" t="n">
        <x:v>48</x:v>
      </x:c>
      <x:c r="L702" s="10"/>
      <x:c r="M702" s="10" t="str">
        <x:f>IF(COUNT(L702,K702)=2,L702-K702,"")</x:f>
      </x:c>
      <x:c r="N702" s="10" t="n">
        <x:v>3</x:v>
      </x:c>
      <x:c r="O702" s="10"/>
      <x:c r="P702" s="10" t="str">
        <x:f>IF(COUNT(O702,N702)=2,O702-N702,"")</x:f>
      </x:c>
      <x:c r="Q702" s="10" t="n">
        <x:v>9</x:v>
      </x:c>
      <x:c r="R702" s="10"/>
      <x:c r="S702" s="10" t="str">
        <x:f>IF(COUNT(R702,Q702)=2,R702-Q702,"")</x:f>
      </x:c>
      <x:c r="T702" s="10" t="n">
        <x:v>-4</x:v>
      </x:c>
      <x:c r="U702" s="10"/>
      <x:c r="V702" s="10" t="str">
        <x:f>IF(COUNT(U702,T702)=2,U702-T702,"")</x:f>
      </x:c>
      <x:c r="W702" s="10" t="n">
        <x:v>1</x:v>
      </x:c>
      <x:c r="X702" s="10" t="str">
        <x:f>IF(COUNT(AV702,AW702)=2,AV702+AW702,"")</x:f>
      </x:c>
      <x:c r="Y702" s="10" t="str">
        <x:f>IF(COUNT(X702,W702)=2,X702-W702,"")</x:f>
      </x:c>
      <x:c r="Z702" s="10" t="n">
        <x:v>0</x:v>
      </x:c>
      <x:c r="AA702" s="10" t="str">
        <x:f>IF(COUNT(AX702,AY702)=2,AX702+AY702,"")</x:f>
      </x:c>
      <x:c r="AB702" s="10" t="str">
        <x:f>IF(COUNT(AA702,Z702)=2,AA702-Z702,"")</x:f>
      </x:c>
      <x:c r="AC702" s="10" t="n">
        <x:v>48</x:v>
      </x:c>
      <x:c r="AD702" s="10"/>
      <x:c r="AE702" s="10" t="str">
        <x:f>IF(COUNT(AD702,AC702)=2,AD702-AC702,"")</x:f>
      </x:c>
      <x:c r="AF702" s="10" t="n">
        <x:v>35</x:v>
      </x:c>
      <x:c r="AG702" s="10"/>
      <x:c r="AH702" s="10" t="str">
        <x:f>IF(COUNT(AG702,AF702)=2,AG702-AF702,"")</x:f>
      </x:c>
      <x:c r="AI702" s="10" t="n">
        <x:v>71</x:v>
      </x:c>
      <x:c r="AJ702" s="10"/>
      <x:c r="AK702" s="10" t="str">
        <x:f>IF(COUNT(AJ702,AI702)=2,AJ702-AI702,"")</x:f>
      </x:c>
      <x:c r="AL702" s="10" t="n">
        <x:v>33</x:v>
      </x:c>
      <x:c r="AM702" s="10"/>
      <x:c r="AN702" s="4" t="str">
        <x:v>D</x:v>
      </x:c>
      <x:c r="AO702" s="4"/>
      <x:c r="AP702" s="4" t="str">
        <x:v>NSH</x:v>
      </x:c>
      <x:c r="AQ702" s="4"/>
      <x:c r="AR702" s="4" t="n">
        <x:v>16.68</x:v>
      </x:c>
      <x:c r="AS702" s="4"/>
      <x:c r="AT702" s="4" t="n">
        <x:v>0.23</x:v>
      </x:c>
      <x:c r="AU702" s="4"/>
      <x:c r="AV702" s="10"/>
      <x:c r="AW702" s="10"/>
      <x:c r="AX702" s="10"/>
      <x:c r="AY702" s="10"/>
      <x:c r="AZ702" s="10" t="n">
        <x:v>11</x:v>
      </x:c>
      <x:c r="BA702" s="10" t="n">
        <x:v>14</x:v>
      </x:c>
      <x:c r="BB702" s="4" t="n">
        <x:v>44</x:v>
      </x:c>
      <x:c r="BC702" s="4" t="n">
        <x:v>-7.3</x:v>
      </x:c>
      <x:c r="BD702" s="10" t="n">
        <x:v>8</x:v>
      </x:c>
      <x:c r="BE702" s="10" t="n">
        <x:v>12</x:v>
      </x:c>
      <x:c r="BF702" s="4" t="n">
        <x:v>40</x:v>
      </x:c>
      <x:c r="BG702" s="4" t="n">
        <x:v>-11.6</x:v>
      </x:c>
      <x:c r="BH702" s="4" t="n">
        <x:v>0</x:v>
      </x:c>
      <x:c r="BI702" s="4" t="n">
        <x:v>87.5</x:v>
      </x:c>
      <x:c r="BJ702" s="4" t="n">
        <x:v>87.5</x:v>
      </x:c>
      <x:c r="BK702" s="4" t="n">
        <x:v>75</x:v>
      </x:c>
      <x:c r="BL702" s="4" t="n">
        <x:v>25</x:v>
      </x:c>
      <x:c r="BM702" s="4" t="n">
        <x:v>14.083333333333334</x:v>
      </x:c>
      <x:c r="BN702" s="4" t="n">
        <x:v>14.083333333333334</x:v>
      </x:c>
      <x:c r="BO702" s="10" t="n">
        <x:v>0</x:v>
      </x:c>
      <x:c r="BP702" s="10" t="n">
        <x:v>0</x:v>
      </x:c>
      <x:c r="BQ702" s="4" t="n">
        <x:v>0.2</x:v>
      </x:c>
      <x:c r="BR702" s="10" t="n">
        <x:v>2</x:v>
      </x:c>
      <x:c r="BS702" s="4" t="n">
        <x:v>0</x:v>
      </x:c>
      <x:c r="BT702" s="10" t="n">
        <x:v>1</x:v>
      </x:c>
      <x:c r="BU702" s="4" t="str">
        <x:v>NSH</x:v>
      </x:c>
      <x:c r="BV702" s="10" t="n">
        <x:v>695</x:v>
      </x:c>
      <x:c r="BW702" s="10"/>
      <x:c r="BX702" s="10" t="n">
        <x:v>757</x:v>
      </x:c>
      <x:c r="BY702" s="4" t="str">
        <x:v>Jordan Oesterle</x:v>
      </x:c>
      <x:c r="BZ702" s="4"/>
      <x:c r="CA702" s="4" t="str">
        <x:v>Jordan Oesterle</x:v>
      </x:c>
      <x:c r="CB702" s="4" t="str">
        <x:v>oestejo01</x:v>
      </x:c>
    </x:row>
    <x:row r="703" ht="22" customHeight="1">
      <x:c r="A703" s="4" t="str">
        <x:v>Jorian Donovan</x:v>
      </x:c>
      <x:c r="B703" s="4" t="str">
        <x:v>joriandonovan</x:v>
      </x:c>
      <x:c r="C703" s="10" t="n">
        <x:v>0</x:v>
      </x:c>
      <x:c r="D703" s="10" t="n">
        <x:v>0</x:v>
      </x:c>
      <x:c r="E703" s="10" t="n">
        <x:v>1</x:v>
      </x:c>
      <x:c r="F703" s="4" t="str">
        <x:f>IF(COUNT(N703,Q703,T703,W703,Z703,AC703,AF703,AI703)=8,N703*Guide!$E$5+Q703*Guide!$E$6+T703*Guide!$E$7+W703*Guide!$E$8+Z703*Guide!$E$9+AC703*Guide!$E$10+AF703*Guide!$E$11+AI703*Guide!$E$12,"")</x:f>
      </x:c>
      <x:c r="G703" s="4" t="str">
        <x:f>IF(COUNT(O703,R703,U703,X703,AA703,AD703,AG703,AJ703)=8,O703*Guide!$E$5+R703*Guide!$E$6+U703*Guide!$E$7+X703*Guide!$E$8+AA703*Guide!$E$9+AD703*Guide!$E$10+AG703*Guide!$E$11+AJ703*Guide!$E$12,"")</x:f>
      </x:c>
      <x:c r="H703" s="4" t="str">
        <x:f>IF(COUNT(G703,F703)=2,G703-F703,"")</x:f>
      </x:c>
      <x:c r="I703" s="4" t="str">
        <x:f>IF(AND(ISNUMBER(F703),K703&gt;0),F703/K703,"")</x:f>
      </x:c>
      <x:c r="J703" s="4" t="str">
        <x:f>IF(AND(ISNUMBER(G703),L703&gt;0),G703/L703,"")</x:f>
      </x:c>
      <x:c r="K703" s="10"/>
      <x:c r="L703" s="10"/>
      <x:c r="M703" s="10" t="str">
        <x:f>IF(COUNT(L703,K703)=2,L703-K703,"")</x:f>
      </x:c>
      <x:c r="N703" s="10"/>
      <x:c r="O703" s="10"/>
      <x:c r="P703" s="10" t="str">
        <x:f>IF(COUNT(O703,N703)=2,O703-N703,"")</x:f>
      </x:c>
      <x:c r="Q703" s="10"/>
      <x:c r="R703" s="10"/>
      <x:c r="S703" s="10" t="str">
        <x:f>IF(COUNT(R703,Q703)=2,R703-Q703,"")</x:f>
      </x:c>
      <x:c r="T703" s="10"/>
      <x:c r="U703" s="10"/>
      <x:c r="V703" s="10" t="str">
        <x:f>IF(COUNT(U703,T703)=2,U703-T703,"")</x:f>
      </x:c>
      <x:c r="W703" s="10"/>
      <x:c r="X703" s="10" t="str">
        <x:f>IF(COUNT(AV703,AW703)=2,AV703+AW703,"")</x:f>
      </x:c>
      <x:c r="Y703" s="10" t="str">
        <x:f>IF(COUNT(X703,W703)=2,X703-W703,"")</x:f>
      </x:c>
      <x:c r="Z703" s="10"/>
      <x:c r="AA703" s="10" t="str">
        <x:f>IF(COUNT(AX703,AY703)=2,AX703+AY703,"")</x:f>
      </x:c>
      <x:c r="AB703" s="10" t="str">
        <x:f>IF(COUNT(AA703,Z703)=2,AA703-Z703,"")</x:f>
      </x:c>
      <x:c r="AC703" s="10"/>
      <x:c r="AD703" s="10"/>
      <x:c r="AE703" s="10" t="str">
        <x:f>IF(COUNT(AD703,AC703)=2,AD703-AC703,"")</x:f>
      </x:c>
      <x:c r="AF703" s="10"/>
      <x:c r="AG703" s="10"/>
      <x:c r="AH703" s="10" t="str">
        <x:f>IF(COUNT(AG703,AF703)=2,AG703-AF703,"")</x:f>
      </x:c>
      <x:c r="AI703" s="10"/>
      <x:c r="AJ703" s="10"/>
      <x:c r="AK703" s="10" t="str">
        <x:f>IF(COUNT(AJ703,AI703)=2,AJ703-AI703,"")</x:f>
      </x:c>
      <x:c r="AL703" s="10"/>
      <x:c r="AM703" s="10"/>
      <x:c r="AN703" s="4"/>
      <x:c r="AO703" s="4"/>
      <x:c r="AP703" s="4"/>
      <x:c r="AQ703" s="4"/>
      <x:c r="AR703" s="4"/>
      <x:c r="AS703" s="4"/>
      <x:c r="AT703" s="4"/>
      <x:c r="AU703" s="4"/>
      <x:c r="AV703" s="10"/>
      <x:c r="AW703" s="10"/>
      <x:c r="AX703" s="10"/>
      <x:c r="AY703" s="10"/>
      <x:c r="AZ703" s="10" t="n">
        <x:v>7</x:v>
      </x:c>
      <x:c r="BA703" s="10" t="n">
        <x:v>24</x:v>
      </x:c>
      <x:c r="BB703" s="4" t="n">
        <x:v>22.6</x:v>
      </x:c>
      <x:c r="BC703" s="4" t="n">
        <x:v>-26.6</x:v>
      </x:c>
      <x:c r="BD703" s="10" t="n">
        <x:v>4</x:v>
      </x:c>
      <x:c r="BE703" s="10" t="n">
        <x:v>21</x:v>
      </x:c>
      <x:c r="BF703" s="4" t="n">
        <x:v>16</x:v>
      </x:c>
      <x:c r="BG703" s="4" t="n">
        <x:v>-30.5</x:v>
      </x:c>
      <x:c r="BH703" s="4" t="n">
        <x:v>0</x:v>
      </x:c>
      <x:c r="BI703" s="4" t="n">
        <x:v>100</x:v>
      </x:c>
      <x:c r="BJ703" s="4" t="n">
        <x:v>100</x:v>
      </x:c>
      <x:c r="BK703" s="4" t="n">
        <x:v>100</x:v>
      </x:c>
      <x:c r="BL703" s="4" t="n">
        <x:v>0</x:v>
      </x:c>
      <x:c r="BM703" s="4" t="n">
        <x:v>7.033333333333333</x:v>
      </x:c>
      <x:c r="BN703" s="4" t="n">
        <x:v>6.983333333333333</x:v>
      </x:c>
      <x:c r="BO703" s="10" t="n">
        <x:v>0</x:v>
      </x:c>
      <x:c r="BP703" s="10" t="n">
        <x:v>1</x:v>
      </x:c>
      <x:c r="BQ703" s="4" t="n">
        <x:v>-0.5</x:v>
      </x:c>
      <x:c r="BR703" s="10" t="n">
        <x:v>2</x:v>
      </x:c>
      <x:c r="BS703" s="4" t="n">
        <x:v>50</x:v>
      </x:c>
      <x:c r="BT703" s="10" t="n">
        <x:v>2</x:v>
      </x:c>
      <x:c r="BU703" s="4" t="str">
        <x:v>OTT</x:v>
      </x:c>
      <x:c r="BV703" s="10"/>
      <x:c r="BW703" s="10"/>
      <x:c r="BX703" s="10" t="n">
        <x:v>225</x:v>
      </x:c>
      <x:c r="BY703" s="4"/>
      <x:c r="BZ703" s="4"/>
      <x:c r="CA703" s="4" t="str">
        <x:v>Jorian Donovan</x:v>
      </x:c>
      <x:c r="CB703" s="4" t="str">
        <x:v>donovjo01</x:v>
      </x:c>
    </x:row>
    <x:row r="704" ht="22" customHeight="1">
      <x:c r="A704" s="4" t="str">
        <x:v>Joseph LaBate</x:v>
      </x:c>
      <x:c r="B704" s="4" t="str">
        <x:v>josephlabate</x:v>
      </x:c>
      <x:c r="C704" s="10" t="n">
        <x:v>0</x:v>
      </x:c>
      <x:c r="D704" s="10" t="n">
        <x:v>0</x:v>
      </x:c>
      <x:c r="E704" s="10" t="n">
        <x:v>1</x:v>
      </x:c>
      <x:c r="F704" s="4" t="str">
        <x:f>IF(COUNT(N704,Q704,T704,W704,Z704,AC704,AF704,AI704)=8,N704*Guide!$E$5+Q704*Guide!$E$6+T704*Guide!$E$7+W704*Guide!$E$8+Z704*Guide!$E$9+AC704*Guide!$E$10+AF704*Guide!$E$11+AI704*Guide!$E$12,"")</x:f>
      </x:c>
      <x:c r="G704" s="4" t="str">
        <x:f>IF(COUNT(O704,R704,U704,X704,AA704,AD704,AG704,AJ704)=8,O704*Guide!$E$5+R704*Guide!$E$6+U704*Guide!$E$7+X704*Guide!$E$8+AA704*Guide!$E$9+AD704*Guide!$E$10+AG704*Guide!$E$11+AJ704*Guide!$E$12,"")</x:f>
      </x:c>
      <x:c r="H704" s="4" t="str">
        <x:f>IF(COUNT(G704,F704)=2,G704-F704,"")</x:f>
      </x:c>
      <x:c r="I704" s="4" t="str">
        <x:f>IF(AND(ISNUMBER(F704),K704&gt;0),F704/K704,"")</x:f>
      </x:c>
      <x:c r="J704" s="4" t="str">
        <x:f>IF(AND(ISNUMBER(G704),L704&gt;0),G704/L704,"")</x:f>
      </x:c>
      <x:c r="K704" s="10"/>
      <x:c r="L704" s="10"/>
      <x:c r="M704" s="10" t="str">
        <x:f>IF(COUNT(L704,K704)=2,L704-K704,"")</x:f>
      </x:c>
      <x:c r="N704" s="10"/>
      <x:c r="O704" s="10"/>
      <x:c r="P704" s="10" t="str">
        <x:f>IF(COUNT(O704,N704)=2,O704-N704,"")</x:f>
      </x:c>
      <x:c r="Q704" s="10"/>
      <x:c r="R704" s="10"/>
      <x:c r="S704" s="10" t="str">
        <x:f>IF(COUNT(R704,Q704)=2,R704-Q704,"")</x:f>
      </x:c>
      <x:c r="T704" s="10"/>
      <x:c r="U704" s="10"/>
      <x:c r="V704" s="10" t="str">
        <x:f>IF(COUNT(U704,T704)=2,U704-T704,"")</x:f>
      </x:c>
      <x:c r="W704" s="10"/>
      <x:c r="X704" s="10" t="str">
        <x:f>IF(COUNT(AV704,AW704)=2,AV704+AW704,"")</x:f>
      </x:c>
      <x:c r="Y704" s="10" t="str">
        <x:f>IF(COUNT(X704,W704)=2,X704-W704,"")</x:f>
      </x:c>
      <x:c r="Z704" s="10"/>
      <x:c r="AA704" s="10" t="str">
        <x:f>IF(COUNT(AX704,AY704)=2,AX704+AY704,"")</x:f>
      </x:c>
      <x:c r="AB704" s="10" t="str">
        <x:f>IF(COUNT(AA704,Z704)=2,AA704-Z704,"")</x:f>
      </x:c>
      <x:c r="AC704" s="10"/>
      <x:c r="AD704" s="10"/>
      <x:c r="AE704" s="10" t="str">
        <x:f>IF(COUNT(AD704,AC704)=2,AD704-AC704,"")</x:f>
      </x:c>
      <x:c r="AF704" s="10"/>
      <x:c r="AG704" s="10"/>
      <x:c r="AH704" s="10" t="str">
        <x:f>IF(COUNT(AG704,AF704)=2,AG704-AF704,"")</x:f>
      </x:c>
      <x:c r="AI704" s="10"/>
      <x:c r="AJ704" s="10"/>
      <x:c r="AK704" s="10" t="str">
        <x:f>IF(COUNT(AJ704,AI704)=2,AJ704-AI704,"")</x:f>
      </x:c>
      <x:c r="AL704" s="10"/>
      <x:c r="AM704" s="10"/>
      <x:c r="AN704" s="4"/>
      <x:c r="AO704" s="4"/>
      <x:c r="AP704" s="4"/>
      <x:c r="AQ704" s="4"/>
      <x:c r="AR704" s="4"/>
      <x:c r="AS704" s="4"/>
      <x:c r="AT704" s="4"/>
      <x:c r="AU704" s="4"/>
      <x:c r="AV704" s="10"/>
      <x:c r="AW704" s="10"/>
      <x:c r="AX704" s="10"/>
      <x:c r="AY704" s="10"/>
      <x:c r="AZ704" s="10" t="n">
        <x:v>9</x:v>
      </x:c>
      <x:c r="BA704" s="10" t="n">
        <x:v>13</x:v>
      </x:c>
      <x:c r="BB704" s="4" t="n">
        <x:v>40.9</x:v>
      </x:c>
      <x:c r="BC704" s="4" t="n">
        <x:v>-14.8</x:v>
      </x:c>
      <x:c r="BD704" s="10" t="n">
        <x:v>6</x:v>
      </x:c>
      <x:c r="BE704" s="10" t="n">
        <x:v>7</x:v>
      </x:c>
      <x:c r="BF704" s="4" t="n">
        <x:v>46.2</x:v>
      </x:c>
      <x:c r="BG704" s="4" t="n">
        <x:v>-8.9</x:v>
      </x:c>
      <x:c r="BH704" s="4" t="n">
        <x:v>0</x:v>
      </x:c>
      <x:c r="BI704" s="4" t="n">
        <x:v>66.7</x:v>
      </x:c>
      <x:c r="BJ704" s="4" t="n">
        <x:v>66.7</x:v>
      </x:c>
      <x:c r="BK704" s="4" t="n">
        <x:v>33.3</x:v>
      </x:c>
      <x:c r="BL704" s="4" t="n">
        <x:v>66.7</x:v>
      </x:c>
      <x:c r="BM704" s="4" t="n">
        <x:v>9.533333333333333</x:v>
      </x:c>
      <x:c r="BN704" s="4" t="n">
        <x:v>9.533333333333333</x:v>
      </x:c>
      <x:c r="BO704" s="10" t="n">
        <x:v>0</x:v>
      </x:c>
      <x:c r="BP704" s="10" t="n">
        <x:v>0</x:v>
      </x:c>
      <x:c r="BQ704" s="4" t="n">
        <x:v>0</x:v>
      </x:c>
      <x:c r="BR704" s="10" t="n">
        <x:v>3</x:v>
      </x:c>
      <x:c r="BS704" s="4" t="n">
        <x:v>66.7</x:v>
      </x:c>
      <x:c r="BT704" s="10" t="n">
        <x:v>1</x:v>
      </x:c>
      <x:c r="BU704" s="4" t="str">
        <x:v>VAN</x:v>
      </x:c>
      <x:c r="BV704" s="10"/>
      <x:c r="BW704" s="10"/>
      <x:c r="BX704" s="10" t="n">
        <x:v>560</x:v>
      </x:c>
      <x:c r="BY704" s="4"/>
      <x:c r="BZ704" s="4"/>
      <x:c r="CA704" s="4" t="str">
        <x:v>Joseph LaBate</x:v>
      </x:c>
      <x:c r="CB704" s="4" t="str">
        <x:v>labatjo01</x:v>
      </x:c>
    </x:row>
    <x:row r="705" ht="22" customHeight="1">
      <x:c r="A705" s="4" t="str">
        <x:v>Josh Mahura</x:v>
      </x:c>
      <x:c r="B705" s="4" t="str">
        <x:v>joshmahura</x:v>
      </x:c>
      <x:c r="C705" s="10" t="n">
        <x:v>1</x:v>
      </x:c>
      <x:c r="D705" s="10" t="n">
        <x:v>0</x:v>
      </x:c>
      <x:c r="E705" s="10" t="n">
        <x:v>1</x:v>
      </x:c>
      <x:c r="F705" s="4" t="n">
        <x:f>IF(COUNT(N705,Q705,T705,W705,Z705,AC705,AF705,AI705)=8,N705*Guide!$E$5+Q705*Guide!$E$6+T705*Guide!$E$7+W705*Guide!$E$8+Z705*Guide!$E$9+AC705*Guide!$E$10+AF705*Guide!$E$11+AI705*Guide!$E$12,"")</x:f>
        <x:v>113.75</x:v>
      </x:c>
      <x:c r="G705" s="4" t="str">
        <x:f>IF(COUNT(O705,R705,U705,X705,AA705,AD705,AG705,AJ705)=8,O705*Guide!$E$5+R705*Guide!$E$6+U705*Guide!$E$7+X705*Guide!$E$8+AA705*Guide!$E$9+AD705*Guide!$E$10+AG705*Guide!$E$11+AJ705*Guide!$E$12,"")</x:f>
      </x:c>
      <x:c r="H705" s="4" t="str">
        <x:f>IF(COUNT(G705,F705)=2,G705-F705,"")</x:f>
      </x:c>
      <x:c r="I705" s="4" t="n">
        <x:f>IF(AND(ISNUMBER(F705),K705&gt;0),F705/K705,"")</x:f>
        <x:v>1.77734375</x:v>
      </x:c>
      <x:c r="J705" s="4" t="str">
        <x:f>IF(AND(ISNUMBER(G705),L705&gt;0),G705/L705,"")</x:f>
      </x:c>
      <x:c r="K705" s="10" t="n">
        <x:v>64</x:v>
      </x:c>
      <x:c r="L705" s="10"/>
      <x:c r="M705" s="10" t="str">
        <x:f>IF(COUNT(L705,K705)=2,L705-K705,"")</x:f>
      </x:c>
      <x:c r="N705" s="10" t="n">
        <x:v>2</x:v>
      </x:c>
      <x:c r="O705" s="10"/>
      <x:c r="P705" s="10" t="str">
        <x:f>IF(COUNT(O705,N705)=2,O705-N705,"")</x:f>
      </x:c>
      <x:c r="Q705" s="10" t="n">
        <x:v>10</x:v>
      </x:c>
      <x:c r="R705" s="10"/>
      <x:c r="S705" s="10" t="str">
        <x:f>IF(COUNT(R705,Q705)=2,R705-Q705,"")</x:f>
      </x:c>
      <x:c r="T705" s="10" t="n">
        <x:v>0</x:v>
      </x:c>
      <x:c r="U705" s="10"/>
      <x:c r="V705" s="10" t="str">
        <x:f>IF(COUNT(U705,T705)=2,U705-T705,"")</x:f>
      </x:c>
      <x:c r="W705" s="10" t="n">
        <x:v>0</x:v>
      </x:c>
      <x:c r="X705" s="10" t="str">
        <x:f>IF(COUNT(AV705,AW705)=2,AV705+AW705,"")</x:f>
      </x:c>
      <x:c r="Y705" s="10" t="str">
        <x:f>IF(COUNT(X705,W705)=2,X705-W705,"")</x:f>
      </x:c>
      <x:c r="Z705" s="10" t="n">
        <x:v>0</x:v>
      </x:c>
      <x:c r="AA705" s="10" t="str">
        <x:f>IF(COUNT(AX705,AY705)=2,AX705+AY705,"")</x:f>
      </x:c>
      <x:c r="AB705" s="10" t="str">
        <x:f>IF(COUNT(AA705,Z705)=2,AA705-Z705,"")</x:f>
      </x:c>
      <x:c r="AC705" s="10" t="n">
        <x:v>56</x:v>
      </x:c>
      <x:c r="AD705" s="10"/>
      <x:c r="AE705" s="10" t="str">
        <x:f>IF(COUNT(AD705,AC705)=2,AD705-AC705,"")</x:f>
      </x:c>
      <x:c r="AF705" s="10" t="n">
        <x:v>79</x:v>
      </x:c>
      <x:c r="AG705" s="10"/>
      <x:c r="AH705" s="10" t="str">
        <x:f>IF(COUNT(AG705,AF705)=2,AG705-AF705,"")</x:f>
      </x:c>
      <x:c r="AI705" s="10" t="n">
        <x:v>56</x:v>
      </x:c>
      <x:c r="AJ705" s="10"/>
      <x:c r="AK705" s="10" t="str">
        <x:f>IF(COUNT(AJ705,AI705)=2,AJ705-AI705,"")</x:f>
      </x:c>
      <x:c r="AL705" s="10" t="n">
        <x:v>27</x:v>
      </x:c>
      <x:c r="AM705" s="10"/>
      <x:c r="AN705" s="4" t="str">
        <x:v>D</x:v>
      </x:c>
      <x:c r="AO705" s="4"/>
      <x:c r="AP705" s="4" t="str">
        <x:v>SEA</x:v>
      </x:c>
      <x:c r="AQ705" s="4"/>
      <x:c r="AR705" s="4" t="n">
        <x:v>13.620000000000001</x:v>
      </x:c>
      <x:c r="AS705" s="4"/>
      <x:c r="AT705" s="4" t="n">
        <x:v>0.06</x:v>
      </x:c>
      <x:c r="AU705" s="4"/>
      <x:c r="AV705" s="10"/>
      <x:c r="AW705" s="10"/>
      <x:c r="AX705" s="10"/>
      <x:c r="AY705" s="10"/>
      <x:c r="AZ705" s="10" t="n">
        <x:v>253</x:v>
      </x:c>
      <x:c r="BA705" s="10" t="n">
        <x:v>363</x:v>
      </x:c>
      <x:c r="BB705" s="4" t="n">
        <x:v>41.1</x:v>
      </x:c>
      <x:c r="BC705" s="4" t="n">
        <x:v>-5.2</x:v>
      </x:c>
      <x:c r="BD705" s="10" t="n">
        <x:v>186</x:v>
      </x:c>
      <x:c r="BE705" s="10" t="n">
        <x:v>256</x:v>
      </x:c>
      <x:c r="BF705" s="4" t="n">
        <x:v>42.1</x:v>
      </x:c>
      <x:c r="BG705" s="4" t="n">
        <x:v>-3.9</x:v>
      </x:c>
      <x:c r="BH705" s="4" t="n">
        <x:v>13.4</x:v>
      </x:c>
      <x:c r="BI705" s="4" t="n">
        <x:v>95.4</x:v>
      </x:c>
      <x:c r="BJ705" s="4" t="n">
        <x:v>108.8</x:v>
      </x:c>
      <x:c r="BK705" s="4" t="n">
        <x:v>42.6</x:v>
      </x:c>
      <x:c r="BL705" s="4" t="n">
        <x:v>57.4</x:v>
      </x:c>
      <x:c r="BM705" s="4" t="n">
        <x:v>15.666666666666666</x:v>
      </x:c>
      <x:c r="BN705" s="4" t="n">
        <x:v>14.366666666666667</x:v>
      </x:c>
      <x:c r="BO705" s="10" t="n">
        <x:v>2</x:v>
      </x:c>
      <x:c r="BP705" s="10" t="n">
        <x:v>13</x:v>
      </x:c>
      <x:c r="BQ705" s="4" t="n">
        <x:v>-3.5</x:v>
      </x:c>
      <x:c r="BR705" s="10" t="n">
        <x:v>41</x:v>
      </x:c>
      <x:c r="BS705" s="4" t="n">
        <x:v>36.6</x:v>
      </x:c>
      <x:c r="BT705" s="10" t="n">
        <x:v>23</x:v>
      </x:c>
      <x:c r="BU705" s="4" t="str">
        <x:v>SEA</x:v>
      </x:c>
      <x:c r="BV705" s="10" t="n">
        <x:v>693</x:v>
      </x:c>
      <x:c r="BW705" s="10"/>
      <x:c r="BX705" s="10" t="n">
        <x:v>629</x:v>
      </x:c>
      <x:c r="BY705" s="4" t="str">
        <x:v>Josh Mahura</x:v>
      </x:c>
      <x:c r="BZ705" s="4"/>
      <x:c r="CA705" s="4" t="str">
        <x:v>Josh Mahura</x:v>
      </x:c>
      <x:c r="CB705" s="4" t="str">
        <x:v>mahurjo01</x:v>
      </x:c>
    </x:row>
    <x:row r="706" ht="22" customHeight="1">
      <x:c r="A706" s="4" t="str">
        <x:v>Josh Samanski</x:v>
      </x:c>
      <x:c r="B706" s="4" t="str">
        <x:v>joshsamanski</x:v>
      </x:c>
      <x:c r="C706" s="10" t="n">
        <x:v>0</x:v>
      </x:c>
      <x:c r="D706" s="10" t="n">
        <x:v>0</x:v>
      </x:c>
      <x:c r="E706" s="10" t="n">
        <x:v>1</x:v>
      </x:c>
      <x:c r="F706" s="4" t="str">
        <x:f>IF(COUNT(N706,Q706,T706,W706,Z706,AC706,AF706,AI706)=8,N706*Guide!$E$5+Q706*Guide!$E$6+T706*Guide!$E$7+W706*Guide!$E$8+Z706*Guide!$E$9+AC706*Guide!$E$10+AF706*Guide!$E$11+AI706*Guide!$E$12,"")</x:f>
      </x:c>
      <x:c r="G706" s="4" t="str">
        <x:f>IF(COUNT(O706,R706,U706,X706,AA706,AD706,AG706,AJ706)=8,O706*Guide!$E$5+R706*Guide!$E$6+U706*Guide!$E$7+X706*Guide!$E$8+AA706*Guide!$E$9+AD706*Guide!$E$10+AG706*Guide!$E$11+AJ706*Guide!$E$12,"")</x:f>
      </x:c>
      <x:c r="H706" s="4" t="str">
        <x:f>IF(COUNT(G706,F706)=2,G706-F706,"")</x:f>
      </x:c>
      <x:c r="I706" s="4" t="str">
        <x:f>IF(AND(ISNUMBER(F706),K706&gt;0),F706/K706,"")</x:f>
      </x:c>
      <x:c r="J706" s="4" t="str">
        <x:f>IF(AND(ISNUMBER(G706),L706&gt;0),G706/L706,"")</x:f>
      </x:c>
      <x:c r="K706" s="10"/>
      <x:c r="L706" s="10"/>
      <x:c r="M706" s="10" t="str">
        <x:f>IF(COUNT(L706,K706)=2,L706-K706,"")</x:f>
      </x:c>
      <x:c r="N706" s="10"/>
      <x:c r="O706" s="10"/>
      <x:c r="P706" s="10" t="str">
        <x:f>IF(COUNT(O706,N706)=2,O706-N706,"")</x:f>
      </x:c>
      <x:c r="Q706" s="10"/>
      <x:c r="R706" s="10"/>
      <x:c r="S706" s="10" t="str">
        <x:f>IF(COUNT(R706,Q706)=2,R706-Q706,"")</x:f>
      </x:c>
      <x:c r="T706" s="10"/>
      <x:c r="U706" s="10"/>
      <x:c r="V706" s="10" t="str">
        <x:f>IF(COUNT(U706,T706)=2,U706-T706,"")</x:f>
      </x:c>
      <x:c r="W706" s="10"/>
      <x:c r="X706" s="10" t="str">
        <x:f>IF(COUNT(AV706,AW706)=2,AV706+AW706,"")</x:f>
      </x:c>
      <x:c r="Y706" s="10" t="str">
        <x:f>IF(COUNT(X706,W706)=2,X706-W706,"")</x:f>
      </x:c>
      <x:c r="Z706" s="10"/>
      <x:c r="AA706" s="10" t="str">
        <x:f>IF(COUNT(AX706,AY706)=2,AX706+AY706,"")</x:f>
      </x:c>
      <x:c r="AB706" s="10" t="str">
        <x:f>IF(COUNT(AA706,Z706)=2,AA706-Z706,"")</x:f>
      </x:c>
      <x:c r="AC706" s="10"/>
      <x:c r="AD706" s="10"/>
      <x:c r="AE706" s="10" t="str">
        <x:f>IF(COUNT(AD706,AC706)=2,AD706-AC706,"")</x:f>
      </x:c>
      <x:c r="AF706" s="10"/>
      <x:c r="AG706" s="10"/>
      <x:c r="AH706" s="10" t="str">
        <x:f>IF(COUNT(AG706,AF706)=2,AG706-AF706,"")</x:f>
      </x:c>
      <x:c r="AI706" s="10"/>
      <x:c r="AJ706" s="10"/>
      <x:c r="AK706" s="10" t="str">
        <x:f>IF(COUNT(AJ706,AI706)=2,AJ706-AI706,"")</x:f>
      </x:c>
      <x:c r="AL706" s="10"/>
      <x:c r="AM706" s="10"/>
      <x:c r="AN706" s="4"/>
      <x:c r="AO706" s="4"/>
      <x:c r="AP706" s="4"/>
      <x:c r="AQ706" s="4"/>
      <x:c r="AR706" s="4"/>
      <x:c r="AS706" s="4"/>
      <x:c r="AT706" s="4"/>
      <x:c r="AU706" s="4"/>
      <x:c r="AV706" s="10"/>
      <x:c r="AW706" s="10"/>
      <x:c r="AX706" s="10"/>
      <x:c r="AY706" s="10"/>
      <x:c r="AZ706" s="10" t="n">
        <x:v>189</x:v>
      </x:c>
      <x:c r="BA706" s="10" t="n">
        <x:v>190</x:v>
      </x:c>
      <x:c r="BB706" s="4" t="n">
        <x:v>49.9</x:v>
      </x:c>
      <x:c r="BC706" s="4" t="n">
        <x:v>-1.7</x:v>
      </x:c>
      <x:c r="BD706" s="10" t="n">
        <x:v>131</x:v>
      </x:c>
      <x:c r="BE706" s="10" t="n">
        <x:v>126</x:v>
      </x:c>
      <x:c r="BF706" s="4" t="n">
        <x:v>51</x:v>
      </x:c>
      <x:c r="BG706" s="4" t="n">
        <x:v>-1.5</x:v>
      </x:c>
      <x:c r="BH706" s="4" t="n">
        <x:v>13.8</x:v>
      </x:c>
      <x:c r="BI706" s="4" t="n">
        <x:v>87.5</x:v>
      </x:c>
      <x:c r="BJ706" s="4" t="n">
        <x:v>101.3</x:v>
      </x:c>
      <x:c r="BK706" s="4" t="n">
        <x:v>52.1</x:v>
      </x:c>
      <x:c r="BL706" s="4" t="n">
        <x:v>47.9</x:v>
      </x:c>
      <x:c r="BM706" s="4" t="n">
        <x:v>10.566666666666666</x:v>
      </x:c>
      <x:c r="BN706" s="4" t="n">
        <x:v>10.066666666666666</x:v>
      </x:c>
      <x:c r="BO706" s="10" t="n">
        <x:v>6</x:v>
      </x:c>
      <x:c r="BP706" s="10" t="n">
        <x:v>10</x:v>
      </x:c>
      <x:c r="BQ706" s="4" t="n">
        <x:v>0.1</x:v>
      </x:c>
      <x:c r="BR706" s="10" t="n">
        <x:v>27</x:v>
      </x:c>
      <x:c r="BS706" s="4" t="n">
        <x:v>37</x:v>
      </x:c>
      <x:c r="BT706" s="10" t="n">
        <x:v>24</x:v>
      </x:c>
      <x:c r="BU706" s="4" t="str">
        <x:v>EDM</x:v>
      </x:c>
      <x:c r="BV706" s="10"/>
      <x:c r="BW706" s="10"/>
      <x:c r="BX706" s="10" t="n">
        <x:v>890</x:v>
      </x:c>
      <x:c r="BY706" s="4"/>
      <x:c r="BZ706" s="4"/>
      <x:c r="CA706" s="4" t="str">
        <x:v>Josh Samanski</x:v>
      </x:c>
      <x:c r="CB706" s="4" t="str">
        <x:v>samanjo01</x:v>
      </x:c>
    </x:row>
    <x:row r="707" ht="22" customHeight="1">
      <x:c r="A707" s="4" t="str">
        <x:v>Joshua Dunne</x:v>
      </x:c>
      <x:c r="B707" s="4" t="str">
        <x:v>joshuadunne</x:v>
      </x:c>
      <x:c r="C707" s="10" t="n">
        <x:v>0</x:v>
      </x:c>
      <x:c r="D707" s="10" t="n">
        <x:v>0</x:v>
      </x:c>
      <x:c r="E707" s="10" t="n">
        <x:v>1</x:v>
      </x:c>
      <x:c r="F707" s="4" t="str">
        <x:f>IF(COUNT(N707,Q707,T707,W707,Z707,AC707,AF707,AI707)=8,N707*Guide!$E$5+Q707*Guide!$E$6+T707*Guide!$E$7+W707*Guide!$E$8+Z707*Guide!$E$9+AC707*Guide!$E$10+AF707*Guide!$E$11+AI707*Guide!$E$12,"")</x:f>
      </x:c>
      <x:c r="G707" s="4" t="str">
        <x:f>IF(COUNT(O707,R707,U707,X707,AA707,AD707,AG707,AJ707)=8,O707*Guide!$E$5+R707*Guide!$E$6+U707*Guide!$E$7+X707*Guide!$E$8+AA707*Guide!$E$9+AD707*Guide!$E$10+AG707*Guide!$E$11+AJ707*Guide!$E$12,"")</x:f>
      </x:c>
      <x:c r="H707" s="4" t="str">
        <x:f>IF(COUNT(G707,F707)=2,G707-F707,"")</x:f>
      </x:c>
      <x:c r="I707" s="4" t="str">
        <x:f>IF(AND(ISNUMBER(F707),K707&gt;0),F707/K707,"")</x:f>
      </x:c>
      <x:c r="J707" s="4" t="str">
        <x:f>IF(AND(ISNUMBER(G707),L707&gt;0),G707/L707,"")</x:f>
      </x:c>
      <x:c r="K707" s="10"/>
      <x:c r="L707" s="10"/>
      <x:c r="M707" s="10" t="str">
        <x:f>IF(COUNT(L707,K707)=2,L707-K707,"")</x:f>
      </x:c>
      <x:c r="N707" s="10"/>
      <x:c r="O707" s="10"/>
      <x:c r="P707" s="10" t="str">
        <x:f>IF(COUNT(O707,N707)=2,O707-N707,"")</x:f>
      </x:c>
      <x:c r="Q707" s="10"/>
      <x:c r="R707" s="10"/>
      <x:c r="S707" s="10" t="str">
        <x:f>IF(COUNT(R707,Q707)=2,R707-Q707,"")</x:f>
      </x:c>
      <x:c r="T707" s="10"/>
      <x:c r="U707" s="10"/>
      <x:c r="V707" s="10" t="str">
        <x:f>IF(COUNT(U707,T707)=2,U707-T707,"")</x:f>
      </x:c>
      <x:c r="W707" s="10"/>
      <x:c r="X707" s="10" t="str">
        <x:f>IF(COUNT(AV707,AW707)=2,AV707+AW707,"")</x:f>
      </x:c>
      <x:c r="Y707" s="10" t="str">
        <x:f>IF(COUNT(X707,W707)=2,X707-W707,"")</x:f>
      </x:c>
      <x:c r="Z707" s="10"/>
      <x:c r="AA707" s="10" t="str">
        <x:f>IF(COUNT(AX707,AY707)=2,AX707+AY707,"")</x:f>
      </x:c>
      <x:c r="AB707" s="10" t="str">
        <x:f>IF(COUNT(AA707,Z707)=2,AA707-Z707,"")</x:f>
      </x:c>
      <x:c r="AC707" s="10"/>
      <x:c r="AD707" s="10"/>
      <x:c r="AE707" s="10" t="str">
        <x:f>IF(COUNT(AD707,AC707)=2,AD707-AC707,"")</x:f>
      </x:c>
      <x:c r="AF707" s="10"/>
      <x:c r="AG707" s="10"/>
      <x:c r="AH707" s="10" t="str">
        <x:f>IF(COUNT(AG707,AF707)=2,AG707-AF707,"")</x:f>
      </x:c>
      <x:c r="AI707" s="10"/>
      <x:c r="AJ707" s="10"/>
      <x:c r="AK707" s="10" t="str">
        <x:f>IF(COUNT(AJ707,AI707)=2,AJ707-AI707,"")</x:f>
      </x:c>
      <x:c r="AL707" s="10"/>
      <x:c r="AM707" s="10"/>
      <x:c r="AN707" s="4"/>
      <x:c r="AO707" s="4"/>
      <x:c r="AP707" s="4"/>
      <x:c r="AQ707" s="4"/>
      <x:c r="AR707" s="4"/>
      <x:c r="AS707" s="4"/>
      <x:c r="AT707" s="4"/>
      <x:c r="AU707" s="4"/>
      <x:c r="AV707" s="10"/>
      <x:c r="AW707" s="10"/>
      <x:c r="AX707" s="10"/>
      <x:c r="AY707" s="10"/>
      <x:c r="AZ707" s="10" t="n">
        <x:v>263</x:v>
      </x:c>
      <x:c r="BA707" s="10" t="n">
        <x:v>280</x:v>
      </x:c>
      <x:c r="BB707" s="4" t="n">
        <x:v>48.4</x:v>
      </x:c>
      <x:c r="BC707" s="4" t="n">
        <x:v>0.5</x:v>
      </x:c>
      <x:c r="BD707" s="10" t="n">
        <x:v>192</x:v>
      </x:c>
      <x:c r="BE707" s="10" t="n">
        <x:v>195</x:v>
      </x:c>
      <x:c r="BF707" s="4" t="n">
        <x:v>49.6</x:v>
      </x:c>
      <x:c r="BG707" s="4" t="n">
        <x:v>1.2</x:v>
      </x:c>
      <x:c r="BH707" s="4" t="n">
        <x:v>4.6</x:v>
      </x:c>
      <x:c r="BI707" s="4" t="n">
        <x:v>89.2</x:v>
      </x:c>
      <x:c r="BJ707" s="4" t="n">
        <x:v>93.8</x:v>
      </x:c>
      <x:c r="BK707" s="4" t="n">
        <x:v>20.7</x:v>
      </x:c>
      <x:c r="BL707" s="4" t="n">
        <x:v>79.3</x:v>
      </x:c>
      <x:c r="BM707" s="4" t="n">
        <x:v>9.483333333333333</x:v>
      </x:c>
      <x:c r="BN707" s="4" t="n">
        <x:v>9.35</x:v>
      </x:c>
      <x:c r="BO707" s="10" t="n">
        <x:v>6</x:v>
      </x:c>
      <x:c r="BP707" s="10" t="n">
        <x:v>16</x:v>
      </x:c>
      <x:c r="BQ707" s="4" t="n">
        <x:v>-2.2</x:v>
      </x:c>
      <x:c r="BR707" s="10" t="n">
        <x:v>61</x:v>
      </x:c>
      <x:c r="BS707" s="4" t="n">
        <x:v>47.5</x:v>
      </x:c>
      <x:c r="BT707" s="10" t="n">
        <x:v>34</x:v>
      </x:c>
      <x:c r="BU707" s="4" t="str">
        <x:v>BUF</x:v>
      </x:c>
      <x:c r="BV707" s="10"/>
      <x:c r="BW707" s="10"/>
      <x:c r="BX707" s="10" t="n">
        <x:v>251</x:v>
      </x:c>
      <x:c r="BY707" s="4"/>
      <x:c r="BZ707" s="4"/>
      <x:c r="CA707" s="4" t="str">
        <x:v>Joshua Dunne</x:v>
      </x:c>
      <x:c r="CB707" s="4" t="str">
        <x:v>dunnejo01</x:v>
      </x:c>
    </x:row>
    <x:row r="708" ht="22" customHeight="1">
      <x:c r="A708" s="4" t="str">
        <x:v>Joshua Roy</x:v>
      </x:c>
      <x:c r="B708" s="4" t="str">
        <x:v>joshuaroy</x:v>
      </x:c>
      <x:c r="C708" s="10" t="n">
        <x:v>1</x:v>
      </x:c>
      <x:c r="D708" s="10" t="n">
        <x:v>0</x:v>
      </x:c>
      <x:c r="E708" s="10" t="n">
        <x:v>1</x:v>
      </x:c>
      <x:c r="F708" s="4" t="n">
        <x:f>IF(COUNT(N708,Q708,T708,W708,Z708,AC708,AF708,AI708)=8,N708*Guide!$E$5+Q708*Guide!$E$6+T708*Guide!$E$7+W708*Guide!$E$8+Z708*Guide!$E$9+AC708*Guide!$E$10+AF708*Guide!$E$11+AI708*Guide!$E$12,"")</x:f>
        <x:v>100.25</x:v>
      </x:c>
      <x:c r="G708" s="4" t="str">
        <x:f>IF(COUNT(O708,R708,U708,X708,AA708,AD708,AG708,AJ708)=8,O708*Guide!$E$5+R708*Guide!$E$6+U708*Guide!$E$7+X708*Guide!$E$8+AA708*Guide!$E$9+AD708*Guide!$E$10+AG708*Guide!$E$11+AJ708*Guide!$E$12,"")</x:f>
      </x:c>
      <x:c r="H708" s="4" t="str">
        <x:f>IF(COUNT(G708,F708)=2,G708-F708,"")</x:f>
      </x:c>
      <x:c r="I708" s="4" t="n">
        <x:f>IF(AND(ISNUMBER(F708),K708&gt;0),F708/K708,"")</x:f>
        <x:v>2.948529411764706</x:v>
      </x:c>
      <x:c r="J708" s="4" t="str">
        <x:f>IF(AND(ISNUMBER(G708),L708&gt;0),G708/L708,"")</x:f>
      </x:c>
      <x:c r="K708" s="10" t="n">
        <x:v>34</x:v>
      </x:c>
      <x:c r="L708" s="10"/>
      <x:c r="M708" s="10" t="str">
        <x:f>IF(COUNT(L708,K708)=2,L708-K708,"")</x:f>
      </x:c>
      <x:c r="N708" s="10" t="n">
        <x:v>8</x:v>
      </x:c>
      <x:c r="O708" s="10"/>
      <x:c r="P708" s="10" t="str">
        <x:f>IF(COUNT(O708,N708)=2,O708-N708,"")</x:f>
      </x:c>
      <x:c r="Q708" s="10" t="n">
        <x:v>9</x:v>
      </x:c>
      <x:c r="R708" s="10"/>
      <x:c r="S708" s="10" t="str">
        <x:f>IF(COUNT(R708,Q708)=2,R708-Q708,"")</x:f>
      </x:c>
      <x:c r="T708" s="10" t="n">
        <x:v>-1</x:v>
      </x:c>
      <x:c r="U708" s="10"/>
      <x:c r="V708" s="10" t="str">
        <x:f>IF(COUNT(U708,T708)=2,U708-T708,"")</x:f>
      </x:c>
      <x:c r="W708" s="10" t="n">
        <x:v>3</x:v>
      </x:c>
      <x:c r="X708" s="10" t="str">
        <x:f>IF(COUNT(AV708,AW708)=2,AV708+AW708,"")</x:f>
      </x:c>
      <x:c r="Y708" s="10" t="str">
        <x:f>IF(COUNT(X708,W708)=2,X708-W708,"")</x:f>
      </x:c>
      <x:c r="Z708" s="10" t="n">
        <x:v>0</x:v>
      </x:c>
      <x:c r="AA708" s="10" t="str">
        <x:f>IF(COUNT(AX708,AY708)=2,AX708+AY708,"")</x:f>
      </x:c>
      <x:c r="AB708" s="10" t="str">
        <x:f>IF(COUNT(AA708,Z708)=2,AA708-Z708,"")</x:f>
      </x:c>
      <x:c r="AC708" s="10" t="n">
        <x:v>57</x:v>
      </x:c>
      <x:c r="AD708" s="10"/>
      <x:c r="AE708" s="10" t="str">
        <x:f>IF(COUNT(AD708,AC708)=2,AD708-AC708,"")</x:f>
      </x:c>
      <x:c r="AF708" s="10" t="n">
        <x:v>19</x:v>
      </x:c>
      <x:c r="AG708" s="10"/>
      <x:c r="AH708" s="10" t="str">
        <x:f>IF(COUNT(AG708,AF708)=2,AG708-AF708,"")</x:f>
      </x:c>
      <x:c r="AI708" s="10" t="n">
        <x:v>27</x:v>
      </x:c>
      <x:c r="AJ708" s="10"/>
      <x:c r="AK708" s="10" t="str">
        <x:f>IF(COUNT(AJ708,AI708)=2,AJ708-AI708,"")</x:f>
      </x:c>
      <x:c r="AL708" s="10" t="n">
        <x:v>22</x:v>
      </x:c>
      <x:c r="AM708" s="10"/>
      <x:c r="AN708" s="4" t="str">
        <x:v>RW</x:v>
      </x:c>
      <x:c r="AO708" s="4"/>
      <x:c r="AP708" s="4" t="str">
        <x:v>MTL</x:v>
      </x:c>
      <x:c r="AQ708" s="4"/>
      <x:c r="AR708" s="4" t="n">
        <x:v>12.89</x:v>
      </x:c>
      <x:c r="AS708" s="4"/>
      <x:c r="AT708" s="4" t="n">
        <x:v>0.98</x:v>
      </x:c>
      <x:c r="AU708" s="4"/>
      <x:c r="AV708" s="10"/>
      <x:c r="AW708" s="10"/>
      <x:c r="AX708" s="10"/>
      <x:c r="AY708" s="10"/>
      <x:c r="AZ708" s="10" t="n">
        <x:v>27</x:v>
      </x:c>
      <x:c r="BA708" s="10" t="n">
        <x:v>21</x:v>
      </x:c>
      <x:c r="BB708" s="4" t="n">
        <x:v>56.3</x:v>
      </x:c>
      <x:c r="BC708" s="4" t="n">
        <x:v>10.1</x:v>
      </x:c>
      <x:c r="BD708" s="10" t="n">
        <x:v>17</x:v>
      </x:c>
      <x:c r="BE708" s="10" t="n">
        <x:v>15</x:v>
      </x:c>
      <x:c r="BF708" s="4" t="n">
        <x:v>53.1</x:v>
      </x:c>
      <x:c r="BG708" s="4" t="n">
        <x:v>5</x:v>
      </x:c>
      <x:c r="BH708" s="4" t="n">
        <x:v>6.7</x:v>
      </x:c>
      <x:c r="BI708" s="4" t="n">
        <x:v>92.3</x:v>
      </x:c>
      <x:c r="BJ708" s="4" t="n">
        <x:v>99</x:v>
      </x:c>
      <x:c r="BK708" s="4" t="n">
        <x:v>35.7</x:v>
      </x:c>
      <x:c r="BL708" s="4" t="n">
        <x:v>64.3</x:v>
      </x:c>
      <x:c r="BM708" s="4" t="n">
        <x:v>9.783333333333333</x:v>
      </x:c>
      <x:c r="BN708" s="4" t="n">
        <x:v>9.666666666666666</x:v>
      </x:c>
      <x:c r="BO708" s="10" t="n">
        <x:v>0</x:v>
      </x:c>
      <x:c r="BP708" s="10" t="n">
        <x:v>3</x:v>
      </x:c>
      <x:c r="BQ708" s="4" t="n">
        <x:v>0.4</x:v>
      </x:c>
      <x:c r="BR708" s="10" t="n">
        <x:v>6</x:v>
      </x:c>
      <x:c r="BS708" s="4" t="n">
        <x:v>33.3</x:v>
      </x:c>
      <x:c r="BT708" s="10" t="n">
        <x:v>3</x:v>
      </x:c>
      <x:c r="BU708" s="4" t="str">
        <x:v>MTL</x:v>
      </x:c>
      <x:c r="BV708" s="10" t="n">
        <x:v>596</x:v>
      </x:c>
      <x:c r="BW708" s="10"/>
      <x:c r="BX708" s="10" t="n">
        <x:v>880</x:v>
      </x:c>
      <x:c r="BY708" s="4" t="str">
        <x:v>Joshua Roy</x:v>
      </x:c>
      <x:c r="BZ708" s="4"/>
      <x:c r="CA708" s="4" t="str">
        <x:v>Joshua Roy</x:v>
      </x:c>
      <x:c r="CB708" s="4" t="str">
        <x:v>royjo01</x:v>
      </x:c>
    </x:row>
    <x:row r="709" ht="22" customHeight="1">
      <x:c r="A709" s="4" t="str">
        <x:v>Josiah Slavin</x:v>
      </x:c>
      <x:c r="B709" s="4" t="str">
        <x:v>josiahslavin</x:v>
      </x:c>
      <x:c r="C709" s="10" t="n">
        <x:v>0</x:v>
      </x:c>
      <x:c r="D709" s="10" t="n">
        <x:v>0</x:v>
      </x:c>
      <x:c r="E709" s="10" t="n">
        <x:v>1</x:v>
      </x:c>
      <x:c r="F709" s="4" t="str">
        <x:f>IF(COUNT(N709,Q709,T709,W709,Z709,AC709,AF709,AI709)=8,N709*Guide!$E$5+Q709*Guide!$E$6+T709*Guide!$E$7+W709*Guide!$E$8+Z709*Guide!$E$9+AC709*Guide!$E$10+AF709*Guide!$E$11+AI709*Guide!$E$12,"")</x:f>
      </x:c>
      <x:c r="G709" s="4" t="str">
        <x:f>IF(COUNT(O709,R709,U709,X709,AA709,AD709,AG709,AJ709)=8,O709*Guide!$E$5+R709*Guide!$E$6+U709*Guide!$E$7+X709*Guide!$E$8+AA709*Guide!$E$9+AD709*Guide!$E$10+AG709*Guide!$E$11+AJ709*Guide!$E$12,"")</x:f>
      </x:c>
      <x:c r="H709" s="4" t="str">
        <x:f>IF(COUNT(G709,F709)=2,G709-F709,"")</x:f>
      </x:c>
      <x:c r="I709" s="4" t="str">
        <x:f>IF(AND(ISNUMBER(F709),K709&gt;0),F709/K709,"")</x:f>
      </x:c>
      <x:c r="J709" s="4" t="str">
        <x:f>IF(AND(ISNUMBER(G709),L709&gt;0),G709/L709,"")</x:f>
      </x:c>
      <x:c r="K709" s="10"/>
      <x:c r="L709" s="10"/>
      <x:c r="M709" s="10" t="str">
        <x:f>IF(COUNT(L709,K709)=2,L709-K709,"")</x:f>
      </x:c>
      <x:c r="N709" s="10"/>
      <x:c r="O709" s="10"/>
      <x:c r="P709" s="10" t="str">
        <x:f>IF(COUNT(O709,N709)=2,O709-N709,"")</x:f>
      </x:c>
      <x:c r="Q709" s="10"/>
      <x:c r="R709" s="10"/>
      <x:c r="S709" s="10" t="str">
        <x:f>IF(COUNT(R709,Q709)=2,R709-Q709,"")</x:f>
      </x:c>
      <x:c r="T709" s="10"/>
      <x:c r="U709" s="10"/>
      <x:c r="V709" s="10" t="str">
        <x:f>IF(COUNT(U709,T709)=2,U709-T709,"")</x:f>
      </x:c>
      <x:c r="W709" s="10"/>
      <x:c r="X709" s="10" t="str">
        <x:f>IF(COUNT(AV709,AW709)=2,AV709+AW709,"")</x:f>
      </x:c>
      <x:c r="Y709" s="10" t="str">
        <x:f>IF(COUNT(X709,W709)=2,X709-W709,"")</x:f>
      </x:c>
      <x:c r="Z709" s="10"/>
      <x:c r="AA709" s="10" t="str">
        <x:f>IF(COUNT(AX709,AY709)=2,AX709+AY709,"")</x:f>
      </x:c>
      <x:c r="AB709" s="10" t="str">
        <x:f>IF(COUNT(AA709,Z709)=2,AA709-Z709,"")</x:f>
      </x:c>
      <x:c r="AC709" s="10"/>
      <x:c r="AD709" s="10"/>
      <x:c r="AE709" s="10" t="str">
        <x:f>IF(COUNT(AD709,AC709)=2,AD709-AC709,"")</x:f>
      </x:c>
      <x:c r="AF709" s="10"/>
      <x:c r="AG709" s="10"/>
      <x:c r="AH709" s="10" t="str">
        <x:f>IF(COUNT(AG709,AF709)=2,AG709-AF709,"")</x:f>
      </x:c>
      <x:c r="AI709" s="10"/>
      <x:c r="AJ709" s="10"/>
      <x:c r="AK709" s="10" t="str">
        <x:f>IF(COUNT(AJ709,AI709)=2,AJ709-AI709,"")</x:f>
      </x:c>
      <x:c r="AL709" s="10"/>
      <x:c r="AM709" s="10"/>
      <x:c r="AN709" s="4"/>
      <x:c r="AO709" s="4"/>
      <x:c r="AP709" s="4"/>
      <x:c r="AQ709" s="4"/>
      <x:c r="AR709" s="4"/>
      <x:c r="AS709" s="4"/>
      <x:c r="AT709" s="4"/>
      <x:c r="AU709" s="4"/>
      <x:c r="AV709" s="10"/>
      <x:c r="AW709" s="10"/>
      <x:c r="AX709" s="10"/>
      <x:c r="AY709" s="10"/>
      <x:c r="AZ709" s="10" t="n">
        <x:v>26</x:v>
      </x:c>
      <x:c r="BA709" s="10" t="n">
        <x:v>19</x:v>
      </x:c>
      <x:c r="BB709" s="4" t="n">
        <x:v>57.8</x:v>
      </x:c>
      <x:c r="BC709" s="4" t="n">
        <x:v>8.1</x:v>
      </x:c>
      <x:c r="BD709" s="10" t="n">
        <x:v>18</x:v>
      </x:c>
      <x:c r="BE709" s="10" t="n">
        <x:v>15</x:v>
      </x:c>
      <x:c r="BF709" s="4" t="n">
        <x:v>54.5</x:v>
      </x:c>
      <x:c r="BG709" s="4" t="n">
        <x:v>4.5</x:v>
      </x:c>
      <x:c r="BH709" s="4" t="n">
        <x:v>14.3</x:v>
      </x:c>
      <x:c r="BI709" s="4" t="n">
        <x:v>100</x:v>
      </x:c>
      <x:c r="BJ709" s="4" t="n">
        <x:v>114.3</x:v>
      </x:c>
      <x:c r="BK709" s="4" t="n">
        <x:v>58.3</x:v>
      </x:c>
      <x:c r="BL709" s="4" t="n">
        <x:v>41.7</x:v>
      </x:c>
      <x:c r="BM709" s="4" t="n">
        <x:v>15.016666666666667</x:v>
      </x:c>
      <x:c r="BN709" s="4" t="n">
        <x:v>13.216666666666667</x:v>
      </x:c>
      <x:c r="BO709" s="10" t="n">
        <x:v>1</x:v>
      </x:c>
      <x:c r="BP709" s="10" t="n">
        <x:v>0</x:v>
      </x:c>
      <x:c r="BQ709" s="4" t="n">
        <x:v>-0.4</x:v>
      </x:c>
      <x:c r="BR709" s="10" t="n">
        <x:v>4</x:v>
      </x:c>
      <x:c r="BS709" s="4" t="n">
        <x:v>0</x:v>
      </x:c>
      <x:c r="BT709" s="10" t="n">
        <x:v>2</x:v>
      </x:c>
      <x:c r="BU709" s="4" t="str">
        <x:v>CAR</x:v>
      </x:c>
      <x:c r="BV709" s="10"/>
      <x:c r="BW709" s="10"/>
      <x:c r="BX709" s="10" t="n">
        <x:v>944</x:v>
      </x:c>
      <x:c r="BY709" s="4"/>
      <x:c r="BZ709" s="4"/>
      <x:c r="CA709" s="4" t="str">
        <x:v>Josiah Slavin</x:v>
      </x:c>
      <x:c r="CB709" s="4" t="str">
        <x:v>slavijo01</x:v>
      </x:c>
    </x:row>
    <x:row r="710" ht="22" customHeight="1">
      <x:c r="A710" s="4" t="str">
        <x:v>Juho Lammikko</x:v>
      </x:c>
      <x:c r="B710" s="4" t="str">
        <x:v>juholammikko</x:v>
      </x:c>
      <x:c r="C710" s="10" t="n">
        <x:v>0</x:v>
      </x:c>
      <x:c r="D710" s="10" t="n">
        <x:v>0</x:v>
      </x:c>
      <x:c r="E710" s="10" t="n">
        <x:v>1</x:v>
      </x:c>
      <x:c r="F710" s="4" t="str">
        <x:f>IF(COUNT(N710,Q710,T710,W710,Z710,AC710,AF710,AI710)=8,N710*Guide!$E$5+Q710*Guide!$E$6+T710*Guide!$E$7+W710*Guide!$E$8+Z710*Guide!$E$9+AC710*Guide!$E$10+AF710*Guide!$E$11+AI710*Guide!$E$12,"")</x:f>
      </x:c>
      <x:c r="G710" s="4" t="str">
        <x:f>IF(COUNT(O710,R710,U710,X710,AA710,AD710,AG710,AJ710)=8,O710*Guide!$E$5+R710*Guide!$E$6+U710*Guide!$E$7+X710*Guide!$E$8+AA710*Guide!$E$9+AD710*Guide!$E$10+AG710*Guide!$E$11+AJ710*Guide!$E$12,"")</x:f>
      </x:c>
      <x:c r="H710" s="4" t="str">
        <x:f>IF(COUNT(G710,F710)=2,G710-F710,"")</x:f>
      </x:c>
      <x:c r="I710" s="4" t="str">
        <x:f>IF(AND(ISNUMBER(F710),K710&gt;0),F710/K710,"")</x:f>
      </x:c>
      <x:c r="J710" s="4" t="str">
        <x:f>IF(AND(ISNUMBER(G710),L710&gt;0),G710/L710,"")</x:f>
      </x:c>
      <x:c r="K710" s="10"/>
      <x:c r="L710" s="10"/>
      <x:c r="M710" s="10" t="str">
        <x:f>IF(COUNT(L710,K710)=2,L710-K710,"")</x:f>
      </x:c>
      <x:c r="N710" s="10"/>
      <x:c r="O710" s="10"/>
      <x:c r="P710" s="10" t="str">
        <x:f>IF(COUNT(O710,N710)=2,O710-N710,"")</x:f>
      </x:c>
      <x:c r="Q710" s="10"/>
      <x:c r="R710" s="10"/>
      <x:c r="S710" s="10" t="str">
        <x:f>IF(COUNT(R710,Q710)=2,R710-Q710,"")</x:f>
      </x:c>
      <x:c r="T710" s="10"/>
      <x:c r="U710" s="10"/>
      <x:c r="V710" s="10" t="str">
        <x:f>IF(COUNT(U710,T710)=2,U710-T710,"")</x:f>
      </x:c>
      <x:c r="W710" s="10"/>
      <x:c r="X710" s="10" t="str">
        <x:f>IF(COUNT(AV710,AW710)=2,AV710+AW710,"")</x:f>
      </x:c>
      <x:c r="Y710" s="10" t="str">
        <x:f>IF(COUNT(X710,W710)=2,X710-W710,"")</x:f>
      </x:c>
      <x:c r="Z710" s="10"/>
      <x:c r="AA710" s="10" t="str">
        <x:f>IF(COUNT(AX710,AY710)=2,AX710+AY710,"")</x:f>
      </x:c>
      <x:c r="AB710" s="10" t="str">
        <x:f>IF(COUNT(AA710,Z710)=2,AA710-Z710,"")</x:f>
      </x:c>
      <x:c r="AC710" s="10"/>
      <x:c r="AD710" s="10"/>
      <x:c r="AE710" s="10" t="str">
        <x:f>IF(COUNT(AD710,AC710)=2,AD710-AC710,"")</x:f>
      </x:c>
      <x:c r="AF710" s="10"/>
      <x:c r="AG710" s="10"/>
      <x:c r="AH710" s="10" t="str">
        <x:f>IF(COUNT(AG710,AF710)=2,AG710-AF710,"")</x:f>
      </x:c>
      <x:c r="AI710" s="10"/>
      <x:c r="AJ710" s="10"/>
      <x:c r="AK710" s="10" t="str">
        <x:f>IF(COUNT(AJ710,AI710)=2,AJ710-AI710,"")</x:f>
      </x:c>
      <x:c r="AL710" s="10"/>
      <x:c r="AM710" s="10"/>
      <x:c r="AN710" s="4"/>
      <x:c r="AO710" s="4"/>
      <x:c r="AP710" s="4"/>
      <x:c r="AQ710" s="4"/>
      <x:c r="AR710" s="4"/>
      <x:c r="AS710" s="4"/>
      <x:c r="AT710" s="4"/>
      <x:c r="AU710" s="4"/>
      <x:c r="AV710" s="10"/>
      <x:c r="AW710" s="10"/>
      <x:c r="AX710" s="10"/>
      <x:c r="AY710" s="10"/>
      <x:c r="AZ710" s="10" t="n">
        <x:v>176</x:v>
      </x:c>
      <x:c r="BA710" s="10" t="n">
        <x:v>237</x:v>
      </x:c>
      <x:c r="BB710" s="4" t="n">
        <x:v>42.6</x:v>
      </x:c>
      <x:c r="BC710" s="4" t="n">
        <x:v>-9</x:v>
      </x:c>
      <x:c r="BD710" s="10" t="n">
        <x:v>123</x:v>
      </x:c>
      <x:c r="BE710" s="10" t="n">
        <x:v>172</x:v>
      </x:c>
      <x:c r="BF710" s="4" t="n">
        <x:v>41.7</x:v>
      </x:c>
      <x:c r="BG710" s="4" t="n">
        <x:v>-9.5</x:v>
      </x:c>
      <x:c r="BH710" s="4" t="n">
        <x:v>5.7</x:v>
      </x:c>
      <x:c r="BI710" s="4" t="n">
        <x:v>92.1</x:v>
      </x:c>
      <x:c r="BJ710" s="4" t="n">
        <x:v>97.9</x:v>
      </x:c>
      <x:c r="BK710" s="4" t="n">
        <x:v>51.3</x:v>
      </x:c>
      <x:c r="BL710" s="4" t="n">
        <x:v>48.7</x:v>
      </x:c>
      <x:c r="BM710" s="4" t="n">
        <x:v>9.883333333333333</x:v>
      </x:c>
      <x:c r="BN710" s="4" t="n">
        <x:v>9.8</x:v>
      </x:c>
      <x:c r="BO710" s="10" t="n">
        <x:v>2</x:v>
      </x:c>
      <x:c r="BP710" s="10" t="n">
        <x:v>4</x:v>
      </x:c>
      <x:c r="BQ710" s="4" t="n">
        <x:v>-3.5</x:v>
      </x:c>
      <x:c r="BR710" s="10" t="n">
        <x:v>25</x:v>
      </x:c>
      <x:c r="BS710" s="4" t="n">
        <x:v>60</x:v>
      </x:c>
      <x:c r="BT710" s="10" t="n">
        <x:v>24</x:v>
      </x:c>
      <x:c r="BU710" s="4" t="str">
        <x:v>NJD</x:v>
      </x:c>
      <x:c r="BV710" s="10"/>
      <x:c r="BW710" s="10"/>
      <x:c r="BX710" s="10" t="n">
        <x:v>570</x:v>
      </x:c>
      <x:c r="BY710" s="4"/>
      <x:c r="BZ710" s="4"/>
      <x:c r="CA710" s="4" t="str">
        <x:v>Juho Lammikko</x:v>
      </x:c>
      <x:c r="CB710" s="4" t="str">
        <x:v>lammiju01</x:v>
      </x:c>
    </x:row>
    <x:row r="711" ht="22" customHeight="1">
      <x:c r="A711" s="4" t="str">
        <x:v>Justin Bailey</x:v>
      </x:c>
      <x:c r="B711" s="4" t="str">
        <x:v>justinbailey</x:v>
      </x:c>
      <x:c r="C711" s="10" t="n">
        <x:v>1</x:v>
      </x:c>
      <x:c r="D711" s="10" t="n">
        <x:v>0</x:v>
      </x:c>
      <x:c r="E711" s="10" t="n">
        <x:v>0</x:v>
      </x:c>
      <x:c r="F711" s="4" t="n">
        <x:f>IF(COUNT(N711,Q711,T711,W711,Z711,AC711,AF711,AI711)=8,N711*Guide!$E$5+Q711*Guide!$E$6+T711*Guide!$E$7+W711*Guide!$E$8+Z711*Guide!$E$9+AC711*Guide!$E$10+AF711*Guide!$E$11+AI711*Guide!$E$12,"")</x:f>
        <x:v>124.75</x:v>
      </x:c>
      <x:c r="G711" s="4" t="str">
        <x:f>IF(COUNT(O711,R711,U711,X711,AA711,AD711,AG711,AJ711)=8,O711*Guide!$E$5+R711*Guide!$E$6+U711*Guide!$E$7+X711*Guide!$E$8+AA711*Guide!$E$9+AD711*Guide!$E$10+AG711*Guide!$E$11+AJ711*Guide!$E$12,"")</x:f>
      </x:c>
      <x:c r="H711" s="4" t="str">
        <x:f>IF(COUNT(G711,F711)=2,G711-F711,"")</x:f>
      </x:c>
      <x:c r="I711" s="4" t="n">
        <x:f>IF(AND(ISNUMBER(F711),K711&gt;0),F711/K711,"")</x:f>
        <x:v>1.8079710144927537</x:v>
      </x:c>
      <x:c r="J711" s="4" t="str">
        <x:f>IF(AND(ISNUMBER(G711),L711&gt;0),G711/L711,"")</x:f>
      </x:c>
      <x:c r="K711" s="10" t="n">
        <x:v>69</x:v>
      </x:c>
      <x:c r="L711" s="10"/>
      <x:c r="M711" s="10" t="str">
        <x:f>IF(COUNT(L711,K711)=2,L711-K711,"")</x:f>
      </x:c>
      <x:c r="N711" s="10" t="n">
        <x:v>7</x:v>
      </x:c>
      <x:c r="O711" s="10"/>
      <x:c r="P711" s="10" t="str">
        <x:f>IF(COUNT(O711,N711)=2,O711-N711,"")</x:f>
      </x:c>
      <x:c r="Q711" s="10" t="n">
        <x:v>11</x:v>
      </x:c>
      <x:c r="R711" s="10"/>
      <x:c r="S711" s="10" t="str">
        <x:f>IF(COUNT(R711,Q711)=2,R711-Q711,"")</x:f>
      </x:c>
      <x:c r="T711" s="10" t="n">
        <x:v>-5</x:v>
      </x:c>
      <x:c r="U711" s="10"/>
      <x:c r="V711" s="10" t="str">
        <x:f>IF(COUNT(U711,T711)=2,U711-T711,"")</x:f>
      </x:c>
      <x:c r="W711" s="10" t="n">
        <x:v>0</x:v>
      </x:c>
      <x:c r="X711" s="10" t="str">
        <x:f>IF(COUNT(AV711,AW711)=2,AV711+AW711,"")</x:f>
      </x:c>
      <x:c r="Y711" s="10" t="str">
        <x:f>IF(COUNT(X711,W711)=2,X711-W711,"")</x:f>
      </x:c>
      <x:c r="Z711" s="10" t="n">
        <x:v>0</x:v>
      </x:c>
      <x:c r="AA711" s="10" t="str">
        <x:f>IF(COUNT(AX711,AY711)=2,AX711+AY711,"")</x:f>
      </x:c>
      <x:c r="AB711" s="10" t="str">
        <x:f>IF(COUNT(AA711,Z711)=2,AA711-Z711,"")</x:f>
      </x:c>
      <x:c r="AC711" s="10" t="n">
        <x:v>76</x:v>
      </x:c>
      <x:c r="AD711" s="10"/>
      <x:c r="AE711" s="10" t="str">
        <x:f>IF(COUNT(AD711,AC711)=2,AD711-AC711,"")</x:f>
      </x:c>
      <x:c r="AF711" s="10" t="n">
        <x:v>91</x:v>
      </x:c>
      <x:c r="AG711" s="10"/>
      <x:c r="AH711" s="10" t="str">
        <x:f>IF(COUNT(AG711,AF711)=2,AG711-AF711,"")</x:f>
      </x:c>
      <x:c r="AI711" s="10" t="n">
        <x:v>36</x:v>
      </x:c>
      <x:c r="AJ711" s="10"/>
      <x:c r="AK711" s="10" t="str">
        <x:f>IF(COUNT(AJ711,AI711)=2,AJ711-AI711,"")</x:f>
      </x:c>
      <x:c r="AL711" s="10" t="n">
        <x:v>30</x:v>
      </x:c>
      <x:c r="AM711" s="10"/>
      <x:c r="AN711" s="4" t="str">
        <x:v>RW</x:v>
      </x:c>
      <x:c r="AO711" s="4"/>
      <x:c r="AP711" s="4" t="str">
        <x:v>SJ</x:v>
      </x:c>
      <x:c r="AQ711" s="4"/>
      <x:c r="AR711" s="4" t="n">
        <x:v>11.33</x:v>
      </x:c>
      <x:c r="AS711" s="4"/>
      <x:c r="AT711" s="4" t="n">
        <x:v>0.14</x:v>
      </x:c>
      <x:c r="AU711" s="4"/>
      <x:c r="AV711" s="10"/>
      <x:c r="AW711" s="10"/>
      <x:c r="AX711" s="10"/>
      <x:c r="AY711" s="10"/>
      <x:c r="AZ711" s="10"/>
      <x:c r="BA711" s="10"/>
      <x:c r="BB711" s="4"/>
      <x:c r="BC711" s="4"/>
      <x:c r="BD711" s="10"/>
      <x:c r="BE711" s="10"/>
      <x:c r="BF711" s="4"/>
      <x:c r="BG711" s="4"/>
      <x:c r="BH711" s="4"/>
      <x:c r="BI711" s="4"/>
      <x:c r="BJ711" s="4"/>
      <x:c r="BK711" s="4"/>
      <x:c r="BL711" s="4"/>
      <x:c r="BM711" s="4"/>
      <x:c r="BN711" s="4"/>
      <x:c r="BO711" s="10"/>
      <x:c r="BP711" s="10"/>
      <x:c r="BQ711" s="4"/>
      <x:c r="BR711" s="10"/>
      <x:c r="BS711" s="4"/>
      <x:c r="BT711" s="10"/>
      <x:c r="BU711" s="4"/>
      <x:c r="BV711" s="10" t="n">
        <x:v>577</x:v>
      </x:c>
      <x:c r="BW711" s="10"/>
      <x:c r="BX711" s="10"/>
      <x:c r="BY711" s="4" t="str">
        <x:v>Justin Bailey</x:v>
      </x:c>
      <x:c r="BZ711" s="4"/>
      <x:c r="CA711" s="4"/>
      <x:c r="CB711" s="4"/>
    </x:row>
    <x:row r="712" ht="22" customHeight="1">
      <x:c r="A712" s="4" t="str">
        <x:v>Justin Barron</x:v>
      </x:c>
      <x:c r="B712" s="4" t="str">
        <x:v>justinbarron</x:v>
      </x:c>
      <x:c r="C712" s="10" t="n">
        <x:v>1</x:v>
      </x:c>
      <x:c r="D712" s="10" t="n">
        <x:v>0</x:v>
      </x:c>
      <x:c r="E712" s="10" t="n">
        <x:v>1</x:v>
      </x:c>
      <x:c r="F712" s="4" t="n">
        <x:f>IF(COUNT(N712,Q712,T712,W712,Z712,AC712,AF712,AI712)=8,N712*Guide!$E$5+Q712*Guide!$E$6+T712*Guide!$E$7+W712*Guide!$E$8+Z712*Guide!$E$9+AC712*Guide!$E$10+AF712*Guide!$E$11+AI712*Guide!$E$12,"")</x:f>
        <x:v>163.25</x:v>
      </x:c>
      <x:c r="G712" s="4" t="str">
        <x:f>IF(COUNT(O712,R712,U712,X712,AA712,AD712,AG712,AJ712)=8,O712*Guide!$E$5+R712*Guide!$E$6+U712*Guide!$E$7+X712*Guide!$E$8+AA712*Guide!$E$9+AD712*Guide!$E$10+AG712*Guide!$E$11+AJ712*Guide!$E$12,"")</x:f>
      </x:c>
      <x:c r="H712" s="4" t="str">
        <x:f>IF(COUNT(G712,F712)=2,G712-F712,"")</x:f>
      </x:c>
      <x:c r="I712" s="4" t="n">
        <x:f>IF(AND(ISNUMBER(F712),K712&gt;0),F712/K712,"")</x:f>
        <x:v>2.5115384615384615</x:v>
      </x:c>
      <x:c r="J712" s="4" t="str">
        <x:f>IF(AND(ISNUMBER(G712),L712&gt;0),G712/L712,"")</x:f>
      </x:c>
      <x:c r="K712" s="10" t="n">
        <x:v>65</x:v>
      </x:c>
      <x:c r="L712" s="10"/>
      <x:c r="M712" s="10" t="str">
        <x:f>IF(COUNT(L712,K712)=2,L712-K712,"")</x:f>
      </x:c>
      <x:c r="N712" s="10" t="n">
        <x:v>6</x:v>
      </x:c>
      <x:c r="O712" s="10"/>
      <x:c r="P712" s="10" t="str">
        <x:f>IF(COUNT(O712,N712)=2,O712-N712,"")</x:f>
      </x:c>
      <x:c r="Q712" s="10" t="n">
        <x:v>13</x:v>
      </x:c>
      <x:c r="R712" s="10"/>
      <x:c r="S712" s="10" t="str">
        <x:f>IF(COUNT(R712,Q712)=2,R712-Q712,"")</x:f>
      </x:c>
      <x:c r="T712" s="10" t="n">
        <x:v>-1</x:v>
      </x:c>
      <x:c r="U712" s="10"/>
      <x:c r="V712" s="10" t="str">
        <x:f>IF(COUNT(U712,T712)=2,U712-T712,"")</x:f>
      </x:c>
      <x:c r="W712" s="10" t="n">
        <x:v>2</x:v>
      </x:c>
      <x:c r="X712" s="10" t="str">
        <x:f>IF(COUNT(AV712,AW712)=2,AV712+AW712,"")</x:f>
      </x:c>
      <x:c r="Y712" s="10" t="str">
        <x:f>IF(COUNT(X712,W712)=2,X712-W712,"")</x:f>
      </x:c>
      <x:c r="Z712" s="10" t="n">
        <x:v>0</x:v>
      </x:c>
      <x:c r="AA712" s="10" t="str">
        <x:f>IF(COUNT(AX712,AY712)=2,AX712+AY712,"")</x:f>
      </x:c>
      <x:c r="AB712" s="10" t="str">
        <x:f>IF(COUNT(AA712,Z712)=2,AA712-Z712,"")</x:f>
      </x:c>
      <x:c r="AC712" s="10" t="n">
        <x:v>75</x:v>
      </x:c>
      <x:c r="AD712" s="10"/>
      <x:c r="AE712" s="10" t="str">
        <x:f>IF(COUNT(AD712,AC712)=2,AD712-AC712,"")</x:f>
      </x:c>
      <x:c r="AF712" s="10" t="n">
        <x:v>76</x:v>
      </x:c>
      <x:c r="AG712" s="10"/>
      <x:c r="AH712" s="10" t="str">
        <x:f>IF(COUNT(AG712,AF712)=2,AG712-AF712,"")</x:f>
      </x:c>
      <x:c r="AI712" s="10" t="n">
        <x:v>82</x:v>
      </x:c>
      <x:c r="AJ712" s="10"/>
      <x:c r="AK712" s="10" t="str">
        <x:f>IF(COUNT(AJ712,AI712)=2,AJ712-AI712,"")</x:f>
      </x:c>
      <x:c r="AL712" s="10" t="n">
        <x:v>24</x:v>
      </x:c>
      <x:c r="AM712" s="10"/>
      <x:c r="AN712" s="4" t="str">
        <x:v>D</x:v>
      </x:c>
      <x:c r="AO712" s="4"/>
      <x:c r="AP712" s="4" t="str">
        <x:v>NSH</x:v>
      </x:c>
      <x:c r="AQ712" s="4"/>
      <x:c r="AR712" s="4" t="n">
        <x:v>17.58</x:v>
      </x:c>
      <x:c r="AS712" s="4"/>
      <x:c r="AT712" s="4" t="n">
        <x:v>0.37</x:v>
      </x:c>
      <x:c r="AU712" s="4"/>
      <x:c r="AV712" s="10"/>
      <x:c r="AW712" s="10"/>
      <x:c r="AX712" s="10"/>
      <x:c r="AY712" s="10"/>
      <x:c r="AZ712" s="10" t="n">
        <x:v>682</x:v>
      </x:c>
      <x:c r="BA712" s="10" t="n">
        <x:v>653</x:v>
      </x:c>
      <x:c r="BB712" s="4" t="n">
        <x:v>51.1</x:v>
      </x:c>
      <x:c r="BC712" s="4" t="n">
        <x:v>1.5</x:v>
      </x:c>
      <x:c r="BD712" s="10" t="n">
        <x:v>479</x:v>
      </x:c>
      <x:c r="BE712" s="10" t="n">
        <x:v>476</x:v>
      </x:c>
      <x:c r="BF712" s="4" t="n">
        <x:v>50.2</x:v>
      </x:c>
      <x:c r="BG712" s="4" t="n">
        <x:v>3.2</x:v>
      </x:c>
      <x:c r="BH712" s="4" t="n">
        <x:v>9.5</x:v>
      </x:c>
      <x:c r="BI712" s="4" t="n">
        <x:v>90.4</x:v>
      </x:c>
      <x:c r="BJ712" s="4" t="n">
        <x:v>99.9</x:v>
      </x:c>
      <x:c r="BK712" s="4" t="n">
        <x:v>46.4</x:v>
      </x:c>
      <x:c r="BL712" s="4" t="n">
        <x:v>53.6</x:v>
      </x:c>
      <x:c r="BM712" s="4" t="n">
        <x:v>14.25</x:v>
      </x:c>
      <x:c r="BN712" s="4" t="n">
        <x:v>13.616666666666667</x:v>
      </x:c>
      <x:c r="BO712" s="10" t="n">
        <x:v>4</x:v>
      </x:c>
      <x:c r="BP712" s="10" t="n">
        <x:v>52</x:v>
      </x:c>
      <x:c r="BQ712" s="4" t="n">
        <x:v>-2.3</x:v>
      </x:c>
      <x:c r="BR712" s="10" t="n">
        <x:v>90</x:v>
      </x:c>
      <x:c r="BS712" s="4" t="n">
        <x:v>34.4</x:v>
      </x:c>
      <x:c r="BT712" s="10" t="n">
        <x:v>52</x:v>
      </x:c>
      <x:c r="BU712" s="4" t="str">
        <x:v>NSH</x:v>
      </x:c>
      <x:c r="BV712" s="10" t="n">
        <x:v>539</x:v>
      </x:c>
      <x:c r="BW712" s="10"/>
      <x:c r="BX712" s="10" t="n">
        <x:v>32</x:v>
      </x:c>
      <x:c r="BY712" s="4" t="str">
        <x:v>Justin Barron</x:v>
      </x:c>
      <x:c r="BZ712" s="4"/>
      <x:c r="CA712" s="4" t="str">
        <x:v>Justin Barron</x:v>
      </x:c>
      <x:c r="CB712" s="4" t="str">
        <x:v>barroju01</x:v>
      </x:c>
    </x:row>
    <x:row r="713" ht="22" customHeight="1">
      <x:c r="A713" s="4" t="str">
        <x:v>Justin Danforth</x:v>
      </x:c>
      <x:c r="B713" s="4" t="str">
        <x:v>justindanforth</x:v>
      </x:c>
      <x:c r="C713" s="10" t="n">
        <x:v>1</x:v>
      </x:c>
      <x:c r="D713" s="10" t="n">
        <x:v>0</x:v>
      </x:c>
      <x:c r="E713" s="10" t="n">
        <x:v>1</x:v>
      </x:c>
      <x:c r="F713" s="4" t="n">
        <x:f>IF(COUNT(N713,Q713,T713,W713,Z713,AC713,AF713,AI713)=8,N713*Guide!$E$5+Q713*Guide!$E$6+T713*Guide!$E$7+W713*Guide!$E$8+Z713*Guide!$E$9+AC713*Guide!$E$10+AF713*Guide!$E$11+AI713*Guide!$E$12,"")</x:f>
        <x:v>192.75</x:v>
      </x:c>
      <x:c r="G713" s="4" t="str">
        <x:f>IF(COUNT(O713,R713,U713,X713,AA713,AD713,AG713,AJ713)=8,O713*Guide!$E$5+R713*Guide!$E$6+U713*Guide!$E$7+X713*Guide!$E$8+AA713*Guide!$E$9+AD713*Guide!$E$10+AG713*Guide!$E$11+AJ713*Guide!$E$12,"")</x:f>
      </x:c>
      <x:c r="H713" s="4" t="str">
        <x:f>IF(COUNT(G713,F713)=2,G713-F713,"")</x:f>
      </x:c>
      <x:c r="I713" s="4" t="n">
        <x:f>IF(AND(ISNUMBER(F713),K713&gt;0),F713/K713,"")</x:f>
        <x:v>2.5032467532467533</x:v>
      </x:c>
      <x:c r="J713" s="4" t="str">
        <x:f>IF(AND(ISNUMBER(G713),L713&gt;0),G713/L713,"")</x:f>
      </x:c>
      <x:c r="K713" s="10" t="n">
        <x:v>77</x:v>
      </x:c>
      <x:c r="L713" s="10"/>
      <x:c r="M713" s="10" t="str">
        <x:f>IF(COUNT(L713,K713)=2,L713-K713,"")</x:f>
      </x:c>
      <x:c r="N713" s="10" t="n">
        <x:v>12</x:v>
      </x:c>
      <x:c r="O713" s="10"/>
      <x:c r="P713" s="10" t="str">
        <x:f>IF(COUNT(O713,N713)=2,O713-N713,"")</x:f>
      </x:c>
      <x:c r="Q713" s="10" t="n">
        <x:v>14</x:v>
      </x:c>
      <x:c r="R713" s="10"/>
      <x:c r="S713" s="10" t="str">
        <x:f>IF(COUNT(R713,Q713)=2,R713-Q713,"")</x:f>
      </x:c>
      <x:c r="T713" s="10" t="n">
        <x:v>-4</x:v>
      </x:c>
      <x:c r="U713" s="10"/>
      <x:c r="V713" s="10" t="str">
        <x:f>IF(COUNT(U713,T713)=2,U713-T713,"")</x:f>
      </x:c>
      <x:c r="W713" s="10" t="n">
        <x:v>2</x:v>
      </x:c>
      <x:c r="X713" s="10" t="str">
        <x:f>IF(COUNT(AV713,AW713)=2,AV713+AW713,"")</x:f>
      </x:c>
      <x:c r="Y713" s="10" t="str">
        <x:f>IF(COUNT(X713,W713)=2,X713-W713,"")</x:f>
      </x:c>
      <x:c r="Z713" s="10" t="n">
        <x:v>1</x:v>
      </x:c>
      <x:c r="AA713" s="10" t="str">
        <x:f>IF(COUNT(AX713,AY713)=2,AX713+AY713,"")</x:f>
      </x:c>
      <x:c r="AB713" s="10" t="str">
        <x:f>IF(COUNT(AA713,Z713)=2,AA713-Z713,"")</x:f>
      </x:c>
      <x:c r="AC713" s="10" t="n">
        <x:v>99</x:v>
      </x:c>
      <x:c r="AD713" s="10"/>
      <x:c r="AE713" s="10" t="str">
        <x:f>IF(COUNT(AD713,AC713)=2,AD713-AC713,"")</x:f>
      </x:c>
      <x:c r="AF713" s="10" t="n">
        <x:v>143</x:v>
      </x:c>
      <x:c r="AG713" s="10"/>
      <x:c r="AH713" s="10" t="str">
        <x:f>IF(COUNT(AG713,AF713)=2,AG713-AF713,"")</x:f>
      </x:c>
      <x:c r="AI713" s="10" t="n">
        <x:v>55</x:v>
      </x:c>
      <x:c r="AJ713" s="10"/>
      <x:c r="AK713" s="10" t="str">
        <x:f>IF(COUNT(AJ713,AI713)=2,AJ713-AI713,"")</x:f>
      </x:c>
      <x:c r="AL713" s="10" t="n">
        <x:v>32</x:v>
      </x:c>
      <x:c r="AM713" s="10"/>
      <x:c r="AN713" s="4" t="str">
        <x:v>RW</x:v>
      </x:c>
      <x:c r="AO713" s="4"/>
      <x:c r="AP713" s="4" t="str">
        <x:v>BUF</x:v>
      </x:c>
      <x:c r="AQ713" s="4"/>
      <x:c r="AR713" s="4" t="n">
        <x:v>13.96</x:v>
      </x:c>
      <x:c r="AS713" s="4"/>
      <x:c r="AT713" s="4" t="n">
        <x:v>0.32</x:v>
      </x:c>
      <x:c r="AU713" s="4"/>
      <x:c r="AV713" s="10"/>
      <x:c r="AW713" s="10"/>
      <x:c r="AX713" s="10"/>
      <x:c r="AY713" s="10"/>
      <x:c r="AZ713" s="10" t="n">
        <x:v>27</x:v>
      </x:c>
      <x:c r="BA713" s="10" t="n">
        <x:v>38</x:v>
      </x:c>
      <x:c r="BB713" s="4" t="n">
        <x:v>41.5</x:v>
      </x:c>
      <x:c r="BC713" s="4" t="n">
        <x:v>-9.1</x:v>
      </x:c>
      <x:c r="BD713" s="10" t="n">
        <x:v>15</x:v>
      </x:c>
      <x:c r="BE713" s="10" t="n">
        <x:v>26</x:v>
      </x:c>
      <x:c r="BF713" s="4" t="n">
        <x:v>36.6</x:v>
      </x:c>
      <x:c r="BG713" s="4" t="n">
        <x:v>-12.3</x:v>
      </x:c>
      <x:c r="BH713" s="4" t="n">
        <x:v>0</x:v>
      </x:c>
      <x:c r="BI713" s="4" t="n">
        <x:v>88.9</x:v>
      </x:c>
      <x:c r="BJ713" s="4" t="n">
        <x:v>88.9</x:v>
      </x:c>
      <x:c r="BK713" s="4" t="n">
        <x:v>55.6</x:v>
      </x:c>
      <x:c r="BL713" s="4" t="n">
        <x:v>44.4</x:v>
      </x:c>
      <x:c r="BM713" s="4" t="n">
        <x:v>11.7</x:v>
      </x:c>
      <x:c r="BN713" s="4" t="n">
        <x:v>8.966666666666667</x:v>
      </x:c>
      <x:c r="BO713" s="10" t="n">
        <x:v>0</x:v>
      </x:c>
      <x:c r="BP713" s="10" t="n">
        <x:v>3</x:v>
      </x:c>
      <x:c r="BQ713" s="4" t="n">
        <x:v>-1.4</x:v>
      </x:c>
      <x:c r="BR713" s="10" t="n">
        <x:v>6</x:v>
      </x:c>
      <x:c r="BS713" s="4" t="n">
        <x:v>33.3</x:v>
      </x:c>
      <x:c r="BT713" s="10" t="n">
        <x:v>4</x:v>
      </x:c>
      <x:c r="BU713" s="4" t="str">
        <x:v>BUF</x:v>
      </x:c>
      <x:c r="BV713" s="10" t="n">
        <x:v>422</x:v>
      </x:c>
      <x:c r="BW713" s="10"/>
      <x:c r="BX713" s="10" t="n">
        <x:v>198</x:v>
      </x:c>
      <x:c r="BY713" s="4" t="str">
        <x:v>Justin Danforth</x:v>
      </x:c>
      <x:c r="BZ713" s="4"/>
      <x:c r="CA713" s="4" t="str">
        <x:v>Justin Danforth</x:v>
      </x:c>
      <x:c r="CB713" s="4" t="str">
        <x:v>danfoju01</x:v>
      </x:c>
    </x:row>
    <x:row r="714" ht="22" customHeight="1">
      <x:c r="A714" s="4" t="str">
        <x:v>Justin Dowling</x:v>
      </x:c>
      <x:c r="B714" s="4" t="str">
        <x:v>justindowling</x:v>
      </x:c>
      <x:c r="C714" s="10" t="n">
        <x:v>1</x:v>
      </x:c>
      <x:c r="D714" s="10" t="n">
        <x:v>0</x:v>
      </x:c>
      <x:c r="E714" s="10" t="n">
        <x:v>1</x:v>
      </x:c>
      <x:c r="F714" s="4" t="n">
        <x:f>IF(COUNT(N714,Q714,T714,W714,Z714,AC714,AF714,AI714)=8,N714*Guide!$E$5+Q714*Guide!$E$6+T714*Guide!$E$7+W714*Guide!$E$8+Z714*Guide!$E$9+AC714*Guide!$E$10+AF714*Guide!$E$11+AI714*Guide!$E$12,"")</x:f>
        <x:v>81.75</x:v>
      </x:c>
      <x:c r="G714" s="4" t="str">
        <x:f>IF(COUNT(O714,R714,U714,X714,AA714,AD714,AG714,AJ714)=8,O714*Guide!$E$5+R714*Guide!$E$6+U714*Guide!$E$7+X714*Guide!$E$8+AA714*Guide!$E$9+AD714*Guide!$E$10+AG714*Guide!$E$11+AJ714*Guide!$E$12,"")</x:f>
      </x:c>
      <x:c r="H714" s="4" t="str">
        <x:f>IF(COUNT(G714,F714)=2,G714-F714,"")</x:f>
      </x:c>
      <x:c r="I714" s="4" t="n">
        <x:f>IF(AND(ISNUMBER(F714),K714&gt;0),F714/K714,"")</x:f>
        <x:v>1.3401639344262295</x:v>
      </x:c>
      <x:c r="J714" s="4" t="str">
        <x:f>IF(AND(ISNUMBER(G714),L714&gt;0),G714/L714,"")</x:f>
      </x:c>
      <x:c r="K714" s="10" t="n">
        <x:v>61</x:v>
      </x:c>
      <x:c r="L714" s="10"/>
      <x:c r="M714" s="10" t="str">
        <x:f>IF(COUNT(L714,K714)=2,L714-K714,"")</x:f>
      </x:c>
      <x:c r="N714" s="10" t="n">
        <x:v>4</x:v>
      </x:c>
      <x:c r="O714" s="10"/>
      <x:c r="P714" s="10" t="str">
        <x:f>IF(COUNT(O714,N714)=2,O714-N714,"")</x:f>
      </x:c>
      <x:c r="Q714" s="10" t="n">
        <x:v>8</x:v>
      </x:c>
      <x:c r="R714" s="10"/>
      <x:c r="S714" s="10" t="str">
        <x:f>IF(COUNT(R714,Q714)=2,R714-Q714,"")</x:f>
      </x:c>
      <x:c r="T714" s="10" t="n">
        <x:v>-2</x:v>
      </x:c>
      <x:c r="U714" s="10"/>
      <x:c r="V714" s="10" t="str">
        <x:f>IF(COUNT(U714,T714)=2,U714-T714,"")</x:f>
      </x:c>
      <x:c r="W714" s="10" t="n">
        <x:v>0</x:v>
      </x:c>
      <x:c r="X714" s="10" t="str">
        <x:f>IF(COUNT(AV714,AW714)=2,AV714+AW714,"")</x:f>
      </x:c>
      <x:c r="Y714" s="10" t="str">
        <x:f>IF(COUNT(X714,W714)=2,X714-W714,"")</x:f>
      </x:c>
      <x:c r="Z714" s="10" t="n">
        <x:v>0</x:v>
      </x:c>
      <x:c r="AA714" s="10" t="str">
        <x:f>IF(COUNT(AX714,AY714)=2,AX714+AY714,"")</x:f>
      </x:c>
      <x:c r="AB714" s="10" t="str">
        <x:f>IF(COUNT(AA714,Z714)=2,AA714-Z714,"")</x:f>
      </x:c>
      <x:c r="AC714" s="10" t="n">
        <x:v>44</x:v>
      </x:c>
      <x:c r="AD714" s="10"/>
      <x:c r="AE714" s="10" t="str">
        <x:f>IF(COUNT(AD714,AC714)=2,AD714-AC714,"")</x:f>
      </x:c>
      <x:c r="AF714" s="10" t="n">
        <x:v>56</x:v>
      </x:c>
      <x:c r="AG714" s="10"/>
      <x:c r="AH714" s="10" t="str">
        <x:f>IF(COUNT(AG714,AF714)=2,AG714-AF714,"")</x:f>
      </x:c>
      <x:c r="AI714" s="10" t="n">
        <x:v>25</x:v>
      </x:c>
      <x:c r="AJ714" s="10"/>
      <x:c r="AK714" s="10" t="str">
        <x:f>IF(COUNT(AJ714,AI714)=2,AJ714-AI714,"")</x:f>
      </x:c>
      <x:c r="AL714" s="10" t="n">
        <x:v>35</x:v>
      </x:c>
      <x:c r="AM714" s="10"/>
      <x:c r="AN714" s="4" t="str">
        <x:v>C</x:v>
      </x:c>
      <x:c r="AO714" s="4"/>
      <x:c r="AP714" s="4" t="str">
        <x:v>NYR</x:v>
      </x:c>
      <x:c r="AQ714" s="4"/>
      <x:c r="AR714" s="4" t="n">
        <x:v>9.86</x:v>
      </x:c>
      <x:c r="AS714" s="4"/>
      <x:c r="AT714" s="4" t="n">
        <x:v>0</x:v>
      </x:c>
      <x:c r="AU714" s="4"/>
      <x:c r="AV714" s="10"/>
      <x:c r="AW714" s="10"/>
      <x:c r="AX714" s="10"/>
      <x:c r="AY714" s="10"/>
      <x:c r="AZ714" s="10" t="n">
        <x:v>9</x:v>
      </x:c>
      <x:c r="BA714" s="10" t="n">
        <x:v>18</x:v>
      </x:c>
      <x:c r="BB714" s="4" t="n">
        <x:v>33.3</x:v>
      </x:c>
      <x:c r="BC714" s="4" t="n">
        <x:v>-4.5</x:v>
      </x:c>
      <x:c r="BD714" s="10" t="n">
        <x:v>7</x:v>
      </x:c>
      <x:c r="BE714" s="10" t="n">
        <x:v>13</x:v>
      </x:c>
      <x:c r="BF714" s="4" t="n">
        <x:v>35</x:v>
      </x:c>
      <x:c r="BG714" s="4" t="n">
        <x:v>-5.2</x:v>
      </x:c>
      <x:c r="BH714" s="4" t="n">
        <x:v>0</x:v>
      </x:c>
      <x:c r="BI714" s="4" t="n">
        <x:v>88.9</x:v>
      </x:c>
      <x:c r="BJ714" s="4" t="n">
        <x:v>88.9</x:v>
      </x:c>
      <x:c r="BK714" s="4" t="n">
        <x:v>0</x:v>
      </x:c>
      <x:c r="BL714" s="4" t="n">
        <x:v>100</x:v>
      </x:c>
      <x:c r="BM714" s="4" t="n">
        <x:v>7.2</x:v>
      </x:c>
      <x:c r="BN714" s="4" t="n">
        <x:v>7.2</x:v>
      </x:c>
      <x:c r="BO714" s="10" t="n">
        <x:v>0</x:v>
      </x:c>
      <x:c r="BP714" s="10" t="n">
        <x:v>0</x:v>
      </x:c>
      <x:c r="BQ714" s="4" t="n">
        <x:v>0</x:v>
      </x:c>
      <x:c r="BR714" s="10" t="n">
        <x:v>3</x:v>
      </x:c>
      <x:c r="BS714" s="4" t="n">
        <x:v>33.3</x:v>
      </x:c>
      <x:c r="BT714" s="10" t="n">
        <x:v>2</x:v>
      </x:c>
      <x:c r="BU714" s="4" t="str">
        <x:v>NYR</x:v>
      </x:c>
      <x:c r="BV714" s="10" t="n">
        <x:v>700</x:v>
      </x:c>
      <x:c r="BW714" s="10"/>
      <x:c r="BX714" s="10" t="n">
        <x:v>234</x:v>
      </x:c>
      <x:c r="BY714" s="4" t="str">
        <x:v>Justin Dowling</x:v>
      </x:c>
      <x:c r="BZ714" s="4"/>
      <x:c r="CA714" s="4" t="str">
        <x:v>Justin Dowling</x:v>
      </x:c>
      <x:c r="CB714" s="4" t="str">
        <x:v>dowliju01</x:v>
      </x:c>
    </x:row>
    <x:row r="715" ht="22" customHeight="1">
      <x:c r="A715" s="4" t="str">
        <x:v>Justin Holl</x:v>
      </x:c>
      <x:c r="B715" s="4" t="str">
        <x:v>justinholl</x:v>
      </x:c>
      <x:c r="C715" s="10" t="n">
        <x:v>1</x:v>
      </x:c>
      <x:c r="D715" s="10" t="n">
        <x:v>0</x:v>
      </x:c>
      <x:c r="E715" s="10" t="n">
        <x:v>1</x:v>
      </x:c>
      <x:c r="F715" s="4" t="n">
        <x:f>IF(COUNT(N715,Q715,T715,W715,Z715,AC715,AF715,AI715)=8,N715*Guide!$E$5+Q715*Guide!$E$6+T715*Guide!$E$7+W715*Guide!$E$8+Z715*Guide!$E$9+AC715*Guide!$E$10+AF715*Guide!$E$11+AI715*Guide!$E$12,"")</x:f>
        <x:v>87.5</x:v>
      </x:c>
      <x:c r="G715" s="4" t="str">
        <x:f>IF(COUNT(O715,R715,U715,X715,AA715,AD715,AG715,AJ715)=8,O715*Guide!$E$5+R715*Guide!$E$6+U715*Guide!$E$7+X715*Guide!$E$8+AA715*Guide!$E$9+AD715*Guide!$E$10+AG715*Guide!$E$11+AJ715*Guide!$E$12,"")</x:f>
      </x:c>
      <x:c r="H715" s="4" t="str">
        <x:f>IF(COUNT(G715,F715)=2,G715-F715,"")</x:f>
      </x:c>
      <x:c r="I715" s="4" t="n">
        <x:f>IF(AND(ISNUMBER(F715),K715&gt;0),F715/K715,"")</x:f>
        <x:v>1.5909090909090908</x:v>
      </x:c>
      <x:c r="J715" s="4" t="str">
        <x:f>IF(AND(ISNUMBER(G715),L715&gt;0),G715/L715,"")</x:f>
      </x:c>
      <x:c r="K715" s="10" t="n">
        <x:v>55</x:v>
      </x:c>
      <x:c r="L715" s="10"/>
      <x:c r="M715" s="10" t="str">
        <x:f>IF(COUNT(L715,K715)=2,L715-K715,"")</x:f>
      </x:c>
      <x:c r="N715" s="10" t="n">
        <x:v>1</x:v>
      </x:c>
      <x:c r="O715" s="10"/>
      <x:c r="P715" s="10" t="str">
        <x:f>IF(COUNT(O715,N715)=2,O715-N715,"")</x:f>
      </x:c>
      <x:c r="Q715" s="10" t="n">
        <x:v>7</x:v>
      </x:c>
      <x:c r="R715" s="10"/>
      <x:c r="S715" s="10" t="str">
        <x:f>IF(COUNT(R715,Q715)=2,R715-Q715,"")</x:f>
      </x:c>
      <x:c r="T715" s="10" t="n">
        <x:v>2</x:v>
      </x:c>
      <x:c r="U715" s="10"/>
      <x:c r="V715" s="10" t="str">
        <x:f>IF(COUNT(U715,T715)=2,U715-T715,"")</x:f>
      </x:c>
      <x:c r="W715" s="10" t="n">
        <x:v>0</x:v>
      </x:c>
      <x:c r="X715" s="10" t="str">
        <x:f>IF(COUNT(AV715,AW715)=2,AV715+AW715,"")</x:f>
      </x:c>
      <x:c r="Y715" s="10" t="str">
        <x:f>IF(COUNT(X715,W715)=2,X715-W715,"")</x:f>
      </x:c>
      <x:c r="Z715" s="10" t="n">
        <x:v>0</x:v>
      </x:c>
      <x:c r="AA715" s="10" t="str">
        <x:f>IF(COUNT(AX715,AY715)=2,AX715+AY715,"")</x:f>
      </x:c>
      <x:c r="AB715" s="10" t="str">
        <x:f>IF(COUNT(AA715,Z715)=2,AA715-Z715,"")</x:f>
      </x:c>
      <x:c r="AC715" s="10" t="n">
        <x:v>29</x:v>
      </x:c>
      <x:c r="AD715" s="10"/>
      <x:c r="AE715" s="10" t="str">
        <x:f>IF(COUNT(AD715,AC715)=2,AD715-AC715,"")</x:f>
      </x:c>
      <x:c r="AF715" s="10" t="n">
        <x:v>36</x:v>
      </x:c>
      <x:c r="AG715" s="10"/>
      <x:c r="AH715" s="10" t="str">
        <x:f>IF(COUNT(AG715,AF715)=2,AG715-AF715,"")</x:f>
      </x:c>
      <x:c r="AI715" s="10" t="n">
        <x:v>59</x:v>
      </x:c>
      <x:c r="AJ715" s="10"/>
      <x:c r="AK715" s="10" t="str">
        <x:f>IF(COUNT(AJ715,AI715)=2,AJ715-AI715,"")</x:f>
      </x:c>
      <x:c r="AL715" s="10" t="n">
        <x:v>34</x:v>
      </x:c>
      <x:c r="AM715" s="10"/>
      <x:c r="AN715" s="4" t="str">
        <x:v>D</x:v>
      </x:c>
      <x:c r="AO715" s="4"/>
      <x:c r="AP715" s="4" t="str">
        <x:v>DET</x:v>
      </x:c>
      <x:c r="AQ715" s="4"/>
      <x:c r="AR715" s="4" t="n">
        <x:v>15</x:v>
      </x:c>
      <x:c r="AS715" s="4"/>
      <x:c r="AT715" s="4" t="n">
        <x:v>0.03</x:v>
      </x:c>
      <x:c r="AU715" s="4"/>
      <x:c r="AV715" s="10"/>
      <x:c r="AW715" s="10"/>
      <x:c r="AX715" s="10"/>
      <x:c r="AY715" s="10"/>
      <x:c r="AZ715" s="10" t="n">
        <x:v>123</x:v>
      </x:c>
      <x:c r="BA715" s="10" t="n">
        <x:v>114</x:v>
      </x:c>
      <x:c r="BB715" s="4" t="n">
        <x:v>51.9</x:v>
      </x:c>
      <x:c r="BC715" s="4" t="n">
        <x:v>-5.2</x:v>
      </x:c>
      <x:c r="BD715" s="10" t="n">
        <x:v>82</x:v>
      </x:c>
      <x:c r="BE715" s="10" t="n">
        <x:v>87</x:v>
      </x:c>
      <x:c r="BF715" s="4" t="n">
        <x:v>48.5</x:v>
      </x:c>
      <x:c r="BG715" s="4" t="n">
        <x:v>-9.4</x:v>
      </x:c>
      <x:c r="BH715" s="4" t="n">
        <x:v>14</x:v>
      </x:c>
      <x:c r="BI715" s="4" t="n">
        <x:v>94.4</x:v>
      </x:c>
      <x:c r="BJ715" s="4" t="n">
        <x:v>108.5</x:v>
      </x:c>
      <x:c r="BK715" s="4" t="n">
        <x:v>49.2</x:v>
      </x:c>
      <x:c r="BL715" s="4" t="n">
        <x:v>50.8</x:v>
      </x:c>
      <x:c r="BM715" s="4" t="n">
        <x:v>15.666666666666666</x:v>
      </x:c>
      <x:c r="BN715" s="4" t="n">
        <x:v>15.133333333333333</x:v>
      </x:c>
      <x:c r="BO715" s="10" t="n">
        <x:v>4</x:v>
      </x:c>
      <x:c r="BP715" s="10" t="n">
        <x:v>3</x:v>
      </x:c>
      <x:c r="BQ715" s="4" t="n">
        <x:v>2.2</x:v>
      </x:c>
      <x:c r="BR715" s="10" t="n">
        <x:v>16</x:v>
      </x:c>
      <x:c r="BS715" s="4" t="n">
        <x:v>43.8</x:v>
      </x:c>
      <x:c r="BT715" s="10" t="n">
        <x:v>9</x:v>
      </x:c>
      <x:c r="BU715" s="4" t="str">
        <x:v>STL</x:v>
      </x:c>
      <x:c r="BV715" s="10" t="n">
        <x:v>748</x:v>
      </x:c>
      <x:c r="BW715" s="10"/>
      <x:c r="BX715" s="10" t="n">
        <x:v>420</x:v>
      </x:c>
      <x:c r="BY715" s="4" t="str">
        <x:v>Justin Holl</x:v>
      </x:c>
      <x:c r="BZ715" s="4"/>
      <x:c r="CA715" s="4" t="str">
        <x:v>Justin Holl</x:v>
      </x:c>
      <x:c r="CB715" s="4" t="str">
        <x:v>hollju01</x:v>
      </x:c>
    </x:row>
    <x:row r="716" ht="22" customHeight="1">
      <x:c r="A716" s="4" t="str">
        <x:v>Justin Hryckowian</x:v>
      </x:c>
      <x:c r="B716" s="4" t="str">
        <x:v>justinhryckowian</x:v>
      </x:c>
      <x:c r="C716" s="10" t="n">
        <x:v>0</x:v>
      </x:c>
      <x:c r="D716" s="10" t="n">
        <x:v>1</x:v>
      </x:c>
      <x:c r="E716" s="10" t="n">
        <x:v>1</x:v>
      </x:c>
      <x:c r="F716" s="4" t="str">
        <x:f>IF(COUNT(N716,Q716,T716,W716,Z716,AC716,AF716,AI716)=8,N716*Guide!$E$5+Q716*Guide!$E$6+T716*Guide!$E$7+W716*Guide!$E$8+Z716*Guide!$E$9+AC716*Guide!$E$10+AF716*Guide!$E$11+AI716*Guide!$E$12,"")</x:f>
      </x:c>
      <x:c r="G716" s="4" t="n">
        <x:f>IF(COUNT(O716,R716,U716,X716,AA716,AD716,AG716,AJ716)=8,O716*Guide!$E$5+R716*Guide!$E$6+U716*Guide!$E$7+X716*Guide!$E$8+AA716*Guide!$E$9+AD716*Guide!$E$10+AG716*Guide!$E$11+AJ716*Guide!$E$12,"")</x:f>
        <x:v>193.5</x:v>
      </x:c>
      <x:c r="H716" s="4" t="str">
        <x:f>IF(COUNT(G716,F716)=2,G716-F716,"")</x:f>
      </x:c>
      <x:c r="I716" s="4" t="str">
        <x:f>IF(AND(ISNUMBER(F716),K716&gt;0),F716/K716,"")</x:f>
      </x:c>
      <x:c r="J716" s="4" t="n">
        <x:f>IF(AND(ISNUMBER(G716),L716&gt;0),G716/L716,"")</x:f>
        <x:v>2.388888888888889</x:v>
      </x:c>
      <x:c r="K716" s="10"/>
      <x:c r="L716" s="10" t="n">
        <x:v>81</x:v>
      </x:c>
      <x:c r="M716" s="10" t="str">
        <x:f>IF(COUNT(L716,K716)=2,L716-K716,"")</x:f>
      </x:c>
      <x:c r="N716" s="10"/>
      <x:c r="O716" s="10" t="n">
        <x:v>14</x:v>
      </x:c>
      <x:c r="P716" s="10" t="str">
        <x:f>IF(COUNT(O716,N716)=2,O716-N716,"")</x:f>
      </x:c>
      <x:c r="Q716" s="10"/>
      <x:c r="R716" s="10" t="n">
        <x:v>16</x:v>
      </x:c>
      <x:c r="S716" s="10" t="str">
        <x:f>IF(COUNT(R716,Q716)=2,R716-Q716,"")</x:f>
      </x:c>
      <x:c r="T716" s="10"/>
      <x:c r="U716" s="10" t="n">
        <x:v>1</x:v>
      </x:c>
      <x:c r="V716" s="10" t="str">
        <x:f>IF(COUNT(U716,T716)=2,U716-T716,"")</x:f>
      </x:c>
      <x:c r="W716" s="10"/>
      <x:c r="X716" s="10" t="n">
        <x:f>IF(COUNT(AV716,AW716)=2,AV716+AW716,"")</x:f>
        <x:v>5</x:v>
      </x:c>
      <x:c r="Y716" s="10" t="str">
        <x:f>IF(COUNT(X716,W716)=2,X716-W716,"")</x:f>
      </x:c>
      <x:c r="Z716" s="10"/>
      <x:c r="AA716" s="10" t="n">
        <x:f>IF(COUNT(AX716,AY716)=2,AX716+AY716,"")</x:f>
        <x:v>0</x:v>
      </x:c>
      <x:c r="AB716" s="10" t="str">
        <x:f>IF(COUNT(AA716,Z716)=2,AA716-Z716,"")</x:f>
      </x:c>
      <x:c r="AC716" s="10"/>
      <x:c r="AD716" s="10" t="n">
        <x:v>83</x:v>
      </x:c>
      <x:c r="AE716" s="10" t="str">
        <x:f>IF(COUNT(AD716,AC716)=2,AD716-AC716,"")</x:f>
      </x:c>
      <x:c r="AF716" s="10"/>
      <x:c r="AG716" s="10" t="n">
        <x:v>119</x:v>
      </x:c>
      <x:c r="AH716" s="10" t="str">
        <x:f>IF(COUNT(AG716,AF716)=2,AG716-AF716,"")</x:f>
      </x:c>
      <x:c r="AI716" s="10"/>
      <x:c r="AJ716" s="10" t="n">
        <x:v>44</x:v>
      </x:c>
      <x:c r="AK716" s="10" t="str">
        <x:f>IF(COUNT(AJ716,AI716)=2,AJ716-AI716,"")</x:f>
      </x:c>
      <x:c r="AL716" s="10"/>
      <x:c r="AM716" s="10" t="n">
        <x:v>24</x:v>
      </x:c>
      <x:c r="AN716" s="4"/>
      <x:c r="AO716" s="4" t="str">
        <x:v>F</x:v>
      </x:c>
      <x:c r="AP716" s="4"/>
      <x:c r="AQ716" s="4" t="str">
        <x:v>DAL</x:v>
      </x:c>
      <x:c r="AR716" s="4"/>
      <x:c r="AS716" s="4" t="n">
        <x:v>13.3</x:v>
      </x:c>
      <x:c r="AT716" s="4"/>
      <x:c r="AU716" s="4" t="n">
        <x:v>16.9</x:v>
      </x:c>
      <x:c r="AV716" s="10" t="n">
        <x:v>2</x:v>
      </x:c>
      <x:c r="AW716" s="10" t="n">
        <x:v>3</x:v>
      </x:c>
      <x:c r="AX716" s="10" t="n">
        <x:v>0</x:v>
      </x:c>
      <x:c r="AY716" s="10" t="n">
        <x:v>0</x:v>
      </x:c>
      <x:c r="AZ716" s="10" t="n">
        <x:v>720</x:v>
      </x:c>
      <x:c r="BA716" s="10" t="n">
        <x:v>769</x:v>
      </x:c>
      <x:c r="BB716" s="4" t="n">
        <x:v>48.4</x:v>
      </x:c>
      <x:c r="BC716" s="4" t="n">
        <x:v>0.9</x:v>
      </x:c>
      <x:c r="BD716" s="10" t="n">
        <x:v>525</x:v>
      </x:c>
      <x:c r="BE716" s="10" t="n">
        <x:v>537</x:v>
      </x:c>
      <x:c r="BF716" s="4" t="n">
        <x:v>49.4</x:v>
      </x:c>
      <x:c r="BG716" s="4" t="n">
        <x:v>1.6</x:v>
      </x:c>
      <x:c r="BH716" s="4" t="n">
        <x:v>10.4</x:v>
      </x:c>
      <x:c r="BI716" s="4" t="n">
        <x:v>89.2</x:v>
      </x:c>
      <x:c r="BJ716" s="4" t="n">
        <x:v>99.6</x:v>
      </x:c>
      <x:c r="BK716" s="4" t="n">
        <x:v>42</x:v>
      </x:c>
      <x:c r="BL716" s="4" t="n">
        <x:v>58</x:v>
      </x:c>
      <x:c r="BM716" s="4" t="n">
        <x:v>13.3</x:v>
      </x:c>
      <x:c r="BN716" s="4" t="n">
        <x:v>11.383333333333333</x:v>
      </x:c>
      <x:c r="BO716" s="10" t="n">
        <x:v>26</x:v>
      </x:c>
      <x:c r="BP716" s="10" t="n">
        <x:v>25</x:v>
      </x:c>
      <x:c r="BQ716" s="4" t="n">
        <x:v>4.4</x:v>
      </x:c>
      <x:c r="BR716" s="10" t="n">
        <x:v>144</x:v>
      </x:c>
      <x:c r="BS716" s="4" t="n">
        <x:v>57.6</x:v>
      </x:c>
      <x:c r="BT716" s="10" t="n">
        <x:v>81</x:v>
      </x:c>
      <x:c r="BU716" s="4" t="str">
        <x:v>DAL</x:v>
      </x:c>
      <x:c r="BV716" s="10"/>
      <x:c r="BW716" s="10" t="n">
        <x:v>331</x:v>
      </x:c>
      <x:c r="BX716" s="10" t="n">
        <x:v>431</x:v>
      </x:c>
      <x:c r="BY716" s="4"/>
      <x:c r="BZ716" s="4" t="str">
        <x:v>Justin Hryckowian</x:v>
      </x:c>
      <x:c r="CA716" s="4" t="str">
        <x:v>Justin Hryckowian</x:v>
      </x:c>
      <x:c r="CB716" s="4" t="str">
        <x:v>hryckju01</x:v>
      </x:c>
    </x:row>
    <x:row r="717" ht="22" customHeight="1">
      <x:c r="A717" s="4" t="str">
        <x:v>Justin Kirkland</x:v>
      </x:c>
      <x:c r="B717" s="4" t="str">
        <x:v>justinkirkland</x:v>
      </x:c>
      <x:c r="C717" s="10" t="n">
        <x:v>0</x:v>
      </x:c>
      <x:c r="D717" s="10" t="n">
        <x:v>0</x:v>
      </x:c>
      <x:c r="E717" s="10" t="n">
        <x:v>1</x:v>
      </x:c>
      <x:c r="F717" s="4" t="str">
        <x:f>IF(COUNT(N717,Q717,T717,W717,Z717,AC717,AF717,AI717)=8,N717*Guide!$E$5+Q717*Guide!$E$6+T717*Guide!$E$7+W717*Guide!$E$8+Z717*Guide!$E$9+AC717*Guide!$E$10+AF717*Guide!$E$11+AI717*Guide!$E$12,"")</x:f>
      </x:c>
      <x:c r="G717" s="4" t="str">
        <x:f>IF(COUNT(O717,R717,U717,X717,AA717,AD717,AG717,AJ717)=8,O717*Guide!$E$5+R717*Guide!$E$6+U717*Guide!$E$7+X717*Guide!$E$8+AA717*Guide!$E$9+AD717*Guide!$E$10+AG717*Guide!$E$11+AJ717*Guide!$E$12,"")</x:f>
      </x:c>
      <x:c r="H717" s="4" t="str">
        <x:f>IF(COUNT(G717,F717)=2,G717-F717,"")</x:f>
      </x:c>
      <x:c r="I717" s="4" t="str">
        <x:f>IF(AND(ISNUMBER(F717),K717&gt;0),F717/K717,"")</x:f>
      </x:c>
      <x:c r="J717" s="4" t="str">
        <x:f>IF(AND(ISNUMBER(G717),L717&gt;0),G717/L717,"")</x:f>
      </x:c>
      <x:c r="K717" s="10"/>
      <x:c r="L717" s="10"/>
      <x:c r="M717" s="10" t="str">
        <x:f>IF(COUNT(L717,K717)=2,L717-K717,"")</x:f>
      </x:c>
      <x:c r="N717" s="10"/>
      <x:c r="O717" s="10"/>
      <x:c r="P717" s="10" t="str">
        <x:f>IF(COUNT(O717,N717)=2,O717-N717,"")</x:f>
      </x:c>
      <x:c r="Q717" s="10"/>
      <x:c r="R717" s="10"/>
      <x:c r="S717" s="10" t="str">
        <x:f>IF(COUNT(R717,Q717)=2,R717-Q717,"")</x:f>
      </x:c>
      <x:c r="T717" s="10"/>
      <x:c r="U717" s="10"/>
      <x:c r="V717" s="10" t="str">
        <x:f>IF(COUNT(U717,T717)=2,U717-T717,"")</x:f>
      </x:c>
      <x:c r="W717" s="10"/>
      <x:c r="X717" s="10" t="str">
        <x:f>IF(COUNT(AV717,AW717)=2,AV717+AW717,"")</x:f>
      </x:c>
      <x:c r="Y717" s="10" t="str">
        <x:f>IF(COUNT(X717,W717)=2,X717-W717,"")</x:f>
      </x:c>
      <x:c r="Z717" s="10"/>
      <x:c r="AA717" s="10" t="str">
        <x:f>IF(COUNT(AX717,AY717)=2,AX717+AY717,"")</x:f>
      </x:c>
      <x:c r="AB717" s="10" t="str">
        <x:f>IF(COUNT(AA717,Z717)=2,AA717-Z717,"")</x:f>
      </x:c>
      <x:c r="AC717" s="10"/>
      <x:c r="AD717" s="10"/>
      <x:c r="AE717" s="10" t="str">
        <x:f>IF(COUNT(AD717,AC717)=2,AD717-AC717,"")</x:f>
      </x:c>
      <x:c r="AF717" s="10"/>
      <x:c r="AG717" s="10"/>
      <x:c r="AH717" s="10" t="str">
        <x:f>IF(COUNT(AG717,AF717)=2,AG717-AF717,"")</x:f>
      </x:c>
      <x:c r="AI717" s="10"/>
      <x:c r="AJ717" s="10"/>
      <x:c r="AK717" s="10" t="str">
        <x:f>IF(COUNT(AJ717,AI717)=2,AJ717-AI717,"")</x:f>
      </x:c>
      <x:c r="AL717" s="10"/>
      <x:c r="AM717" s="10"/>
      <x:c r="AN717" s="4"/>
      <x:c r="AO717" s="4"/>
      <x:c r="AP717" s="4"/>
      <x:c r="AQ717" s="4"/>
      <x:c r="AR717" s="4"/>
      <x:c r="AS717" s="4"/>
      <x:c r="AT717" s="4"/>
      <x:c r="AU717" s="4"/>
      <x:c r="AV717" s="10"/>
      <x:c r="AW717" s="10"/>
      <x:c r="AX717" s="10"/>
      <x:c r="AY717" s="10"/>
      <x:c r="AZ717" s="10" t="n">
        <x:v>159</x:v>
      </x:c>
      <x:c r="BA717" s="10" t="n">
        <x:v>157</x:v>
      </x:c>
      <x:c r="BB717" s="4" t="n">
        <x:v>50.3</x:v>
      </x:c>
      <x:c r="BC717" s="4" t="n">
        <x:v>-0.7</x:v>
      </x:c>
      <x:c r="BD717" s="10" t="n">
        <x:v>101</x:v>
      </x:c>
      <x:c r="BE717" s="10" t="n">
        <x:v>95</x:v>
      </x:c>
      <x:c r="BF717" s="4" t="n">
        <x:v>51.5</x:v>
      </x:c>
      <x:c r="BG717" s="4" t="n">
        <x:v>2.6</x:v>
      </x:c>
      <x:c r="BH717" s="4" t="n">
        <x:v>9.2</x:v>
      </x:c>
      <x:c r="BI717" s="4" t="n">
        <x:v>91.9</x:v>
      </x:c>
      <x:c r="BJ717" s="4" t="n">
        <x:v>101.2</x:v>
      </x:c>
      <x:c r="BK717" s="4" t="n">
        <x:v>43.9</x:v>
      </x:c>
      <x:c r="BL717" s="4" t="n">
        <x:v>56.1</x:v>
      </x:c>
      <x:c r="BM717" s="4" t="n">
        <x:v>9.816666666666666</x:v>
      </x:c>
      <x:c r="BN717" s="4" t="n">
        <x:v>8.166666666666666</x:v>
      </x:c>
      <x:c r="BO717" s="10" t="n">
        <x:v>3</x:v>
      </x:c>
      <x:c r="BP717" s="10" t="n">
        <x:v>14</x:v>
      </x:c>
      <x:c r="BQ717" s="4" t="n">
        <x:v>-0.3</x:v>
      </x:c>
      <x:c r="BR717" s="10" t="n">
        <x:v>29</x:v>
      </x:c>
      <x:c r="BS717" s="4" t="n">
        <x:v>37.9</x:v>
      </x:c>
      <x:c r="BT717" s="10" t="n">
        <x:v>20</x:v>
      </x:c>
      <x:c r="BU717" s="4" t="str">
        <x:v>CGY</x:v>
      </x:c>
      <x:c r="BV717" s="10"/>
      <x:c r="BW717" s="10"/>
      <x:c r="BX717" s="10" t="n">
        <x:v>521</x:v>
      </x:c>
      <x:c r="BY717" s="4"/>
      <x:c r="BZ717" s="4"/>
      <x:c r="CA717" s="4" t="str">
        <x:v>Justin Kirkland</x:v>
      </x:c>
      <x:c r="CB717" s="4" t="str">
        <x:v>kirklju01</x:v>
      </x:c>
    </x:row>
    <x:row r="718" ht="22" customHeight="1">
      <x:c r="A718" s="4" t="str">
        <x:v>Justin Robidas</x:v>
      </x:c>
      <x:c r="B718" s="4" t="str">
        <x:v>justinrobidas</x:v>
      </x:c>
      <x:c r="C718" s="10" t="n">
        <x:v>0</x:v>
      </x:c>
      <x:c r="D718" s="10" t="n">
        <x:v>0</x:v>
      </x:c>
      <x:c r="E718" s="10" t="n">
        <x:v>1</x:v>
      </x:c>
      <x:c r="F718" s="4" t="str">
        <x:f>IF(COUNT(N718,Q718,T718,W718,Z718,AC718,AF718,AI718)=8,N718*Guide!$E$5+Q718*Guide!$E$6+T718*Guide!$E$7+W718*Guide!$E$8+Z718*Guide!$E$9+AC718*Guide!$E$10+AF718*Guide!$E$11+AI718*Guide!$E$12,"")</x:f>
      </x:c>
      <x:c r="G718" s="4" t="str">
        <x:f>IF(COUNT(O718,R718,U718,X718,AA718,AD718,AG718,AJ718)=8,O718*Guide!$E$5+R718*Guide!$E$6+U718*Guide!$E$7+X718*Guide!$E$8+AA718*Guide!$E$9+AD718*Guide!$E$10+AG718*Guide!$E$11+AJ718*Guide!$E$12,"")</x:f>
      </x:c>
      <x:c r="H718" s="4" t="str">
        <x:f>IF(COUNT(G718,F718)=2,G718-F718,"")</x:f>
      </x:c>
      <x:c r="I718" s="4" t="str">
        <x:f>IF(AND(ISNUMBER(F718),K718&gt;0),F718/K718,"")</x:f>
      </x:c>
      <x:c r="J718" s="4" t="str">
        <x:f>IF(AND(ISNUMBER(G718),L718&gt;0),G718/L718,"")</x:f>
      </x:c>
      <x:c r="K718" s="10"/>
      <x:c r="L718" s="10"/>
      <x:c r="M718" s="10" t="str">
        <x:f>IF(COUNT(L718,K718)=2,L718-K718,"")</x:f>
      </x:c>
      <x:c r="N718" s="10"/>
      <x:c r="O718" s="10"/>
      <x:c r="P718" s="10" t="str">
        <x:f>IF(COUNT(O718,N718)=2,O718-N718,"")</x:f>
      </x:c>
      <x:c r="Q718" s="10"/>
      <x:c r="R718" s="10"/>
      <x:c r="S718" s="10" t="str">
        <x:f>IF(COUNT(R718,Q718)=2,R718-Q718,"")</x:f>
      </x:c>
      <x:c r="T718" s="10"/>
      <x:c r="U718" s="10"/>
      <x:c r="V718" s="10" t="str">
        <x:f>IF(COUNT(U718,T718)=2,U718-T718,"")</x:f>
      </x:c>
      <x:c r="W718" s="10"/>
      <x:c r="X718" s="10" t="str">
        <x:f>IF(COUNT(AV718,AW718)=2,AV718+AW718,"")</x:f>
      </x:c>
      <x:c r="Y718" s="10" t="str">
        <x:f>IF(COUNT(X718,W718)=2,X718-W718,"")</x:f>
      </x:c>
      <x:c r="Z718" s="10"/>
      <x:c r="AA718" s="10" t="str">
        <x:f>IF(COUNT(AX718,AY718)=2,AX718+AY718,"")</x:f>
      </x:c>
      <x:c r="AB718" s="10" t="str">
        <x:f>IF(COUNT(AA718,Z718)=2,AA718-Z718,"")</x:f>
      </x:c>
      <x:c r="AC718" s="10"/>
      <x:c r="AD718" s="10"/>
      <x:c r="AE718" s="10" t="str">
        <x:f>IF(COUNT(AD718,AC718)=2,AD718-AC718,"")</x:f>
      </x:c>
      <x:c r="AF718" s="10"/>
      <x:c r="AG718" s="10"/>
      <x:c r="AH718" s="10" t="str">
        <x:f>IF(COUNT(AG718,AF718)=2,AG718-AF718,"")</x:f>
      </x:c>
      <x:c r="AI718" s="10"/>
      <x:c r="AJ718" s="10"/>
      <x:c r="AK718" s="10" t="str">
        <x:f>IF(COUNT(AJ718,AI718)=2,AJ718-AI718,"")</x:f>
      </x:c>
      <x:c r="AL718" s="10"/>
      <x:c r="AM718" s="10"/>
      <x:c r="AN718" s="4"/>
      <x:c r="AO718" s="4"/>
      <x:c r="AP718" s="4"/>
      <x:c r="AQ718" s="4"/>
      <x:c r="AR718" s="4"/>
      <x:c r="AS718" s="4"/>
      <x:c r="AT718" s="4"/>
      <x:c r="AU718" s="4"/>
      <x:c r="AV718" s="10"/>
      <x:c r="AW718" s="10"/>
      <x:c r="AX718" s="10"/>
      <x:c r="AY718" s="10"/>
      <x:c r="AZ718" s="10" t="n">
        <x:v>23</x:v>
      </x:c>
      <x:c r="BA718" s="10" t="n">
        <x:v>18</x:v>
      </x:c>
      <x:c r="BB718" s="4" t="n">
        <x:v>56.1</x:v>
      </x:c>
      <x:c r="BC718" s="4" t="n">
        <x:v>-2.5</x:v>
      </x:c>
      <x:c r="BD718" s="10" t="n">
        <x:v>15</x:v>
      </x:c>
      <x:c r="BE718" s="10" t="n">
        <x:v>13</x:v>
      </x:c>
      <x:c r="BF718" s="4" t="n">
        <x:v>53.6</x:v>
      </x:c>
      <x:c r="BG718" s="4" t="n">
        <x:v>-8.3</x:v>
      </x:c>
      <x:c r="BH718" s="4" t="n">
        <x:v>10</x:v>
      </x:c>
      <x:c r="BI718" s="4" t="n">
        <x:v>83.3</x:v>
      </x:c>
      <x:c r="BJ718" s="4" t="n">
        <x:v>93.3</x:v>
      </x:c>
      <x:c r="BK718" s="4" t="n">
        <x:v>58.8</x:v>
      </x:c>
      <x:c r="BL718" s="4" t="n">
        <x:v>41.2</x:v>
      </x:c>
      <x:c r="BM718" s="4" t="n">
        <x:v>10.683333333333334</x:v>
      </x:c>
      <x:c r="BN718" s="4" t="n">
        <x:v>10.683333333333334</x:v>
      </x:c>
      <x:c r="BO718" s="10" t="n">
        <x:v>0</x:v>
      </x:c>
      <x:c r="BP718" s="10" t="n">
        <x:v>1</x:v>
      </x:c>
      <x:c r="BQ718" s="4" t="n">
        <x:v>0.1</x:v>
      </x:c>
      <x:c r="BR718" s="10" t="n">
        <x:v>3</x:v>
      </x:c>
      <x:c r="BS718" s="4" t="n">
        <x:v>66.7</x:v>
      </x:c>
      <x:c r="BT718" s="10" t="n">
        <x:v>2</x:v>
      </x:c>
      <x:c r="BU718" s="4" t="str">
        <x:v>CAR</x:v>
      </x:c>
      <x:c r="BV718" s="10"/>
      <x:c r="BW718" s="10"/>
      <x:c r="BX718" s="10" t="n">
        <x:v>868</x:v>
      </x:c>
      <x:c r="BY718" s="4"/>
      <x:c r="BZ718" s="4"/>
      <x:c r="CA718" s="4" t="str">
        <x:v>Justin Robidas</x:v>
      </x:c>
      <x:c r="CB718" s="4" t="str">
        <x:v>robidju01</x:v>
      </x:c>
    </x:row>
    <x:row r="719" ht="22" customHeight="1">
      <x:c r="A719" s="4" t="str">
        <x:v>Juuso Parssinen</x:v>
      </x:c>
      <x:c r="B719" s="4" t="str">
        <x:v>juusoparssinen</x:v>
      </x:c>
      <x:c r="C719" s="10" t="n">
        <x:v>1</x:v>
      </x:c>
      <x:c r="D719" s="10" t="n">
        <x:v>0</x:v>
      </x:c>
      <x:c r="E719" s="10" t="n">
        <x:v>1</x:v>
      </x:c>
      <x:c r="F719" s="4" t="n">
        <x:f>IF(COUNT(N719,Q719,T719,W719,Z719,AC719,AF719,AI719)=8,N719*Guide!$E$5+Q719*Guide!$E$6+T719*Guide!$E$7+W719*Guide!$E$8+Z719*Guide!$E$9+AC719*Guide!$E$10+AF719*Guide!$E$11+AI719*Guide!$E$12,"")</x:f>
        <x:v>160.75</x:v>
      </x:c>
      <x:c r="G719" s="4" t="str">
        <x:f>IF(COUNT(O719,R719,U719,X719,AA719,AD719,AG719,AJ719)=8,O719*Guide!$E$5+R719*Guide!$E$6+U719*Guide!$E$7+X719*Guide!$E$8+AA719*Guide!$E$9+AD719*Guide!$E$10+AG719*Guide!$E$11+AJ719*Guide!$E$12,"")</x:f>
      </x:c>
      <x:c r="H719" s="4" t="str">
        <x:f>IF(COUNT(G719,F719)=2,G719-F719,"")</x:f>
      </x:c>
      <x:c r="I719" s="4" t="n">
        <x:f>IF(AND(ISNUMBER(F719),K719&gt;0),F719/K719,"")</x:f>
        <x:v>2.232638888888889</x:v>
      </x:c>
      <x:c r="J719" s="4" t="str">
        <x:f>IF(AND(ISNUMBER(G719),L719&gt;0),G719/L719,"")</x:f>
      </x:c>
      <x:c r="K719" s="10" t="n">
        <x:v>72</x:v>
      </x:c>
      <x:c r="L719" s="10"/>
      <x:c r="M719" s="10" t="str">
        <x:f>IF(COUNT(L719,K719)=2,L719-K719,"")</x:f>
      </x:c>
      <x:c r="N719" s="10" t="n">
        <x:v>11</x:v>
      </x:c>
      <x:c r="O719" s="10"/>
      <x:c r="P719" s="10" t="str">
        <x:f>IF(COUNT(O719,N719)=2,O719-N719,"")</x:f>
      </x:c>
      <x:c r="Q719" s="10" t="n">
        <x:v>15</x:v>
      </x:c>
      <x:c r="R719" s="10"/>
      <x:c r="S719" s="10" t="str">
        <x:f>IF(COUNT(R719,Q719)=2,R719-Q719,"")</x:f>
      </x:c>
      <x:c r="T719" s="10" t="n">
        <x:v>-6</x:v>
      </x:c>
      <x:c r="U719" s="10"/>
      <x:c r="V719" s="10" t="str">
        <x:f>IF(COUNT(U719,T719)=2,U719-T719,"")</x:f>
      </x:c>
      <x:c r="W719" s="10" t="n">
        <x:v>5</x:v>
      </x:c>
      <x:c r="X719" s="10" t="str">
        <x:f>IF(COUNT(AV719,AW719)=2,AV719+AW719,"")</x:f>
      </x:c>
      <x:c r="Y719" s="10" t="str">
        <x:f>IF(COUNT(X719,W719)=2,X719-W719,"")</x:f>
      </x:c>
      <x:c r="Z719" s="10" t="n">
        <x:v>0</x:v>
      </x:c>
      <x:c r="AA719" s="10" t="str">
        <x:f>IF(COUNT(AX719,AY719)=2,AX719+AY719,"")</x:f>
      </x:c>
      <x:c r="AB719" s="10" t="str">
        <x:f>IF(COUNT(AA719,Z719)=2,AA719-Z719,"")</x:f>
      </x:c>
      <x:c r="AC719" s="10" t="n">
        <x:v>62</x:v>
      </x:c>
      <x:c r="AD719" s="10"/>
      <x:c r="AE719" s="10" t="str">
        <x:f>IF(COUNT(AD719,AC719)=2,AD719-AC719,"")</x:f>
      </x:c>
      <x:c r="AF719" s="10" t="n">
        <x:v>124</x:v>
      </x:c>
      <x:c r="AG719" s="10"/>
      <x:c r="AH719" s="10" t="str">
        <x:f>IF(COUNT(AG719,AF719)=2,AG719-AF719,"")</x:f>
      </x:c>
      <x:c r="AI719" s="10" t="n">
        <x:v>35</x:v>
      </x:c>
      <x:c r="AJ719" s="10"/>
      <x:c r="AK719" s="10" t="str">
        <x:f>IF(COUNT(AJ719,AI719)=2,AJ719-AI719,"")</x:f>
      </x:c>
      <x:c r="AL719" s="10" t="n">
        <x:v>24</x:v>
      </x:c>
      <x:c r="AM719" s="10"/>
      <x:c r="AN719" s="4" t="str">
        <x:v>C</x:v>
      </x:c>
      <x:c r="AO719" s="4"/>
      <x:c r="AP719" s="4" t="str">
        <x:v>NYR</x:v>
      </x:c>
      <x:c r="AQ719" s="4"/>
      <x:c r="AR719" s="4" t="n">
        <x:v>11.64</x:v>
      </x:c>
      <x:c r="AS719" s="4"/>
      <x:c r="AT719" s="4" t="n">
        <x:v>0.89</x:v>
      </x:c>
      <x:c r="AU719" s="4"/>
      <x:c r="AV719" s="10"/>
      <x:c r="AW719" s="10"/>
      <x:c r="AX719" s="10"/>
      <x:c r="AY719" s="10"/>
      <x:c r="AZ719" s="10" t="n">
        <x:v>128</x:v>
      </x:c>
      <x:c r="BA719" s="10" t="n">
        <x:v>165</x:v>
      </x:c>
      <x:c r="BB719" s="4" t="n">
        <x:v>43.7</x:v>
      </x:c>
      <x:c r="BC719" s="4" t="n">
        <x:v>-8.3</x:v>
      </x:c>
      <x:c r="BD719" s="10" t="n">
        <x:v>83</x:v>
      </x:c>
      <x:c r="BE719" s="10" t="n">
        <x:v>121</x:v>
      </x:c>
      <x:c r="BF719" s="4" t="n">
        <x:v>40.7</x:v>
      </x:c>
      <x:c r="BG719" s="4" t="n">
        <x:v>-10</x:v>
      </x:c>
      <x:c r="BH719" s="4" t="n">
        <x:v>14</x:v>
      </x:c>
      <x:c r="BI719" s="4" t="n">
        <x:v>96.3</x:v>
      </x:c>
      <x:c r="BJ719" s="4" t="n">
        <x:v>110.3</x:v>
      </x:c>
      <x:c r="BK719" s="4" t="n">
        <x:v>45.7</x:v>
      </x:c>
      <x:c r="BL719" s="4" t="n">
        <x:v>54.3</x:v>
      </x:c>
      <x:c r="BM719" s="4" t="n">
        <x:v>8.85</x:v>
      </x:c>
      <x:c r="BN719" s="4" t="n">
        <x:v>8.8</x:v>
      </x:c>
      <x:c r="BO719" s="10" t="n">
        <x:v>3</x:v>
      </x:c>
      <x:c r="BP719" s="10" t="n">
        <x:v>9</x:v>
      </x:c>
      <x:c r="BQ719" s="4" t="n">
        <x:v>-1.3</x:v>
      </x:c>
      <x:c r="BR719" s="10" t="n">
        <x:v>28</x:v>
      </x:c>
      <x:c r="BS719" s="4" t="n">
        <x:v>57.1</x:v>
      </x:c>
      <x:c r="BT719" s="10" t="n">
        <x:v>20</x:v>
      </x:c>
      <x:c r="BU719" s="4" t="str">
        <x:v>NYR</x:v>
      </x:c>
      <x:c r="BV719" s="10" t="n">
        <x:v>427</x:v>
      </x:c>
      <x:c r="BW719" s="10"/>
      <x:c r="BX719" s="10" t="n">
        <x:v>785</x:v>
      </x:c>
      <x:c r="BY719" s="4" t="str">
        <x:v>Juuso Parssinen</x:v>
      </x:c>
      <x:c r="BZ719" s="4"/>
      <x:c r="CA719" s="4" t="str">
        <x:v>Juuso Pärssinen</x:v>
      </x:c>
      <x:c r="CB719" s="4" t="str">
        <x:v>parssju01</x:v>
      </x:c>
    </x:row>
    <x:row r="720" ht="22" customHeight="1">
      <x:c r="A720" s="4" t="str">
        <x:v>Juuso Valimaki</x:v>
      </x:c>
      <x:c r="B720" s="4" t="str">
        <x:v>juusovalimaki</x:v>
      </x:c>
      <x:c r="C720" s="10" t="n">
        <x:v>1</x:v>
      </x:c>
      <x:c r="D720" s="10" t="n">
        <x:v>0</x:v>
      </x:c>
      <x:c r="E720" s="10" t="n">
        <x:v>0</x:v>
      </x:c>
      <x:c r="F720" s="4" t="n">
        <x:f>IF(COUNT(N720,Q720,T720,W720,Z720,AC720,AF720,AI720)=8,N720*Guide!$E$5+Q720*Guide!$E$6+T720*Guide!$E$7+W720*Guide!$E$8+Z720*Guide!$E$9+AC720*Guide!$E$10+AF720*Guide!$E$11+AI720*Guide!$E$12,"")</x:f>
        <x:v>113.75</x:v>
      </x:c>
      <x:c r="G720" s="4" t="str">
        <x:f>IF(COUNT(O720,R720,U720,X720,AA720,AD720,AG720,AJ720)=8,O720*Guide!$E$5+R720*Guide!$E$6+U720*Guide!$E$7+X720*Guide!$E$8+AA720*Guide!$E$9+AD720*Guide!$E$10+AG720*Guide!$E$11+AJ720*Guide!$E$12,"")</x:f>
      </x:c>
      <x:c r="H720" s="4" t="str">
        <x:f>IF(COUNT(G720,F720)=2,G720-F720,"")</x:f>
      </x:c>
      <x:c r="I720" s="4" t="n">
        <x:f>IF(AND(ISNUMBER(F720),K720&gt;0),F720/K720,"")</x:f>
        <x:v>2.03125</x:v>
      </x:c>
      <x:c r="J720" s="4" t="str">
        <x:f>IF(AND(ISNUMBER(G720),L720&gt;0),G720/L720,"")</x:f>
      </x:c>
      <x:c r="K720" s="10" t="n">
        <x:v>56</x:v>
      </x:c>
      <x:c r="L720" s="10"/>
      <x:c r="M720" s="10" t="str">
        <x:f>IF(COUNT(L720,K720)=2,L720-K720,"")</x:f>
      </x:c>
      <x:c r="N720" s="10" t="n">
        <x:v>3</x:v>
      </x:c>
      <x:c r="O720" s="10"/>
      <x:c r="P720" s="10" t="str">
        <x:f>IF(COUNT(O720,N720)=2,O720-N720,"")</x:f>
      </x:c>
      <x:c r="Q720" s="10" t="n">
        <x:v>11</x:v>
      </x:c>
      <x:c r="R720" s="10"/>
      <x:c r="S720" s="10" t="str">
        <x:f>IF(COUNT(R720,Q720)=2,R720-Q720,"")</x:f>
      </x:c>
      <x:c r="T720" s="10" t="n">
        <x:v>-2</x:v>
      </x:c>
      <x:c r="U720" s="10"/>
      <x:c r="V720" s="10" t="str">
        <x:f>IF(COUNT(U720,T720)=2,U720-T720,"")</x:f>
      </x:c>
      <x:c r="W720" s="10" t="n">
        <x:v>1</x:v>
      </x:c>
      <x:c r="X720" s="10" t="str">
        <x:f>IF(COUNT(AV720,AW720)=2,AV720+AW720,"")</x:f>
      </x:c>
      <x:c r="Y720" s="10" t="str">
        <x:f>IF(COUNT(X720,W720)=2,X720-W720,"")</x:f>
      </x:c>
      <x:c r="Z720" s="10" t="n">
        <x:v>0</x:v>
      </x:c>
      <x:c r="AA720" s="10" t="str">
        <x:f>IF(COUNT(AX720,AY720)=2,AX720+AY720,"")</x:f>
      </x:c>
      <x:c r="AB720" s="10" t="str">
        <x:f>IF(COUNT(AA720,Z720)=2,AA720-Z720,"")</x:f>
      </x:c>
      <x:c r="AC720" s="10" t="n">
        <x:v>52</x:v>
      </x:c>
      <x:c r="AD720" s="10"/>
      <x:c r="AE720" s="10" t="str">
        <x:f>IF(COUNT(AD720,AC720)=2,AD720-AC720,"")</x:f>
      </x:c>
      <x:c r="AF720" s="10" t="n">
        <x:v>32</x:v>
      </x:c>
      <x:c r="AG720" s="10"/>
      <x:c r="AH720" s="10" t="str">
        <x:f>IF(COUNT(AG720,AF720)=2,AG720-AF720,"")</x:f>
      </x:c>
      <x:c r="AI720" s="10" t="n">
        <x:v>65</x:v>
      </x:c>
      <x:c r="AJ720" s="10"/>
      <x:c r="AK720" s="10" t="str">
        <x:f>IF(COUNT(AJ720,AI720)=2,AJ720-AI720,"")</x:f>
      </x:c>
      <x:c r="AL720" s="10" t="n">
        <x:v>27</x:v>
      </x:c>
      <x:c r="AM720" s="10"/>
      <x:c r="AN720" s="4" t="str">
        <x:v>D</x:v>
      </x:c>
      <x:c r="AO720" s="4"/>
      <x:c r="AP720" s="4" t="str">
        <x:v>UTA</x:v>
      </x:c>
      <x:c r="AQ720" s="4"/>
      <x:c r="AR720" s="4" t="n">
        <x:v>16.89</x:v>
      </x:c>
      <x:c r="AS720" s="4"/>
      <x:c r="AT720" s="4" t="n">
        <x:v>0.4</x:v>
      </x:c>
      <x:c r="AU720" s="4"/>
      <x:c r="AV720" s="10"/>
      <x:c r="AW720" s="10"/>
      <x:c r="AX720" s="10"/>
      <x:c r="AY720" s="10"/>
      <x:c r="AZ720" s="10"/>
      <x:c r="BA720" s="10"/>
      <x:c r="BB720" s="4"/>
      <x:c r="BC720" s="4"/>
      <x:c r="BD720" s="10"/>
      <x:c r="BE720" s="10"/>
      <x:c r="BF720" s="4"/>
      <x:c r="BG720" s="4"/>
      <x:c r="BH720" s="4"/>
      <x:c r="BI720" s="4"/>
      <x:c r="BJ720" s="4"/>
      <x:c r="BK720" s="4"/>
      <x:c r="BL720" s="4"/>
      <x:c r="BM720" s="4"/>
      <x:c r="BN720" s="4"/>
      <x:c r="BO720" s="10"/>
      <x:c r="BP720" s="10"/>
      <x:c r="BQ720" s="4"/>
      <x:c r="BR720" s="10"/>
      <x:c r="BS720" s="4"/>
      <x:c r="BT720" s="10"/>
      <x:c r="BU720" s="4"/>
      <x:c r="BV720" s="10" t="n">
        <x:v>650</x:v>
      </x:c>
      <x:c r="BW720" s="10"/>
      <x:c r="BX720" s="10"/>
      <x:c r="BY720" s="4" t="str">
        <x:v>Juuso Valimaki</x:v>
      </x:c>
      <x:c r="BZ720" s="4"/>
      <x:c r="CA720" s="4"/>
      <x:c r="CB720" s="4"/>
    </x:row>
    <x:row r="721" ht="22" customHeight="1">
      <x:c r="A721" s="4" t="str">
        <x:v>Kaedan Korczak</x:v>
      </x:c>
      <x:c r="B721" s="4" t="str">
        <x:v>kaedankorczak</x:v>
      </x:c>
      <x:c r="C721" s="10" t="n">
        <x:v>1</x:v>
      </x:c>
      <x:c r="D721" s="10" t="n">
        <x:v>0</x:v>
      </x:c>
      <x:c r="E721" s="10" t="n">
        <x:v>1</x:v>
      </x:c>
      <x:c r="F721" s="4" t="n">
        <x:f>IF(COUNT(N721,Q721,T721,W721,Z721,AC721,AF721,AI721)=8,N721*Guide!$E$5+Q721*Guide!$E$6+T721*Guide!$E$7+W721*Guide!$E$8+Z721*Guide!$E$9+AC721*Guide!$E$10+AF721*Guide!$E$11+AI721*Guide!$E$12,"")</x:f>
        <x:v>114.5</x:v>
      </x:c>
      <x:c r="G721" s="4" t="str">
        <x:f>IF(COUNT(O721,R721,U721,X721,AA721,AD721,AG721,AJ721)=8,O721*Guide!$E$5+R721*Guide!$E$6+U721*Guide!$E$7+X721*Guide!$E$8+AA721*Guide!$E$9+AD721*Guide!$E$10+AG721*Guide!$E$11+AJ721*Guide!$E$12,"")</x:f>
      </x:c>
      <x:c r="H721" s="4" t="str">
        <x:f>IF(COUNT(G721,F721)=2,G721-F721,"")</x:f>
      </x:c>
      <x:c r="I721" s="4" t="n">
        <x:f>IF(AND(ISNUMBER(F721),K721&gt;0),F721/K721,"")</x:f>
        <x:v>2.29</x:v>
      </x:c>
      <x:c r="J721" s="4" t="str">
        <x:f>IF(AND(ISNUMBER(G721),L721&gt;0),G721/L721,"")</x:f>
      </x:c>
      <x:c r="K721" s="10" t="n">
        <x:v>50</x:v>
      </x:c>
      <x:c r="L721" s="10"/>
      <x:c r="M721" s="10" t="str">
        <x:f>IF(COUNT(L721,K721)=2,L721-K721,"")</x:f>
      </x:c>
      <x:c r="N721" s="10" t="n">
        <x:v>2</x:v>
      </x:c>
      <x:c r="O721" s="10"/>
      <x:c r="P721" s="10" t="str">
        <x:f>IF(COUNT(O721,N721)=2,O721-N721,"")</x:f>
      </x:c>
      <x:c r="Q721" s="10" t="n">
        <x:v>11</x:v>
      </x:c>
      <x:c r="R721" s="10"/>
      <x:c r="S721" s="10" t="str">
        <x:f>IF(COUNT(R721,Q721)=2,R721-Q721,"")</x:f>
      </x:c>
      <x:c r="T721" s="10" t="n">
        <x:v>6</x:v>
      </x:c>
      <x:c r="U721" s="10"/>
      <x:c r="V721" s="10" t="str">
        <x:f>IF(COUNT(U721,T721)=2,U721-T721,"")</x:f>
      </x:c>
      <x:c r="W721" s="10" t="n">
        <x:v>0</x:v>
      </x:c>
      <x:c r="X721" s="10" t="str">
        <x:f>IF(COUNT(AV721,AW721)=2,AV721+AW721,"")</x:f>
      </x:c>
      <x:c r="Y721" s="10" t="str">
        <x:f>IF(COUNT(X721,W721)=2,X721-W721,"")</x:f>
      </x:c>
      <x:c r="Z721" s="10" t="n">
        <x:v>0</x:v>
      </x:c>
      <x:c r="AA721" s="10" t="str">
        <x:f>IF(COUNT(AX721,AY721)=2,AX721+AY721,"")</x:f>
      </x:c>
      <x:c r="AB721" s="10" t="str">
        <x:f>IF(COUNT(AA721,Z721)=2,AA721-Z721,"")</x:f>
      </x:c>
      <x:c r="AC721" s="10" t="n">
        <x:v>47</x:v>
      </x:c>
      <x:c r="AD721" s="10"/>
      <x:c r="AE721" s="10" t="str">
        <x:f>IF(COUNT(AD721,AC721)=2,AD721-AC721,"")</x:f>
      </x:c>
      <x:c r="AF721" s="10" t="n">
        <x:v>70</x:v>
      </x:c>
      <x:c r="AG721" s="10"/>
      <x:c r="AH721" s="10" t="str">
        <x:f>IF(COUNT(AG721,AF721)=2,AG721-AF721,"")</x:f>
      </x:c>
      <x:c r="AI721" s="10" t="n">
        <x:v>51</x:v>
      </x:c>
      <x:c r="AJ721" s="10"/>
      <x:c r="AK721" s="10" t="str">
        <x:f>IF(COUNT(AJ721,AI721)=2,AJ721-AI721,"")</x:f>
      </x:c>
      <x:c r="AL721" s="10" t="n">
        <x:v>25</x:v>
      </x:c>
      <x:c r="AM721" s="10"/>
      <x:c r="AN721" s="4" t="str">
        <x:v>D</x:v>
      </x:c>
      <x:c r="AO721" s="4"/>
      <x:c r="AP721" s="4" t="str">
        <x:v>VGK</x:v>
      </x:c>
      <x:c r="AQ721" s="4"/>
      <x:c r="AR721" s="4" t="n">
        <x:v>15.32</x:v>
      </x:c>
      <x:c r="AS721" s="4"/>
      <x:c r="AT721" s="4" t="n">
        <x:v>0.1</x:v>
      </x:c>
      <x:c r="AU721" s="4"/>
      <x:c r="AV721" s="10"/>
      <x:c r="AW721" s="10"/>
      <x:c r="AX721" s="10"/>
      <x:c r="AY721" s="10"/>
      <x:c r="AZ721" s="10" t="n">
        <x:v>1117</x:v>
      </x:c>
      <x:c r="BA721" s="10" t="n">
        <x:v>1043</x:v>
      </x:c>
      <x:c r="BB721" s="4" t="n">
        <x:v>51.7</x:v>
      </x:c>
      <x:c r="BC721" s="4" t="n">
        <x:v>-0.1</x:v>
      </x:c>
      <x:c r="BD721" s="10" t="n">
        <x:v>790</x:v>
      </x:c>
      <x:c r="BE721" s="10" t="n">
        <x:v>711</x:v>
      </x:c>
      <x:c r="BF721" s="4" t="n">
        <x:v>52.6</x:v>
      </x:c>
      <x:c r="BG721" s="4" t="n">
        <x:v>0.9</x:v>
      </x:c>
      <x:c r="BH721" s="4" t="n">
        <x:v>10.6</x:v>
      </x:c>
      <x:c r="BI721" s="4" t="n">
        <x:v>89</x:v>
      </x:c>
      <x:c r="BJ721" s="4" t="n">
        <x:v>99.6</x:v>
      </x:c>
      <x:c r="BK721" s="4" t="n">
        <x:v>53.6</x:v>
      </x:c>
      <x:c r="BL721" s="4" t="n">
        <x:v>46.4</x:v>
      </x:c>
      <x:c r="BM721" s="4" t="n">
        <x:v>15.966666666666667</x:v>
      </x:c>
      <x:c r="BN721" s="4" t="n">
        <x:v>15.483333333333333</x:v>
      </x:c>
      <x:c r="BO721" s="10" t="n">
        <x:v>11</x:v>
      </x:c>
      <x:c r="BP721" s="10" t="n">
        <x:v>90</x:v>
      </x:c>
      <x:c r="BQ721" s="4" t="n">
        <x:v>12.7</x:v>
      </x:c>
      <x:c r="BR721" s="10" t="n">
        <x:v>155</x:v>
      </x:c>
      <x:c r="BS721" s="4" t="n">
        <x:v>38.7</x:v>
      </x:c>
      <x:c r="BT721" s="10" t="n">
        <x:v>78</x:v>
      </x:c>
      <x:c r="BU721" s="4" t="str">
        <x:v>VEG</x:v>
      </x:c>
      <x:c r="BV721" s="10" t="n">
        <x:v>672</x:v>
      </x:c>
      <x:c r="BW721" s="10"/>
      <x:c r="BX721" s="10" t="n">
        <x:v>537</x:v>
      </x:c>
      <x:c r="BY721" s="4" t="str">
        <x:v>Kaedan Korczak</x:v>
      </x:c>
      <x:c r="BZ721" s="4"/>
      <x:c r="CA721" s="4" t="str">
        <x:v>Kaedan Korczak</x:v>
      </x:c>
      <x:c r="CB721" s="4" t="str">
        <x:v>korczka01</x:v>
      </x:c>
    </x:row>
    <x:row r="722" ht="22" customHeight="1">
      <x:c r="A722" s="4" t="str">
        <x:v>Kai Uchacz</x:v>
      </x:c>
      <x:c r="B722" s="4" t="str">
        <x:v>kaiuchacz</x:v>
      </x:c>
      <x:c r="C722" s="10" t="n">
        <x:v>0</x:v>
      </x:c>
      <x:c r="D722" s="10" t="n">
        <x:v>0</x:v>
      </x:c>
      <x:c r="E722" s="10" t="n">
        <x:v>1</x:v>
      </x:c>
      <x:c r="F722" s="4" t="str">
        <x:f>IF(COUNT(N722,Q722,T722,W722,Z722,AC722,AF722,AI722)=8,N722*Guide!$E$5+Q722*Guide!$E$6+T722*Guide!$E$7+W722*Guide!$E$8+Z722*Guide!$E$9+AC722*Guide!$E$10+AF722*Guide!$E$11+AI722*Guide!$E$12,"")</x:f>
      </x:c>
      <x:c r="G722" s="4" t="str">
        <x:f>IF(COUNT(O722,R722,U722,X722,AA722,AD722,AG722,AJ722)=8,O722*Guide!$E$5+R722*Guide!$E$6+U722*Guide!$E$7+X722*Guide!$E$8+AA722*Guide!$E$9+AD722*Guide!$E$10+AG722*Guide!$E$11+AJ722*Guide!$E$12,"")</x:f>
      </x:c>
      <x:c r="H722" s="4" t="str">
        <x:f>IF(COUNT(G722,F722)=2,G722-F722,"")</x:f>
      </x:c>
      <x:c r="I722" s="4" t="str">
        <x:f>IF(AND(ISNUMBER(F722),K722&gt;0),F722/K722,"")</x:f>
      </x:c>
      <x:c r="J722" s="4" t="str">
        <x:f>IF(AND(ISNUMBER(G722),L722&gt;0),G722/L722,"")</x:f>
      </x:c>
      <x:c r="K722" s="10"/>
      <x:c r="L722" s="10"/>
      <x:c r="M722" s="10" t="str">
        <x:f>IF(COUNT(L722,K722)=2,L722-K722,"")</x:f>
      </x:c>
      <x:c r="N722" s="10"/>
      <x:c r="O722" s="10"/>
      <x:c r="P722" s="10" t="str">
        <x:f>IF(COUNT(O722,N722)=2,O722-N722,"")</x:f>
      </x:c>
      <x:c r="Q722" s="10"/>
      <x:c r="R722" s="10"/>
      <x:c r="S722" s="10" t="str">
        <x:f>IF(COUNT(R722,Q722)=2,R722-Q722,"")</x:f>
      </x:c>
      <x:c r="T722" s="10"/>
      <x:c r="U722" s="10"/>
      <x:c r="V722" s="10" t="str">
        <x:f>IF(COUNT(U722,T722)=2,U722-T722,"")</x:f>
      </x:c>
      <x:c r="W722" s="10"/>
      <x:c r="X722" s="10" t="str">
        <x:f>IF(COUNT(AV722,AW722)=2,AV722+AW722,"")</x:f>
      </x:c>
      <x:c r="Y722" s="10" t="str">
        <x:f>IF(COUNT(X722,W722)=2,X722-W722,"")</x:f>
      </x:c>
      <x:c r="Z722" s="10"/>
      <x:c r="AA722" s="10" t="str">
        <x:f>IF(COUNT(AX722,AY722)=2,AX722+AY722,"")</x:f>
      </x:c>
      <x:c r="AB722" s="10" t="str">
        <x:f>IF(COUNT(AA722,Z722)=2,AA722-Z722,"")</x:f>
      </x:c>
      <x:c r="AC722" s="10"/>
      <x:c r="AD722" s="10"/>
      <x:c r="AE722" s="10" t="str">
        <x:f>IF(COUNT(AD722,AC722)=2,AD722-AC722,"")</x:f>
      </x:c>
      <x:c r="AF722" s="10"/>
      <x:c r="AG722" s="10"/>
      <x:c r="AH722" s="10" t="str">
        <x:f>IF(COUNT(AG722,AF722)=2,AG722-AF722,"")</x:f>
      </x:c>
      <x:c r="AI722" s="10"/>
      <x:c r="AJ722" s="10"/>
      <x:c r="AK722" s="10" t="str">
        <x:f>IF(COUNT(AJ722,AI722)=2,AJ722-AI722,"")</x:f>
      </x:c>
      <x:c r="AL722" s="10"/>
      <x:c r="AM722" s="10"/>
      <x:c r="AN722" s="4"/>
      <x:c r="AO722" s="4"/>
      <x:c r="AP722" s="4"/>
      <x:c r="AQ722" s="4"/>
      <x:c r="AR722" s="4"/>
      <x:c r="AS722" s="4"/>
      <x:c r="AT722" s="4"/>
      <x:c r="AU722" s="4"/>
      <x:c r="AV722" s="10"/>
      <x:c r="AW722" s="10"/>
      <x:c r="AX722" s="10"/>
      <x:c r="AY722" s="10"/>
      <x:c r="AZ722" s="10" t="n">
        <x:v>19</x:v>
      </x:c>
      <x:c r="BA722" s="10" t="n">
        <x:v>30</x:v>
      </x:c>
      <x:c r="BB722" s="4" t="n">
        <x:v>38.8</x:v>
      </x:c>
      <x:c r="BC722" s="4" t="n">
        <x:v>-14.8</x:v>
      </x:c>
      <x:c r="BD722" s="10" t="n">
        <x:v>15</x:v>
      </x:c>
      <x:c r="BE722" s="10" t="n">
        <x:v>17</x:v>
      </x:c>
      <x:c r="BF722" s="4" t="n">
        <x:v>46.9</x:v>
      </x:c>
      <x:c r="BG722" s="4" t="n">
        <x:v>-10</x:v>
      </x:c>
      <x:c r="BH722" s="4" t="n">
        <x:v>10</x:v>
      </x:c>
      <x:c r="BI722" s="4" t="n">
        <x:v>83.3</x:v>
      </x:c>
      <x:c r="BJ722" s="4" t="n">
        <x:v>93.3</x:v>
      </x:c>
      <x:c r="BK722" s="4" t="n">
        <x:v>60</x:v>
      </x:c>
      <x:c r="BL722" s="4" t="n">
        <x:v>40</x:v>
      </x:c>
      <x:c r="BM722" s="4" t="n">
        <x:v>12.183333333333334</x:v>
      </x:c>
      <x:c r="BN722" s="4" t="n">
        <x:v>11.516666666666667</x:v>
      </x:c>
      <x:c r="BO722" s="10" t="n">
        <x:v>0</x:v>
      </x:c>
      <x:c r="BP722" s="10" t="n">
        <x:v>2</x:v>
      </x:c>
      <x:c r="BQ722" s="4" t="n">
        <x:v>-0.3</x:v>
      </x:c>
      <x:c r="BR722" s="10" t="n">
        <x:v>3</x:v>
      </x:c>
      <x:c r="BS722" s="4" t="n">
        <x:v>66.7</x:v>
      </x:c>
      <x:c r="BT722" s="10" t="n">
        <x:v>3</x:v>
      </x:c>
      <x:c r="BU722" s="4" t="str">
        <x:v>VEG</x:v>
      </x:c>
      <x:c r="BV722" s="10"/>
      <x:c r="BW722" s="10"/>
      <x:c r="BX722" s="10" t="n">
        <x:v>1041</x:v>
      </x:c>
      <x:c r="BY722" s="4"/>
      <x:c r="BZ722" s="4"/>
      <x:c r="CA722" s="4" t="str">
        <x:v>Kai Uchacz</x:v>
      </x:c>
      <x:c r="CB722" s="4" t="str">
        <x:v>uchacka01</x:v>
      </x:c>
    </x:row>
    <x:row r="723" ht="22" customHeight="1">
      <x:c r="A723" s="4" t="str">
        <x:v>Kaiden Guhle</x:v>
      </x:c>
      <x:c r="B723" s="4" t="str">
        <x:v>kaidenguhle</x:v>
      </x:c>
      <x:c r="C723" s="10" t="n">
        <x:v>1</x:v>
      </x:c>
      <x:c r="D723" s="10" t="n">
        <x:v>0</x:v>
      </x:c>
      <x:c r="E723" s="10" t="n">
        <x:v>1</x:v>
      </x:c>
      <x:c r="F723" s="4" t="n">
        <x:f>IF(COUNT(N723,Q723,T723,W723,Z723,AC723,AF723,AI723)=8,N723*Guide!$E$5+Q723*Guide!$E$6+T723*Guide!$E$7+W723*Guide!$E$8+Z723*Guide!$E$9+AC723*Guide!$E$10+AF723*Guide!$E$11+AI723*Guide!$E$12,"")</x:f>
        <x:v>263.5</x:v>
      </x:c>
      <x:c r="G723" s="4" t="str">
        <x:f>IF(COUNT(O723,R723,U723,X723,AA723,AD723,AG723,AJ723)=8,O723*Guide!$E$5+R723*Guide!$E$6+U723*Guide!$E$7+X723*Guide!$E$8+AA723*Guide!$E$9+AD723*Guide!$E$10+AG723*Guide!$E$11+AJ723*Guide!$E$12,"")</x:f>
      </x:c>
      <x:c r="H723" s="4" t="str">
        <x:f>IF(COUNT(G723,F723)=2,G723-F723,"")</x:f>
      </x:c>
      <x:c r="I723" s="4" t="n">
        <x:f>IF(AND(ISNUMBER(F723),K723&gt;0),F723/K723,"")</x:f>
        <x:v>3.560810810810811</x:v>
      </x:c>
      <x:c r="J723" s="4" t="str">
        <x:f>IF(AND(ISNUMBER(G723),L723&gt;0),G723/L723,"")</x:f>
      </x:c>
      <x:c r="K723" s="10" t="n">
        <x:v>74</x:v>
      </x:c>
      <x:c r="L723" s="10"/>
      <x:c r="M723" s="10" t="str">
        <x:f>IF(COUNT(L723,K723)=2,L723-K723,"")</x:f>
      </x:c>
      <x:c r="N723" s="10" t="n">
        <x:v>8</x:v>
      </x:c>
      <x:c r="O723" s="10"/>
      <x:c r="P723" s="10" t="str">
        <x:f>IF(COUNT(O723,N723)=2,O723-N723,"")</x:f>
      </x:c>
      <x:c r="Q723" s="10" t="n">
        <x:v>20</x:v>
      </x:c>
      <x:c r="R723" s="10"/>
      <x:c r="S723" s="10" t="str">
        <x:f>IF(COUNT(R723,Q723)=2,R723-Q723,"")</x:f>
      </x:c>
      <x:c r="T723" s="10" t="n">
        <x:v>-5</x:v>
      </x:c>
      <x:c r="U723" s="10"/>
      <x:c r="V723" s="10" t="str">
        <x:f>IF(COUNT(U723,T723)=2,U723-T723,"")</x:f>
      </x:c>
      <x:c r="W723" s="10" t="n">
        <x:v>1</x:v>
      </x:c>
      <x:c r="X723" s="10" t="str">
        <x:f>IF(COUNT(AV723,AW723)=2,AV723+AW723,"")</x:f>
      </x:c>
      <x:c r="Y723" s="10" t="str">
        <x:f>IF(COUNT(X723,W723)=2,X723-W723,"")</x:f>
      </x:c>
      <x:c r="Z723" s="10" t="n">
        <x:v>1</x:v>
      </x:c>
      <x:c r="AA723" s="10" t="str">
        <x:f>IF(COUNT(AX723,AY723)=2,AX723+AY723,"")</x:f>
      </x:c>
      <x:c r="AB723" s="10" t="str">
        <x:f>IF(COUNT(AA723,Z723)=2,AA723-Z723,"")</x:f>
      </x:c>
      <x:c r="AC723" s="10" t="n">
        <x:v>99</x:v>
      </x:c>
      <x:c r="AD723" s="10"/>
      <x:c r="AE723" s="10" t="str">
        <x:f>IF(COUNT(AD723,AC723)=2,AD723-AC723,"")</x:f>
      </x:c>
      <x:c r="AF723" s="10" t="n">
        <x:v>126</x:v>
      </x:c>
      <x:c r="AG723" s="10"/>
      <x:c r="AH723" s="10" t="str">
        <x:f>IF(COUNT(AG723,AF723)=2,AG723-AF723,"")</x:f>
      </x:c>
      <x:c r="AI723" s="10" t="n">
        <x:v>155</x:v>
      </x:c>
      <x:c r="AJ723" s="10"/>
      <x:c r="AK723" s="10" t="str">
        <x:f>IF(COUNT(AJ723,AI723)=2,AJ723-AI723,"")</x:f>
      </x:c>
      <x:c r="AL723" s="10" t="n">
        <x:v>24</x:v>
      </x:c>
      <x:c r="AM723" s="10"/>
      <x:c r="AN723" s="4" t="str">
        <x:v>D</x:v>
      </x:c>
      <x:c r="AO723" s="4"/>
      <x:c r="AP723" s="4" t="str">
        <x:v>MTL</x:v>
      </x:c>
      <x:c r="AQ723" s="4"/>
      <x:c r="AR723" s="4" t="n">
        <x:v>21.150000000000002</x:v>
      </x:c>
      <x:c r="AS723" s="4"/>
      <x:c r="AT723" s="4" t="n">
        <x:v>0.14</x:v>
      </x:c>
      <x:c r="AU723" s="4"/>
      <x:c r="AV723" s="10"/>
      <x:c r="AW723" s="10"/>
      <x:c r="AX723" s="10"/>
      <x:c r="AY723" s="10"/>
      <x:c r="AZ723" s="10" t="n">
        <x:v>575</x:v>
      </x:c>
      <x:c r="BA723" s="10" t="n">
        <x:v>704</x:v>
      </x:c>
      <x:c r="BB723" s="4" t="n">
        <x:v>45</x:v>
      </x:c>
      <x:c r="BC723" s="4" t="n">
        <x:v>-5.4</x:v>
      </x:c>
      <x:c r="BD723" s="10" t="n">
        <x:v>420</x:v>
      </x:c>
      <x:c r="BE723" s="10" t="n">
        <x:v>495</x:v>
      </x:c>
      <x:c r="BF723" s="4" t="n">
        <x:v>45.9</x:v>
      </x:c>
      <x:c r="BG723" s="4" t="n">
        <x:v>-5.8</x:v>
      </x:c>
      <x:c r="BH723" s="4" t="n">
        <x:v>10.3</x:v>
      </x:c>
      <x:c r="BI723" s="4" t="n">
        <x:v>92.5</x:v>
      </x:c>
      <x:c r="BJ723" s="4" t="n">
        <x:v>102.9</x:v>
      </x:c>
      <x:c r="BK723" s="4" t="n">
        <x:v>37.6</x:v>
      </x:c>
      <x:c r="BL723" s="4" t="n">
        <x:v>62.4</x:v>
      </x:c>
      <x:c r="BM723" s="4" t="n">
        <x:v>19.466666666666665</x:v>
      </x:c>
      <x:c r="BN723" s="4" t="n">
        <x:v>17.75</x:v>
      </x:c>
      <x:c r="BO723" s="10" t="n">
        <x:v>21</x:v>
      </x:c>
      <x:c r="BP723" s="10" t="n">
        <x:v>36</x:v>
      </x:c>
      <x:c r="BQ723" s="4" t="n">
        <x:v>-4.4</x:v>
      </x:c>
      <x:c r="BR723" s="10" t="n">
        <x:v>106</x:v>
      </x:c>
      <x:c r="BS723" s="4" t="n">
        <x:v>36.8</x:v>
      </x:c>
      <x:c r="BT723" s="10" t="n">
        <x:v>39</x:v>
      </x:c>
      <x:c r="BU723" s="4" t="str">
        <x:v>MTL</x:v>
      </x:c>
      <x:c r="BV723" s="10" t="n">
        <x:v>392</x:v>
      </x:c>
      <x:c r="BW723" s="10"/>
      <x:c r="BX723" s="10" t="n">
        <x:v>372</x:v>
      </x:c>
      <x:c r="BY723" s="4" t="str">
        <x:v>Kaiden Guhle</x:v>
      </x:c>
      <x:c r="BZ723" s="4"/>
      <x:c r="CA723" s="4" t="str">
        <x:v>Kaiden Guhle</x:v>
      </x:c>
      <x:c r="CB723" s="4" t="str">
        <x:v>guhleka01</x:v>
      </x:c>
    </x:row>
    <x:row r="724" ht="22" customHeight="1">
      <x:c r="A724" s="4" t="str">
        <x:v>Kasperi Kapanen</x:v>
      </x:c>
      <x:c r="B724" s="4" t="str">
        <x:v>kasperikapanen</x:v>
      </x:c>
      <x:c r="C724" s="10" t="n">
        <x:v>1</x:v>
      </x:c>
      <x:c r="D724" s="10" t="n">
        <x:v>0</x:v>
      </x:c>
      <x:c r="E724" s="10" t="n">
        <x:v>1</x:v>
      </x:c>
      <x:c r="F724" s="4" t="n">
        <x:f>IF(COUNT(N724,Q724,T724,W724,Z724,AC724,AF724,AI724)=8,N724*Guide!$E$5+Q724*Guide!$E$6+T724*Guide!$E$7+W724*Guide!$E$8+Z724*Guide!$E$9+AC724*Guide!$E$10+AF724*Guide!$E$11+AI724*Guide!$E$12,"")</x:f>
        <x:v>131.75</x:v>
      </x:c>
      <x:c r="G724" s="4" t="str">
        <x:f>IF(COUNT(O724,R724,U724,X724,AA724,AD724,AG724,AJ724)=8,O724*Guide!$E$5+R724*Guide!$E$6+U724*Guide!$E$7+X724*Guide!$E$8+AA724*Guide!$E$9+AD724*Guide!$E$10+AG724*Guide!$E$11+AJ724*Guide!$E$12,"")</x:f>
      </x:c>
      <x:c r="H724" s="4" t="str">
        <x:f>IF(COUNT(G724,F724)=2,G724-F724,"")</x:f>
      </x:c>
      <x:c r="I724" s="4" t="n">
        <x:f>IF(AND(ISNUMBER(F724),K724&gt;0),F724/K724,"")</x:f>
        <x:v>1.8821428571428571</x:v>
      </x:c>
      <x:c r="J724" s="4" t="str">
        <x:f>IF(AND(ISNUMBER(G724),L724&gt;0),G724/L724,"")</x:f>
      </x:c>
      <x:c r="K724" s="10" t="n">
        <x:v>70</x:v>
      </x:c>
      <x:c r="L724" s="10"/>
      <x:c r="M724" s="10" t="str">
        <x:f>IF(COUNT(L724,K724)=2,L724-K724,"")</x:f>
      </x:c>
      <x:c r="N724" s="10" t="n">
        <x:v>8</x:v>
      </x:c>
      <x:c r="O724" s="10"/>
      <x:c r="P724" s="10" t="str">
        <x:f>IF(COUNT(O724,N724)=2,O724-N724,"")</x:f>
      </x:c>
      <x:c r="Q724" s="10" t="n">
        <x:v>14</x:v>
      </x:c>
      <x:c r="R724" s="10"/>
      <x:c r="S724" s="10" t="str">
        <x:f>IF(COUNT(R724,Q724)=2,R724-Q724,"")</x:f>
      </x:c>
      <x:c r="T724" s="10" t="n">
        <x:v>-4</x:v>
      </x:c>
      <x:c r="U724" s="10"/>
      <x:c r="V724" s="10" t="str">
        <x:f>IF(COUNT(U724,T724)=2,U724-T724,"")</x:f>
      </x:c>
      <x:c r="W724" s="10" t="n">
        <x:v>2</x:v>
      </x:c>
      <x:c r="X724" s="10" t="str">
        <x:f>IF(COUNT(AV724,AW724)=2,AV724+AW724,"")</x:f>
      </x:c>
      <x:c r="Y724" s="10" t="str">
        <x:f>IF(COUNT(X724,W724)=2,X724-W724,"")</x:f>
      </x:c>
      <x:c r="Z724" s="10" t="n">
        <x:v>1</x:v>
      </x:c>
      <x:c r="AA724" s="10" t="str">
        <x:f>IF(COUNT(AX724,AY724)=2,AX724+AY724,"")</x:f>
      </x:c>
      <x:c r="AB724" s="10" t="str">
        <x:f>IF(COUNT(AA724,Z724)=2,AA724-Z724,"")</x:f>
      </x:c>
      <x:c r="AC724" s="10" t="n">
        <x:v>78</x:v>
      </x:c>
      <x:c r="AD724" s="10"/>
      <x:c r="AE724" s="10" t="str">
        <x:f>IF(COUNT(AD724,AC724)=2,AD724-AC724,"")</x:f>
      </x:c>
      <x:c r="AF724" s="10" t="n">
        <x:v>86</x:v>
      </x:c>
      <x:c r="AG724" s="10"/>
      <x:c r="AH724" s="10" t="str">
        <x:f>IF(COUNT(AG724,AF724)=2,AG724-AF724,"")</x:f>
      </x:c>
      <x:c r="AI724" s="10" t="n">
        <x:v>21</x:v>
      </x:c>
      <x:c r="AJ724" s="10"/>
      <x:c r="AK724" s="10" t="str">
        <x:f>IF(COUNT(AJ724,AI724)=2,AJ724-AI724,"")</x:f>
      </x:c>
      <x:c r="AL724" s="10" t="n">
        <x:v>29</x:v>
      </x:c>
      <x:c r="AM724" s="10"/>
      <x:c r="AN724" s="4" t="str">
        <x:v>RW</x:v>
      </x:c>
      <x:c r="AO724" s="4"/>
      <x:c r="AP724" s="4" t="str">
        <x:v>EDM</x:v>
      </x:c>
      <x:c r="AQ724" s="4"/>
      <x:c r="AR724" s="4" t="n">
        <x:v>12.25</x:v>
      </x:c>
      <x:c r="AS724" s="4"/>
      <x:c r="AT724" s="4" t="n">
        <x:v>0.41</x:v>
      </x:c>
      <x:c r="AU724" s="4"/>
      <x:c r="AV724" s="10"/>
      <x:c r="AW724" s="10"/>
      <x:c r="AX724" s="10"/>
      <x:c r="AY724" s="10"/>
      <x:c r="AZ724" s="10" t="n">
        <x:v>456</x:v>
      </x:c>
      <x:c r="BA724" s="10" t="n">
        <x:v>542</x:v>
      </x:c>
      <x:c r="BB724" s="4" t="n">
        <x:v>45.7</x:v>
      </x:c>
      <x:c r="BC724" s="4" t="n">
        <x:v>-5.7</x:v>
      </x:c>
      <x:c r="BD724" s="10" t="n">
        <x:v>350</x:v>
      </x:c>
      <x:c r="BE724" s="10" t="n">
        <x:v>360</x:v>
      </x:c>
      <x:c r="BF724" s="4" t="n">
        <x:v>49.3</x:v>
      </x:c>
      <x:c r="BG724" s="4" t="n">
        <x:v>-2.5</x:v>
      </x:c>
      <x:c r="BH724" s="4" t="n">
        <x:v>10.2</x:v>
      </x:c>
      <x:c r="BI724" s="4" t="n">
        <x:v>91.4</x:v>
      </x:c>
      <x:c r="BJ724" s="4" t="n">
        <x:v>101.6</x:v>
      </x:c>
      <x:c r="BK724" s="4" t="n">
        <x:v>49.6</x:v>
      </x:c>
      <x:c r="BL724" s="4" t="n">
        <x:v>50.4</x:v>
      </x:c>
      <x:c r="BM724" s="4" t="n">
        <x:v>14.583333333333334</x:v>
      </x:c>
      <x:c r="BN724" s="4" t="n">
        <x:v>13.333333333333334</x:v>
      </x:c>
      <x:c r="BO724" s="10" t="n">
        <x:v>7</x:v>
      </x:c>
      <x:c r="BP724" s="10" t="n">
        <x:v>25</x:v>
      </x:c>
      <x:c r="BQ724" s="4" t="n">
        <x:v>-0.8</x:v>
      </x:c>
      <x:c r="BR724" s="10" t="n">
        <x:v>112</x:v>
      </x:c>
      <x:c r="BS724" s="4" t="n">
        <x:v>58</x:v>
      </x:c>
      <x:c r="BT724" s="10" t="n">
        <x:v>41</x:v>
      </x:c>
      <x:c r="BU724" s="4" t="str">
        <x:v>EDM</x:v>
      </x:c>
      <x:c r="BV724" s="10" t="n">
        <x:v>487</x:v>
      </x:c>
      <x:c r="BW724" s="10"/>
      <x:c r="BX724" s="10" t="n">
        <x:v>496</x:v>
      </x:c>
      <x:c r="BY724" s="4" t="str">
        <x:v>Kasperi Kapanen</x:v>
      </x:c>
      <x:c r="BZ724" s="4"/>
      <x:c r="CA724" s="4" t="str">
        <x:v>Kasperi Kapanen</x:v>
      </x:c>
      <x:c r="CB724" s="4" t="str">
        <x:v>kapanka01</x:v>
      </x:c>
    </x:row>
    <x:row r="725" ht="22" customHeight="1">
      <x:c r="A725" s="4" t="str">
        <x:v>Keaton Middleton</x:v>
      </x:c>
      <x:c r="B725" s="4" t="str">
        <x:v>keatonmiddleton</x:v>
      </x:c>
      <x:c r="C725" s="10" t="n">
        <x:v>1</x:v>
      </x:c>
      <x:c r="D725" s="10" t="n">
        <x:v>0</x:v>
      </x:c>
      <x:c r="E725" s="10" t="n">
        <x:v>1</x:v>
      </x:c>
      <x:c r="F725" s="4" t="n">
        <x:f>IF(COUNT(N725,Q725,T725,W725,Z725,AC725,AF725,AI725)=8,N725*Guide!$E$5+Q725*Guide!$E$6+T725*Guide!$E$7+W725*Guide!$E$8+Z725*Guide!$E$9+AC725*Guide!$E$10+AF725*Guide!$E$11+AI725*Guide!$E$12,"")</x:f>
        <x:v>93</x:v>
      </x:c>
      <x:c r="G725" s="4" t="str">
        <x:f>IF(COUNT(O725,R725,U725,X725,AA725,AD725,AG725,AJ725)=8,O725*Guide!$E$5+R725*Guide!$E$6+U725*Guide!$E$7+X725*Guide!$E$8+AA725*Guide!$E$9+AD725*Guide!$E$10+AG725*Guide!$E$11+AJ725*Guide!$E$12,"")</x:f>
      </x:c>
      <x:c r="H725" s="4" t="str">
        <x:f>IF(COUNT(G725,F725)=2,G725-F725,"")</x:f>
      </x:c>
      <x:c r="I725" s="4" t="n">
        <x:f>IF(AND(ISNUMBER(F725),K725&gt;0),F725/K725,"")</x:f>
        <x:v>1.7222222222222223</x:v>
      </x:c>
      <x:c r="J725" s="4" t="str">
        <x:f>IF(AND(ISNUMBER(G725),L725&gt;0),G725/L725,"")</x:f>
      </x:c>
      <x:c r="K725" s="10" t="n">
        <x:v>54</x:v>
      </x:c>
      <x:c r="L725" s="10"/>
      <x:c r="M725" s="10" t="str">
        <x:f>IF(COUNT(L725,K725)=2,L725-K725,"")</x:f>
      </x:c>
      <x:c r="N725" s="10" t="n">
        <x:v>1</x:v>
      </x:c>
      <x:c r="O725" s="10"/>
      <x:c r="P725" s="10" t="str">
        <x:f>IF(COUNT(O725,N725)=2,O725-N725,"")</x:f>
      </x:c>
      <x:c r="Q725" s="10" t="n">
        <x:v>5</x:v>
      </x:c>
      <x:c r="R725" s="10"/>
      <x:c r="S725" s="10" t="str">
        <x:f>IF(COUNT(R725,Q725)=2,R725-Q725,"")</x:f>
      </x:c>
      <x:c r="T725" s="10" t="n">
        <x:v>1</x:v>
      </x:c>
      <x:c r="U725" s="10"/>
      <x:c r="V725" s="10" t="str">
        <x:f>IF(COUNT(U725,T725)=2,U725-T725,"")</x:f>
      </x:c>
      <x:c r="W725" s="10" t="n">
        <x:v>0</x:v>
      </x:c>
      <x:c r="X725" s="10" t="str">
        <x:f>IF(COUNT(AV725,AW725)=2,AV725+AW725,"")</x:f>
      </x:c>
      <x:c r="Y725" s="10" t="str">
        <x:f>IF(COUNT(X725,W725)=2,X725-W725,"")</x:f>
      </x:c>
      <x:c r="Z725" s="10" t="n">
        <x:v>0</x:v>
      </x:c>
      <x:c r="AA725" s="10" t="str">
        <x:f>IF(COUNT(AX725,AY725)=2,AX725+AY725,"")</x:f>
      </x:c>
      <x:c r="AB725" s="10" t="str">
        <x:f>IF(COUNT(AA725,Z725)=2,AA725-Z725,"")</x:f>
      </x:c>
      <x:c r="AC725" s="10" t="n">
        <x:v>56</x:v>
      </x:c>
      <x:c r="AD725" s="10"/>
      <x:c r="AE725" s="10" t="str">
        <x:f>IF(COUNT(AD725,AC725)=2,AD725-AC725,"")</x:f>
      </x:c>
      <x:c r="AF725" s="10" t="n">
        <x:v>89</x:v>
      </x:c>
      <x:c r="AG725" s="10"/>
      <x:c r="AH725" s="10" t="str">
        <x:f>IF(COUNT(AG725,AF725)=2,AG725-AF725,"")</x:f>
      </x:c>
      <x:c r="AI725" s="10" t="n">
        <x:v>49</x:v>
      </x:c>
      <x:c r="AJ725" s="10"/>
      <x:c r="AK725" s="10" t="str">
        <x:f>IF(COUNT(AJ725,AI725)=2,AJ725-AI725,"")</x:f>
      </x:c>
      <x:c r="AL725" s="10" t="n">
        <x:v>27</x:v>
      </x:c>
      <x:c r="AM725" s="10"/>
      <x:c r="AN725" s="4" t="str">
        <x:v>D</x:v>
      </x:c>
      <x:c r="AO725" s="4"/>
      <x:c r="AP725" s="4" t="str">
        <x:v>COL</x:v>
      </x:c>
      <x:c r="AQ725" s="4"/>
      <x:c r="AR725" s="4" t="n">
        <x:v>11.48</x:v>
      </x:c>
      <x:c r="AS725" s="4"/>
      <x:c r="AT725" s="4" t="n">
        <x:v>0</x:v>
      </x:c>
      <x:c r="AU725" s="4"/>
      <x:c r="AV725" s="10"/>
      <x:c r="AW725" s="10"/>
      <x:c r="AX725" s="10"/>
      <x:c r="AY725" s="10"/>
      <x:c r="AZ725" s="10" t="n">
        <x:v>17</x:v>
      </x:c>
      <x:c r="BA725" s="10" t="n">
        <x:v>21</x:v>
      </x:c>
      <x:c r="BB725" s="4" t="n">
        <x:v>44.7</x:v>
      </x:c>
      <x:c r="BC725" s="4" t="n">
        <x:v>-10.3</x:v>
      </x:c>
      <x:c r="BD725" s="10" t="n">
        <x:v>8</x:v>
      </x:c>
      <x:c r="BE725" s="10" t="n">
        <x:v>18</x:v>
      </x:c>
      <x:c r="BF725" s="4" t="n">
        <x:v>30.8</x:v>
      </x:c>
      <x:c r="BG725" s="4" t="n">
        <x:v>-23.3</x:v>
      </x:c>
      <x:c r="BH725" s="4" t="n">
        <x:v>20</x:v>
      </x:c>
      <x:c r="BI725" s="4" t="n">
        <x:v>81.8</x:v>
      </x:c>
      <x:c r="BJ725" s="4" t="n">
        <x:v>101.8</x:v>
      </x:c>
      <x:c r="BK725" s="4" t="n">
        <x:v>22.2</x:v>
      </x:c>
      <x:c r="BL725" s="4" t="n">
        <x:v>77.8</x:v>
      </x:c>
      <x:c r="BM725" s="4" t="n">
        <x:v>10.75</x:v>
      </x:c>
      <x:c r="BN725" s="4" t="n">
        <x:v>10.533333333333333</x:v>
      </x:c>
      <x:c r="BO725" s="10" t="n">
        <x:v>0</x:v>
      </x:c>
      <x:c r="BP725" s="10" t="n">
        <x:v>1</x:v>
      </x:c>
      <x:c r="BQ725" s="4" t="n">
        <x:v>-1.7</x:v>
      </x:c>
      <x:c r="BR725" s="10" t="n">
        <x:v>4</x:v>
      </x:c>
      <x:c r="BS725" s="4" t="n">
        <x:v>0</x:v>
      </x:c>
      <x:c r="BT725" s="10" t="n">
        <x:v>3</x:v>
      </x:c>
      <x:c r="BU725" s="4" t="str">
        <x:v>COL</x:v>
      </x:c>
      <x:c r="BV725" s="10" t="n">
        <x:v>759</x:v>
      </x:c>
      <x:c r="BW725" s="10"/>
      <x:c r="BX725" s="10" t="n">
        <x:v>694</x:v>
      </x:c>
      <x:c r="BY725" s="4" t="str">
        <x:v>Keaton Middleton</x:v>
      </x:c>
      <x:c r="BZ725" s="4"/>
      <x:c r="CA725" s="4" t="str">
        <x:v>Keaton Middleton</x:v>
      </x:c>
      <x:c r="CB725" s="4" t="str">
        <x:v>middlke01</x:v>
      </x:c>
    </x:row>
    <x:row r="726" ht="22" customHeight="1">
      <x:c r="A726" s="4" t="str">
        <x:v>Keegan Kolesar</x:v>
      </x:c>
      <x:c r="B726" s="4" t="str">
        <x:v>keegankolesar</x:v>
      </x:c>
      <x:c r="C726" s="10" t="n">
        <x:v>1</x:v>
      </x:c>
      <x:c r="D726" s="10" t="n">
        <x:v>0</x:v>
      </x:c>
      <x:c r="E726" s="10" t="n">
        <x:v>1</x:v>
      </x:c>
      <x:c r="F726" s="4" t="n">
        <x:f>IF(COUNT(N726,Q726,T726,W726,Z726,AC726,AF726,AI726)=8,N726*Guide!$E$5+Q726*Guide!$E$6+T726*Guide!$E$7+W726*Guide!$E$8+Z726*Guide!$E$9+AC726*Guide!$E$10+AF726*Guide!$E$11+AI726*Guide!$E$12,"")</x:f>
        <x:v>211</x:v>
      </x:c>
      <x:c r="G726" s="4" t="str">
        <x:f>IF(COUNT(O726,R726,U726,X726,AA726,AD726,AG726,AJ726)=8,O726*Guide!$E$5+R726*Guide!$E$6+U726*Guide!$E$7+X726*Guide!$E$8+AA726*Guide!$E$9+AD726*Guide!$E$10+AG726*Guide!$E$11+AJ726*Guide!$E$12,"")</x:f>
      </x:c>
      <x:c r="H726" s="4" t="str">
        <x:f>IF(COUNT(G726,F726)=2,G726-F726,"")</x:f>
      </x:c>
      <x:c r="I726" s="4" t="n">
        <x:f>IF(AND(ISNUMBER(F726),K726&gt;0),F726/K726,"")</x:f>
        <x:v>2.6049382716049383</x:v>
      </x:c>
      <x:c r="J726" s="4" t="str">
        <x:f>IF(AND(ISNUMBER(G726),L726&gt;0),G726/L726,"")</x:f>
      </x:c>
      <x:c r="K726" s="10" t="n">
        <x:v>81</x:v>
      </x:c>
      <x:c r="L726" s="10"/>
      <x:c r="M726" s="10" t="str">
        <x:f>IF(COUNT(L726,K726)=2,L726-K726,"")</x:f>
      </x:c>
      <x:c r="N726" s="10" t="n">
        <x:v>11</x:v>
      </x:c>
      <x:c r="O726" s="10"/>
      <x:c r="P726" s="10" t="str">
        <x:f>IF(COUNT(O726,N726)=2,O726-N726,"")</x:f>
      </x:c>
      <x:c r="Q726" s="10" t="n">
        <x:v>15</x:v>
      </x:c>
      <x:c r="R726" s="10"/>
      <x:c r="S726" s="10" t="str">
        <x:f>IF(COUNT(R726,Q726)=2,R726-Q726,"")</x:f>
      </x:c>
      <x:c r="T726" s="10" t="n">
        <x:v>-2</x:v>
      </x:c>
      <x:c r="U726" s="10"/>
      <x:c r="V726" s="10" t="str">
        <x:f>IF(COUNT(U726,T726)=2,U726-T726,"")</x:f>
      </x:c>
      <x:c r="W726" s="10" t="n">
        <x:v>1</x:v>
      </x:c>
      <x:c r="X726" s="10" t="str">
        <x:f>IF(COUNT(AV726,AW726)=2,AV726+AW726,"")</x:f>
      </x:c>
      <x:c r="Y726" s="10" t="str">
        <x:f>IF(COUNT(X726,W726)=2,X726-W726,"")</x:f>
      </x:c>
      <x:c r="Z726" s="10" t="n">
        <x:v>1</x:v>
      </x:c>
      <x:c r="AA726" s="10" t="str">
        <x:f>IF(COUNT(AX726,AY726)=2,AX726+AY726,"")</x:f>
      </x:c>
      <x:c r="AB726" s="10" t="str">
        <x:f>IF(COUNT(AA726,Z726)=2,AA726-Z726,"")</x:f>
      </x:c>
      <x:c r="AC726" s="10" t="n">
        <x:v>82</x:v>
      </x:c>
      <x:c r="AD726" s="10"/>
      <x:c r="AE726" s="10" t="str">
        <x:f>IF(COUNT(AD726,AC726)=2,AD726-AC726,"")</x:f>
      </x:c>
      <x:c r="AF726" s="10" t="n">
        <x:v>254</x:v>
      </x:c>
      <x:c r="AG726" s="10"/>
      <x:c r="AH726" s="10" t="str">
        <x:f>IF(COUNT(AG726,AF726)=2,AG726-AF726,"")</x:f>
      </x:c>
      <x:c r="AI726" s="10" t="n">
        <x:v>48</x:v>
      </x:c>
      <x:c r="AJ726" s="10"/>
      <x:c r="AK726" s="10" t="str">
        <x:f>IF(COUNT(AJ726,AI726)=2,AJ726-AI726,"")</x:f>
      </x:c>
      <x:c r="AL726" s="10" t="n">
        <x:v>28</x:v>
      </x:c>
      <x:c r="AM726" s="10"/>
      <x:c r="AN726" s="4" t="str">
        <x:v>RW</x:v>
      </x:c>
      <x:c r="AO726" s="4"/>
      <x:c r="AP726" s="4" t="str">
        <x:v>VGK</x:v>
      </x:c>
      <x:c r="AQ726" s="4"/>
      <x:c r="AR726" s="4" t="n">
        <x:v>12.92</x:v>
      </x:c>
      <x:c r="AS726" s="4"/>
      <x:c r="AT726" s="4" t="n">
        <x:v>0.15</x:v>
      </x:c>
      <x:c r="AU726" s="4"/>
      <x:c r="AV726" s="10"/>
      <x:c r="AW726" s="10"/>
      <x:c r="AX726" s="10"/>
      <x:c r="AY726" s="10"/>
      <x:c r="AZ726" s="10" t="n">
        <x:v>790</x:v>
      </x:c>
      <x:c r="BA726" s="10" t="n">
        <x:v>789</x:v>
      </x:c>
      <x:c r="BB726" s="4" t="n">
        <x:v>50</x:v>
      </x:c>
      <x:c r="BC726" s="4" t="n">
        <x:v>-2.7</x:v>
      </x:c>
      <x:c r="BD726" s="10" t="n">
        <x:v>560</x:v>
      </x:c>
      <x:c r="BE726" s="10" t="n">
        <x:v>556</x:v>
      </x:c>
      <x:c r="BF726" s="4" t="n">
        <x:v>50.2</x:v>
      </x:c>
      <x:c r="BG726" s="4" t="n">
        <x:v>-2.8</x:v>
      </x:c>
      <x:c r="BH726" s="4" t="n">
        <x:v>7.7</x:v>
      </x:c>
      <x:c r="BI726" s="4" t="n">
        <x:v>87.5</x:v>
      </x:c>
      <x:c r="BJ726" s="4" t="n">
        <x:v>95.2</x:v>
      </x:c>
      <x:c r="BK726" s="4" t="n">
        <x:v>40.8</x:v>
      </x:c>
      <x:c r="BL726" s="4" t="n">
        <x:v>59.2</x:v>
      </x:c>
      <x:c r="BM726" s="4" t="n">
        <x:v>11.533333333333333</x:v>
      </x:c>
      <x:c r="BN726" s="4" t="n">
        <x:v>10.883333333333333</x:v>
      </x:c>
      <x:c r="BO726" s="10" t="n">
        <x:v>6</x:v>
      </x:c>
      <x:c r="BP726" s="10" t="n">
        <x:v>39</x:v>
      </x:c>
      <x:c r="BQ726" s="4" t="n">
        <x:v>1.1</x:v>
      </x:c>
      <x:c r="BR726" s="10" t="n">
        <x:v>140</x:v>
      </x:c>
      <x:c r="BS726" s="4" t="n">
        <x:v>47.9</x:v>
      </x:c>
      <x:c r="BT726" s="10" t="n">
        <x:v>82</x:v>
      </x:c>
      <x:c r="BU726" s="4" t="str">
        <x:v>VEG</x:v>
      </x:c>
      <x:c r="BV726" s="10" t="n">
        <x:v>417</x:v>
      </x:c>
      <x:c r="BW726" s="10"/>
      <x:c r="BX726" s="10" t="n">
        <x:v>529</x:v>
      </x:c>
      <x:c r="BY726" s="4" t="str">
        <x:v>Keegan Kolesar</x:v>
      </x:c>
      <x:c r="BZ726" s="4"/>
      <x:c r="CA726" s="4" t="str">
        <x:v>Keegan Kolesar</x:v>
      </x:c>
      <x:c r="CB726" s="4" t="str">
        <x:v>koleske01</x:v>
      </x:c>
    </x:row>
    <x:row r="727" ht="22" customHeight="1">
      <x:c r="A727" s="4" t="str">
        <x:v>Kenny Connors</x:v>
      </x:c>
      <x:c r="B727" s="4" t="str">
        <x:v>kennyconnors</x:v>
      </x:c>
      <x:c r="C727" s="10" t="n">
        <x:v>0</x:v>
      </x:c>
      <x:c r="D727" s="10" t="n">
        <x:v>0</x:v>
      </x:c>
      <x:c r="E727" s="10" t="n">
        <x:v>1</x:v>
      </x:c>
      <x:c r="F727" s="4" t="str">
        <x:f>IF(COUNT(N727,Q727,T727,W727,Z727,AC727,AF727,AI727)=8,N727*Guide!$E$5+Q727*Guide!$E$6+T727*Guide!$E$7+W727*Guide!$E$8+Z727*Guide!$E$9+AC727*Guide!$E$10+AF727*Guide!$E$11+AI727*Guide!$E$12,"")</x:f>
      </x:c>
      <x:c r="G727" s="4" t="str">
        <x:f>IF(COUNT(O727,R727,U727,X727,AA727,AD727,AG727,AJ727)=8,O727*Guide!$E$5+R727*Guide!$E$6+U727*Guide!$E$7+X727*Guide!$E$8+AA727*Guide!$E$9+AD727*Guide!$E$10+AG727*Guide!$E$11+AJ727*Guide!$E$12,"")</x:f>
      </x:c>
      <x:c r="H727" s="4" t="str">
        <x:f>IF(COUNT(G727,F727)=2,G727-F727,"")</x:f>
      </x:c>
      <x:c r="I727" s="4" t="str">
        <x:f>IF(AND(ISNUMBER(F727),K727&gt;0),F727/K727,"")</x:f>
      </x:c>
      <x:c r="J727" s="4" t="str">
        <x:f>IF(AND(ISNUMBER(G727),L727&gt;0),G727/L727,"")</x:f>
      </x:c>
      <x:c r="K727" s="10"/>
      <x:c r="L727" s="10"/>
      <x:c r="M727" s="10" t="str">
        <x:f>IF(COUNT(L727,K727)=2,L727-K727,"")</x:f>
      </x:c>
      <x:c r="N727" s="10"/>
      <x:c r="O727" s="10"/>
      <x:c r="P727" s="10" t="str">
        <x:f>IF(COUNT(O727,N727)=2,O727-N727,"")</x:f>
      </x:c>
      <x:c r="Q727" s="10"/>
      <x:c r="R727" s="10"/>
      <x:c r="S727" s="10" t="str">
        <x:f>IF(COUNT(R727,Q727)=2,R727-Q727,"")</x:f>
      </x:c>
      <x:c r="T727" s="10"/>
      <x:c r="U727" s="10"/>
      <x:c r="V727" s="10" t="str">
        <x:f>IF(COUNT(U727,T727)=2,U727-T727,"")</x:f>
      </x:c>
      <x:c r="W727" s="10"/>
      <x:c r="X727" s="10" t="str">
        <x:f>IF(COUNT(AV727,AW727)=2,AV727+AW727,"")</x:f>
      </x:c>
      <x:c r="Y727" s="10" t="str">
        <x:f>IF(COUNT(X727,W727)=2,X727-W727,"")</x:f>
      </x:c>
      <x:c r="Z727" s="10"/>
      <x:c r="AA727" s="10" t="str">
        <x:f>IF(COUNT(AX727,AY727)=2,AX727+AY727,"")</x:f>
      </x:c>
      <x:c r="AB727" s="10" t="str">
        <x:f>IF(COUNT(AA727,Z727)=2,AA727-Z727,"")</x:f>
      </x:c>
      <x:c r="AC727" s="10"/>
      <x:c r="AD727" s="10"/>
      <x:c r="AE727" s="10" t="str">
        <x:f>IF(COUNT(AD727,AC727)=2,AD727-AC727,"")</x:f>
      </x:c>
      <x:c r="AF727" s="10"/>
      <x:c r="AG727" s="10"/>
      <x:c r="AH727" s="10" t="str">
        <x:f>IF(COUNT(AG727,AF727)=2,AG727-AF727,"")</x:f>
      </x:c>
      <x:c r="AI727" s="10"/>
      <x:c r="AJ727" s="10"/>
      <x:c r="AK727" s="10" t="str">
        <x:f>IF(COUNT(AJ727,AI727)=2,AJ727-AI727,"")</x:f>
      </x:c>
      <x:c r="AL727" s="10"/>
      <x:c r="AM727" s="10"/>
      <x:c r="AN727" s="4"/>
      <x:c r="AO727" s="4"/>
      <x:c r="AP727" s="4"/>
      <x:c r="AQ727" s="4"/>
      <x:c r="AR727" s="4"/>
      <x:c r="AS727" s="4"/>
      <x:c r="AT727" s="4"/>
      <x:c r="AU727" s="4"/>
      <x:c r="AV727" s="10"/>
      <x:c r="AW727" s="10"/>
      <x:c r="AX727" s="10"/>
      <x:c r="AY727" s="10"/>
      <x:c r="AZ727" s="10" t="n">
        <x:v>22</x:v>
      </x:c>
      <x:c r="BA727" s="10" t="n">
        <x:v>25</x:v>
      </x:c>
      <x:c r="BB727" s="4" t="n">
        <x:v>46.8</x:v>
      </x:c>
      <x:c r="BC727" s="4" t="n">
        <x:v>6.3</x:v>
      </x:c>
      <x:c r="BD727" s="10" t="n">
        <x:v>19</x:v>
      </x:c>
      <x:c r="BE727" s="10" t="n">
        <x:v>16</x:v>
      </x:c>
      <x:c r="BF727" s="4" t="n">
        <x:v>54.3</x:v>
      </x:c>
      <x:c r="BG727" s="4" t="n">
        <x:v>13.5</x:v>
      </x:c>
      <x:c r="BH727" s="4" t="n">
        <x:v>0</x:v>
      </x:c>
      <x:c r="BI727" s="4" t="n">
        <x:v>100</x:v>
      </x:c>
      <x:c r="BJ727" s="4" t="n">
        <x:v>100</x:v>
      </x:c>
      <x:c r="BK727" s="4" t="n">
        <x:v>44.4</x:v>
      </x:c>
      <x:c r="BL727" s="4" t="n">
        <x:v>55.6</x:v>
      </x:c>
      <x:c r="BM727" s="4" t="n">
        <x:v>8.666666666666666</x:v>
      </x:c>
      <x:c r="BN727" s="4" t="n">
        <x:v>8.266666666666667</x:v>
      </x:c>
      <x:c r="BO727" s="10" t="n">
        <x:v>0</x:v>
      </x:c>
      <x:c r="BP727" s="10" t="n">
        <x:v>1</x:v>
      </x:c>
      <x:c r="BQ727" s="4" t="n">
        <x:v>0.6</x:v>
      </x:c>
      <x:c r="BR727" s="10" t="n">
        <x:v>7</x:v>
      </x:c>
      <x:c r="BS727" s="4" t="n">
        <x:v>71.4</x:v>
      </x:c>
      <x:c r="BT727" s="10" t="n">
        <x:v>2</x:v>
      </x:c>
      <x:c r="BU727" s="4" t="str">
        <x:v>LAK</x:v>
      </x:c>
      <x:c r="BV727" s="10"/>
      <x:c r="BW727" s="10"/>
      <x:c r="BX727" s="10" t="n">
        <x:v>170</x:v>
      </x:c>
      <x:c r="BY727" s="4"/>
      <x:c r="BZ727" s="4"/>
      <x:c r="CA727" s="4" t="str">
        <x:v>Kenny Connors</x:v>
      </x:c>
      <x:c r="CB727" s="4" t="str">
        <x:v>connoke01</x:v>
      </x:c>
    </x:row>
    <x:row r="728" ht="22" customHeight="1">
      <x:c r="A728" s="4" t="str">
        <x:v>Kevin Gravel</x:v>
      </x:c>
      <x:c r="B728" s="4" t="str">
        <x:v>kevingravel</x:v>
      </x:c>
      <x:c r="C728" s="10" t="n">
        <x:v>0</x:v>
      </x:c>
      <x:c r="D728" s="10" t="n">
        <x:v>0</x:v>
      </x:c>
      <x:c r="E728" s="10" t="n">
        <x:v>1</x:v>
      </x:c>
      <x:c r="F728" s="4" t="str">
        <x:f>IF(COUNT(N728,Q728,T728,W728,Z728,AC728,AF728,AI728)=8,N728*Guide!$E$5+Q728*Guide!$E$6+T728*Guide!$E$7+W728*Guide!$E$8+Z728*Guide!$E$9+AC728*Guide!$E$10+AF728*Guide!$E$11+AI728*Guide!$E$12,"")</x:f>
      </x:c>
      <x:c r="G728" s="4" t="str">
        <x:f>IF(COUNT(O728,R728,U728,X728,AA728,AD728,AG728,AJ728)=8,O728*Guide!$E$5+R728*Guide!$E$6+U728*Guide!$E$7+X728*Guide!$E$8+AA728*Guide!$E$9+AD728*Guide!$E$10+AG728*Guide!$E$11+AJ728*Guide!$E$12,"")</x:f>
      </x:c>
      <x:c r="H728" s="4" t="str">
        <x:f>IF(COUNT(G728,F728)=2,G728-F728,"")</x:f>
      </x:c>
      <x:c r="I728" s="4" t="str">
        <x:f>IF(AND(ISNUMBER(F728),K728&gt;0),F728/K728,"")</x:f>
      </x:c>
      <x:c r="J728" s="4" t="str">
        <x:f>IF(AND(ISNUMBER(G728),L728&gt;0),G728/L728,"")</x:f>
      </x:c>
      <x:c r="K728" s="10"/>
      <x:c r="L728" s="10"/>
      <x:c r="M728" s="10" t="str">
        <x:f>IF(COUNT(L728,K728)=2,L728-K728,"")</x:f>
      </x:c>
      <x:c r="N728" s="10"/>
      <x:c r="O728" s="10"/>
      <x:c r="P728" s="10" t="str">
        <x:f>IF(COUNT(O728,N728)=2,O728-N728,"")</x:f>
      </x:c>
      <x:c r="Q728" s="10"/>
      <x:c r="R728" s="10"/>
      <x:c r="S728" s="10" t="str">
        <x:f>IF(COUNT(R728,Q728)=2,R728-Q728,"")</x:f>
      </x:c>
      <x:c r="T728" s="10"/>
      <x:c r="U728" s="10"/>
      <x:c r="V728" s="10" t="str">
        <x:f>IF(COUNT(U728,T728)=2,U728-T728,"")</x:f>
      </x:c>
      <x:c r="W728" s="10"/>
      <x:c r="X728" s="10" t="str">
        <x:f>IF(COUNT(AV728,AW728)=2,AV728+AW728,"")</x:f>
      </x:c>
      <x:c r="Y728" s="10" t="str">
        <x:f>IF(COUNT(X728,W728)=2,X728-W728,"")</x:f>
      </x:c>
      <x:c r="Z728" s="10"/>
      <x:c r="AA728" s="10" t="str">
        <x:f>IF(COUNT(AX728,AY728)=2,AX728+AY728,"")</x:f>
      </x:c>
      <x:c r="AB728" s="10" t="str">
        <x:f>IF(COUNT(AA728,Z728)=2,AA728-Z728,"")</x:f>
      </x:c>
      <x:c r="AC728" s="10"/>
      <x:c r="AD728" s="10"/>
      <x:c r="AE728" s="10" t="str">
        <x:f>IF(COUNT(AD728,AC728)=2,AD728-AC728,"")</x:f>
      </x:c>
      <x:c r="AF728" s="10"/>
      <x:c r="AG728" s="10"/>
      <x:c r="AH728" s="10" t="str">
        <x:f>IF(COUNT(AG728,AF728)=2,AG728-AF728,"")</x:f>
      </x:c>
      <x:c r="AI728" s="10"/>
      <x:c r="AJ728" s="10"/>
      <x:c r="AK728" s="10" t="str">
        <x:f>IF(COUNT(AJ728,AI728)=2,AJ728-AI728,"")</x:f>
      </x:c>
      <x:c r="AL728" s="10"/>
      <x:c r="AM728" s="10"/>
      <x:c r="AN728" s="4"/>
      <x:c r="AO728" s="4"/>
      <x:c r="AP728" s="4"/>
      <x:c r="AQ728" s="4"/>
      <x:c r="AR728" s="4"/>
      <x:c r="AS728" s="4"/>
      <x:c r="AT728" s="4"/>
      <x:c r="AU728" s="4"/>
      <x:c r="AV728" s="10"/>
      <x:c r="AW728" s="10"/>
      <x:c r="AX728" s="10"/>
      <x:c r="AY728" s="10"/>
      <x:c r="AZ728" s="10" t="n">
        <x:v>7</x:v>
      </x:c>
      <x:c r="BA728" s="10" t="n">
        <x:v>21</x:v>
      </x:c>
      <x:c r="BB728" s="4" t="n">
        <x:v>25</x:v>
      </x:c>
      <x:c r="BC728" s="4" t="n">
        <x:v>-18.3</x:v>
      </x:c>
      <x:c r="BD728" s="10" t="n">
        <x:v>6</x:v>
      </x:c>
      <x:c r="BE728" s="10" t="n">
        <x:v>14</x:v>
      </x:c>
      <x:c r="BF728" s="4" t="n">
        <x:v>30</x:v>
      </x:c>
      <x:c r="BG728" s="4" t="n">
        <x:v>-9.6</x:v>
      </x:c>
      <x:c r="BH728" s="4" t="n">
        <x:v>20</x:v>
      </x:c>
      <x:c r="BI728" s="4" t="n">
        <x:v>88.9</x:v>
      </x:c>
      <x:c r="BJ728" s="4" t="n">
        <x:v>108.9</x:v>
      </x:c>
      <x:c r="BK728" s="4" t="n">
        <x:v>36.4</x:v>
      </x:c>
      <x:c r="BL728" s="4" t="n">
        <x:v>63.6</x:v>
      </x:c>
      <x:c r="BM728" s="4" t="n">
        <x:v>16.6</x:v>
      </x:c>
      <x:c r="BN728" s="4" t="n">
        <x:v>15.866666666666667</x:v>
      </x:c>
      <x:c r="BO728" s="10" t="n">
        <x:v>0</x:v>
      </x:c>
      <x:c r="BP728" s="10" t="n">
        <x:v>1</x:v>
      </x:c>
      <x:c r="BQ728" s="4" t="n">
        <x:v>-0.4</x:v>
      </x:c>
      <x:c r="BR728" s="10" t="n">
        <x:v>1</x:v>
      </x:c>
      <x:c r="BS728" s="4" t="n">
        <x:v>100</x:v>
      </x:c>
      <x:c r="BT728" s="10" t="n">
        <x:v>1</x:v>
      </x:c>
      <x:c r="BU728" s="4" t="str">
        <x:v>NSH</x:v>
      </x:c>
      <x:c r="BV728" s="10"/>
      <x:c r="BW728" s="10"/>
      <x:c r="BX728" s="10" t="n">
        <x:v>353</x:v>
      </x:c>
      <x:c r="BY728" s="4"/>
      <x:c r="BZ728" s="4"/>
      <x:c r="CA728" s="4" t="str">
        <x:v>Kevin Gravel</x:v>
      </x:c>
      <x:c r="CB728" s="4" t="str">
        <x:v>graveke01</x:v>
      </x:c>
    </x:row>
    <x:row r="729" ht="22" customHeight="1">
      <x:c r="A729" s="4" t="str">
        <x:v>Kevin Hayes</x:v>
      </x:c>
      <x:c r="B729" s="4" t="str">
        <x:v>kevinhayes</x:v>
      </x:c>
      <x:c r="C729" s="10" t="n">
        <x:v>1</x:v>
      </x:c>
      <x:c r="D729" s="10" t="n">
        <x:v>0</x:v>
      </x:c>
      <x:c r="E729" s="10" t="n">
        <x:v>1</x:v>
      </x:c>
      <x:c r="F729" s="4" t="n">
        <x:f>IF(COUNT(N729,Q729,T729,W729,Z729,AC729,AF729,AI729)=8,N729*Guide!$E$5+Q729*Guide!$E$6+T729*Guide!$E$7+W729*Guide!$E$8+Z729*Guide!$E$9+AC729*Guide!$E$10+AF729*Guide!$E$11+AI729*Guide!$E$12,"")</x:f>
        <x:v>154</x:v>
      </x:c>
      <x:c r="G729" s="4" t="str">
        <x:f>IF(COUNT(O729,R729,U729,X729,AA729,AD729,AG729,AJ729)=8,O729*Guide!$E$5+R729*Guide!$E$6+U729*Guide!$E$7+X729*Guide!$E$8+AA729*Guide!$E$9+AD729*Guide!$E$10+AG729*Guide!$E$11+AJ729*Guide!$E$12,"")</x:f>
      </x:c>
      <x:c r="H729" s="4" t="str">
        <x:f>IF(COUNT(G729,F729)=2,G729-F729,"")</x:f>
      </x:c>
      <x:c r="I729" s="4" t="n">
        <x:f>IF(AND(ISNUMBER(F729),K729&gt;0),F729/K729,"")</x:f>
        <x:v>2.2318840579710146</x:v>
      </x:c>
      <x:c r="J729" s="4" t="str">
        <x:f>IF(AND(ISNUMBER(G729),L729&gt;0),G729/L729,"")</x:f>
      </x:c>
      <x:c r="K729" s="10" t="n">
        <x:v>69</x:v>
      </x:c>
      <x:c r="L729" s="10"/>
      <x:c r="M729" s="10" t="str">
        <x:f>IF(COUNT(L729,K729)=2,L729-K729,"")</x:f>
      </x:c>
      <x:c r="N729" s="10" t="n">
        <x:v>13</x:v>
      </x:c>
      <x:c r="O729" s="10"/>
      <x:c r="P729" s="10" t="str">
        <x:f>IF(COUNT(O729,N729)=2,O729-N729,"")</x:f>
      </x:c>
      <x:c r="Q729" s="10" t="n">
        <x:v>16</x:v>
      </x:c>
      <x:c r="R729" s="10"/>
      <x:c r="S729" s="10" t="str">
        <x:f>IF(COUNT(R729,Q729)=2,R729-Q729,"")</x:f>
      </x:c>
      <x:c r="T729" s="10" t="n">
        <x:v>-4</x:v>
      </x:c>
      <x:c r="U729" s="10"/>
      <x:c r="V729" s="10" t="str">
        <x:f>IF(COUNT(U729,T729)=2,U729-T729,"")</x:f>
      </x:c>
      <x:c r="W729" s="10" t="n">
        <x:v>8</x:v>
      </x:c>
      <x:c r="X729" s="10" t="str">
        <x:f>IF(COUNT(AV729,AW729)=2,AV729+AW729,"")</x:f>
      </x:c>
      <x:c r="Y729" s="10" t="str">
        <x:f>IF(COUNT(X729,W729)=2,X729-W729,"")</x:f>
      </x:c>
      <x:c r="Z729" s="10" t="n">
        <x:v>0</x:v>
      </x:c>
      <x:c r="AA729" s="10" t="str">
        <x:f>IF(COUNT(AX729,AY729)=2,AX729+AY729,"")</x:f>
      </x:c>
      <x:c r="AB729" s="10" t="str">
        <x:f>IF(COUNT(AA729,Z729)=2,AA729-Z729,"")</x:f>
      </x:c>
      <x:c r="AC729" s="10" t="n">
        <x:v>109</x:v>
      </x:c>
      <x:c r="AD729" s="10"/>
      <x:c r="AE729" s="10" t="str">
        <x:f>IF(COUNT(AD729,AC729)=2,AD729-AC729,"")</x:f>
      </x:c>
      <x:c r="AF729" s="10" t="n">
        <x:v>49</x:v>
      </x:c>
      <x:c r="AG729" s="10"/>
      <x:c r="AH729" s="10" t="str">
        <x:f>IF(COUNT(AG729,AF729)=2,AG729-AF729,"")</x:f>
      </x:c>
      <x:c r="AI729" s="10" t="n">
        <x:v>14</x:v>
      </x:c>
      <x:c r="AJ729" s="10"/>
      <x:c r="AK729" s="10" t="str">
        <x:f>IF(COUNT(AJ729,AI729)=2,AJ729-AI729,"")</x:f>
      </x:c>
      <x:c r="AL729" s="10" t="n">
        <x:v>33</x:v>
      </x:c>
      <x:c r="AM729" s="10"/>
      <x:c r="AN729" s="4" t="str">
        <x:v>C</x:v>
      </x:c>
      <x:c r="AO729" s="4"/>
      <x:c r="AP729" s="4" t="str">
        <x:v>PIT</x:v>
      </x:c>
      <x:c r="AQ729" s="4"/>
      <x:c r="AR729" s="4" t="n">
        <x:v>12.330000000000002</x:v>
      </x:c>
      <x:c r="AS729" s="4"/>
      <x:c r="AT729" s="4" t="n">
        <x:v>1.72</x:v>
      </x:c>
      <x:c r="AU729" s="4"/>
      <x:c r="AV729" s="10"/>
      <x:c r="AW729" s="10"/>
      <x:c r="AX729" s="10"/>
      <x:c r="AY729" s="10"/>
      <x:c r="AZ729" s="10" t="n">
        <x:v>294</x:v>
      </x:c>
      <x:c r="BA729" s="10" t="n">
        <x:v>266</x:v>
      </x:c>
      <x:c r="BB729" s="4" t="n">
        <x:v>52.5</x:v>
      </x:c>
      <x:c r="BC729" s="4" t="n">
        <x:v>1</x:v>
      </x:c>
      <x:c r="BD729" s="10" t="n">
        <x:v>218</x:v>
      </x:c>
      <x:c r="BE729" s="10" t="n">
        <x:v>200</x:v>
      </x:c>
      <x:c r="BF729" s="4" t="n">
        <x:v>52.2</x:v>
      </x:c>
      <x:c r="BG729" s="4" t="n">
        <x:v>0.9</x:v>
      </x:c>
      <x:c r="BH729" s="4" t="n">
        <x:v>11</x:v>
      </x:c>
      <x:c r="BI729" s="4" t="n">
        <x:v>86.7</x:v>
      </x:c>
      <x:c r="BJ729" s="4" t="n">
        <x:v>97.8</x:v>
      </x:c>
      <x:c r="BK729" s="4" t="n">
        <x:v>50.9</x:v>
      </x:c>
      <x:c r="BL729" s="4" t="n">
        <x:v>49.1</x:v>
      </x:c>
      <x:c r="BM729" s="4" t="n">
        <x:v>12.466666666666667</x:v>
      </x:c>
      <x:c r="BN729" s="4" t="n">
        <x:v>11.366666666666667</x:v>
      </x:c>
      <x:c r="BO729" s="10" t="n">
        <x:v>4</x:v>
      </x:c>
      <x:c r="BP729" s="10" t="n">
        <x:v>20</x:v>
      </x:c>
      <x:c r="BQ729" s="4" t="n">
        <x:v>3.2</x:v>
      </x:c>
      <x:c r="BR729" s="10" t="n">
        <x:v>81</x:v>
      </x:c>
      <x:c r="BS729" s="4" t="n">
        <x:v>55.6</x:v>
      </x:c>
      <x:c r="BT729" s="10" t="n">
        <x:v>28</x:v>
      </x:c>
      <x:c r="BU729" s="4" t="str">
        <x:v>PIT</x:v>
      </x:c>
      <x:c r="BV729" s="10" t="n">
        <x:v>390</x:v>
      </x:c>
      <x:c r="BW729" s="10"/>
      <x:c r="BX729" s="10" t="n">
        <x:v>397</x:v>
      </x:c>
      <x:c r="BY729" s="4" t="str">
        <x:v>Kevin Hayes</x:v>
      </x:c>
      <x:c r="BZ729" s="4"/>
      <x:c r="CA729" s="4" t="str">
        <x:v>Kevin Hayes</x:v>
      </x:c>
      <x:c r="CB729" s="4" t="str">
        <x:v>hayeske01</x:v>
      </x:c>
    </x:row>
    <x:row r="730" ht="22" customHeight="1">
      <x:c r="A730" s="4" t="str">
        <x:v>Kevin Korchinski</x:v>
      </x:c>
      <x:c r="B730" s="4" t="str">
        <x:v>kevinkorchinski</x:v>
      </x:c>
      <x:c r="C730" s="10" t="n">
        <x:v>1</x:v>
      </x:c>
      <x:c r="D730" s="10" t="n">
        <x:v>0</x:v>
      </x:c>
      <x:c r="E730" s="10" t="n">
        <x:v>1</x:v>
      </x:c>
      <x:c r="F730" s="4" t="n">
        <x:f>IF(COUNT(N730,Q730,T730,W730,Z730,AC730,AF730,AI730)=8,N730*Guide!$E$5+Q730*Guide!$E$6+T730*Guide!$E$7+W730*Guide!$E$8+Z730*Guide!$E$9+AC730*Guide!$E$10+AF730*Guide!$E$11+AI730*Guide!$E$12,"")</x:f>
        <x:v>76.5</x:v>
      </x:c>
      <x:c r="G730" s="4" t="str">
        <x:f>IF(COUNT(O730,R730,U730,X730,AA730,AD730,AG730,AJ730)=8,O730*Guide!$E$5+R730*Guide!$E$6+U730*Guide!$E$7+X730*Guide!$E$8+AA730*Guide!$E$9+AD730*Guide!$E$10+AG730*Guide!$E$11+AJ730*Guide!$E$12,"")</x:f>
      </x:c>
      <x:c r="H730" s="4" t="str">
        <x:f>IF(COUNT(G730,F730)=2,G730-F730,"")</x:f>
      </x:c>
      <x:c r="I730" s="4" t="n">
        <x:f>IF(AND(ISNUMBER(F730),K730&gt;0),F730/K730,"")</x:f>
        <x:v>1.8658536585365855</x:v>
      </x:c>
      <x:c r="J730" s="4" t="str">
        <x:f>IF(AND(ISNUMBER(G730),L730&gt;0),G730/L730,"")</x:f>
      </x:c>
      <x:c r="K730" s="10" t="n">
        <x:v>41</x:v>
      </x:c>
      <x:c r="L730" s="10"/>
      <x:c r="M730" s="10" t="str">
        <x:f>IF(COUNT(L730,K730)=2,L730-K730,"")</x:f>
      </x:c>
      <x:c r="N730" s="10" t="n">
        <x:v>3</x:v>
      </x:c>
      <x:c r="O730" s="10"/>
      <x:c r="P730" s="10" t="str">
        <x:f>IF(COUNT(O730,N730)=2,O730-N730,"")</x:f>
      </x:c>
      <x:c r="Q730" s="10" t="n">
        <x:v>8</x:v>
      </x:c>
      <x:c r="R730" s="10"/>
      <x:c r="S730" s="10" t="str">
        <x:f>IF(COUNT(R730,Q730)=2,R730-Q730,"")</x:f>
      </x:c>
      <x:c r="T730" s="10" t="n">
        <x:v>-5</x:v>
      </x:c>
      <x:c r="U730" s="10"/>
      <x:c r="V730" s="10" t="str">
        <x:f>IF(COUNT(U730,T730)=2,U730-T730,"")</x:f>
      </x:c>
      <x:c r="W730" s="10" t="n">
        <x:v>2</x:v>
      </x:c>
      <x:c r="X730" s="10" t="str">
        <x:f>IF(COUNT(AV730,AW730)=2,AV730+AW730,"")</x:f>
      </x:c>
      <x:c r="Y730" s="10" t="str">
        <x:f>IF(COUNT(X730,W730)=2,X730-W730,"")</x:f>
      </x:c>
      <x:c r="Z730" s="10" t="n">
        <x:v>0</x:v>
      </x:c>
      <x:c r="AA730" s="10" t="str">
        <x:f>IF(COUNT(AX730,AY730)=2,AX730+AY730,"")</x:f>
      </x:c>
      <x:c r="AB730" s="10" t="str">
        <x:f>IF(COUNT(AA730,Z730)=2,AA730-Z730,"")</x:f>
      </x:c>
      <x:c r="AC730" s="10" t="n">
        <x:v>47</x:v>
      </x:c>
      <x:c r="AD730" s="10"/>
      <x:c r="AE730" s="10" t="str">
        <x:f>IF(COUNT(AD730,AC730)=2,AD730-AC730,"")</x:f>
      </x:c>
      <x:c r="AF730" s="10" t="n">
        <x:v>7</x:v>
      </x:c>
      <x:c r="AG730" s="10"/>
      <x:c r="AH730" s="10" t="str">
        <x:f>IF(COUNT(AG730,AF730)=2,AG730-AF730,"")</x:f>
      </x:c>
      <x:c r="AI730" s="10" t="n">
        <x:v>40</x:v>
      </x:c>
      <x:c r="AJ730" s="10"/>
      <x:c r="AK730" s="10" t="str">
        <x:f>IF(COUNT(AJ730,AI730)=2,AJ730-AI730,"")</x:f>
      </x:c>
      <x:c r="AL730" s="10" t="n">
        <x:v>21</x:v>
      </x:c>
      <x:c r="AM730" s="10"/>
      <x:c r="AN730" s="4" t="str">
        <x:v>D</x:v>
      </x:c>
      <x:c r="AO730" s="4"/>
      <x:c r="AP730" s="4" t="str">
        <x:v>CHI</x:v>
      </x:c>
      <x:c r="AQ730" s="4"/>
      <x:c r="AR730" s="4" t="n">
        <x:v>17.490000000000002</x:v>
      </x:c>
      <x:c r="AS730" s="4"/>
      <x:c r="AT730" s="4" t="n">
        <x:v>1</x:v>
      </x:c>
      <x:c r="AU730" s="4"/>
      <x:c r="AV730" s="10"/>
      <x:c r="AW730" s="10"/>
      <x:c r="AX730" s="10"/>
      <x:c r="AY730" s="10"/>
      <x:c r="AZ730" s="10" t="n">
        <x:v>130</x:v>
      </x:c>
      <x:c r="BA730" s="10" t="n">
        <x:v>144</x:v>
      </x:c>
      <x:c r="BB730" s="4" t="n">
        <x:v>47.4</x:v>
      </x:c>
      <x:c r="BC730" s="4" t="n">
        <x:v>3.6</x:v>
      </x:c>
      <x:c r="BD730" s="10" t="n">
        <x:v>95</x:v>
      </x:c>
      <x:c r="BE730" s="10" t="n">
        <x:v>110</x:v>
      </x:c>
      <x:c r="BF730" s="4" t="n">
        <x:v>46.3</x:v>
      </x:c>
      <x:c r="BG730" s="4" t="n">
        <x:v>2.5</x:v>
      </x:c>
      <x:c r="BH730" s="4" t="n">
        <x:v>10.3</x:v>
      </x:c>
      <x:c r="BI730" s="4" t="n">
        <x:v>87.3</x:v>
      </x:c>
      <x:c r="BJ730" s="4" t="n">
        <x:v>97.7</x:v>
      </x:c>
      <x:c r="BK730" s="4" t="n">
        <x:v>56.1</x:v>
      </x:c>
      <x:c r="BL730" s="4" t="n">
        <x:v>43.9</x:v>
      </x:c>
      <x:c r="BM730" s="4" t="n">
        <x:v>13.633333333333333</x:v>
      </x:c>
      <x:c r="BN730" s="4" t="n">
        <x:v>13.566666666666666</x:v>
      </x:c>
      <x:c r="BO730" s="10" t="n">
        <x:v>2</x:v>
      </x:c>
      <x:c r="BP730" s="10" t="n">
        <x:v>13</x:v>
      </x:c>
      <x:c r="BQ730" s="4" t="n">
        <x:v>-1.8</x:v>
      </x:c>
      <x:c r="BR730" s="10" t="n">
        <x:v>17</x:v>
      </x:c>
      <x:c r="BS730" s="4" t="n">
        <x:v>41.2</x:v>
      </x:c>
      <x:c r="BT730" s="10" t="n">
        <x:v>13</x:v>
      </x:c>
      <x:c r="BU730" s="4" t="str">
        <x:v>CHI</x:v>
      </x:c>
      <x:c r="BV730" s="10" t="n">
        <x:v>715</x:v>
      </x:c>
      <x:c r="BW730" s="10"/>
      <x:c r="BX730" s="10" t="n">
        <x:v>536</x:v>
      </x:c>
      <x:c r="BY730" s="4" t="str">
        <x:v>Kevin Korchinski</x:v>
      </x:c>
      <x:c r="BZ730" s="4"/>
      <x:c r="CA730" s="4" t="str">
        <x:v>Kevin Korchinski</x:v>
      </x:c>
      <x:c r="CB730" s="4" t="str">
        <x:v>korchke01</x:v>
      </x:c>
    </x:row>
    <x:row r="731" ht="22" customHeight="1">
      <x:c r="A731" s="4" t="str">
        <x:v>Kevin Labanc</x:v>
      </x:c>
      <x:c r="B731" s="4" t="str">
        <x:v>kevinlabanc</x:v>
      </x:c>
      <x:c r="C731" s="10" t="n">
        <x:v>1</x:v>
      </x:c>
      <x:c r="D731" s="10" t="n">
        <x:v>0</x:v>
      </x:c>
      <x:c r="E731" s="10" t="n">
        <x:v>0</x:v>
      </x:c>
      <x:c r="F731" s="4" t="n">
        <x:f>IF(COUNT(N731,Q731,T731,W731,Z731,AC731,AF731,AI731)=8,N731*Guide!$E$5+Q731*Guide!$E$6+T731*Guide!$E$7+W731*Guide!$E$8+Z731*Guide!$E$9+AC731*Guide!$E$10+AF731*Guide!$E$11+AI731*Guide!$E$12,"")</x:f>
        <x:v>116.75</x:v>
      </x:c>
      <x:c r="G731" s="4" t="str">
        <x:f>IF(COUNT(O731,R731,U731,X731,AA731,AD731,AG731,AJ731)=8,O731*Guide!$E$5+R731*Guide!$E$6+U731*Guide!$E$7+X731*Guide!$E$8+AA731*Guide!$E$9+AD731*Guide!$E$10+AG731*Guide!$E$11+AJ731*Guide!$E$12,"")</x:f>
      </x:c>
      <x:c r="H731" s="4" t="str">
        <x:f>IF(COUNT(G731,F731)=2,G731-F731,"")</x:f>
      </x:c>
      <x:c r="I731" s="4" t="n">
        <x:f>IF(AND(ISNUMBER(F731),K731&gt;0),F731/K731,"")</x:f>
        <x:v>1.8830645161290323</x:v>
      </x:c>
      <x:c r="J731" s="4" t="str">
        <x:f>IF(AND(ISNUMBER(G731),L731&gt;0),G731/L731,"")</x:f>
      </x:c>
      <x:c r="K731" s="10" t="n">
        <x:v>62</x:v>
      </x:c>
      <x:c r="L731" s="10"/>
      <x:c r="M731" s="10" t="str">
        <x:f>IF(COUNT(L731,K731)=2,L731-K731,"")</x:f>
      </x:c>
      <x:c r="N731" s="10" t="n">
        <x:v>7</x:v>
      </x:c>
      <x:c r="O731" s="10"/>
      <x:c r="P731" s="10" t="str">
        <x:f>IF(COUNT(O731,N731)=2,O731-N731,"")</x:f>
      </x:c>
      <x:c r="Q731" s="10" t="n">
        <x:v>13</x:v>
      </x:c>
      <x:c r="R731" s="10"/>
      <x:c r="S731" s="10" t="str">
        <x:f>IF(COUNT(R731,Q731)=2,R731-Q731,"")</x:f>
      </x:c>
      <x:c r="T731" s="10" t="n">
        <x:v>-2</x:v>
      </x:c>
      <x:c r="U731" s="10"/>
      <x:c r="V731" s="10" t="str">
        <x:f>IF(COUNT(U731,T731)=2,U731-T731,"")</x:f>
      </x:c>
      <x:c r="W731" s="10" t="n">
        <x:v>3</x:v>
      </x:c>
      <x:c r="X731" s="10" t="str">
        <x:f>IF(COUNT(AV731,AW731)=2,AV731+AW731,"")</x:f>
      </x:c>
      <x:c r="Y731" s="10" t="str">
        <x:f>IF(COUNT(X731,W731)=2,X731-W731,"")</x:f>
      </x:c>
      <x:c r="Z731" s="10" t="n">
        <x:v>0</x:v>
      </x:c>
      <x:c r="AA731" s="10" t="str">
        <x:f>IF(COUNT(AX731,AY731)=2,AX731+AY731,"")</x:f>
      </x:c>
      <x:c r="AB731" s="10" t="str">
        <x:f>IF(COUNT(AA731,Z731)=2,AA731-Z731,"")</x:f>
      </x:c>
      <x:c r="AC731" s="10" t="n">
        <x:v>69</x:v>
      </x:c>
      <x:c r="AD731" s="10"/>
      <x:c r="AE731" s="10" t="str">
        <x:f>IF(COUNT(AD731,AC731)=2,AD731-AC731,"")</x:f>
      </x:c>
      <x:c r="AF731" s="10" t="n">
        <x:v>54</x:v>
      </x:c>
      <x:c r="AG731" s="10"/>
      <x:c r="AH731" s="10" t="str">
        <x:f>IF(COUNT(AG731,AF731)=2,AG731-AF731,"")</x:f>
      </x:c>
      <x:c r="AI731" s="10" t="n">
        <x:v>24</x:v>
      </x:c>
      <x:c r="AJ731" s="10"/>
      <x:c r="AK731" s="10" t="str">
        <x:f>IF(COUNT(AJ731,AI731)=2,AJ731-AI731,"")</x:f>
      </x:c>
      <x:c r="AL731" s="10" t="n">
        <x:v>30</x:v>
      </x:c>
      <x:c r="AM731" s="10"/>
      <x:c r="AN731" s="4" t="str">
        <x:v>RW</x:v>
      </x:c>
      <x:c r="AO731" s="4"/>
      <x:c r="AP731" s="4" t="str">
        <x:v>CBJ</x:v>
      </x:c>
      <x:c r="AQ731" s="4"/>
      <x:c r="AR731" s="4" t="n">
        <x:v>10.809999999999999</x:v>
      </x:c>
      <x:c r="AS731" s="4"/>
      <x:c r="AT731" s="4" t="n">
        <x:v>0.68</x:v>
      </x:c>
      <x:c r="AU731" s="4"/>
      <x:c r="AV731" s="10"/>
      <x:c r="AW731" s="10"/>
      <x:c r="AX731" s="10"/>
      <x:c r="AY731" s="10"/>
      <x:c r="AZ731" s="10"/>
      <x:c r="BA731" s="10"/>
      <x:c r="BB731" s="4"/>
      <x:c r="BC731" s="4"/>
      <x:c r="BD731" s="10"/>
      <x:c r="BE731" s="10"/>
      <x:c r="BF731" s="4"/>
      <x:c r="BG731" s="4"/>
      <x:c r="BH731" s="4"/>
      <x:c r="BI731" s="4"/>
      <x:c r="BJ731" s="4"/>
      <x:c r="BK731" s="4"/>
      <x:c r="BL731" s="4"/>
      <x:c r="BM731" s="4"/>
      <x:c r="BN731" s="4"/>
      <x:c r="BO731" s="10"/>
      <x:c r="BP731" s="10"/>
      <x:c r="BQ731" s="4"/>
      <x:c r="BR731" s="10"/>
      <x:c r="BS731" s="4"/>
      <x:c r="BT731" s="10"/>
      <x:c r="BU731" s="4"/>
      <x:c r="BV731" s="10" t="n">
        <x:v>528</x:v>
      </x:c>
      <x:c r="BW731" s="10"/>
      <x:c r="BX731" s="10"/>
      <x:c r="BY731" s="4" t="str">
        <x:v>Kevin Labanc</x:v>
      </x:c>
      <x:c r="BZ731" s="4"/>
      <x:c r="CA731" s="4"/>
      <x:c r="CB731" s="4"/>
    </x:row>
    <x:row r="732" ht="22" customHeight="1">
      <x:c r="A732" s="4" t="str">
        <x:v>Kevin Rooney</x:v>
      </x:c>
      <x:c r="B732" s="4" t="str">
        <x:v>kevinrooney</x:v>
      </x:c>
      <x:c r="C732" s="10" t="n">
        <x:v>1</x:v>
      </x:c>
      <x:c r="D732" s="10" t="n">
        <x:v>0</x:v>
      </x:c>
      <x:c r="E732" s="10" t="n">
        <x:v>1</x:v>
      </x:c>
      <x:c r="F732" s="4" t="n">
        <x:f>IF(COUNT(N732,Q732,T732,W732,Z732,AC732,AF732,AI732)=8,N732*Guide!$E$5+Q732*Guide!$E$6+T732*Guide!$E$7+W732*Guide!$E$8+Z732*Guide!$E$9+AC732*Guide!$E$10+AF732*Guide!$E$11+AI732*Guide!$E$12,"")</x:f>
        <x:v>115.75</x:v>
      </x:c>
      <x:c r="G732" s="4" t="str">
        <x:f>IF(COUNT(O732,R732,U732,X732,AA732,AD732,AG732,AJ732)=8,O732*Guide!$E$5+R732*Guide!$E$6+U732*Guide!$E$7+X732*Guide!$E$8+AA732*Guide!$E$9+AD732*Guide!$E$10+AG732*Guide!$E$11+AJ732*Guide!$E$12,"")</x:f>
      </x:c>
      <x:c r="H732" s="4" t="str">
        <x:f>IF(COUNT(G732,F732)=2,G732-F732,"")</x:f>
      </x:c>
      <x:c r="I732" s="4" t="n">
        <x:f>IF(AND(ISNUMBER(F732),K732&gt;0),F732/K732,"")</x:f>
        <x:v>1.6535714285714285</x:v>
      </x:c>
      <x:c r="J732" s="4" t="str">
        <x:f>IF(AND(ISNUMBER(G732),L732&gt;0),G732/L732,"")</x:f>
      </x:c>
      <x:c r="K732" s="10" t="n">
        <x:v>70</x:v>
      </x:c>
      <x:c r="L732" s="10"/>
      <x:c r="M732" s="10" t="str">
        <x:f>IF(COUNT(L732,K732)=2,L732-K732,"")</x:f>
      </x:c>
      <x:c r="N732" s="10" t="n">
        <x:v>7</x:v>
      </x:c>
      <x:c r="O732" s="10"/>
      <x:c r="P732" s="10" t="str">
        <x:f>IF(COUNT(O732,N732)=2,O732-N732,"")</x:f>
      </x:c>
      <x:c r="Q732" s="10" t="n">
        <x:v>6</x:v>
      </x:c>
      <x:c r="R732" s="10"/>
      <x:c r="S732" s="10" t="str">
        <x:f>IF(COUNT(R732,Q732)=2,R732-Q732,"")</x:f>
      </x:c>
      <x:c r="T732" s="10" t="n">
        <x:v>-2</x:v>
      </x:c>
      <x:c r="U732" s="10"/>
      <x:c r="V732" s="10" t="str">
        <x:f>IF(COUNT(U732,T732)=2,U732-T732,"")</x:f>
      </x:c>
      <x:c r="W732" s="10" t="n">
        <x:v>0</x:v>
      </x:c>
      <x:c r="X732" s="10" t="str">
        <x:f>IF(COUNT(AV732,AW732)=2,AV732+AW732,"")</x:f>
      </x:c>
      <x:c r="Y732" s="10" t="str">
        <x:f>IF(COUNT(X732,W732)=2,X732-W732,"")</x:f>
      </x:c>
      <x:c r="Z732" s="10" t="n">
        <x:v>1</x:v>
      </x:c>
      <x:c r="AA732" s="10" t="str">
        <x:f>IF(COUNT(AX732,AY732)=2,AX732+AY732,"")</x:f>
      </x:c>
      <x:c r="AB732" s="10" t="str">
        <x:f>IF(COUNT(AA732,Z732)=2,AA732-Z732,"")</x:f>
      </x:c>
      <x:c r="AC732" s="10" t="n">
        <x:v>52</x:v>
      </x:c>
      <x:c r="AD732" s="10"/>
      <x:c r="AE732" s="10" t="str">
        <x:f>IF(COUNT(AD732,AC732)=2,AD732-AC732,"")</x:f>
      </x:c>
      <x:c r="AF732" s="10" t="n">
        <x:v>106</x:v>
      </x:c>
      <x:c r="AG732" s="10"/>
      <x:c r="AH732" s="10" t="str">
        <x:f>IF(COUNT(AG732,AF732)=2,AG732-AF732,"")</x:f>
      </x:c>
      <x:c r="AI732" s="10" t="n">
        <x:v>39</x:v>
      </x:c>
      <x:c r="AJ732" s="10"/>
      <x:c r="AK732" s="10" t="str">
        <x:f>IF(COUNT(AJ732,AI732)=2,AJ732-AI732,"")</x:f>
      </x:c>
      <x:c r="AL732" s="10" t="n">
        <x:v>32</x:v>
      </x:c>
      <x:c r="AM732" s="10"/>
      <x:c r="AN732" s="4" t="str">
        <x:v>C</x:v>
      </x:c>
      <x:c r="AO732" s="4"/>
      <x:c r="AP732" s="4" t="str">
        <x:v>CGY</x:v>
      </x:c>
      <x:c r="AQ732" s="4"/>
      <x:c r="AR732" s="4" t="n">
        <x:v>9.370000000000001</x:v>
      </x:c>
      <x:c r="AS732" s="4"/>
      <x:c r="AT732" s="4" t="n">
        <x:v>0.16</x:v>
      </x:c>
      <x:c r="AU732" s="4"/>
      <x:c r="AV732" s="10"/>
      <x:c r="AW732" s="10"/>
      <x:c r="AX732" s="10"/>
      <x:c r="AY732" s="10"/>
      <x:c r="AZ732" s="10" t="n">
        <x:v>8</x:v>
      </x:c>
      <x:c r="BA732" s="10" t="n">
        <x:v>6</x:v>
      </x:c>
      <x:c r="BB732" s="4" t="n">
        <x:v>57.1</x:v>
      </x:c>
      <x:c r="BC732" s="4" t="n">
        <x:v>3.6</x:v>
      </x:c>
      <x:c r="BD732" s="10" t="n">
        <x:v>6</x:v>
      </x:c>
      <x:c r="BE732" s="10" t="n">
        <x:v>5</x:v>
      </x:c>
      <x:c r="BF732" s="4" t="n">
        <x:v>54.5</x:v>
      </x:c>
      <x:c r="BG732" s="4" t="n">
        <x:v>-2.9</x:v>
      </x:c>
      <x:c r="BH732" s="4" t="n">
        <x:v>25</x:v>
      </x:c>
      <x:c r="BI732" s="4" t="n">
        <x:v>100</x:v>
      </x:c>
      <x:c r="BJ732" s="4" t="n">
        <x:v>125</x:v>
      </x:c>
      <x:c r="BK732" s="4" t="n">
        <x:v>33.3</x:v>
      </x:c>
      <x:c r="BL732" s="4" t="n">
        <x:v>66.7</x:v>
      </x:c>
      <x:c r="BM732" s="4" t="n">
        <x:v>9.733333333333333</x:v>
      </x:c>
      <x:c r="BN732" s="4" t="n">
        <x:v>9.733333333333333</x:v>
      </x:c>
      <x:c r="BO732" s="10" t="n">
        <x:v>0</x:v>
      </x:c>
      <x:c r="BP732" s="10" t="n">
        <x:v>1</x:v>
      </x:c>
      <x:c r="BQ732" s="4" t="n">
        <x:v>0.1</x:v>
      </x:c>
      <x:c r="BR732" s="10" t="n">
        <x:v>3</x:v>
      </x:c>
      <x:c r="BS732" s="4" t="n">
        <x:v>33.3</x:v>
      </x:c>
      <x:c r="BT732" s="10" t="n">
        <x:v>1</x:v>
      </x:c>
      <x:c r="BU732" s="4" t="str">
        <x:v>UTA</x:v>
      </x:c>
      <x:c r="BV732" s="10" t="n">
        <x:v>678</x:v>
      </x:c>
      <x:c r="BW732" s="10"/>
      <x:c r="BX732" s="10" t="n">
        <x:v>872</x:v>
      </x:c>
      <x:c r="BY732" s="4" t="str">
        <x:v>Kevin Rooney</x:v>
      </x:c>
      <x:c r="BZ732" s="4"/>
      <x:c r="CA732" s="4" t="str">
        <x:v>Kevin Rooney</x:v>
      </x:c>
      <x:c r="CB732" s="4" t="str">
        <x:v>rooneke01</x:v>
      </x:c>
    </x:row>
    <x:row r="733" ht="22" customHeight="1">
      <x:c r="A733" s="4" t="str">
        <x:v>Kevin Stenlund</x:v>
      </x:c>
      <x:c r="B733" s="4" t="str">
        <x:v>kevinstenlund</x:v>
      </x:c>
      <x:c r="C733" s="10" t="n">
        <x:v>1</x:v>
      </x:c>
      <x:c r="D733" s="10" t="n">
        <x:v>0</x:v>
      </x:c>
      <x:c r="E733" s="10" t="n">
        <x:v>1</x:v>
      </x:c>
      <x:c r="F733" s="4" t="n">
        <x:f>IF(COUNT(N733,Q733,T733,W733,Z733,AC733,AF733,AI733)=8,N733*Guide!$E$5+Q733*Guide!$E$6+T733*Guide!$E$7+W733*Guide!$E$8+Z733*Guide!$E$9+AC733*Guide!$E$10+AF733*Guide!$E$11+AI733*Guide!$E$12,"")</x:f>
        <x:v>170.25</x:v>
      </x:c>
      <x:c r="G733" s="4" t="str">
        <x:f>IF(COUNT(O733,R733,U733,X733,AA733,AD733,AG733,AJ733)=8,O733*Guide!$E$5+R733*Guide!$E$6+U733*Guide!$E$7+X733*Guide!$E$8+AA733*Guide!$E$9+AD733*Guide!$E$10+AG733*Guide!$E$11+AJ733*Guide!$E$12,"")</x:f>
      </x:c>
      <x:c r="H733" s="4" t="str">
        <x:f>IF(COUNT(G733,F733)=2,G733-F733,"")</x:f>
      </x:c>
      <x:c r="I733" s="4" t="n">
        <x:f>IF(AND(ISNUMBER(F733),K733&gt;0),F733/K733,"")</x:f>
        <x:v>2.076219512195122</x:v>
      </x:c>
      <x:c r="J733" s="4" t="str">
        <x:f>IF(AND(ISNUMBER(G733),L733&gt;0),G733/L733,"")</x:f>
      </x:c>
      <x:c r="K733" s="10" t="n">
        <x:v>82</x:v>
      </x:c>
      <x:c r="L733" s="10"/>
      <x:c r="M733" s="10" t="str">
        <x:f>IF(COUNT(L733,K733)=2,L733-K733,"")</x:f>
      </x:c>
      <x:c r="N733" s="10" t="n">
        <x:v>13</x:v>
      </x:c>
      <x:c r="O733" s="10"/>
      <x:c r="P733" s="10" t="str">
        <x:f>IF(COUNT(O733,N733)=2,O733-N733,"")</x:f>
      </x:c>
      <x:c r="Q733" s="10" t="n">
        <x:v>11</x:v>
      </x:c>
      <x:c r="R733" s="10"/>
      <x:c r="S733" s="10" t="str">
        <x:f>IF(COUNT(R733,Q733)=2,R733-Q733,"")</x:f>
      </x:c>
      <x:c r="T733" s="10" t="n">
        <x:v>-5</x:v>
      </x:c>
      <x:c r="U733" s="10"/>
      <x:c r="V733" s="10" t="str">
        <x:f>IF(COUNT(U733,T733)=2,U733-T733,"")</x:f>
      </x:c>
      <x:c r="W733" s="10" t="n">
        <x:v>1</x:v>
      </x:c>
      <x:c r="X733" s="10" t="str">
        <x:f>IF(COUNT(AV733,AW733)=2,AV733+AW733,"")</x:f>
      </x:c>
      <x:c r="Y733" s="10" t="str">
        <x:f>IF(COUNT(X733,W733)=2,X733-W733,"")</x:f>
      </x:c>
      <x:c r="Z733" s="10" t="n">
        <x:v>2</x:v>
      </x:c>
      <x:c r="AA733" s="10" t="str">
        <x:f>IF(COUNT(AX733,AY733)=2,AX733+AY733,"")</x:f>
      </x:c>
      <x:c r="AB733" s="10" t="str">
        <x:f>IF(COUNT(AA733,Z733)=2,AA733-Z733,"")</x:f>
      </x:c>
      <x:c r="AC733" s="10" t="n">
        <x:v>97</x:v>
      </x:c>
      <x:c r="AD733" s="10"/>
      <x:c r="AE733" s="10" t="str">
        <x:f>IF(COUNT(AD733,AC733)=2,AD733-AC733,"")</x:f>
      </x:c>
      <x:c r="AF733" s="10" t="n">
        <x:v>56</x:v>
      </x:c>
      <x:c r="AG733" s="10"/>
      <x:c r="AH733" s="10" t="str">
        <x:f>IF(COUNT(AG733,AF733)=2,AG733-AF733,"")</x:f>
      </x:c>
      <x:c r="AI733" s="10" t="n">
        <x:v>60</x:v>
      </x:c>
      <x:c r="AJ733" s="10"/>
      <x:c r="AK733" s="10" t="str">
        <x:f>IF(COUNT(AJ733,AI733)=2,AJ733-AI733,"")</x:f>
      </x:c>
      <x:c r="AL733" s="10" t="n">
        <x:v>29</x:v>
      </x:c>
      <x:c r="AM733" s="10"/>
      <x:c r="AN733" s="4" t="str">
        <x:v>C</x:v>
      </x:c>
      <x:c r="AO733" s="4"/>
      <x:c r="AP733" s="4" t="str">
        <x:v>UTA</x:v>
      </x:c>
      <x:c r="AQ733" s="4"/>
      <x:c r="AR733" s="4" t="n">
        <x:v>13.86</x:v>
      </x:c>
      <x:c r="AS733" s="4"/>
      <x:c r="AT733" s="4" t="n">
        <x:v>0.17</x:v>
      </x:c>
      <x:c r="AU733" s="4"/>
      <x:c r="AV733" s="10"/>
      <x:c r="AW733" s="10"/>
      <x:c r="AX733" s="10"/>
      <x:c r="AY733" s="10"/>
      <x:c r="AZ733" s="10" t="n">
        <x:v>798</x:v>
      </x:c>
      <x:c r="BA733" s="10" t="n">
        <x:v>889</x:v>
      </x:c>
      <x:c r="BB733" s="4" t="n">
        <x:v>47.3</x:v>
      </x:c>
      <x:c r="BC733" s="4" t="n">
        <x:v>-7.7</x:v>
      </x:c>
      <x:c r="BD733" s="10" t="n">
        <x:v>553</x:v>
      </x:c>
      <x:c r="BE733" s="10" t="n">
        <x:v>600</x:v>
      </x:c>
      <x:c r="BF733" s="4" t="n">
        <x:v>48</x:v>
      </x:c>
      <x:c r="BG733" s="4" t="n">
        <x:v>-6.6</x:v>
      </x:c>
      <x:c r="BH733" s="4" t="n">
        <x:v>8.7</x:v>
      </x:c>
      <x:c r="BI733" s="4" t="n">
        <x:v>89.4</x:v>
      </x:c>
      <x:c r="BJ733" s="4" t="n">
        <x:v>98.2</x:v>
      </x:c>
      <x:c r="BK733" s="4" t="n">
        <x:v>34.1</x:v>
      </x:c>
      <x:c r="BL733" s="4" t="n">
        <x:v>65.9</x:v>
      </x:c>
      <x:c r="BM733" s="4" t="n">
        <x:v>14.483333333333333</x:v>
      </x:c>
      <x:c r="BN733" s="4" t="n">
        <x:v>11.3</x:v>
      </x:c>
      <x:c r="BO733" s="10" t="n">
        <x:v>13</x:v>
      </x:c>
      <x:c r="BP733" s="10" t="n">
        <x:v>50</x:v>
      </x:c>
      <x:c r="BQ733" s="4" t="n">
        <x:v>-10.4</x:v>
      </x:c>
      <x:c r="BR733" s="10" t="n">
        <x:v>167</x:v>
      </x:c>
      <x:c r="BS733" s="4" t="n">
        <x:v>39.5</x:v>
      </x:c>
      <x:c r="BT733" s="10" t="n">
        <x:v>80</x:v>
      </x:c>
      <x:c r="BU733" s="4" t="str">
        <x:v>UTA</x:v>
      </x:c>
      <x:c r="BV733" s="10" t="n">
        <x:v>454</x:v>
      </x:c>
      <x:c r="BW733" s="10"/>
      <x:c r="BX733" s="10" t="n">
        <x:v>982</x:v>
      </x:c>
      <x:c r="BY733" s="4" t="str">
        <x:v>Kevin Stenlund</x:v>
      </x:c>
      <x:c r="BZ733" s="4"/>
      <x:c r="CA733" s="4" t="str">
        <x:v>Kevin Stenlund</x:v>
      </x:c>
      <x:c r="CB733" s="4" t="str">
        <x:v>stenlke01</x:v>
      </x:c>
    </x:row>
    <x:row r="734" ht="22" customHeight="1">
      <x:c r="A734" s="4" t="str">
        <x:v>Kirby Dach</x:v>
      </x:c>
      <x:c r="B734" s="4" t="str">
        <x:v>kirbydach</x:v>
      </x:c>
      <x:c r="C734" s="10" t="n">
        <x:v>1</x:v>
      </x:c>
      <x:c r="D734" s="10" t="n">
        <x:v>0</x:v>
      </x:c>
      <x:c r="E734" s="10" t="n">
        <x:v>1</x:v>
      </x:c>
      <x:c r="F734" s="4" t="n">
        <x:f>IF(COUNT(N734,Q734,T734,W734,Z734,AC734,AF734,AI734)=8,N734*Guide!$E$5+Q734*Guide!$E$6+T734*Guide!$E$7+W734*Guide!$E$8+Z734*Guide!$E$9+AC734*Guide!$E$10+AF734*Guide!$E$11+AI734*Guide!$E$12,"")</x:f>
        <x:v>228</x:v>
      </x:c>
      <x:c r="G734" s="4" t="str">
        <x:f>IF(COUNT(O734,R734,U734,X734,AA734,AD734,AG734,AJ734)=8,O734*Guide!$E$5+R734*Guide!$E$6+U734*Guide!$E$7+X734*Guide!$E$8+AA734*Guide!$E$9+AD734*Guide!$E$10+AG734*Guide!$E$11+AJ734*Guide!$E$12,"")</x:f>
      </x:c>
      <x:c r="H734" s="4" t="str">
        <x:f>IF(COUNT(G734,F734)=2,G734-F734,"")</x:f>
      </x:c>
      <x:c r="I734" s="4" t="n">
        <x:f>IF(AND(ISNUMBER(F734),K734&gt;0),F734/K734,"")</x:f>
        <x:v>2.85</x:v>
      </x:c>
      <x:c r="J734" s="4" t="str">
        <x:f>IF(AND(ISNUMBER(G734),L734&gt;0),G734/L734,"")</x:f>
      </x:c>
      <x:c r="K734" s="10" t="n">
        <x:v>80</x:v>
      </x:c>
      <x:c r="L734" s="10"/>
      <x:c r="M734" s="10" t="str">
        <x:f>IF(COUNT(L734,K734)=2,L734-K734,"")</x:f>
      </x:c>
      <x:c r="N734" s="10" t="n">
        <x:v>17</x:v>
      </x:c>
      <x:c r="O734" s="10"/>
      <x:c r="P734" s="10" t="str">
        <x:f>IF(COUNT(O734,N734)=2,O734-N734,"")</x:f>
      </x:c>
      <x:c r="Q734" s="10" t="n">
        <x:v>21</x:v>
      </x:c>
      <x:c r="R734" s="10"/>
      <x:c r="S734" s="10" t="str">
        <x:f>IF(COUNT(R734,Q734)=2,R734-Q734,"")</x:f>
      </x:c>
      <x:c r="T734" s="10" t="n">
        <x:v>-14</x:v>
      </x:c>
      <x:c r="U734" s="10"/>
      <x:c r="V734" s="10" t="str">
        <x:f>IF(COUNT(U734,T734)=2,U734-T734,"")</x:f>
      </x:c>
      <x:c r="W734" s="10" t="n">
        <x:v>13</x:v>
      </x:c>
      <x:c r="X734" s="10" t="str">
        <x:f>IF(COUNT(AV734,AW734)=2,AV734+AW734,"")</x:f>
      </x:c>
      <x:c r="Y734" s="10" t="str">
        <x:f>IF(COUNT(X734,W734)=2,X734-W734,"")</x:f>
      </x:c>
      <x:c r="Z734" s="10" t="n">
        <x:v>0</x:v>
      </x:c>
      <x:c r="AA734" s="10" t="str">
        <x:f>IF(COUNT(AX734,AY734)=2,AX734+AY734,"")</x:f>
      </x:c>
      <x:c r="AB734" s="10" t="str">
        <x:f>IF(COUNT(AA734,Z734)=2,AA734-Z734,"")</x:f>
      </x:c>
      <x:c r="AC734" s="10" t="n">
        <x:v>117</x:v>
      </x:c>
      <x:c r="AD734" s="10"/>
      <x:c r="AE734" s="10" t="str">
        <x:f>IF(COUNT(AD734,AC734)=2,AD734-AC734,"")</x:f>
      </x:c>
      <x:c r="AF734" s="10" t="n">
        <x:v>125</x:v>
      </x:c>
      <x:c r="AG734" s="10"/>
      <x:c r="AH734" s="10" t="str">
        <x:f>IF(COUNT(AG734,AF734)=2,AG734-AF734,"")</x:f>
      </x:c>
      <x:c r="AI734" s="10" t="n">
        <x:v>50</x:v>
      </x:c>
      <x:c r="AJ734" s="10"/>
      <x:c r="AK734" s="10" t="str">
        <x:f>IF(COUNT(AJ734,AI734)=2,AJ734-AI734,"")</x:f>
      </x:c>
      <x:c r="AL734" s="10" t="n">
        <x:v>25</x:v>
      </x:c>
      <x:c r="AM734" s="10"/>
      <x:c r="AN734" s="4" t="str">
        <x:v>C,RW</x:v>
      </x:c>
      <x:c r="AO734" s="4"/>
      <x:c r="AP734" s="4" t="str">
        <x:v>MTL</x:v>
      </x:c>
      <x:c r="AQ734" s="4"/>
      <x:c r="AR734" s="4" t="n">
        <x:v>15.66</x:v>
      </x:c>
      <x:c r="AS734" s="4"/>
      <x:c r="AT734" s="4" t="n">
        <x:v>2</x:v>
      </x:c>
      <x:c r="AU734" s="4"/>
      <x:c r="AV734" s="10"/>
      <x:c r="AW734" s="10"/>
      <x:c r="AX734" s="10"/>
      <x:c r="AY734" s="10"/>
      <x:c r="AZ734" s="10" t="n">
        <x:v>383</x:v>
      </x:c>
      <x:c r="BA734" s="10" t="n">
        <x:v>427</x:v>
      </x:c>
      <x:c r="BB734" s="4" t="n">
        <x:v>47.3</x:v>
      </x:c>
      <x:c r="BC734" s="4" t="n">
        <x:v>-2.6</x:v>
      </x:c>
      <x:c r="BD734" s="10" t="n">
        <x:v>275</x:v>
      </x:c>
      <x:c r="BE734" s="10" t="n">
        <x:v>297</x:v>
      </x:c>
      <x:c r="BF734" s="4" t="n">
        <x:v>48.1</x:v>
      </x:c>
      <x:c r="BG734" s="4" t="n">
        <x:v>-2.4</x:v>
      </x:c>
      <x:c r="BH734" s="4" t="n">
        <x:v>11.8</x:v>
      </x:c>
      <x:c r="BI734" s="4" t="n">
        <x:v>87.4</x:v>
      </x:c>
      <x:c r="BJ734" s="4" t="n">
        <x:v>99.1</x:v>
      </x:c>
      <x:c r="BK734" s="4" t="n">
        <x:v>48.7</x:v>
      </x:c>
      <x:c r="BL734" s="4" t="n">
        <x:v>51.3</x:v>
      </x:c>
      <x:c r="BM734" s="4" t="n">
        <x:v>13.65</x:v>
      </x:c>
      <x:c r="BN734" s="4" t="n">
        <x:v>12.266666666666667</x:v>
      </x:c>
      <x:c r="BO734" s="10" t="n">
        <x:v>11</x:v>
      </x:c>
      <x:c r="BP734" s="10" t="n">
        <x:v>17</x:v>
      </x:c>
      <x:c r="BQ734" s="4" t="n">
        <x:v>-0.1</x:v>
      </x:c>
      <x:c r="BR734" s="10" t="n">
        <x:v>92</x:v>
      </x:c>
      <x:c r="BS734" s="4" t="n">
        <x:v>51.1</x:v>
      </x:c>
      <x:c r="BT734" s="10" t="n">
        <x:v>37</x:v>
      </x:c>
      <x:c r="BU734" s="4" t="str">
        <x:v>MTL</x:v>
      </x:c>
      <x:c r="BV734" s="10" t="n">
        <x:v>272</x:v>
      </x:c>
      <x:c r="BW734" s="10"/>
      <x:c r="BX734" s="10" t="n">
        <x:v>192</x:v>
      </x:c>
      <x:c r="BY734" s="4" t="str">
        <x:v>Kirby Dach</x:v>
      </x:c>
      <x:c r="BZ734" s="4"/>
      <x:c r="CA734" s="4" t="str">
        <x:v>Kirby Dach</x:v>
      </x:c>
      <x:c r="CB734" s="4" t="str">
        <x:v>dachki01</x:v>
      </x:c>
    </x:row>
    <x:row r="735" ht="22" customHeight="1">
      <x:c r="A735" s="4" t="str">
        <x:v>Kirill Kudryavtsev</x:v>
      </x:c>
      <x:c r="B735" s="4" t="str">
        <x:v>kirillkudryavtsev</x:v>
      </x:c>
      <x:c r="C735" s="10" t="n">
        <x:v>0</x:v>
      </x:c>
      <x:c r="D735" s="10" t="n">
        <x:v>0</x:v>
      </x:c>
      <x:c r="E735" s="10" t="n">
        <x:v>1</x:v>
      </x:c>
      <x:c r="F735" s="4" t="str">
        <x:f>IF(COUNT(N735,Q735,T735,W735,Z735,AC735,AF735,AI735)=8,N735*Guide!$E$5+Q735*Guide!$E$6+T735*Guide!$E$7+W735*Guide!$E$8+Z735*Guide!$E$9+AC735*Guide!$E$10+AF735*Guide!$E$11+AI735*Guide!$E$12,"")</x:f>
      </x:c>
      <x:c r="G735" s="4" t="str">
        <x:f>IF(COUNT(O735,R735,U735,X735,AA735,AD735,AG735,AJ735)=8,O735*Guide!$E$5+R735*Guide!$E$6+U735*Guide!$E$7+X735*Guide!$E$8+AA735*Guide!$E$9+AD735*Guide!$E$10+AG735*Guide!$E$11+AJ735*Guide!$E$12,"")</x:f>
      </x:c>
      <x:c r="H735" s="4" t="str">
        <x:f>IF(COUNT(G735,F735)=2,G735-F735,"")</x:f>
      </x:c>
      <x:c r="I735" s="4" t="str">
        <x:f>IF(AND(ISNUMBER(F735),K735&gt;0),F735/K735,"")</x:f>
      </x:c>
      <x:c r="J735" s="4" t="str">
        <x:f>IF(AND(ISNUMBER(G735),L735&gt;0),G735/L735,"")</x:f>
      </x:c>
      <x:c r="K735" s="10"/>
      <x:c r="L735" s="10"/>
      <x:c r="M735" s="10" t="str">
        <x:f>IF(COUNT(L735,K735)=2,L735-K735,"")</x:f>
      </x:c>
      <x:c r="N735" s="10"/>
      <x:c r="O735" s="10"/>
      <x:c r="P735" s="10" t="str">
        <x:f>IF(COUNT(O735,N735)=2,O735-N735,"")</x:f>
      </x:c>
      <x:c r="Q735" s="10"/>
      <x:c r="R735" s="10"/>
      <x:c r="S735" s="10" t="str">
        <x:f>IF(COUNT(R735,Q735)=2,R735-Q735,"")</x:f>
      </x:c>
      <x:c r="T735" s="10"/>
      <x:c r="U735" s="10"/>
      <x:c r="V735" s="10" t="str">
        <x:f>IF(COUNT(U735,T735)=2,U735-T735,"")</x:f>
      </x:c>
      <x:c r="W735" s="10"/>
      <x:c r="X735" s="10" t="str">
        <x:f>IF(COUNT(AV735,AW735)=2,AV735+AW735,"")</x:f>
      </x:c>
      <x:c r="Y735" s="10" t="str">
        <x:f>IF(COUNT(X735,W735)=2,X735-W735,"")</x:f>
      </x:c>
      <x:c r="Z735" s="10"/>
      <x:c r="AA735" s="10" t="str">
        <x:f>IF(COUNT(AX735,AY735)=2,AX735+AY735,"")</x:f>
      </x:c>
      <x:c r="AB735" s="10" t="str">
        <x:f>IF(COUNT(AA735,Z735)=2,AA735-Z735,"")</x:f>
      </x:c>
      <x:c r="AC735" s="10"/>
      <x:c r="AD735" s="10"/>
      <x:c r="AE735" s="10" t="str">
        <x:f>IF(COUNT(AD735,AC735)=2,AD735-AC735,"")</x:f>
      </x:c>
      <x:c r="AF735" s="10"/>
      <x:c r="AG735" s="10"/>
      <x:c r="AH735" s="10" t="str">
        <x:f>IF(COUNT(AG735,AF735)=2,AG735-AF735,"")</x:f>
      </x:c>
      <x:c r="AI735" s="10"/>
      <x:c r="AJ735" s="10"/>
      <x:c r="AK735" s="10" t="str">
        <x:f>IF(COUNT(AJ735,AI735)=2,AJ735-AI735,"")</x:f>
      </x:c>
      <x:c r="AL735" s="10"/>
      <x:c r="AM735" s="10"/>
      <x:c r="AN735" s="4"/>
      <x:c r="AO735" s="4"/>
      <x:c r="AP735" s="4"/>
      <x:c r="AQ735" s="4"/>
      <x:c r="AR735" s="4"/>
      <x:c r="AS735" s="4"/>
      <x:c r="AT735" s="4"/>
      <x:c r="AU735" s="4"/>
      <x:c r="AV735" s="10"/>
      <x:c r="AW735" s="10"/>
      <x:c r="AX735" s="10"/>
      <x:c r="AY735" s="10"/>
      <x:c r="AZ735" s="10" t="n">
        <x:v>32</x:v>
      </x:c>
      <x:c r="BA735" s="10" t="n">
        <x:v>42</x:v>
      </x:c>
      <x:c r="BB735" s="4" t="n">
        <x:v>43.2</x:v>
      </x:c>
      <x:c r="BC735" s="4" t="n">
        <x:v>8.3</x:v>
      </x:c>
      <x:c r="BD735" s="10" t="n">
        <x:v>26</x:v>
      </x:c>
      <x:c r="BE735" s="10" t="n">
        <x:v>30</x:v>
      </x:c>
      <x:c r="BF735" s="4" t="n">
        <x:v>46.4</x:v>
      </x:c>
      <x:c r="BG735" s="4" t="n">
        <x:v>15.9</x:v>
      </x:c>
      <x:c r="BH735" s="4" t="n">
        <x:v>15</x:v>
      </x:c>
      <x:c r="BI735" s="4" t="n">
        <x:v>94.1</x:v>
      </x:c>
      <x:c r="BJ735" s="4" t="n">
        <x:v>109.1</x:v>
      </x:c>
      <x:c r="BK735" s="4" t="n">
        <x:v>48</x:v>
      </x:c>
      <x:c r="BL735" s="4" t="n">
        <x:v>52</x:v>
      </x:c>
      <x:c r="BM735" s="4" t="n">
        <x:v>15.633333333333333</x:v>
      </x:c>
      <x:c r="BN735" s="4" t="n">
        <x:v>15.6</x:v>
      </x:c>
      <x:c r="BO735" s="10" t="n">
        <x:v>0</x:v>
      </x:c>
      <x:c r="BP735" s="10" t="n">
        <x:v>1</x:v>
      </x:c>
      <x:c r="BQ735" s="4" t="n">
        <x:v>0.3</x:v>
      </x:c>
      <x:c r="BR735" s="10" t="n">
        <x:v>9</x:v>
      </x:c>
      <x:c r="BS735" s="4" t="n">
        <x:v>44.4</x:v>
      </x:c>
      <x:c r="BT735" s="10" t="n">
        <x:v>3</x:v>
      </x:c>
      <x:c r="BU735" s="4" t="str">
        <x:v>VAN</x:v>
      </x:c>
      <x:c r="BV735" s="10"/>
      <x:c r="BW735" s="10"/>
      <x:c r="BX735" s="10" t="n">
        <x:v>544</x:v>
      </x:c>
      <x:c r="BY735" s="4"/>
      <x:c r="BZ735" s="4"/>
      <x:c r="CA735" s="4" t="str">
        <x:v>Kirill Kudryavtsev</x:v>
      </x:c>
      <x:c r="CB735" s="4" t="str">
        <x:v>kudryki01</x:v>
      </x:c>
    </x:row>
    <x:row r="736" ht="22" customHeight="1">
      <x:c r="A736" s="4" t="str">
        <x:v>Klim Kostin</x:v>
      </x:c>
      <x:c r="B736" s="4" t="str">
        <x:v>klimkostin</x:v>
      </x:c>
      <x:c r="C736" s="10" t="n">
        <x:v>1</x:v>
      </x:c>
      <x:c r="D736" s="10" t="n">
        <x:v>0</x:v>
      </x:c>
      <x:c r="E736" s="10" t="n">
        <x:v>0</x:v>
      </x:c>
      <x:c r="F736" s="4" t="n">
        <x:f>IF(COUNT(N736,Q736,T736,W736,Z736,AC736,AF736,AI736)=8,N736*Guide!$E$5+Q736*Guide!$E$6+T736*Guide!$E$7+W736*Guide!$E$8+Z736*Guide!$E$9+AC736*Guide!$E$10+AF736*Guide!$E$11+AI736*Guide!$E$12,"")</x:f>
        <x:v>131.5</x:v>
      </x:c>
      <x:c r="G736" s="4" t="str">
        <x:f>IF(COUNT(O736,R736,U736,X736,AA736,AD736,AG736,AJ736)=8,O736*Guide!$E$5+R736*Guide!$E$6+U736*Guide!$E$7+X736*Guide!$E$8+AA736*Guide!$E$9+AD736*Guide!$E$10+AG736*Guide!$E$11+AJ736*Guide!$E$12,"")</x:f>
      </x:c>
      <x:c r="H736" s="4" t="str">
        <x:f>IF(COUNT(G736,F736)=2,G736-F736,"")</x:f>
      </x:c>
      <x:c r="I736" s="4" t="n">
        <x:f>IF(AND(ISNUMBER(F736),K736&gt;0),F736/K736,"")</x:f>
        <x:v>2.390909090909091</x:v>
      </x:c>
      <x:c r="J736" s="4" t="str">
        <x:f>IF(AND(ISNUMBER(G736),L736&gt;0),G736/L736,"")</x:f>
      </x:c>
      <x:c r="K736" s="10" t="n">
        <x:v>55</x:v>
      </x:c>
      <x:c r="L736" s="10"/>
      <x:c r="M736" s="10" t="str">
        <x:f>IF(COUNT(L736,K736)=2,L736-K736,"")</x:f>
      </x:c>
      <x:c r="N736" s="10" t="n">
        <x:v>8</x:v>
      </x:c>
      <x:c r="O736" s="10"/>
      <x:c r="P736" s="10" t="str">
        <x:f>IF(COUNT(O736,N736)=2,O736-N736,"")</x:f>
      </x:c>
      <x:c r="Q736" s="10" t="n">
        <x:v>11</x:v>
      </x:c>
      <x:c r="R736" s="10"/>
      <x:c r="S736" s="10" t="str">
        <x:f>IF(COUNT(R736,Q736)=2,R736-Q736,"")</x:f>
      </x:c>
      <x:c r="T736" s="10" t="n">
        <x:v>-6</x:v>
      </x:c>
      <x:c r="U736" s="10"/>
      <x:c r="V736" s="10" t="str">
        <x:f>IF(COUNT(U736,T736)=2,U736-T736,"")</x:f>
      </x:c>
      <x:c r="W736" s="10" t="n">
        <x:v>3</x:v>
      </x:c>
      <x:c r="X736" s="10" t="str">
        <x:f>IF(COUNT(AV736,AW736)=2,AV736+AW736,"")</x:f>
      </x:c>
      <x:c r="Y736" s="10" t="str">
        <x:f>IF(COUNT(X736,W736)=2,X736-W736,"")</x:f>
      </x:c>
      <x:c r="Z736" s="10" t="n">
        <x:v>0</x:v>
      </x:c>
      <x:c r="AA736" s="10" t="str">
        <x:f>IF(COUNT(AX736,AY736)=2,AX736+AY736,"")</x:f>
      </x:c>
      <x:c r="AB736" s="10" t="str">
        <x:f>IF(COUNT(AA736,Z736)=2,AA736-Z736,"")</x:f>
      </x:c>
      <x:c r="AC736" s="10" t="n">
        <x:v>51</x:v>
      </x:c>
      <x:c r="AD736" s="10"/>
      <x:c r="AE736" s="10" t="str">
        <x:f>IF(COUNT(AD736,AC736)=2,AD736-AC736,"")</x:f>
      </x:c>
      <x:c r="AF736" s="10" t="n">
        <x:v>161</x:v>
      </x:c>
      <x:c r="AG736" s="10"/>
      <x:c r="AH736" s="10" t="str">
        <x:f>IF(COUNT(AG736,AF736)=2,AG736-AF736,"")</x:f>
      </x:c>
      <x:c r="AI736" s="10" t="n">
        <x:v>22</x:v>
      </x:c>
      <x:c r="AJ736" s="10"/>
      <x:c r="AK736" s="10" t="str">
        <x:f>IF(COUNT(AJ736,AI736)=2,AJ736-AI736,"")</x:f>
      </x:c>
      <x:c r="AL736" s="10" t="n">
        <x:v>26</x:v>
      </x:c>
      <x:c r="AM736" s="10"/>
      <x:c r="AN736" s="4" t="str">
        <x:v>C</x:v>
      </x:c>
      <x:c r="AO736" s="4"/>
      <x:c r="AP736" s="4" t="str">
        <x:v>SJ</x:v>
      </x:c>
      <x:c r="AQ736" s="4"/>
      <x:c r="AR736" s="4" t="n">
        <x:v>10.95</x:v>
      </x:c>
      <x:c r="AS736" s="4"/>
      <x:c r="AT736" s="4" t="n">
        <x:v>0.95</x:v>
      </x:c>
      <x:c r="AU736" s="4"/>
      <x:c r="AV736" s="10"/>
      <x:c r="AW736" s="10"/>
      <x:c r="AX736" s="10"/>
      <x:c r="AY736" s="10"/>
      <x:c r="AZ736" s="10"/>
      <x:c r="BA736" s="10"/>
      <x:c r="BB736" s="4"/>
      <x:c r="BC736" s="4"/>
      <x:c r="BD736" s="10"/>
      <x:c r="BE736" s="10"/>
      <x:c r="BF736" s="4"/>
      <x:c r="BG736" s="4"/>
      <x:c r="BH736" s="4"/>
      <x:c r="BI736" s="4"/>
      <x:c r="BJ736" s="4"/>
      <x:c r="BK736" s="4"/>
      <x:c r="BL736" s="4"/>
      <x:c r="BM736" s="4"/>
      <x:c r="BN736" s="4"/>
      <x:c r="BO736" s="10"/>
      <x:c r="BP736" s="10"/>
      <x:c r="BQ736" s="4"/>
      <x:c r="BR736" s="10"/>
      <x:c r="BS736" s="4"/>
      <x:c r="BT736" s="10"/>
      <x:c r="BU736" s="4"/>
      <x:c r="BV736" s="10" t="n">
        <x:v>548</x:v>
      </x:c>
      <x:c r="BW736" s="10"/>
      <x:c r="BX736" s="10"/>
      <x:c r="BY736" s="4" t="str">
        <x:v>Klim Kostin</x:v>
      </x:c>
      <x:c r="BZ736" s="4"/>
      <x:c r="CA736" s="4"/>
      <x:c r="CB736" s="4"/>
    </x:row>
    <x:row r="737" ht="22" customHeight="1">
      <x:c r="A737" s="4" t="str">
        <x:v>Konsta Helenius</x:v>
      </x:c>
      <x:c r="B737" s="4" t="str">
        <x:v>konstahelenius</x:v>
      </x:c>
      <x:c r="C737" s="10" t="n">
        <x:v>0</x:v>
      </x:c>
      <x:c r="D737" s="10" t="n">
        <x:v>0</x:v>
      </x:c>
      <x:c r="E737" s="10" t="n">
        <x:v>1</x:v>
      </x:c>
      <x:c r="F737" s="4" t="str">
        <x:f>IF(COUNT(N737,Q737,T737,W737,Z737,AC737,AF737,AI737)=8,N737*Guide!$E$5+Q737*Guide!$E$6+T737*Guide!$E$7+W737*Guide!$E$8+Z737*Guide!$E$9+AC737*Guide!$E$10+AF737*Guide!$E$11+AI737*Guide!$E$12,"")</x:f>
      </x:c>
      <x:c r="G737" s="4" t="str">
        <x:f>IF(COUNT(O737,R737,U737,X737,AA737,AD737,AG737,AJ737)=8,O737*Guide!$E$5+R737*Guide!$E$6+U737*Guide!$E$7+X737*Guide!$E$8+AA737*Guide!$E$9+AD737*Guide!$E$10+AG737*Guide!$E$11+AJ737*Guide!$E$12,"")</x:f>
      </x:c>
      <x:c r="H737" s="4" t="str">
        <x:f>IF(COUNT(G737,F737)=2,G737-F737,"")</x:f>
      </x:c>
      <x:c r="I737" s="4" t="str">
        <x:f>IF(AND(ISNUMBER(F737),K737&gt;0),F737/K737,"")</x:f>
      </x:c>
      <x:c r="J737" s="4" t="str">
        <x:f>IF(AND(ISNUMBER(G737),L737&gt;0),G737/L737,"")</x:f>
      </x:c>
      <x:c r="K737" s="10"/>
      <x:c r="L737" s="10"/>
      <x:c r="M737" s="10" t="str">
        <x:f>IF(COUNT(L737,K737)=2,L737-K737,"")</x:f>
      </x:c>
      <x:c r="N737" s="10"/>
      <x:c r="O737" s="10"/>
      <x:c r="P737" s="10" t="str">
        <x:f>IF(COUNT(O737,N737)=2,O737-N737,"")</x:f>
      </x:c>
      <x:c r="Q737" s="10"/>
      <x:c r="R737" s="10"/>
      <x:c r="S737" s="10" t="str">
        <x:f>IF(COUNT(R737,Q737)=2,R737-Q737,"")</x:f>
      </x:c>
      <x:c r="T737" s="10"/>
      <x:c r="U737" s="10"/>
      <x:c r="V737" s="10" t="str">
        <x:f>IF(COUNT(U737,T737)=2,U737-T737,"")</x:f>
      </x:c>
      <x:c r="W737" s="10"/>
      <x:c r="X737" s="10" t="str">
        <x:f>IF(COUNT(AV737,AW737)=2,AV737+AW737,"")</x:f>
      </x:c>
      <x:c r="Y737" s="10" t="str">
        <x:f>IF(COUNT(X737,W737)=2,X737-W737,"")</x:f>
      </x:c>
      <x:c r="Z737" s="10"/>
      <x:c r="AA737" s="10" t="str">
        <x:f>IF(COUNT(AX737,AY737)=2,AX737+AY737,"")</x:f>
      </x:c>
      <x:c r="AB737" s="10" t="str">
        <x:f>IF(COUNT(AA737,Z737)=2,AA737-Z737,"")</x:f>
      </x:c>
      <x:c r="AC737" s="10"/>
      <x:c r="AD737" s="10"/>
      <x:c r="AE737" s="10" t="str">
        <x:f>IF(COUNT(AD737,AC737)=2,AD737-AC737,"")</x:f>
      </x:c>
      <x:c r="AF737" s="10"/>
      <x:c r="AG737" s="10"/>
      <x:c r="AH737" s="10" t="str">
        <x:f>IF(COUNT(AG737,AF737)=2,AG737-AF737,"")</x:f>
      </x:c>
      <x:c r="AI737" s="10"/>
      <x:c r="AJ737" s="10"/>
      <x:c r="AK737" s="10" t="str">
        <x:f>IF(COUNT(AJ737,AI737)=2,AJ737-AI737,"")</x:f>
      </x:c>
      <x:c r="AL737" s="10"/>
      <x:c r="AM737" s="10"/>
      <x:c r="AN737" s="4"/>
      <x:c r="AO737" s="4"/>
      <x:c r="AP737" s="4"/>
      <x:c r="AQ737" s="4"/>
      <x:c r="AR737" s="4"/>
      <x:c r="AS737" s="4"/>
      <x:c r="AT737" s="4"/>
      <x:c r="AU737" s="4"/>
      <x:c r="AV737" s="10"/>
      <x:c r="AW737" s="10"/>
      <x:c r="AX737" s="10"/>
      <x:c r="AY737" s="10"/>
      <x:c r="AZ737" s="10" t="n">
        <x:v>114</x:v>
      </x:c>
      <x:c r="BA737" s="10" t="n">
        <x:v>82</x:v>
      </x:c>
      <x:c r="BB737" s="4" t="n">
        <x:v>58.2</x:v>
      </x:c>
      <x:c r="BC737" s="4" t="n">
        <x:v>15.5</x:v>
      </x:c>
      <x:c r="BD737" s="10" t="n">
        <x:v>86</x:v>
      </x:c>
      <x:c r="BE737" s="10" t="n">
        <x:v>63</x:v>
      </x:c>
      <x:c r="BF737" s="4" t="n">
        <x:v>57.7</x:v>
      </x:c>
      <x:c r="BG737" s="4" t="n">
        <x:v>14.5</x:v>
      </x:c>
      <x:c r="BH737" s="4" t="n">
        <x:v>8.3</x:v>
      </x:c>
      <x:c r="BI737" s="4" t="n">
        <x:v>91.8</x:v>
      </x:c>
      <x:c r="BJ737" s="4" t="n">
        <x:v>100.2</x:v>
      </x:c>
      <x:c r="BK737" s="4" t="n">
        <x:v>65</x:v>
      </x:c>
      <x:c r="BL737" s="4" t="n">
        <x:v>35</x:v>
      </x:c>
      <x:c r="BM737" s="4" t="n">
        <x:v>11.916666666666666</x:v>
      </x:c>
      <x:c r="BN737" s="4" t="n">
        <x:v>11.916666666666666</x:v>
      </x:c>
      <x:c r="BO737" s="10" t="n">
        <x:v>1</x:v>
      </x:c>
      <x:c r="BP737" s="10" t="n">
        <x:v>6</x:v>
      </x:c>
      <x:c r="BQ737" s="4" t="n">
        <x:v>1.2</x:v>
      </x:c>
      <x:c r="BR737" s="10" t="n">
        <x:v>24</x:v>
      </x:c>
      <x:c r="BS737" s="4" t="n">
        <x:v>62.5</x:v>
      </x:c>
      <x:c r="BT737" s="10" t="n">
        <x:v>9</x:v>
      </x:c>
      <x:c r="BU737" s="4" t="str">
        <x:v>BUF</x:v>
      </x:c>
      <x:c r="BV737" s="10"/>
      <x:c r="BW737" s="10"/>
      <x:c r="BX737" s="10" t="n">
        <x:v>407</x:v>
      </x:c>
      <x:c r="BY737" s="4"/>
      <x:c r="BZ737" s="4"/>
      <x:c r="CA737" s="4" t="str">
        <x:v>Konsta Helenius</x:v>
      </x:c>
      <x:c r="CB737" s="4" t="str">
        <x:v>helenko01</x:v>
      </x:c>
    </x:row>
    <x:row r="738" ht="22" customHeight="1">
      <x:c r="A738" s="4" t="str">
        <x:v>Kurtis MacDermid</x:v>
      </x:c>
      <x:c r="B738" s="4" t="str">
        <x:v>kurtismacdermid</x:v>
      </x:c>
      <x:c r="C738" s="10" t="n">
        <x:v>1</x:v>
      </x:c>
      <x:c r="D738" s="10" t="n">
        <x:v>0</x:v>
      </x:c>
      <x:c r="E738" s="10" t="n">
        <x:v>1</x:v>
      </x:c>
      <x:c r="F738" s="4" t="n">
        <x:f>IF(COUNT(N738,Q738,T738,W738,Z738,AC738,AF738,AI738)=8,N738*Guide!$E$5+Q738*Guide!$E$6+T738*Guide!$E$7+W738*Guide!$E$8+Z738*Guide!$E$9+AC738*Guide!$E$10+AF738*Guide!$E$11+AI738*Guide!$E$12,"")</x:f>
        <x:v>50</x:v>
      </x:c>
      <x:c r="G738" s="4" t="str">
        <x:f>IF(COUNT(O738,R738,U738,X738,AA738,AD738,AG738,AJ738)=8,O738*Guide!$E$5+R738*Guide!$E$6+U738*Guide!$E$7+X738*Guide!$E$8+AA738*Guide!$E$9+AD738*Guide!$E$10+AG738*Guide!$E$11+AJ738*Guide!$E$12,"")</x:f>
      </x:c>
      <x:c r="H738" s="4" t="str">
        <x:f>IF(COUNT(G738,F738)=2,G738-F738,"")</x:f>
      </x:c>
      <x:c r="I738" s="4" t="n">
        <x:f>IF(AND(ISNUMBER(F738),K738&gt;0),F738/K738,"")</x:f>
        <x:v>1.1904761904761905</x:v>
      </x:c>
      <x:c r="J738" s="4" t="str">
        <x:f>IF(AND(ISNUMBER(G738),L738&gt;0),G738/L738,"")</x:f>
      </x:c>
      <x:c r="K738" s="10" t="n">
        <x:v>42</x:v>
      </x:c>
      <x:c r="L738" s="10"/>
      <x:c r="M738" s="10" t="str">
        <x:f>IF(COUNT(L738,K738)=2,L738-K738,"")</x:f>
      </x:c>
      <x:c r="N738" s="10" t="n">
        <x:v>2</x:v>
      </x:c>
      <x:c r="O738" s="10"/>
      <x:c r="P738" s="10" t="str">
        <x:f>IF(COUNT(O738,N738)=2,O738-N738,"")</x:f>
      </x:c>
      <x:c r="Q738" s="10" t="n">
        <x:v>3</x:v>
      </x:c>
      <x:c r="R738" s="10"/>
      <x:c r="S738" s="10" t="str">
        <x:f>IF(COUNT(R738,Q738)=2,R738-Q738,"")</x:f>
      </x:c>
      <x:c r="T738" s="10" t="n">
        <x:v>-1</x:v>
      </x:c>
      <x:c r="U738" s="10"/>
      <x:c r="V738" s="10" t="str">
        <x:f>IF(COUNT(U738,T738)=2,U738-T738,"")</x:f>
      </x:c>
      <x:c r="W738" s="10" t="n">
        <x:v>0</x:v>
      </x:c>
      <x:c r="X738" s="10" t="str">
        <x:f>IF(COUNT(AV738,AW738)=2,AV738+AW738,"")</x:f>
      </x:c>
      <x:c r="Y738" s="10" t="str">
        <x:f>IF(COUNT(X738,W738)=2,X738-W738,"")</x:f>
      </x:c>
      <x:c r="Z738" s="10" t="n">
        <x:v>0</x:v>
      </x:c>
      <x:c r="AA738" s="10" t="str">
        <x:f>IF(COUNT(AX738,AY738)=2,AX738+AY738,"")</x:f>
      </x:c>
      <x:c r="AB738" s="10" t="str">
        <x:f>IF(COUNT(AA738,Z738)=2,AA738-Z738,"")</x:f>
      </x:c>
      <x:c r="AC738" s="10" t="n">
        <x:v>18</x:v>
      </x:c>
      <x:c r="AD738" s="10"/>
      <x:c r="AE738" s="10" t="str">
        <x:f>IF(COUNT(AD738,AC738)=2,AD738-AC738,"")</x:f>
      </x:c>
      <x:c r="AF738" s="10" t="n">
        <x:v>76</x:v>
      </x:c>
      <x:c r="AG738" s="10"/>
      <x:c r="AH738" s="10" t="str">
        <x:f>IF(COUNT(AG738,AF738)=2,AG738-AF738,"")</x:f>
      </x:c>
      <x:c r="AI738" s="10" t="n">
        <x:v>14</x:v>
      </x:c>
      <x:c r="AJ738" s="10"/>
      <x:c r="AK738" s="10" t="str">
        <x:f>IF(COUNT(AJ738,AI738)=2,AJ738-AI738,"")</x:f>
      </x:c>
      <x:c r="AL738" s="10" t="n">
        <x:v>31</x:v>
      </x:c>
      <x:c r="AM738" s="10"/>
      <x:c r="AN738" s="4" t="str">
        <x:v>LW</x:v>
      </x:c>
      <x:c r="AO738" s="4"/>
      <x:c r="AP738" s="4" t="str">
        <x:v>NJ</x:v>
      </x:c>
      <x:c r="AQ738" s="4"/>
      <x:c r="AR738" s="4" t="n">
        <x:v>5.92</x:v>
      </x:c>
      <x:c r="AS738" s="4"/>
      <x:c r="AT738" s="4" t="n">
        <x:v>0.13</x:v>
      </x:c>
      <x:c r="AU738" s="4"/>
      <x:c r="AV738" s="10"/>
      <x:c r="AW738" s="10"/>
      <x:c r="AX738" s="10"/>
      <x:c r="AY738" s="10"/>
      <x:c r="AZ738" s="10" t="n">
        <x:v>54</x:v>
      </x:c>
      <x:c r="BA738" s="10" t="n">
        <x:v>99</x:v>
      </x:c>
      <x:c r="BB738" s="4" t="n">
        <x:v>35.3</x:v>
      </x:c>
      <x:c r="BC738" s="4" t="n">
        <x:v>-18.1</x:v>
      </x:c>
      <x:c r="BD738" s="10" t="n">
        <x:v>42</x:v>
      </x:c>
      <x:c r="BE738" s="10" t="n">
        <x:v>68</x:v>
      </x:c>
      <x:c r="BF738" s="4" t="n">
        <x:v>38.2</x:v>
      </x:c>
      <x:c r="BG738" s="4" t="n">
        <x:v>-16.4</x:v>
      </x:c>
      <x:c r="BH738" s="4" t="n">
        <x:v>5.6</x:v>
      </x:c>
      <x:c r="BI738" s="4" t="n">
        <x:v>84.6</x:v>
      </x:c>
      <x:c r="BJ738" s="4" t="n">
        <x:v>90.2</x:v>
      </x:c>
      <x:c r="BK738" s="4" t="n">
        <x:v>67.4</x:v>
      </x:c>
      <x:c r="BL738" s="4" t="n">
        <x:v>32.6</x:v>
      </x:c>
      <x:c r="BM738" s="4" t="n">
        <x:v>4.2</x:v>
      </x:c>
      <x:c r="BN738" s="4" t="n">
        <x:v>4.166666666666667</x:v>
      </x:c>
      <x:c r="BO738" s="10" t="n">
        <x:v>0</x:v>
      </x:c>
      <x:c r="BP738" s="10" t="n">
        <x:v>2</x:v>
      </x:c>
      <x:c r="BQ738" s="4" t="n">
        <x:v>-1.6</x:v>
      </x:c>
      <x:c r="BR738" s="10" t="n">
        <x:v>5</x:v>
      </x:c>
      <x:c r="BS738" s="4" t="n">
        <x:v>80</x:v>
      </x:c>
      <x:c r="BT738" s="10" t="n">
        <x:v>19</x:v>
      </x:c>
      <x:c r="BU738" s="4" t="str">
        <x:v>OTT</x:v>
      </x:c>
      <x:c r="BV738" s="10" t="n">
        <x:v>764</x:v>
      </x:c>
      <x:c r="BW738" s="10"/>
      <x:c r="BX738" s="10" t="n">
        <x:v>623</x:v>
      </x:c>
      <x:c r="BY738" s="4" t="str">
        <x:v>Kurtis MacDermid</x:v>
      </x:c>
      <x:c r="BZ738" s="4"/>
      <x:c r="CA738" s="4" t="str">
        <x:v>Kurtis MacDermid</x:v>
      </x:c>
      <x:c r="CB738" s="4" t="str">
        <x:v>macdeku01</x:v>
      </x:c>
    </x:row>
    <x:row r="739" ht="22" customHeight="1">
      <x:c r="A739" s="4" t="str">
        <x:v>Kyle Burroughs</x:v>
      </x:c>
      <x:c r="B739" s="4" t="str">
        <x:v>kyleburroughs</x:v>
      </x:c>
      <x:c r="C739" s="10" t="n">
        <x:v>1</x:v>
      </x:c>
      <x:c r="D739" s="10" t="n">
        <x:v>0</x:v>
      </x:c>
      <x:c r="E739" s="10" t="n">
        <x:v>0</x:v>
      </x:c>
      <x:c r="F739" s="4" t="n">
        <x:f>IF(COUNT(N739,Q739,T739,W739,Z739,AC739,AF739,AI739)=8,N739*Guide!$E$5+Q739*Guide!$E$6+T739*Guide!$E$7+W739*Guide!$E$8+Z739*Guide!$E$9+AC739*Guide!$E$10+AF739*Guide!$E$11+AI739*Guide!$E$12,"")</x:f>
        <x:v>64.25</x:v>
      </x:c>
      <x:c r="G739" s="4" t="str">
        <x:f>IF(COUNT(O739,R739,U739,X739,AA739,AD739,AG739,AJ739)=8,O739*Guide!$E$5+R739*Guide!$E$6+U739*Guide!$E$7+X739*Guide!$E$8+AA739*Guide!$E$9+AD739*Guide!$E$10+AG739*Guide!$E$11+AJ739*Guide!$E$12,"")</x:f>
      </x:c>
      <x:c r="H739" s="4" t="str">
        <x:f>IF(COUNT(G739,F739)=2,G739-F739,"")</x:f>
      </x:c>
      <x:c r="I739" s="4" t="n">
        <x:f>IF(AND(ISNUMBER(F739),K739&gt;0),F739/K739,"")</x:f>
        <x:v>1.285</x:v>
      </x:c>
      <x:c r="J739" s="4" t="str">
        <x:f>IF(AND(ISNUMBER(G739),L739&gt;0),G739/L739,"")</x:f>
      </x:c>
      <x:c r="K739" s="10" t="n">
        <x:v>50</x:v>
      </x:c>
      <x:c r="L739" s="10"/>
      <x:c r="M739" s="10" t="str">
        <x:f>IF(COUNT(L739,K739)=2,L739-K739,"")</x:f>
      </x:c>
      <x:c r="N739" s="10" t="n">
        <x:v>1</x:v>
      </x:c>
      <x:c r="O739" s="10"/>
      <x:c r="P739" s="10" t="str">
        <x:f>IF(COUNT(O739,N739)=2,O739-N739,"")</x:f>
      </x:c>
      <x:c r="Q739" s="10" t="n">
        <x:v>4</x:v>
      </x:c>
      <x:c r="R739" s="10"/>
      <x:c r="S739" s="10" t="str">
        <x:f>IF(COUNT(R739,Q739)=2,R739-Q739,"")</x:f>
      </x:c>
      <x:c r="T739" s="10" t="n">
        <x:v>-1</x:v>
      </x:c>
      <x:c r="U739" s="10"/>
      <x:c r="V739" s="10" t="str">
        <x:f>IF(COUNT(U739,T739)=2,U739-T739,"")</x:f>
      </x:c>
      <x:c r="W739" s="10" t="n">
        <x:v>0</x:v>
      </x:c>
      <x:c r="X739" s="10" t="str">
        <x:f>IF(COUNT(AV739,AW739)=2,AV739+AW739,"")</x:f>
      </x:c>
      <x:c r="Y739" s="10" t="str">
        <x:f>IF(COUNT(X739,W739)=2,X739-W739,"")</x:f>
      </x:c>
      <x:c r="Z739" s="10" t="n">
        <x:v>0</x:v>
      </x:c>
      <x:c r="AA739" s="10" t="str">
        <x:f>IF(COUNT(AX739,AY739)=2,AX739+AY739,"")</x:f>
      </x:c>
      <x:c r="AB739" s="10" t="str">
        <x:f>IF(COUNT(AA739,Z739)=2,AA739-Z739,"")</x:f>
      </x:c>
      <x:c r="AC739" s="10" t="n">
        <x:v>21</x:v>
      </x:c>
      <x:c r="AD739" s="10"/>
      <x:c r="AE739" s="10" t="str">
        <x:f>IF(COUNT(AD739,AC739)=2,AD739-AC739,"")</x:f>
      </x:c>
      <x:c r="AF739" s="10" t="n">
        <x:v>65</x:v>
      </x:c>
      <x:c r="AG739" s="10"/>
      <x:c r="AH739" s="10" t="str">
        <x:f>IF(COUNT(AG739,AF739)=2,AG739-AF739,"")</x:f>
      </x:c>
      <x:c r="AI739" s="10" t="n">
        <x:v>37</x:v>
      </x:c>
      <x:c r="AJ739" s="10"/>
      <x:c r="AK739" s="10" t="str">
        <x:f>IF(COUNT(AJ739,AI739)=2,AJ739-AI739,"")</x:f>
      </x:c>
      <x:c r="AL739" s="10" t="n">
        <x:v>30</x:v>
      </x:c>
      <x:c r="AM739" s="10"/>
      <x:c r="AN739" s="4" t="str">
        <x:v>D</x:v>
      </x:c>
      <x:c r="AO739" s="4"/>
      <x:c r="AP739" s="4" t="str">
        <x:v>LA</x:v>
      </x:c>
      <x:c r="AQ739" s="4"/>
      <x:c r="AR739" s="4" t="n">
        <x:v>9.51</x:v>
      </x:c>
      <x:c r="AS739" s="4"/>
      <x:c r="AT739" s="4" t="n">
        <x:v>0.11</x:v>
      </x:c>
      <x:c r="AU739" s="4"/>
      <x:c r="AV739" s="10"/>
      <x:c r="AW739" s="10"/>
      <x:c r="AX739" s="10"/>
      <x:c r="AY739" s="10"/>
      <x:c r="AZ739" s="10"/>
      <x:c r="BA739" s="10"/>
      <x:c r="BB739" s="4"/>
      <x:c r="BC739" s="4"/>
      <x:c r="BD739" s="10"/>
      <x:c r="BE739" s="10"/>
      <x:c r="BF739" s="4"/>
      <x:c r="BG739" s="4"/>
      <x:c r="BH739" s="4"/>
      <x:c r="BI739" s="4"/>
      <x:c r="BJ739" s="4"/>
      <x:c r="BK739" s="4"/>
      <x:c r="BL739" s="4"/>
      <x:c r="BM739" s="4"/>
      <x:c r="BN739" s="4"/>
      <x:c r="BO739" s="10"/>
      <x:c r="BP739" s="10"/>
      <x:c r="BQ739" s="4"/>
      <x:c r="BR739" s="10"/>
      <x:c r="BS739" s="4"/>
      <x:c r="BT739" s="10"/>
      <x:c r="BU739" s="4"/>
      <x:c r="BV739" s="10" t="n">
        <x:v>763</x:v>
      </x:c>
      <x:c r="BW739" s="10"/>
      <x:c r="BX739" s="10"/>
      <x:c r="BY739" s="4" t="str">
        <x:v>Kyle Burroughs</x:v>
      </x:c>
      <x:c r="BZ739" s="4"/>
      <x:c r="CA739" s="4"/>
      <x:c r="CB739" s="4"/>
    </x:row>
    <x:row r="740" ht="22" customHeight="1">
      <x:c r="A740" s="4" t="str">
        <x:v>Kyle Capobianco</x:v>
      </x:c>
      <x:c r="B740" s="4" t="str">
        <x:v>kylecapobianco</x:v>
      </x:c>
      <x:c r="C740" s="10" t="n">
        <x:v>0</x:v>
      </x:c>
      <x:c r="D740" s="10" t="n">
        <x:v>0</x:v>
      </x:c>
      <x:c r="E740" s="10" t="n">
        <x:v>1</x:v>
      </x:c>
      <x:c r="F740" s="4" t="str">
        <x:f>IF(COUNT(N740,Q740,T740,W740,Z740,AC740,AF740,AI740)=8,N740*Guide!$E$5+Q740*Guide!$E$6+T740*Guide!$E$7+W740*Guide!$E$8+Z740*Guide!$E$9+AC740*Guide!$E$10+AF740*Guide!$E$11+AI740*Guide!$E$12,"")</x:f>
      </x:c>
      <x:c r="G740" s="4" t="str">
        <x:f>IF(COUNT(O740,R740,U740,X740,AA740,AD740,AG740,AJ740)=8,O740*Guide!$E$5+R740*Guide!$E$6+U740*Guide!$E$7+X740*Guide!$E$8+AA740*Guide!$E$9+AD740*Guide!$E$10+AG740*Guide!$E$11+AJ740*Guide!$E$12,"")</x:f>
      </x:c>
      <x:c r="H740" s="4" t="str">
        <x:f>IF(COUNT(G740,F740)=2,G740-F740,"")</x:f>
      </x:c>
      <x:c r="I740" s="4" t="str">
        <x:f>IF(AND(ISNUMBER(F740),K740&gt;0),F740/K740,"")</x:f>
      </x:c>
      <x:c r="J740" s="4" t="str">
        <x:f>IF(AND(ISNUMBER(G740),L740&gt;0),G740/L740,"")</x:f>
      </x:c>
      <x:c r="K740" s="10"/>
      <x:c r="L740" s="10"/>
      <x:c r="M740" s="10" t="str">
        <x:f>IF(COUNT(L740,K740)=2,L740-K740,"")</x:f>
      </x:c>
      <x:c r="N740" s="10"/>
      <x:c r="O740" s="10"/>
      <x:c r="P740" s="10" t="str">
        <x:f>IF(COUNT(O740,N740)=2,O740-N740,"")</x:f>
      </x:c>
      <x:c r="Q740" s="10"/>
      <x:c r="R740" s="10"/>
      <x:c r="S740" s="10" t="str">
        <x:f>IF(COUNT(R740,Q740)=2,R740-Q740,"")</x:f>
      </x:c>
      <x:c r="T740" s="10"/>
      <x:c r="U740" s="10"/>
      <x:c r="V740" s="10" t="str">
        <x:f>IF(COUNT(U740,T740)=2,U740-T740,"")</x:f>
      </x:c>
      <x:c r="W740" s="10"/>
      <x:c r="X740" s="10" t="str">
        <x:f>IF(COUNT(AV740,AW740)=2,AV740+AW740,"")</x:f>
      </x:c>
      <x:c r="Y740" s="10" t="str">
        <x:f>IF(COUNT(X740,W740)=2,X740-W740,"")</x:f>
      </x:c>
      <x:c r="Z740" s="10"/>
      <x:c r="AA740" s="10" t="str">
        <x:f>IF(COUNT(AX740,AY740)=2,AX740+AY740,"")</x:f>
      </x:c>
      <x:c r="AB740" s="10" t="str">
        <x:f>IF(COUNT(AA740,Z740)=2,AA740-Z740,"")</x:f>
      </x:c>
      <x:c r="AC740" s="10"/>
      <x:c r="AD740" s="10"/>
      <x:c r="AE740" s="10" t="str">
        <x:f>IF(COUNT(AD740,AC740)=2,AD740-AC740,"")</x:f>
      </x:c>
      <x:c r="AF740" s="10"/>
      <x:c r="AG740" s="10"/>
      <x:c r="AH740" s="10" t="str">
        <x:f>IF(COUNT(AG740,AF740)=2,AG740-AF740,"")</x:f>
      </x:c>
      <x:c r="AI740" s="10"/>
      <x:c r="AJ740" s="10"/>
      <x:c r="AK740" s="10" t="str">
        <x:f>IF(COUNT(AJ740,AI740)=2,AJ740-AI740,"")</x:f>
      </x:c>
      <x:c r="AL740" s="10"/>
      <x:c r="AM740" s="10"/>
      <x:c r="AN740" s="4"/>
      <x:c r="AO740" s="4"/>
      <x:c r="AP740" s="4"/>
      <x:c r="AQ740" s="4"/>
      <x:c r="AR740" s="4"/>
      <x:c r="AS740" s="4"/>
      <x:c r="AT740" s="4"/>
      <x:c r="AU740" s="4"/>
      <x:c r="AV740" s="10"/>
      <x:c r="AW740" s="10"/>
      <x:c r="AX740" s="10"/>
      <x:c r="AY740" s="10"/>
      <x:c r="AZ740" s="10" t="n">
        <x:v>339</x:v>
      </x:c>
      <x:c r="BA740" s="10" t="n">
        <x:v>344</x:v>
      </x:c>
      <x:c r="BB740" s="4" t="n">
        <x:v>49.6</x:v>
      </x:c>
      <x:c r="BC740" s="4" t="n">
        <x:v>3.6</x:v>
      </x:c>
      <x:c r="BD740" s="10" t="n">
        <x:v>248</x:v>
      </x:c>
      <x:c r="BE740" s="10" t="n">
        <x:v>240</x:v>
      </x:c>
      <x:c r="BF740" s="4" t="n">
        <x:v>50.8</x:v>
      </x:c>
      <x:c r="BG740" s="4" t="n">
        <x:v>5.2</x:v>
      </x:c>
      <x:c r="BH740" s="4" t="n">
        <x:v>11.7</x:v>
      </x:c>
      <x:c r="BI740" s="4" t="n">
        <x:v>89</x:v>
      </x:c>
      <x:c r="BJ740" s="4" t="n">
        <x:v>100.7</x:v>
      </x:c>
      <x:c r="BK740" s="4" t="n">
        <x:v>54.7</x:v>
      </x:c>
      <x:c r="BL740" s="4" t="n">
        <x:v>45.3</x:v>
      </x:c>
      <x:c r="BM740" s="4" t="n">
        <x:v>12.133333333333333</x:v>
      </x:c>
      <x:c r="BN740" s="4" t="n">
        <x:v>11.716666666666667</x:v>
      </x:c>
      <x:c r="BO740" s="10" t="n">
        <x:v>9</x:v>
      </x:c>
      <x:c r="BP740" s="10" t="n">
        <x:v>20</x:v>
      </x:c>
      <x:c r="BQ740" s="4" t="n">
        <x:v>-2.2</x:v>
      </x:c>
      <x:c r="BR740" s="10" t="n">
        <x:v>66</x:v>
      </x:c>
      <x:c r="BS740" s="4" t="n">
        <x:v>27.3</x:v>
      </x:c>
      <x:c r="BT740" s="10" t="n">
        <x:v>33</x:v>
      </x:c>
      <x:c r="BU740" s="4" t="str">
        <x:v>DAL</x:v>
      </x:c>
      <x:c r="BV740" s="10"/>
      <x:c r="BW740" s="10"/>
      <x:c r="BX740" s="10" t="n">
        <x:v>122</x:v>
      </x:c>
      <x:c r="BY740" s="4"/>
      <x:c r="BZ740" s="4"/>
      <x:c r="CA740" s="4" t="str">
        <x:v>Kyle Capobianco</x:v>
      </x:c>
      <x:c r="CB740" s="4" t="str">
        <x:v>capobky01</x:v>
      </x:c>
    </x:row>
    <x:row r="741" ht="22" customHeight="1">
      <x:c r="A741" s="4" t="str">
        <x:v>Kyle MacLean</x:v>
      </x:c>
      <x:c r="B741" s="4" t="str">
        <x:v>kylemaclean</x:v>
      </x:c>
      <x:c r="C741" s="10" t="n">
        <x:v>1</x:v>
      </x:c>
      <x:c r="D741" s="10" t="n">
        <x:v>0</x:v>
      </x:c>
      <x:c r="E741" s="10" t="n">
        <x:v>1</x:v>
      </x:c>
      <x:c r="F741" s="4" t="n">
        <x:f>IF(COUNT(N741,Q741,T741,W741,Z741,AC741,AF741,AI741)=8,N741*Guide!$E$5+Q741*Guide!$E$6+T741*Guide!$E$7+W741*Guide!$E$8+Z741*Guide!$E$9+AC741*Guide!$E$10+AF741*Guide!$E$11+AI741*Guide!$E$12,"")</x:f>
        <x:v>113.25</x:v>
      </x:c>
      <x:c r="G741" s="4" t="str">
        <x:f>IF(COUNT(O741,R741,U741,X741,AA741,AD741,AG741,AJ741)=8,O741*Guide!$E$5+R741*Guide!$E$6+U741*Guide!$E$7+X741*Guide!$E$8+AA741*Guide!$E$9+AD741*Guide!$E$10+AG741*Guide!$E$11+AJ741*Guide!$E$12,"")</x:f>
      </x:c>
      <x:c r="H741" s="4" t="str">
        <x:f>IF(COUNT(G741,F741)=2,G741-F741,"")</x:f>
      </x:c>
      <x:c r="I741" s="4" t="n">
        <x:f>IF(AND(ISNUMBER(F741),K741&gt;0),F741/K741,"")</x:f>
        <x:v>1.5304054054054055</x:v>
      </x:c>
      <x:c r="J741" s="4" t="str">
        <x:f>IF(AND(ISNUMBER(G741),L741&gt;0),G741/L741,"")</x:f>
      </x:c>
      <x:c r="K741" s="10" t="n">
        <x:v>74</x:v>
      </x:c>
      <x:c r="L741" s="10"/>
      <x:c r="M741" s="10" t="str">
        <x:f>IF(COUNT(L741,K741)=2,L741-K741,"")</x:f>
      </x:c>
      <x:c r="N741" s="10" t="n">
        <x:v>7</x:v>
      </x:c>
      <x:c r="O741" s="10"/>
      <x:c r="P741" s="10" t="str">
        <x:f>IF(COUNT(O741,N741)=2,O741-N741,"")</x:f>
      </x:c>
      <x:c r="Q741" s="10" t="n">
        <x:v>10</x:v>
      </x:c>
      <x:c r="R741" s="10"/>
      <x:c r="S741" s="10" t="str">
        <x:f>IF(COUNT(R741,Q741)=2,R741-Q741,"")</x:f>
      </x:c>
      <x:c r="T741" s="10" t="n">
        <x:v>-4</x:v>
      </x:c>
      <x:c r="U741" s="10"/>
      <x:c r="V741" s="10" t="str">
        <x:f>IF(COUNT(U741,T741)=2,U741-T741,"")</x:f>
      </x:c>
      <x:c r="W741" s="10" t="n">
        <x:v>0</x:v>
      </x:c>
      <x:c r="X741" s="10" t="str">
        <x:f>IF(COUNT(AV741,AW741)=2,AV741+AW741,"")</x:f>
      </x:c>
      <x:c r="Y741" s="10" t="str">
        <x:f>IF(COUNT(X741,W741)=2,X741-W741,"")</x:f>
      </x:c>
      <x:c r="Z741" s="10" t="n">
        <x:v>0</x:v>
      </x:c>
      <x:c r="AA741" s="10" t="str">
        <x:f>IF(COUNT(AX741,AY741)=2,AX741+AY741,"")</x:f>
      </x:c>
      <x:c r="AB741" s="10" t="str">
        <x:f>IF(COUNT(AA741,Z741)=2,AA741-Z741,"")</x:f>
      </x:c>
      <x:c r="AC741" s="10" t="n">
        <x:v>58</x:v>
      </x:c>
      <x:c r="AD741" s="10"/>
      <x:c r="AE741" s="10" t="str">
        <x:f>IF(COUNT(AD741,AC741)=2,AD741-AC741,"")</x:f>
      </x:c>
      <x:c r="AF741" s="10" t="n">
        <x:v>107</x:v>
      </x:c>
      <x:c r="AG741" s="10"/>
      <x:c r="AH741" s="10" t="str">
        <x:f>IF(COUNT(AG741,AF741)=2,AG741-AF741,"")</x:f>
      </x:c>
      <x:c r="AI741" s="10" t="n">
        <x:v>24</x:v>
      </x:c>
      <x:c r="AJ741" s="10"/>
      <x:c r="AK741" s="10" t="str">
        <x:f>IF(COUNT(AJ741,AI741)=2,AJ741-AI741,"")</x:f>
      </x:c>
      <x:c r="AL741" s="10" t="n">
        <x:v>26</x:v>
      </x:c>
      <x:c r="AM741" s="10"/>
      <x:c r="AN741" s="4" t="str">
        <x:v>C</x:v>
      </x:c>
      <x:c r="AO741" s="4"/>
      <x:c r="AP741" s="4" t="str">
        <x:v>NYI</x:v>
      </x:c>
      <x:c r="AQ741" s="4"/>
      <x:c r="AR741" s="4" t="n">
        <x:v>10.120000000000001</x:v>
      </x:c>
      <x:c r="AS741" s="4"/>
      <x:c r="AT741" s="4" t="n">
        <x:v>0.08</x:v>
      </x:c>
      <x:c r="AU741" s="4"/>
      <x:c r="AV741" s="10"/>
      <x:c r="AW741" s="10"/>
      <x:c r="AX741" s="10"/>
      <x:c r="AY741" s="10"/>
      <x:c r="AZ741" s="10" t="n">
        <x:v>493</x:v>
      </x:c>
      <x:c r="BA741" s="10" t="n">
        <x:v>554</x:v>
      </x:c>
      <x:c r="BB741" s="4" t="n">
        <x:v>47.1</x:v>
      </x:c>
      <x:c r="BC741" s="4" t="n">
        <x:v>-2.5</x:v>
      </x:c>
      <x:c r="BD741" s="10" t="n">
        <x:v>364</x:v>
      </x:c>
      <x:c r="BE741" s="10" t="n">
        <x:v>370</x:v>
      </x:c>
      <x:c r="BF741" s="4" t="n">
        <x:v>49.6</x:v>
      </x:c>
      <x:c r="BG741" s="4" t="n">
        <x:v>-0.2</x:v>
      </x:c>
      <x:c r="BH741" s="4" t="n">
        <x:v>6</x:v>
      </x:c>
      <x:c r="BI741" s="4" t="n">
        <x:v>91.1</x:v>
      </x:c>
      <x:c r="BJ741" s="4" t="n">
        <x:v>97.1</x:v>
      </x:c>
      <x:c r="BK741" s="4" t="n">
        <x:v>48.3</x:v>
      </x:c>
      <x:c r="BL741" s="4" t="n">
        <x:v>51.7</x:v>
      </x:c>
      <x:c r="BM741" s="4" t="n">
        <x:v>10.516666666666667</x:v>
      </x:c>
      <x:c r="BN741" s="4" t="n">
        <x:v>10.333333333333334</x:v>
      </x:c>
      <x:c r="BO741" s="10" t="n">
        <x:v>8</x:v>
      </x:c>
      <x:c r="BP741" s="10" t="n">
        <x:v>30</x:v>
      </x:c>
      <x:c r="BQ741" s="4" t="n">
        <x:v>-0.4</x:v>
      </x:c>
      <x:c r="BR741" s="10" t="n">
        <x:v>95</x:v>
      </x:c>
      <x:c r="BS741" s="4" t="n">
        <x:v>45.3</x:v>
      </x:c>
      <x:c r="BT741" s="10" t="n">
        <x:v>59</x:v>
      </x:c>
      <x:c r="BU741" s="4" t="str">
        <x:v>NYI</x:v>
      </x:c>
      <x:c r="BV741" s="10" t="n">
        <x:v>595</x:v>
      </x:c>
      <x:c r="BW741" s="10"/>
      <x:c r="BX741" s="10" t="n">
        <x:v>628</x:v>
      </x:c>
      <x:c r="BY741" s="4" t="str">
        <x:v>Kyle MacLean</x:v>
      </x:c>
      <x:c r="BZ741" s="4"/>
      <x:c r="CA741" s="4" t="str">
        <x:v>Kyle MacLean</x:v>
      </x:c>
      <x:c r="CB741" s="4" t="str">
        <x:v>macleky01</x:v>
      </x:c>
    </x:row>
    <x:row r="742" ht="22" customHeight="1">
      <x:c r="A742" s="4" t="str">
        <x:v>Landon Slaggert</x:v>
      </x:c>
      <x:c r="B742" s="4" t="str">
        <x:v>landonslaggert</x:v>
      </x:c>
      <x:c r="C742" s="10" t="n">
        <x:v>1</x:v>
      </x:c>
      <x:c r="D742" s="10" t="n">
        <x:v>0</x:v>
      </x:c>
      <x:c r="E742" s="10" t="n">
        <x:v>1</x:v>
      </x:c>
      <x:c r="F742" s="4" t="n">
        <x:f>IF(COUNT(N742,Q742,T742,W742,Z742,AC742,AF742,AI742)=8,N742*Guide!$E$5+Q742*Guide!$E$6+T742*Guide!$E$7+W742*Guide!$E$8+Z742*Guide!$E$9+AC742*Guide!$E$10+AF742*Guide!$E$11+AI742*Guide!$E$12,"")</x:f>
        <x:v>135.75</x:v>
      </x:c>
      <x:c r="G742" s="4" t="str">
        <x:f>IF(COUNT(O742,R742,U742,X742,AA742,AD742,AG742,AJ742)=8,O742*Guide!$E$5+R742*Guide!$E$6+U742*Guide!$E$7+X742*Guide!$E$8+AA742*Guide!$E$9+AD742*Guide!$E$10+AG742*Guide!$E$11+AJ742*Guide!$E$12,"")</x:f>
      </x:c>
      <x:c r="H742" s="4" t="str">
        <x:f>IF(COUNT(G742,F742)=2,G742-F742,"")</x:f>
      </x:c>
      <x:c r="I742" s="4" t="n">
        <x:f>IF(AND(ISNUMBER(F742),K742&gt;0),F742/K742,"")</x:f>
        <x:v>1.8854166666666667</x:v>
      </x:c>
      <x:c r="J742" s="4" t="str">
        <x:f>IF(AND(ISNUMBER(G742),L742&gt;0),G742/L742,"")</x:f>
      </x:c>
      <x:c r="K742" s="10" t="n">
        <x:v>72</x:v>
      </x:c>
      <x:c r="L742" s="10"/>
      <x:c r="M742" s="10" t="str">
        <x:f>IF(COUNT(L742,K742)=2,L742-K742,"")</x:f>
      </x:c>
      <x:c r="N742" s="10" t="n">
        <x:v>10</x:v>
      </x:c>
      <x:c r="O742" s="10"/>
      <x:c r="P742" s="10" t="str">
        <x:f>IF(COUNT(O742,N742)=2,O742-N742,"")</x:f>
      </x:c>
      <x:c r="Q742" s="10" t="n">
        <x:v>13</x:v>
      </x:c>
      <x:c r="R742" s="10"/>
      <x:c r="S742" s="10" t="str">
        <x:f>IF(COUNT(R742,Q742)=2,R742-Q742,"")</x:f>
      </x:c>
      <x:c r="T742" s="10" t="n">
        <x:v>-5</x:v>
      </x:c>
      <x:c r="U742" s="10"/>
      <x:c r="V742" s="10" t="str">
        <x:f>IF(COUNT(U742,T742)=2,U742-T742,"")</x:f>
      </x:c>
      <x:c r="W742" s="10" t="n">
        <x:v>0</x:v>
      </x:c>
      <x:c r="X742" s="10" t="str">
        <x:f>IF(COUNT(AV742,AW742)=2,AV742+AW742,"")</x:f>
      </x:c>
      <x:c r="Y742" s="10" t="str">
        <x:f>IF(COUNT(X742,W742)=2,X742-W742,"")</x:f>
      </x:c>
      <x:c r="Z742" s="10" t="n">
        <x:v>1</x:v>
      </x:c>
      <x:c r="AA742" s="10" t="str">
        <x:f>IF(COUNT(AX742,AY742)=2,AX742+AY742,"")</x:f>
      </x:c>
      <x:c r="AB742" s="10" t="str">
        <x:f>IF(COUNT(AA742,Z742)=2,AA742-Z742,"")</x:f>
      </x:c>
      <x:c r="AC742" s="10" t="n">
        <x:v>77</x:v>
      </x:c>
      <x:c r="AD742" s="10"/>
      <x:c r="AE742" s="10" t="str">
        <x:f>IF(COUNT(AD742,AC742)=2,AD742-AC742,"")</x:f>
      </x:c>
      <x:c r="AF742" s="10" t="n">
        <x:v>59</x:v>
      </x:c>
      <x:c r="AG742" s="10"/>
      <x:c r="AH742" s="10" t="str">
        <x:f>IF(COUNT(AG742,AF742)=2,AG742-AF742,"")</x:f>
      </x:c>
      <x:c r="AI742" s="10" t="n">
        <x:v>33</x:v>
      </x:c>
      <x:c r="AJ742" s="10"/>
      <x:c r="AK742" s="10" t="str">
        <x:f>IF(COUNT(AJ742,AI742)=2,AJ742-AI742,"")</x:f>
      </x:c>
      <x:c r="AL742" s="10" t="n">
        <x:v>23</x:v>
      </x:c>
      <x:c r="AM742" s="10"/>
      <x:c r="AN742" s="4" t="str">
        <x:v>LW</x:v>
      </x:c>
      <x:c r="AO742" s="4"/>
      <x:c r="AP742" s="4" t="str">
        <x:v>CHI</x:v>
      </x:c>
      <x:c r="AQ742" s="4"/>
      <x:c r="AR742" s="4" t="n">
        <x:v>12.61</x:v>
      </x:c>
      <x:c r="AS742" s="4"/>
      <x:c r="AT742" s="4" t="n">
        <x:v>0.11</x:v>
      </x:c>
      <x:c r="AU742" s="4"/>
      <x:c r="AV742" s="10"/>
      <x:c r="AW742" s="10"/>
      <x:c r="AX742" s="10"/>
      <x:c r="AY742" s="10"/>
      <x:c r="AZ742" s="10" t="n">
        <x:v>346</x:v>
      </x:c>
      <x:c r="BA742" s="10" t="n">
        <x:v>461</x:v>
      </x:c>
      <x:c r="BB742" s="4" t="n">
        <x:v>42.9</x:v>
      </x:c>
      <x:c r="BC742" s="4" t="n">
        <x:v>-3.1</x:v>
      </x:c>
      <x:c r="BD742" s="10" t="n">
        <x:v>254</x:v>
      </x:c>
      <x:c r="BE742" s="10" t="n">
        <x:v>332</x:v>
      </x:c>
      <x:c r="BF742" s="4" t="n">
        <x:v>43.3</x:v>
      </x:c>
      <x:c r="BG742" s="4" t="n">
        <x:v>-2.4</x:v>
      </x:c>
      <x:c r="BH742" s="4" t="n">
        <x:v>8.5</x:v>
      </x:c>
      <x:c r="BI742" s="4" t="n">
        <x:v>92.9</x:v>
      </x:c>
      <x:c r="BJ742" s="4" t="n">
        <x:v>101.4</x:v>
      </x:c>
      <x:c r="BK742" s="4" t="n">
        <x:v>40.9</x:v>
      </x:c>
      <x:c r="BL742" s="4" t="n">
        <x:v>59.1</x:v>
      </x:c>
      <x:c r="BM742" s="4" t="n">
        <x:v>10.55</x:v>
      </x:c>
      <x:c r="BN742" s="4" t="n">
        <x:v>9.516666666666667</x:v>
      </x:c>
      <x:c r="BO742" s="10" t="n">
        <x:v>4</x:v>
      </x:c>
      <x:c r="BP742" s="10" t="n">
        <x:v>12</x:v>
      </x:c>
      <x:c r="BQ742" s="4" t="n">
        <x:v>-7.4</x:v>
      </x:c>
      <x:c r="BR742" s="10" t="n">
        <x:v>83</x:v>
      </x:c>
      <x:c r="BS742" s="4" t="n">
        <x:v>56.6</x:v>
      </x:c>
      <x:c r="BT742" s="10" t="n">
        <x:v>53</x:v>
      </x:c>
      <x:c r="BU742" s="4" t="str">
        <x:v>CHI</x:v>
      </x:c>
      <x:c r="BV742" s="10" t="n">
        <x:v>475</x:v>
      </x:c>
      <x:c r="BW742" s="10"/>
      <x:c r="BX742" s="10" t="n">
        <x:v>942</x:v>
      </x:c>
      <x:c r="BY742" s="4" t="str">
        <x:v>Landon Slaggert</x:v>
      </x:c>
      <x:c r="BZ742" s="4"/>
      <x:c r="CA742" s="4" t="str">
        <x:v>Landon Slaggert</x:v>
      </x:c>
      <x:c r="CB742" s="4" t="str">
        <x:v>slaggla01</x:v>
      </x:c>
    </x:row>
    <x:row r="743" ht="22" customHeight="1">
      <x:c r="A743" s="4" t="str">
        <x:v>Lane Pederson</x:v>
      </x:c>
      <x:c r="B743" s="4" t="str">
        <x:v>lanepederson</x:v>
      </x:c>
      <x:c r="C743" s="10" t="n">
        <x:v>0</x:v>
      </x:c>
      <x:c r="D743" s="10" t="n">
        <x:v>0</x:v>
      </x:c>
      <x:c r="E743" s="10" t="n">
        <x:v>1</x:v>
      </x:c>
      <x:c r="F743" s="4" t="str">
        <x:f>IF(COUNT(N743,Q743,T743,W743,Z743,AC743,AF743,AI743)=8,N743*Guide!$E$5+Q743*Guide!$E$6+T743*Guide!$E$7+W743*Guide!$E$8+Z743*Guide!$E$9+AC743*Guide!$E$10+AF743*Guide!$E$11+AI743*Guide!$E$12,"")</x:f>
      </x:c>
      <x:c r="G743" s="4" t="str">
        <x:f>IF(COUNT(O743,R743,U743,X743,AA743,AD743,AG743,AJ743)=8,O743*Guide!$E$5+R743*Guide!$E$6+U743*Guide!$E$7+X743*Guide!$E$8+AA743*Guide!$E$9+AD743*Guide!$E$10+AG743*Guide!$E$11+AJ743*Guide!$E$12,"")</x:f>
      </x:c>
      <x:c r="H743" s="4" t="str">
        <x:f>IF(COUNT(G743,F743)=2,G743-F743,"")</x:f>
      </x:c>
      <x:c r="I743" s="4" t="str">
        <x:f>IF(AND(ISNUMBER(F743),K743&gt;0),F743/K743,"")</x:f>
      </x:c>
      <x:c r="J743" s="4" t="str">
        <x:f>IF(AND(ISNUMBER(G743),L743&gt;0),G743/L743,"")</x:f>
      </x:c>
      <x:c r="K743" s="10"/>
      <x:c r="L743" s="10"/>
      <x:c r="M743" s="10" t="str">
        <x:f>IF(COUNT(L743,K743)=2,L743-K743,"")</x:f>
      </x:c>
      <x:c r="N743" s="10"/>
      <x:c r="O743" s="10"/>
      <x:c r="P743" s="10" t="str">
        <x:f>IF(COUNT(O743,N743)=2,O743-N743,"")</x:f>
      </x:c>
      <x:c r="Q743" s="10"/>
      <x:c r="R743" s="10"/>
      <x:c r="S743" s="10" t="str">
        <x:f>IF(COUNT(R743,Q743)=2,R743-Q743,"")</x:f>
      </x:c>
      <x:c r="T743" s="10"/>
      <x:c r="U743" s="10"/>
      <x:c r="V743" s="10" t="str">
        <x:f>IF(COUNT(U743,T743)=2,U743-T743,"")</x:f>
      </x:c>
      <x:c r="W743" s="10"/>
      <x:c r="X743" s="10" t="str">
        <x:f>IF(COUNT(AV743,AW743)=2,AV743+AW743,"")</x:f>
      </x:c>
      <x:c r="Y743" s="10" t="str">
        <x:f>IF(COUNT(X743,W743)=2,X743-W743,"")</x:f>
      </x:c>
      <x:c r="Z743" s="10"/>
      <x:c r="AA743" s="10" t="str">
        <x:f>IF(COUNT(AX743,AY743)=2,AX743+AY743,"")</x:f>
      </x:c>
      <x:c r="AB743" s="10" t="str">
        <x:f>IF(COUNT(AA743,Z743)=2,AA743-Z743,"")</x:f>
      </x:c>
      <x:c r="AC743" s="10"/>
      <x:c r="AD743" s="10"/>
      <x:c r="AE743" s="10" t="str">
        <x:f>IF(COUNT(AD743,AC743)=2,AD743-AC743,"")</x:f>
      </x:c>
      <x:c r="AF743" s="10"/>
      <x:c r="AG743" s="10"/>
      <x:c r="AH743" s="10" t="str">
        <x:f>IF(COUNT(AG743,AF743)=2,AG743-AF743,"")</x:f>
      </x:c>
      <x:c r="AI743" s="10"/>
      <x:c r="AJ743" s="10"/>
      <x:c r="AK743" s="10" t="str">
        <x:f>IF(COUNT(AJ743,AI743)=2,AJ743-AI743,"")</x:f>
      </x:c>
      <x:c r="AL743" s="10"/>
      <x:c r="AM743" s="10"/>
      <x:c r="AN743" s="4"/>
      <x:c r="AO743" s="4"/>
      <x:c r="AP743" s="4"/>
      <x:c r="AQ743" s="4"/>
      <x:c r="AR743" s="4"/>
      <x:c r="AS743" s="4"/>
      <x:c r="AT743" s="4"/>
      <x:c r="AU743" s="4"/>
      <x:c r="AV743" s="10"/>
      <x:c r="AW743" s="10"/>
      <x:c r="AX743" s="10"/>
      <x:c r="AY743" s="10"/>
      <x:c r="AZ743" s="10" t="n">
        <x:v>23</x:v>
      </x:c>
      <x:c r="BA743" s="10" t="n">
        <x:v>44</x:v>
      </x:c>
      <x:c r="BB743" s="4" t="n">
        <x:v>34.3</x:v>
      </x:c>
      <x:c r="BC743" s="4" t="n">
        <x:v>-9</x:v>
      </x:c>
      <x:c r="BD743" s="10" t="n">
        <x:v>12</x:v>
      </x:c>
      <x:c r="BE743" s="10" t="n">
        <x:v>31</x:v>
      </x:c>
      <x:c r="BF743" s="4" t="n">
        <x:v>27.9</x:v>
      </x:c>
      <x:c r="BG743" s="4" t="n">
        <x:v>-18.8</x:v>
      </x:c>
      <x:c r="BH743" s="4" t="n">
        <x:v>16.7</x:v>
      </x:c>
      <x:c r="BI743" s="4" t="n">
        <x:v>93.3</x:v>
      </x:c>
      <x:c r="BJ743" s="4" t="n">
        <x:v>110</x:v>
      </x:c>
      <x:c r="BK743" s="4" t="n">
        <x:v>41.2</x:v>
      </x:c>
      <x:c r="BL743" s="4" t="n">
        <x:v>58.8</x:v>
      </x:c>
      <x:c r="BM743" s="4" t="n">
        <x:v>8.866666666666667</x:v>
      </x:c>
      <x:c r="BN743" s="4" t="n">
        <x:v>8.866666666666667</x:v>
      </x:c>
      <x:c r="BO743" s="10" t="n">
        <x:v>1</x:v>
      </x:c>
      <x:c r="BP743" s="10" t="n">
        <x:v>6</x:v>
      </x:c>
      <x:c r="BQ743" s="4" t="n">
        <x:v>-0.3</x:v>
      </x:c>
      <x:c r="BR743" s="10" t="n">
        <x:v>4</x:v>
      </x:c>
      <x:c r="BS743" s="4" t="n">
        <x:v>0</x:v>
      </x:c>
      <x:c r="BT743" s="10" t="n">
        <x:v>5</x:v>
      </x:c>
      <x:c r="BU743" s="4" t="str">
        <x:v>PHI</x:v>
      </x:c>
      <x:c r="BV743" s="10"/>
      <x:c r="BW743" s="10"/>
      <x:c r="BX743" s="10" t="n">
        <x:v>791</x:v>
      </x:c>
      <x:c r="BY743" s="4"/>
      <x:c r="BZ743" s="4"/>
      <x:c r="CA743" s="4" t="str">
        <x:v>Lane Pederson</x:v>
      </x:c>
      <x:c r="CB743" s="4" t="str">
        <x:v>pederla01</x:v>
      </x:c>
    </x:row>
    <x:row r="744" ht="22" customHeight="1">
      <x:c r="A744" s="4" t="str">
        <x:v>Lars Eller</x:v>
      </x:c>
      <x:c r="B744" s="4" t="str">
        <x:v>larseller</x:v>
      </x:c>
      <x:c r="C744" s="10" t="n">
        <x:v>1</x:v>
      </x:c>
      <x:c r="D744" s="10" t="n">
        <x:v>0</x:v>
      </x:c>
      <x:c r="E744" s="10" t="n">
        <x:v>1</x:v>
      </x:c>
      <x:c r="F744" s="4" t="n">
        <x:f>IF(COUNT(N744,Q744,T744,W744,Z744,AC744,AF744,AI744)=8,N744*Guide!$E$5+Q744*Guide!$E$6+T744*Guide!$E$7+W744*Guide!$E$8+Z744*Guide!$E$9+AC744*Guide!$E$10+AF744*Guide!$E$11+AI744*Guide!$E$12,"")</x:f>
        <x:v>163.25</x:v>
      </x:c>
      <x:c r="G744" s="4" t="str">
        <x:f>IF(COUNT(O744,R744,U744,X744,AA744,AD744,AG744,AJ744)=8,O744*Guide!$E$5+R744*Guide!$E$6+U744*Guide!$E$7+X744*Guide!$E$8+AA744*Guide!$E$9+AD744*Guide!$E$10+AG744*Guide!$E$11+AJ744*Guide!$E$12,"")</x:f>
      </x:c>
      <x:c r="H744" s="4" t="str">
        <x:f>IF(COUNT(G744,F744)=2,G744-F744,"")</x:f>
      </x:c>
      <x:c r="I744" s="4" t="n">
        <x:f>IF(AND(ISNUMBER(F744),K744&gt;0),F744/K744,"")</x:f>
        <x:v>2.040625</x:v>
      </x:c>
      <x:c r="J744" s="4" t="str">
        <x:f>IF(AND(ISNUMBER(G744),L744&gt;0),G744/L744,"")</x:f>
      </x:c>
      <x:c r="K744" s="10" t="n">
        <x:v>80</x:v>
      </x:c>
      <x:c r="L744" s="10"/>
      <x:c r="M744" s="10" t="str">
        <x:f>IF(COUNT(L744,K744)=2,L744-K744,"")</x:f>
      </x:c>
      <x:c r="N744" s="10" t="n">
        <x:v>11</x:v>
      </x:c>
      <x:c r="O744" s="10"/>
      <x:c r="P744" s="10" t="str">
        <x:f>IF(COUNT(O744,N744)=2,O744-N744,"")</x:f>
      </x:c>
      <x:c r="Q744" s="10" t="n">
        <x:v>14</x:v>
      </x:c>
      <x:c r="R744" s="10"/>
      <x:c r="S744" s="10" t="str">
        <x:f>IF(COUNT(R744,Q744)=2,R744-Q744,"")</x:f>
      </x:c>
      <x:c r="T744" s="10" t="n">
        <x:v>1</x:v>
      </x:c>
      <x:c r="U744" s="10"/>
      <x:c r="V744" s="10" t="str">
        <x:f>IF(COUNT(U744,T744)=2,U744-T744,"")</x:f>
      </x:c>
      <x:c r="W744" s="10" t="n">
        <x:v>2</x:v>
      </x:c>
      <x:c r="X744" s="10" t="str">
        <x:f>IF(COUNT(AV744,AW744)=2,AV744+AW744,"")</x:f>
      </x:c>
      <x:c r="Y744" s="10" t="str">
        <x:f>IF(COUNT(X744,W744)=2,X744-W744,"")</x:f>
      </x:c>
      <x:c r="Z744" s="10" t="n">
        <x:v>1</x:v>
      </x:c>
      <x:c r="AA744" s="10" t="str">
        <x:f>IF(COUNT(AX744,AY744)=2,AX744+AY744,"")</x:f>
      </x:c>
      <x:c r="AB744" s="10" t="str">
        <x:f>IF(COUNT(AA744,Z744)=2,AA744-Z744,"")</x:f>
      </x:c>
      <x:c r="AC744" s="10" t="n">
        <x:v>106</x:v>
      </x:c>
      <x:c r="AD744" s="10"/>
      <x:c r="AE744" s="10" t="str">
        <x:f>IF(COUNT(AD744,AC744)=2,AD744-AC744,"")</x:f>
      </x:c>
      <x:c r="AF744" s="10" t="n">
        <x:v>59</x:v>
      </x:c>
      <x:c r="AG744" s="10"/>
      <x:c r="AH744" s="10" t="str">
        <x:f>IF(COUNT(AG744,AF744)=2,AG744-AF744,"")</x:f>
      </x:c>
      <x:c r="AI744" s="10" t="n">
        <x:v>40</x:v>
      </x:c>
      <x:c r="AJ744" s="10"/>
      <x:c r="AK744" s="10" t="str">
        <x:f>IF(COUNT(AJ744,AI744)=2,AJ744-AI744,"")</x:f>
      </x:c>
      <x:c r="AL744" s="10" t="n">
        <x:v>36</x:v>
      </x:c>
      <x:c r="AM744" s="10"/>
      <x:c r="AN744" s="4" t="str">
        <x:v>C</x:v>
      </x:c>
      <x:c r="AO744" s="4"/>
      <x:c r="AP744" s="4" t="str">
        <x:v>OTT</x:v>
      </x:c>
      <x:c r="AQ744" s="4"/>
      <x:c r="AR744" s="4" t="n">
        <x:v>13.57</x:v>
      </x:c>
      <x:c r="AS744" s="4"/>
      <x:c r="AT744" s="4" t="n">
        <x:v>0.49</x:v>
      </x:c>
      <x:c r="AU744" s="4"/>
      <x:c r="AV744" s="10"/>
      <x:c r="AW744" s="10"/>
      <x:c r="AX744" s="10"/>
      <x:c r="AY744" s="10"/>
      <x:c r="AZ744" s="10" t="n">
        <x:v>589</x:v>
      </x:c>
      <x:c r="BA744" s="10" t="n">
        <x:v>652</x:v>
      </x:c>
      <x:c r="BB744" s="4" t="n">
        <x:v>47.5</x:v>
      </x:c>
      <x:c r="BC744" s="4" t="n">
        <x:v>-6.1</x:v>
      </x:c>
      <x:c r="BD744" s="10" t="n">
        <x:v>411</x:v>
      </x:c>
      <x:c r="BE744" s="10" t="n">
        <x:v>447</x:v>
      </x:c>
      <x:c r="BF744" s="4" t="n">
        <x:v>47.9</x:v>
      </x:c>
      <x:c r="BG744" s="4" t="n">
        <x:v>-6.5</x:v>
      </x:c>
      <x:c r="BH744" s="4" t="n">
        <x:v>10.5</x:v>
      </x:c>
      <x:c r="BI744" s="4" t="n">
        <x:v>91.3</x:v>
      </x:c>
      <x:c r="BJ744" s="4" t="n">
        <x:v>101.8</x:v>
      </x:c>
      <x:c r="BK744" s="4" t="n">
        <x:v>36.5</x:v>
      </x:c>
      <x:c r="BL744" s="4" t="n">
        <x:v>63.5</x:v>
      </x:c>
      <x:c r="BM744" s="4" t="n">
        <x:v>11.45</x:v>
      </x:c>
      <x:c r="BN744" s="4" t="n">
        <x:v>10.066666666666666</x:v>
      </x:c>
      <x:c r="BO744" s="10" t="n">
        <x:v>12</x:v>
      </x:c>
      <x:c r="BP744" s="10" t="n">
        <x:v>35</x:v>
      </x:c>
      <x:c r="BQ744" s="4" t="n">
        <x:v>2.2</x:v>
      </x:c>
      <x:c r="BR744" s="10" t="n">
        <x:v>120</x:v>
      </x:c>
      <x:c r="BS744" s="4" t="n">
        <x:v>55.8</x:v>
      </x:c>
      <x:c r="BT744" s="10" t="n">
        <x:v>68</x:v>
      </x:c>
      <x:c r="BU744" s="4" t="str">
        <x:v>OTT</x:v>
      </x:c>
      <x:c r="BV744" s="10" t="n">
        <x:v>438</x:v>
      </x:c>
      <x:c r="BW744" s="10"/>
      <x:c r="BX744" s="10" t="n">
        <x:v>266</x:v>
      </x:c>
      <x:c r="BY744" s="4" t="str">
        <x:v>Lars Eller</x:v>
      </x:c>
      <x:c r="BZ744" s="4"/>
      <x:c r="CA744" s="4" t="str">
        <x:v>Lars Eller</x:v>
      </x:c>
      <x:c r="CB744" s="4" t="str">
        <x:v>ellerla01</x:v>
      </x:c>
    </x:row>
    <x:row r="745" ht="22" customHeight="1">
      <x:c r="A745" s="4" t="str">
        <x:v>Lassi Thomson</x:v>
      </x:c>
      <x:c r="B745" s="4" t="str">
        <x:v>lassithomson</x:v>
      </x:c>
      <x:c r="C745" s="10" t="n">
        <x:v>0</x:v>
      </x:c>
      <x:c r="D745" s="10" t="n">
        <x:v>0</x:v>
      </x:c>
      <x:c r="E745" s="10" t="n">
        <x:v>1</x:v>
      </x:c>
      <x:c r="F745" s="4" t="str">
        <x:f>IF(COUNT(N745,Q745,T745,W745,Z745,AC745,AF745,AI745)=8,N745*Guide!$E$5+Q745*Guide!$E$6+T745*Guide!$E$7+W745*Guide!$E$8+Z745*Guide!$E$9+AC745*Guide!$E$10+AF745*Guide!$E$11+AI745*Guide!$E$12,"")</x:f>
      </x:c>
      <x:c r="G745" s="4" t="str">
        <x:f>IF(COUNT(O745,R745,U745,X745,AA745,AD745,AG745,AJ745)=8,O745*Guide!$E$5+R745*Guide!$E$6+U745*Guide!$E$7+X745*Guide!$E$8+AA745*Guide!$E$9+AD745*Guide!$E$10+AG745*Guide!$E$11+AJ745*Guide!$E$12,"")</x:f>
      </x:c>
      <x:c r="H745" s="4" t="str">
        <x:f>IF(COUNT(G745,F745)=2,G745-F745,"")</x:f>
      </x:c>
      <x:c r="I745" s="4" t="str">
        <x:f>IF(AND(ISNUMBER(F745),K745&gt;0),F745/K745,"")</x:f>
      </x:c>
      <x:c r="J745" s="4" t="str">
        <x:f>IF(AND(ISNUMBER(G745),L745&gt;0),G745/L745,"")</x:f>
      </x:c>
      <x:c r="K745" s="10"/>
      <x:c r="L745" s="10"/>
      <x:c r="M745" s="10" t="str">
        <x:f>IF(COUNT(L745,K745)=2,L745-K745,"")</x:f>
      </x:c>
      <x:c r="N745" s="10"/>
      <x:c r="O745" s="10"/>
      <x:c r="P745" s="10" t="str">
        <x:f>IF(COUNT(O745,N745)=2,O745-N745,"")</x:f>
      </x:c>
      <x:c r="Q745" s="10"/>
      <x:c r="R745" s="10"/>
      <x:c r="S745" s="10" t="str">
        <x:f>IF(COUNT(R745,Q745)=2,R745-Q745,"")</x:f>
      </x:c>
      <x:c r="T745" s="10"/>
      <x:c r="U745" s="10"/>
      <x:c r="V745" s="10" t="str">
        <x:f>IF(COUNT(U745,T745)=2,U745-T745,"")</x:f>
      </x:c>
      <x:c r="W745" s="10"/>
      <x:c r="X745" s="10" t="str">
        <x:f>IF(COUNT(AV745,AW745)=2,AV745+AW745,"")</x:f>
      </x:c>
      <x:c r="Y745" s="10" t="str">
        <x:f>IF(COUNT(X745,W745)=2,X745-W745,"")</x:f>
      </x:c>
      <x:c r="Z745" s="10"/>
      <x:c r="AA745" s="10" t="str">
        <x:f>IF(COUNT(AX745,AY745)=2,AX745+AY745,"")</x:f>
      </x:c>
      <x:c r="AB745" s="10" t="str">
        <x:f>IF(COUNT(AA745,Z745)=2,AA745-Z745,"")</x:f>
      </x:c>
      <x:c r="AC745" s="10"/>
      <x:c r="AD745" s="10"/>
      <x:c r="AE745" s="10" t="str">
        <x:f>IF(COUNT(AD745,AC745)=2,AD745-AC745,"")</x:f>
      </x:c>
      <x:c r="AF745" s="10"/>
      <x:c r="AG745" s="10"/>
      <x:c r="AH745" s="10" t="str">
        <x:f>IF(COUNT(AG745,AF745)=2,AG745-AF745,"")</x:f>
      </x:c>
      <x:c r="AI745" s="10"/>
      <x:c r="AJ745" s="10"/>
      <x:c r="AK745" s="10" t="str">
        <x:f>IF(COUNT(AJ745,AI745)=2,AJ745-AI745,"")</x:f>
      </x:c>
      <x:c r="AL745" s="10"/>
      <x:c r="AM745" s="10"/>
      <x:c r="AN745" s="4"/>
      <x:c r="AO745" s="4"/>
      <x:c r="AP745" s="4"/>
      <x:c r="AQ745" s="4"/>
      <x:c r="AR745" s="4"/>
      <x:c r="AS745" s="4"/>
      <x:c r="AT745" s="4"/>
      <x:c r="AU745" s="4"/>
      <x:c r="AV745" s="10"/>
      <x:c r="AW745" s="10"/>
      <x:c r="AX745" s="10"/>
      <x:c r="AY745" s="10"/>
      <x:c r="AZ745" s="10" t="n">
        <x:v>139</x:v>
      </x:c>
      <x:c r="BA745" s="10" t="n">
        <x:v>124</x:v>
      </x:c>
      <x:c r="BB745" s="4" t="n">
        <x:v>52.9</x:v>
      </x:c>
      <x:c r="BC745" s="4" t="n">
        <x:v>4.1</x:v>
      </x:c>
      <x:c r="BD745" s="10" t="n">
        <x:v>104</x:v>
      </x:c>
      <x:c r="BE745" s="10" t="n">
        <x:v>92</x:v>
      </x:c>
      <x:c r="BF745" s="4" t="n">
        <x:v>53.1</x:v>
      </x:c>
      <x:c r="BG745" s="4" t="n">
        <x:v>3</x:v>
      </x:c>
      <x:c r="BH745" s="4" t="n">
        <x:v>11.6</x:v>
      </x:c>
      <x:c r="BI745" s="4" t="n">
        <x:v>92.9</x:v>
      </x:c>
      <x:c r="BJ745" s="4" t="n">
        <x:v>104.5</x:v>
      </x:c>
      <x:c r="BK745" s="4" t="n">
        <x:v>48.6</x:v>
      </x:c>
      <x:c r="BL745" s="4" t="n">
        <x:v>51.4</x:v>
      </x:c>
      <x:c r="BM745" s="4" t="n">
        <x:v>13.75</x:v>
      </x:c>
      <x:c r="BN745" s="4" t="n">
        <x:v>13.016666666666667</x:v>
      </x:c>
      <x:c r="BO745" s="10" t="n">
        <x:v>4</x:v>
      </x:c>
      <x:c r="BP745" s="10" t="n">
        <x:v>6</x:v>
      </x:c>
      <x:c r="BQ745" s="4" t="n">
        <x:v>1.6</x:v>
      </x:c>
      <x:c r="BR745" s="10" t="n">
        <x:v>31</x:v>
      </x:c>
      <x:c r="BS745" s="4" t="n">
        <x:v>35.5</x:v>
      </x:c>
      <x:c r="BT745" s="10" t="n">
        <x:v>11</x:v>
      </x:c>
      <x:c r="BU745" s="4" t="str">
        <x:v>OTT</x:v>
      </x:c>
      <x:c r="BV745" s="10"/>
      <x:c r="BW745" s="10"/>
      <x:c r="BX745" s="10" t="n">
        <x:v>1014</x:v>
      </x:c>
      <x:c r="BY745" s="4"/>
      <x:c r="BZ745" s="4"/>
      <x:c r="CA745" s="4" t="str">
        <x:v>Lassi Thomson</x:v>
      </x:c>
      <x:c r="CB745" s="4" t="str">
        <x:v>thomsla01</x:v>
      </x:c>
    </x:row>
    <x:row r="746" ht="22" customHeight="1">
      <x:c r="A746" s="4" t="str">
        <x:v>Lenni Hameenaho</x:v>
      </x:c>
      <x:c r="B746" s="4" t="str">
        <x:v>lennihameenaho</x:v>
      </x:c>
      <x:c r="C746" s="10" t="n">
        <x:v>0</x:v>
      </x:c>
      <x:c r="D746" s="10" t="n">
        <x:v>0</x:v>
      </x:c>
      <x:c r="E746" s="10" t="n">
        <x:v>1</x:v>
      </x:c>
      <x:c r="F746" s="4" t="str">
        <x:f>IF(COUNT(N746,Q746,T746,W746,Z746,AC746,AF746,AI746)=8,N746*Guide!$E$5+Q746*Guide!$E$6+T746*Guide!$E$7+W746*Guide!$E$8+Z746*Guide!$E$9+AC746*Guide!$E$10+AF746*Guide!$E$11+AI746*Guide!$E$12,"")</x:f>
      </x:c>
      <x:c r="G746" s="4" t="str">
        <x:f>IF(COUNT(O746,R746,U746,X746,AA746,AD746,AG746,AJ746)=8,O746*Guide!$E$5+R746*Guide!$E$6+U746*Guide!$E$7+X746*Guide!$E$8+AA746*Guide!$E$9+AD746*Guide!$E$10+AG746*Guide!$E$11+AJ746*Guide!$E$12,"")</x:f>
      </x:c>
      <x:c r="H746" s="4" t="str">
        <x:f>IF(COUNT(G746,F746)=2,G746-F746,"")</x:f>
      </x:c>
      <x:c r="I746" s="4" t="str">
        <x:f>IF(AND(ISNUMBER(F746),K746&gt;0),F746/K746,"")</x:f>
      </x:c>
      <x:c r="J746" s="4" t="str">
        <x:f>IF(AND(ISNUMBER(G746),L746&gt;0),G746/L746,"")</x:f>
      </x:c>
      <x:c r="K746" s="10"/>
      <x:c r="L746" s="10"/>
      <x:c r="M746" s="10" t="str">
        <x:f>IF(COUNT(L746,K746)=2,L746-K746,"")</x:f>
      </x:c>
      <x:c r="N746" s="10"/>
      <x:c r="O746" s="10"/>
      <x:c r="P746" s="10" t="str">
        <x:f>IF(COUNT(O746,N746)=2,O746-N746,"")</x:f>
      </x:c>
      <x:c r="Q746" s="10"/>
      <x:c r="R746" s="10"/>
      <x:c r="S746" s="10" t="str">
        <x:f>IF(COUNT(R746,Q746)=2,R746-Q746,"")</x:f>
      </x:c>
      <x:c r="T746" s="10"/>
      <x:c r="U746" s="10"/>
      <x:c r="V746" s="10" t="str">
        <x:f>IF(COUNT(U746,T746)=2,U746-T746,"")</x:f>
      </x:c>
      <x:c r="W746" s="10"/>
      <x:c r="X746" s="10" t="str">
        <x:f>IF(COUNT(AV746,AW746)=2,AV746+AW746,"")</x:f>
      </x:c>
      <x:c r="Y746" s="10" t="str">
        <x:f>IF(COUNT(X746,W746)=2,X746-W746,"")</x:f>
      </x:c>
      <x:c r="Z746" s="10"/>
      <x:c r="AA746" s="10" t="str">
        <x:f>IF(COUNT(AX746,AY746)=2,AX746+AY746,"")</x:f>
      </x:c>
      <x:c r="AB746" s="10" t="str">
        <x:f>IF(COUNT(AA746,Z746)=2,AA746-Z746,"")</x:f>
      </x:c>
      <x:c r="AC746" s="10"/>
      <x:c r="AD746" s="10"/>
      <x:c r="AE746" s="10" t="str">
        <x:f>IF(COUNT(AD746,AC746)=2,AD746-AC746,"")</x:f>
      </x:c>
      <x:c r="AF746" s="10"/>
      <x:c r="AG746" s="10"/>
      <x:c r="AH746" s="10" t="str">
        <x:f>IF(COUNT(AG746,AF746)=2,AG746-AF746,"")</x:f>
      </x:c>
      <x:c r="AI746" s="10"/>
      <x:c r="AJ746" s="10"/>
      <x:c r="AK746" s="10" t="str">
        <x:f>IF(COUNT(AJ746,AI746)=2,AJ746-AI746,"")</x:f>
      </x:c>
      <x:c r="AL746" s="10"/>
      <x:c r="AM746" s="10"/>
      <x:c r="AN746" s="4"/>
      <x:c r="AO746" s="4"/>
      <x:c r="AP746" s="4"/>
      <x:c r="AQ746" s="4"/>
      <x:c r="AR746" s="4"/>
      <x:c r="AS746" s="4"/>
      <x:c r="AT746" s="4"/>
      <x:c r="AU746" s="4"/>
      <x:c r="AV746" s="10"/>
      <x:c r="AW746" s="10"/>
      <x:c r="AX746" s="10"/>
      <x:c r="AY746" s="10"/>
      <x:c r="AZ746" s="10" t="n">
        <x:v>354</x:v>
      </x:c>
      <x:c r="BA746" s="10" t="n">
        <x:v>372</x:v>
      </x:c>
      <x:c r="BB746" s="4" t="n">
        <x:v>48.8</x:v>
      </x:c>
      <x:c r="BC746" s="4" t="n">
        <x:v>-5</x:v>
      </x:c>
      <x:c r="BD746" s="10" t="n">
        <x:v>270</x:v>
      </x:c>
      <x:c r="BE746" s="10" t="n">
        <x:v>264</x:v>
      </x:c>
      <x:c r="BF746" s="4" t="n">
        <x:v>50.6</x:v>
      </x:c>
      <x:c r="BG746" s="4" t="n">
        <x:v>-2.7</x:v>
      </x:c>
      <x:c r="BH746" s="4" t="n">
        <x:v>8.8</x:v>
      </x:c>
      <x:c r="BI746" s="4" t="n">
        <x:v>90.3</x:v>
      </x:c>
      <x:c r="BJ746" s="4" t="n">
        <x:v>99.1</x:v>
      </x:c>
      <x:c r="BK746" s="4" t="n">
        <x:v>41.5</x:v>
      </x:c>
      <x:c r="BL746" s="4" t="n">
        <x:v>58.5</x:v>
      </x:c>
      <x:c r="BM746" s="4" t="n">
        <x:v>12.183333333333334</x:v>
      </x:c>
      <x:c r="BN746" s="4" t="n">
        <x:v>11.7</x:v>
      </x:c>
      <x:c r="BO746" s="10" t="n">
        <x:v>6</x:v>
      </x:c>
      <x:c r="BP746" s="10" t="n">
        <x:v>12</x:v>
      </x:c>
      <x:c r="BQ746" s="4" t="n">
        <x:v>-2.6</x:v>
      </x:c>
      <x:c r="BR746" s="10" t="n">
        <x:v>91</x:v>
      </x:c>
      <x:c r="BS746" s="4" t="n">
        <x:v>51.6</x:v>
      </x:c>
      <x:c r="BT746" s="10" t="n">
        <x:v>33</x:v>
      </x:c>
      <x:c r="BU746" s="4" t="str">
        <x:v>NJD</x:v>
      </x:c>
      <x:c r="BV746" s="10"/>
      <x:c r="BW746" s="10"/>
      <x:c r="BX746" s="10" t="n">
        <x:v>383</x:v>
      </x:c>
      <x:c r="BY746" s="4"/>
      <x:c r="BZ746" s="4"/>
      <x:c r="CA746" s="4" t="str">
        <x:v>Lenni Hameenaho</x:v>
      </x:c>
      <x:c r="CB746" s="4" t="str">
        <x:v>hameele01</x:v>
      </x:c>
    </x:row>
    <x:row r="747" ht="22" customHeight="1">
      <x:c r="A747" s="4" t="str">
        <x:v>Liam Foudy</x:v>
      </x:c>
      <x:c r="B747" s="4" t="str">
        <x:v>liamfoudy</x:v>
      </x:c>
      <x:c r="C747" s="10" t="n">
        <x:v>1</x:v>
      </x:c>
      <x:c r="D747" s="10" t="n">
        <x:v>0</x:v>
      </x:c>
      <x:c r="E747" s="10" t="n">
        <x:v>1</x:v>
      </x:c>
      <x:c r="F747" s="4" t="n">
        <x:f>IF(COUNT(N747,Q747,T747,W747,Z747,AC747,AF747,AI747)=8,N747*Guide!$E$5+Q747*Guide!$E$6+T747*Guide!$E$7+W747*Guide!$E$8+Z747*Guide!$E$9+AC747*Guide!$E$10+AF747*Guide!$E$11+AI747*Guide!$E$12,"")</x:f>
        <x:v>94</x:v>
      </x:c>
      <x:c r="G747" s="4" t="str">
        <x:f>IF(COUNT(O747,R747,U747,X747,AA747,AD747,AG747,AJ747)=8,O747*Guide!$E$5+R747*Guide!$E$6+U747*Guide!$E$7+X747*Guide!$E$8+AA747*Guide!$E$9+AD747*Guide!$E$10+AG747*Guide!$E$11+AJ747*Guide!$E$12,"")</x:f>
      </x:c>
      <x:c r="H747" s="4" t="str">
        <x:f>IF(COUNT(G747,F747)=2,G747-F747,"")</x:f>
      </x:c>
      <x:c r="I747" s="4" t="n">
        <x:f>IF(AND(ISNUMBER(F747),K747&gt;0),F747/K747,"")</x:f>
        <x:v>1.7407407407407407</x:v>
      </x:c>
      <x:c r="J747" s="4" t="str">
        <x:f>IF(AND(ISNUMBER(G747),L747&gt;0),G747/L747,"")</x:f>
      </x:c>
      <x:c r="K747" s="10" t="n">
        <x:v>54</x:v>
      </x:c>
      <x:c r="L747" s="10"/>
      <x:c r="M747" s="10" t="str">
        <x:f>IF(COUNT(L747,K747)=2,L747-K747,"")</x:f>
      </x:c>
      <x:c r="N747" s="10" t="n">
        <x:v>8</x:v>
      </x:c>
      <x:c r="O747" s="10"/>
      <x:c r="P747" s="10" t="str">
        <x:f>IF(COUNT(O747,N747)=2,O747-N747,"")</x:f>
      </x:c>
      <x:c r="Q747" s="10" t="n">
        <x:v>8</x:v>
      </x:c>
      <x:c r="R747" s="10"/>
      <x:c r="S747" s="10" t="str">
        <x:f>IF(COUNT(R747,Q747)=2,R747-Q747,"")</x:f>
      </x:c>
      <x:c r="T747" s="10" t="n">
        <x:v>-6</x:v>
      </x:c>
      <x:c r="U747" s="10"/>
      <x:c r="V747" s="10" t="str">
        <x:f>IF(COUNT(U747,T747)=2,U747-T747,"")</x:f>
      </x:c>
      <x:c r="W747" s="10" t="n">
        <x:v>0</x:v>
      </x:c>
      <x:c r="X747" s="10" t="str">
        <x:f>IF(COUNT(AV747,AW747)=2,AV747+AW747,"")</x:f>
      </x:c>
      <x:c r="Y747" s="10" t="str">
        <x:f>IF(COUNT(X747,W747)=2,X747-W747,"")</x:f>
      </x:c>
      <x:c r="Z747" s="10" t="n">
        <x:v>0</x:v>
      </x:c>
      <x:c r="AA747" s="10" t="str">
        <x:f>IF(COUNT(AX747,AY747)=2,AX747+AY747,"")</x:f>
      </x:c>
      <x:c r="AB747" s="10" t="str">
        <x:f>IF(COUNT(AA747,Z747)=2,AA747-Z747,"")</x:f>
      </x:c>
      <x:c r="AC747" s="10" t="n">
        <x:v>57</x:v>
      </x:c>
      <x:c r="AD747" s="10"/>
      <x:c r="AE747" s="10" t="str">
        <x:f>IF(COUNT(AD747,AC747)=2,AD747-AC747,"")</x:f>
      </x:c>
      <x:c r="AF747" s="10" t="n">
        <x:v>56</x:v>
      </x:c>
      <x:c r="AG747" s="10"/>
      <x:c r="AH747" s="10" t="str">
        <x:f>IF(COUNT(AG747,AF747)=2,AG747-AF747,"")</x:f>
      </x:c>
      <x:c r="AI747" s="10" t="n">
        <x:v>21</x:v>
      </x:c>
      <x:c r="AJ747" s="10"/>
      <x:c r="AK747" s="10" t="str">
        <x:f>IF(COUNT(AJ747,AI747)=2,AJ747-AI747,"")</x:f>
      </x:c>
      <x:c r="AL747" s="10" t="n">
        <x:v>25</x:v>
      </x:c>
      <x:c r="AM747" s="10"/>
      <x:c r="AN747" s="4" t="str">
        <x:v>C</x:v>
      </x:c>
      <x:c r="AO747" s="4"/>
      <x:c r="AP747" s="4" t="str">
        <x:v>NYI</x:v>
      </x:c>
      <x:c r="AQ747" s="4"/>
      <x:c r="AR747" s="4" t="n">
        <x:v>12.29</x:v>
      </x:c>
      <x:c r="AS747" s="4"/>
      <x:c r="AT747" s="4" t="n">
        <x:v>0.17</x:v>
      </x:c>
      <x:c r="AU747" s="4"/>
      <x:c r="AV747" s="10"/>
      <x:c r="AW747" s="10"/>
      <x:c r="AX747" s="10"/>
      <x:c r="AY747" s="10"/>
      <x:c r="AZ747" s="10" t="n">
        <x:v>6</x:v>
      </x:c>
      <x:c r="BA747" s="10" t="n">
        <x:v>10</x:v>
      </x:c>
      <x:c r="BB747" s="4" t="n">
        <x:v>37.5</x:v>
      </x:c>
      <x:c r="BC747" s="4" t="n">
        <x:v>-23</x:v>
      </x:c>
      <x:c r="BD747" s="10" t="n">
        <x:v>2</x:v>
      </x:c>
      <x:c r="BE747" s="10" t="n">
        <x:v>9</x:v>
      </x:c>
      <x:c r="BF747" s="4" t="n">
        <x:v>18.2</x:v>
      </x:c>
      <x:c r="BG747" s="4" t="n">
        <x:v>-39.9</x:v>
      </x:c>
      <x:c r="BH747" s="4" t="n">
        <x:v>0</x:v>
      </x:c>
      <x:c r="BI747" s="4" t="n">
        <x:v>100</x:v>
      </x:c>
      <x:c r="BJ747" s="4" t="n">
        <x:v>100</x:v>
      </x:c>
      <x:c r="BK747" s="4" t="n">
        <x:v>33.3</x:v>
      </x:c>
      <x:c r="BL747" s="4" t="n">
        <x:v>66.7</x:v>
      </x:c>
      <x:c r="BM747" s="4" t="n">
        <x:v>11.283333333333333</x:v>
      </x:c>
      <x:c r="BN747" s="4" t="n">
        <x:v>11.283333333333333</x:v>
      </x:c>
      <x:c r="BO747" s="10" t="n">
        <x:v>0</x:v>
      </x:c>
      <x:c r="BP747" s="10" t="n">
        <x:v>1</x:v>
      </x:c>
      <x:c r="BQ747" s="4" t="n">
        <x:v>-0.2</x:v>
      </x:c>
      <x:c r="BR747" s="10" t="n">
        <x:v>2</x:v>
      </x:c>
      <x:c r="BS747" s="4" t="n">
        <x:v>50</x:v>
      </x:c>
      <x:c r="BT747" s="10" t="n">
        <x:v>1</x:v>
      </x:c>
      <x:c r="BU747" s="4" t="str">
        <x:v>NYI</x:v>
      </x:c>
      <x:c r="BV747" s="10" t="n">
        <x:v>621</x:v>
      </x:c>
      <x:c r="BW747" s="10"/>
      <x:c r="BX747" s="10" t="n">
        <x:v>311</x:v>
      </x:c>
      <x:c r="BY747" s="4" t="str">
        <x:v>Liam Foudy</x:v>
      </x:c>
      <x:c r="BZ747" s="4"/>
      <x:c r="CA747" s="4" t="str">
        <x:v>Liam Foudy</x:v>
      </x:c>
      <x:c r="CB747" s="4" t="str">
        <x:v>foudyli01</x:v>
      </x:c>
    </x:row>
    <x:row r="748" ht="22" customHeight="1">
      <x:c r="A748" s="4" t="str">
        <x:v>Liam O'Brien</x:v>
      </x:c>
      <x:c r="B748" s="4" t="str">
        <x:v>liamobrien</x:v>
      </x:c>
      <x:c r="C748" s="10" t="n">
        <x:v>1</x:v>
      </x:c>
      <x:c r="D748" s="10" t="n">
        <x:v>0</x:v>
      </x:c>
      <x:c r="E748" s="10" t="n">
        <x:v>1</x:v>
      </x:c>
      <x:c r="F748" s="4" t="n">
        <x:f>IF(COUNT(N748,Q748,T748,W748,Z748,AC748,AF748,AI748)=8,N748*Guide!$E$5+Q748*Guide!$E$6+T748*Guide!$E$7+W748*Guide!$E$8+Z748*Guide!$E$9+AC748*Guide!$E$10+AF748*Guide!$E$11+AI748*Guide!$E$12,"")</x:f>
        <x:v>115.25</x:v>
      </x:c>
      <x:c r="G748" s="4" t="str">
        <x:f>IF(COUNT(O748,R748,U748,X748,AA748,AD748,AG748,AJ748)=8,O748*Guide!$E$5+R748*Guide!$E$6+U748*Guide!$E$7+X748*Guide!$E$8+AA748*Guide!$E$9+AD748*Guide!$E$10+AG748*Guide!$E$11+AJ748*Guide!$E$12,"")</x:f>
      </x:c>
      <x:c r="H748" s="4" t="str">
        <x:f>IF(COUNT(G748,F748)=2,G748-F748,"")</x:f>
      </x:c>
      <x:c r="I748" s="4" t="n">
        <x:f>IF(AND(ISNUMBER(F748),K748&gt;0),F748/K748,"")</x:f>
        <x:v>2.0954545454545452</x:v>
      </x:c>
      <x:c r="J748" s="4" t="str">
        <x:f>IF(AND(ISNUMBER(G748),L748&gt;0),G748/L748,"")</x:f>
      </x:c>
      <x:c r="K748" s="10" t="n">
        <x:v>55</x:v>
      </x:c>
      <x:c r="L748" s="10"/>
      <x:c r="M748" s="10" t="str">
        <x:f>IF(COUNT(L748,K748)=2,L748-K748,"")</x:f>
      </x:c>
      <x:c r="N748" s="10" t="n">
        <x:v>5</x:v>
      </x:c>
      <x:c r="O748" s="10"/>
      <x:c r="P748" s="10" t="str">
        <x:f>IF(COUNT(O748,N748)=2,O748-N748,"")</x:f>
      </x:c>
      <x:c r="Q748" s="10" t="n">
        <x:v>7</x:v>
      </x:c>
      <x:c r="R748" s="10"/>
      <x:c r="S748" s="10" t="str">
        <x:f>IF(COUNT(R748,Q748)=2,R748-Q748,"")</x:f>
      </x:c>
      <x:c r="T748" s="10" t="n">
        <x:v>-1</x:v>
      </x:c>
      <x:c r="U748" s="10"/>
      <x:c r="V748" s="10" t="str">
        <x:f>IF(COUNT(U748,T748)=2,U748-T748,"")</x:f>
      </x:c>
      <x:c r="W748" s="10" t="n">
        <x:v>0</x:v>
      </x:c>
      <x:c r="X748" s="10" t="str">
        <x:f>IF(COUNT(AV748,AW748)=2,AV748+AW748,"")</x:f>
      </x:c>
      <x:c r="Y748" s="10" t="str">
        <x:f>IF(COUNT(X748,W748)=2,X748-W748,"")</x:f>
      </x:c>
      <x:c r="Z748" s="10" t="n">
        <x:v>0</x:v>
      </x:c>
      <x:c r="AA748" s="10" t="str">
        <x:f>IF(COUNT(AX748,AY748)=2,AX748+AY748,"")</x:f>
      </x:c>
      <x:c r="AB748" s="10" t="str">
        <x:f>IF(COUNT(AA748,Z748)=2,AA748-Z748,"")</x:f>
      </x:c>
      <x:c r="AC748" s="10" t="n">
        <x:v>53</x:v>
      </x:c>
      <x:c r="AD748" s="10"/>
      <x:c r="AE748" s="10" t="str">
        <x:f>IF(COUNT(AD748,AC748)=2,AD748-AC748,"")</x:f>
      </x:c>
      <x:c r="AF748" s="10" t="n">
        <x:v>179</x:v>
      </x:c>
      <x:c r="AG748" s="10"/>
      <x:c r="AH748" s="10" t="str">
        <x:f>IF(COUNT(AG748,AF748)=2,AG748-AF748,"")</x:f>
      </x:c>
      <x:c r="AI748" s="10" t="n">
        <x:v>23</x:v>
      </x:c>
      <x:c r="AJ748" s="10"/>
      <x:c r="AK748" s="10" t="str">
        <x:f>IF(COUNT(AJ748,AI748)=2,AJ748-AI748,"")</x:f>
      </x:c>
      <x:c r="AL748" s="10" t="n">
        <x:v>31</x:v>
      </x:c>
      <x:c r="AM748" s="10"/>
      <x:c r="AN748" s="4" t="str">
        <x:v>LW,RW</x:v>
      </x:c>
      <x:c r="AO748" s="4"/>
      <x:c r="AP748" s="4" t="str">
        <x:v>UTA</x:v>
      </x:c>
      <x:c r="AQ748" s="4"/>
      <x:c r="AR748" s="4" t="n">
        <x:v>9.68</x:v>
      </x:c>
      <x:c r="AS748" s="4"/>
      <x:c r="AT748" s="4" t="n">
        <x:v>0.1</x:v>
      </x:c>
      <x:c r="AU748" s="4"/>
      <x:c r="AV748" s="10"/>
      <x:c r="AW748" s="10"/>
      <x:c r="AX748" s="10"/>
      <x:c r="AY748" s="10"/>
      <x:c r="AZ748" s="10" t="n">
        <x:v>304</x:v>
      </x:c>
      <x:c r="BA748" s="10" t="n">
        <x:v>341</x:v>
      </x:c>
      <x:c r="BB748" s="4" t="n">
        <x:v>47.1</x:v>
      </x:c>
      <x:c r="BC748" s="4" t="n">
        <x:v>-6.8</x:v>
      </x:c>
      <x:c r="BD748" s="10" t="n">
        <x:v>213</x:v>
      </x:c>
      <x:c r="BE748" s="10" t="n">
        <x:v>233</x:v>
      </x:c>
      <x:c r="BF748" s="4" t="n">
        <x:v>47.8</x:v>
      </x:c>
      <x:c r="BG748" s="4" t="n">
        <x:v>-6.6</x:v>
      </x:c>
      <x:c r="BH748" s="4" t="n">
        <x:v>4.8</x:v>
      </x:c>
      <x:c r="BI748" s="4" t="n">
        <x:v>92.3</x:v>
      </x:c>
      <x:c r="BJ748" s="4" t="n">
        <x:v>97.1</x:v>
      </x:c>
      <x:c r="BK748" s="4" t="n">
        <x:v>48.4</x:v>
      </x:c>
      <x:c r="BL748" s="4" t="n">
        <x:v>51.6</x:v>
      </x:c>
      <x:c r="BM748" s="4" t="n">
        <x:v>9.15</x:v>
      </x:c>
      <x:c r="BN748" s="4" t="n">
        <x:v>9.133333333333333</x:v>
      </x:c>
      <x:c r="BO748" s="10" t="n">
        <x:v>1</x:v>
      </x:c>
      <x:c r="BP748" s="10" t="n">
        <x:v>11</x:v>
      </x:c>
      <x:c r="BQ748" s="4" t="n">
        <x:v>-2.7</x:v>
      </x:c>
      <x:c r="BR748" s="10" t="n">
        <x:v>86</x:v>
      </x:c>
      <x:c r="BS748" s="4" t="n">
        <x:v>40.7</x:v>
      </x:c>
      <x:c r="BT748" s="10" t="n">
        <x:v>38</x:v>
      </x:c>
      <x:c r="BU748" s="4" t="str">
        <x:v>UTA</x:v>
      </x:c>
      <x:c r="BV748" s="10" t="n">
        <x:v>686</x:v>
      </x:c>
      <x:c r="BW748" s="10"/>
      <x:c r="BX748" s="10" t="n">
        <x:v>752</x:v>
      </x:c>
      <x:c r="BY748" s="4" t="str">
        <x:v>Liam O'Brien</x:v>
      </x:c>
      <x:c r="BZ748" s="4"/>
      <x:c r="CA748" s="4" t="str">
        <x:v>Liam O'Brien</x:v>
      </x:c>
      <x:c r="CB748" s="4" t="str">
        <x:v>obrieli01</x:v>
      </x:c>
    </x:row>
    <x:row r="749" ht="22" customHeight="1">
      <x:c r="A749" s="4" t="str">
        <x:v>Lian Bichsel</x:v>
      </x:c>
      <x:c r="B749" s="4" t="str">
        <x:v>lianbichsel</x:v>
      </x:c>
      <x:c r="C749" s="10" t="n">
        <x:v>1</x:v>
      </x:c>
      <x:c r="D749" s="10" t="n">
        <x:v>0</x:v>
      </x:c>
      <x:c r="E749" s="10" t="n">
        <x:v>1</x:v>
      </x:c>
      <x:c r="F749" s="4" t="n">
        <x:f>IF(COUNT(N749,Q749,T749,W749,Z749,AC749,AF749,AI749)=8,N749*Guide!$E$5+Q749*Guide!$E$6+T749*Guide!$E$7+W749*Guide!$E$8+Z749*Guide!$E$9+AC749*Guide!$E$10+AF749*Guide!$E$11+AI749*Guide!$E$12,"")</x:f>
        <x:v>259.75</x:v>
      </x:c>
      <x:c r="G749" s="4" t="str">
        <x:f>IF(COUNT(O749,R749,U749,X749,AA749,AD749,AG749,AJ749)=8,O749*Guide!$E$5+R749*Guide!$E$6+U749*Guide!$E$7+X749*Guide!$E$8+AA749*Guide!$E$9+AD749*Guide!$E$10+AG749*Guide!$E$11+AJ749*Guide!$E$12,"")</x:f>
      </x:c>
      <x:c r="H749" s="4" t="str">
        <x:f>IF(COUNT(G749,F749)=2,G749-F749,"")</x:f>
      </x:c>
      <x:c r="I749" s="4" t="n">
        <x:f>IF(AND(ISNUMBER(F749),K749&gt;0),F749/K749,"")</x:f>
        <x:v>3.4633333333333334</x:v>
      </x:c>
      <x:c r="J749" s="4" t="str">
        <x:f>IF(AND(ISNUMBER(G749),L749&gt;0),G749/L749,"")</x:f>
      </x:c>
      <x:c r="K749" s="10" t="n">
        <x:v>75</x:v>
      </x:c>
      <x:c r="L749" s="10"/>
      <x:c r="M749" s="10" t="str">
        <x:f>IF(COUNT(L749,K749)=2,L749-K749,"")</x:f>
      </x:c>
      <x:c r="N749" s="10" t="n">
        <x:v>8</x:v>
      </x:c>
      <x:c r="O749" s="10"/>
      <x:c r="P749" s="10" t="str">
        <x:f>IF(COUNT(O749,N749)=2,O749-N749,"")</x:f>
      </x:c>
      <x:c r="Q749" s="10" t="n">
        <x:v>15</x:v>
      </x:c>
      <x:c r="R749" s="10"/>
      <x:c r="S749" s="10" t="str">
        <x:f>IF(COUNT(R749,Q749)=2,R749-Q749,"")</x:f>
      </x:c>
      <x:c r="T749" s="10" t="n">
        <x:v>1</x:v>
      </x:c>
      <x:c r="U749" s="10"/>
      <x:c r="V749" s="10" t="str">
        <x:f>IF(COUNT(U749,T749)=2,U749-T749,"")</x:f>
      </x:c>
      <x:c r="W749" s="10" t="n">
        <x:v>0</x:v>
      </x:c>
      <x:c r="X749" s="10" t="str">
        <x:f>IF(COUNT(AV749,AW749)=2,AV749+AW749,"")</x:f>
      </x:c>
      <x:c r="Y749" s="10" t="str">
        <x:f>IF(COUNT(X749,W749)=2,X749-W749,"")</x:f>
      </x:c>
      <x:c r="Z749" s="10" t="n">
        <x:v>0</x:v>
      </x:c>
      <x:c r="AA749" s="10" t="str">
        <x:f>IF(COUNT(AX749,AY749)=2,AX749+AY749,"")</x:f>
      </x:c>
      <x:c r="AB749" s="10" t="str">
        <x:f>IF(COUNT(AA749,Z749)=2,AA749-Z749,"")</x:f>
      </x:c>
      <x:c r="AC749" s="10" t="n">
        <x:v>91</x:v>
      </x:c>
      <x:c r="AD749" s="10"/>
      <x:c r="AE749" s="10" t="str">
        <x:f>IF(COUNT(AD749,AC749)=2,AD749-AC749,"")</x:f>
      </x:c>
      <x:c r="AF749" s="10" t="n">
        <x:v>321</x:v>
      </x:c>
      <x:c r="AG749" s="10"/>
      <x:c r="AH749" s="10" t="str">
        <x:f>IF(COUNT(AG749,AF749)=2,AG749-AF749,"")</x:f>
      </x:c>
      <x:c r="AI749" s="10" t="n">
        <x:v>105</x:v>
      </x:c>
      <x:c r="AJ749" s="10"/>
      <x:c r="AK749" s="10" t="str">
        <x:f>IF(COUNT(AJ749,AI749)=2,AJ749-AI749,"")</x:f>
      </x:c>
      <x:c r="AL749" s="10" t="n">
        <x:v>21</x:v>
      </x:c>
      <x:c r="AM749" s="10"/>
      <x:c r="AN749" s="4" t="str">
        <x:v>D</x:v>
      </x:c>
      <x:c r="AO749" s="4"/>
      <x:c r="AP749" s="4" t="str">
        <x:v>DAL</x:v>
      </x:c>
      <x:c r="AQ749" s="4"/>
      <x:c r="AR749" s="4" t="n">
        <x:v>17.27</x:v>
      </x:c>
      <x:c r="AS749" s="4"/>
      <x:c r="AT749" s="4" t="n">
        <x:v>0.05</x:v>
      </x:c>
      <x:c r="AU749" s="4"/>
      <x:c r="AV749" s="10"/>
      <x:c r="AW749" s="10"/>
      <x:c r="AX749" s="10"/>
      <x:c r="AY749" s="10"/>
      <x:c r="AZ749" s="10" t="n">
        <x:v>579</x:v>
      </x:c>
      <x:c r="BA749" s="10" t="n">
        <x:v>664</x:v>
      </x:c>
      <x:c r="BB749" s="4" t="n">
        <x:v>46.6</x:v>
      </x:c>
      <x:c r="BC749" s="4" t="n">
        <x:v>-1.1</x:v>
      </x:c>
      <x:c r="BD749" s="10" t="n">
        <x:v>400</x:v>
      </x:c>
      <x:c r="BE749" s="10" t="n">
        <x:v>470</x:v>
      </x:c>
      <x:c r="BF749" s="4" t="n">
        <x:v>46</x:v>
      </x:c>
      <x:c r="BG749" s="4" t="n">
        <x:v>-2.7</x:v>
      </x:c>
      <x:c r="BH749" s="4" t="n">
        <x:v>10.8</x:v>
      </x:c>
      <x:c r="BI749" s="4" t="n">
        <x:v>93.1</x:v>
      </x:c>
      <x:c r="BJ749" s="4" t="n">
        <x:v>103.9</x:v>
      </x:c>
      <x:c r="BK749" s="4" t="n">
        <x:v>38.7</x:v>
      </x:c>
      <x:c r="BL749" s="4" t="n">
        <x:v>61.3</x:v>
      </x:c>
      <x:c r="BM749" s="4" t="n">
        <x:v>15.666666666666666</x:v>
      </x:c>
      <x:c r="BN749" s="4" t="n">
        <x:v>14.733333333333333</x:v>
      </x:c>
      <x:c r="BO749" s="10" t="n">
        <x:v>14</x:v>
      </x:c>
      <x:c r="BP749" s="10" t="n">
        <x:v>38</x:v>
      </x:c>
      <x:c r="BQ749" s="4" t="n">
        <x:v>-1.9</x:v>
      </x:c>
      <x:c r="BR749" s="10" t="n">
        <x:v>89</x:v>
      </x:c>
      <x:c r="BS749" s="4" t="n">
        <x:v>30.3</x:v>
      </x:c>
      <x:c r="BT749" s="10" t="n">
        <x:v>50</x:v>
      </x:c>
      <x:c r="BU749" s="4" t="str">
        <x:v>DAL</x:v>
      </x:c>
      <x:c r="BV749" s="10" t="n">
        <x:v>459</x:v>
      </x:c>
      <x:c r="BW749" s="10"/>
      <x:c r="BX749" s="10" t="n">
        <x:v>57</x:v>
      </x:c>
      <x:c r="BY749" s="4" t="str">
        <x:v>Lian Bichsel</x:v>
      </x:c>
      <x:c r="BZ749" s="4"/>
      <x:c r="CA749" s="4" t="str">
        <x:v>Lian Bichsel</x:v>
      </x:c>
      <x:c r="CB749" s="4" t="str">
        <x:v>bichsli01</x:v>
      </x:c>
    </x:row>
    <x:row r="750" ht="22" customHeight="1">
      <x:c r="A750" s="4" t="str">
        <x:v>Logan Mailloux</x:v>
      </x:c>
      <x:c r="B750" s="4" t="str">
        <x:v>loganmailloux</x:v>
      </x:c>
      <x:c r="C750" s="10" t="n">
        <x:v>0</x:v>
      </x:c>
      <x:c r="D750" s="10" t="n">
        <x:v>0</x:v>
      </x:c>
      <x:c r="E750" s="10" t="n">
        <x:v>1</x:v>
      </x:c>
      <x:c r="F750" s="4" t="str">
        <x:f>IF(COUNT(N750,Q750,T750,W750,Z750,AC750,AF750,AI750)=8,N750*Guide!$E$5+Q750*Guide!$E$6+T750*Guide!$E$7+W750*Guide!$E$8+Z750*Guide!$E$9+AC750*Guide!$E$10+AF750*Guide!$E$11+AI750*Guide!$E$12,"")</x:f>
      </x:c>
      <x:c r="G750" s="4" t="str">
        <x:f>IF(COUNT(O750,R750,U750,X750,AA750,AD750,AG750,AJ750)=8,O750*Guide!$E$5+R750*Guide!$E$6+U750*Guide!$E$7+X750*Guide!$E$8+AA750*Guide!$E$9+AD750*Guide!$E$10+AG750*Guide!$E$11+AJ750*Guide!$E$12,"")</x:f>
      </x:c>
      <x:c r="H750" s="4" t="str">
        <x:f>IF(COUNT(G750,F750)=2,G750-F750,"")</x:f>
      </x:c>
      <x:c r="I750" s="4" t="str">
        <x:f>IF(AND(ISNUMBER(F750),K750&gt;0),F750/K750,"")</x:f>
      </x:c>
      <x:c r="J750" s="4" t="str">
        <x:f>IF(AND(ISNUMBER(G750),L750&gt;0),G750/L750,"")</x:f>
      </x:c>
      <x:c r="K750" s="10"/>
      <x:c r="L750" s="10"/>
      <x:c r="M750" s="10" t="str">
        <x:f>IF(COUNT(L750,K750)=2,L750-K750,"")</x:f>
      </x:c>
      <x:c r="N750" s="10"/>
      <x:c r="O750" s="10"/>
      <x:c r="P750" s="10" t="str">
        <x:f>IF(COUNT(O750,N750)=2,O750-N750,"")</x:f>
      </x:c>
      <x:c r="Q750" s="10"/>
      <x:c r="R750" s="10"/>
      <x:c r="S750" s="10" t="str">
        <x:f>IF(COUNT(R750,Q750)=2,R750-Q750,"")</x:f>
      </x:c>
      <x:c r="T750" s="10"/>
      <x:c r="U750" s="10"/>
      <x:c r="V750" s="10" t="str">
        <x:f>IF(COUNT(U750,T750)=2,U750-T750,"")</x:f>
      </x:c>
      <x:c r="W750" s="10"/>
      <x:c r="X750" s="10" t="str">
        <x:f>IF(COUNT(AV750,AW750)=2,AV750+AW750,"")</x:f>
      </x:c>
      <x:c r="Y750" s="10" t="str">
        <x:f>IF(COUNT(X750,W750)=2,X750-W750,"")</x:f>
      </x:c>
      <x:c r="Z750" s="10"/>
      <x:c r="AA750" s="10" t="str">
        <x:f>IF(COUNT(AX750,AY750)=2,AX750+AY750,"")</x:f>
      </x:c>
      <x:c r="AB750" s="10" t="str">
        <x:f>IF(COUNT(AA750,Z750)=2,AA750-Z750,"")</x:f>
      </x:c>
      <x:c r="AC750" s="10"/>
      <x:c r="AD750" s="10"/>
      <x:c r="AE750" s="10" t="str">
        <x:f>IF(COUNT(AD750,AC750)=2,AD750-AC750,"")</x:f>
      </x:c>
      <x:c r="AF750" s="10"/>
      <x:c r="AG750" s="10"/>
      <x:c r="AH750" s="10" t="str">
        <x:f>IF(COUNT(AG750,AF750)=2,AG750-AF750,"")</x:f>
      </x:c>
      <x:c r="AI750" s="10"/>
      <x:c r="AJ750" s="10"/>
      <x:c r="AK750" s="10" t="str">
        <x:f>IF(COUNT(AJ750,AI750)=2,AJ750-AI750,"")</x:f>
      </x:c>
      <x:c r="AL750" s="10"/>
      <x:c r="AM750" s="10"/>
      <x:c r="AN750" s="4"/>
      <x:c r="AO750" s="4"/>
      <x:c r="AP750" s="4"/>
      <x:c r="AQ750" s="4"/>
      <x:c r="AR750" s="4"/>
      <x:c r="AS750" s="4"/>
      <x:c r="AT750" s="4"/>
      <x:c r="AU750" s="4"/>
      <x:c r="AV750" s="10"/>
      <x:c r="AW750" s="10"/>
      <x:c r="AX750" s="10"/>
      <x:c r="AY750" s="10"/>
      <x:c r="AZ750" s="10" t="n">
        <x:v>899</x:v>
      </x:c>
      <x:c r="BA750" s="10" t="n">
        <x:v>961</x:v>
      </x:c>
      <x:c r="BB750" s="4" t="n">
        <x:v>48.3</x:v>
      </x:c>
      <x:c r="BC750" s="4" t="n">
        <x:v>-0.6</x:v>
      </x:c>
      <x:c r="BD750" s="10" t="n">
        <x:v>628</x:v>
      </x:c>
      <x:c r="BE750" s="10" t="n">
        <x:v>715</x:v>
      </x:c>
      <x:c r="BF750" s="4" t="n">
        <x:v>46.8</x:v>
      </x:c>
      <x:c r="BG750" s="4" t="n">
        <x:v>-2.4</x:v>
      </x:c>
      <x:c r="BH750" s="4" t="n">
        <x:v>10.1</x:v>
      </x:c>
      <x:c r="BI750" s="4" t="n">
        <x:v>88.8</x:v>
      </x:c>
      <x:c r="BJ750" s="4" t="n">
        <x:v>98.9</x:v>
      </x:c>
      <x:c r="BK750" s="4" t="n">
        <x:v>55.7</x:v>
      </x:c>
      <x:c r="BL750" s="4" t="n">
        <x:v>44.3</x:v>
      </x:c>
      <x:c r="BM750" s="4" t="n">
        <x:v>16.766666666666666</x:v>
      </x:c>
      <x:c r="BN750" s="4" t="n">
        <x:v>15.45</x:v>
      </x:c>
      <x:c r="BO750" s="10" t="n">
        <x:v>18</x:v>
      </x:c>
      <x:c r="BP750" s="10" t="n">
        <x:v>68</x:v>
      </x:c>
      <x:c r="BQ750" s="4" t="n">
        <x:v>-3</x:v>
      </x:c>
      <x:c r="BR750" s="10" t="n">
        <x:v>189</x:v>
      </x:c>
      <x:c r="BS750" s="4" t="n">
        <x:v>42.3</x:v>
      </x:c>
      <x:c r="BT750" s="10" t="n">
        <x:v>67</x:v>
      </x:c>
      <x:c r="BU750" s="4" t="str">
        <x:v>STL</x:v>
      </x:c>
      <x:c r="BV750" s="10"/>
      <x:c r="BW750" s="10"/>
      <x:c r="BX750" s="10" t="n">
        <x:v>630</x:v>
      </x:c>
      <x:c r="BY750" s="4"/>
      <x:c r="BZ750" s="4"/>
      <x:c r="CA750" s="4" t="str">
        <x:v>Logan Mailloux</x:v>
      </x:c>
      <x:c r="CB750" s="4" t="str">
        <x:v>mailllo01</x:v>
      </x:c>
    </x:row>
    <x:row r="751" ht="22" customHeight="1">
      <x:c r="A751" s="4" t="str">
        <x:v>Logan Mallioux</x:v>
      </x:c>
      <x:c r="B751" s="4" t="str">
        <x:v>loganmallioux</x:v>
      </x:c>
      <x:c r="C751" s="10" t="n">
        <x:v>1</x:v>
      </x:c>
      <x:c r="D751" s="10" t="n">
        <x:v>0</x:v>
      </x:c>
      <x:c r="E751" s="10" t="n">
        <x:v>0</x:v>
      </x:c>
      <x:c r="F751" s="4" t="n">
        <x:f>IF(COUNT(N751,Q751,T751,W751,Z751,AC751,AF751,AI751)=8,N751*Guide!$E$5+Q751*Guide!$E$6+T751*Guide!$E$7+W751*Guide!$E$8+Z751*Guide!$E$9+AC751*Guide!$E$10+AF751*Guide!$E$11+AI751*Guide!$E$12,"")</x:f>
        <x:v>188.75</x:v>
      </x:c>
      <x:c r="G751" s="4" t="str">
        <x:f>IF(COUNT(O751,R751,U751,X751,AA751,AD751,AG751,AJ751)=8,O751*Guide!$E$5+R751*Guide!$E$6+U751*Guide!$E$7+X751*Guide!$E$8+AA751*Guide!$E$9+AD751*Guide!$E$10+AG751*Guide!$E$11+AJ751*Guide!$E$12,"")</x:f>
      </x:c>
      <x:c r="H751" s="4" t="str">
        <x:f>IF(COUNT(G751,F751)=2,G751-F751,"")</x:f>
      </x:c>
      <x:c r="I751" s="4" t="n">
        <x:f>IF(AND(ISNUMBER(F751),K751&gt;0),F751/K751,"")</x:f>
        <x:v>2.6215277777777777</x:v>
      </x:c>
      <x:c r="J751" s="4" t="str">
        <x:f>IF(AND(ISNUMBER(G751),L751&gt;0),G751/L751,"")</x:f>
      </x:c>
      <x:c r="K751" s="10" t="n">
        <x:v>72</x:v>
      </x:c>
      <x:c r="L751" s="10"/>
      <x:c r="M751" s="10" t="str">
        <x:f>IF(COUNT(L751,K751)=2,L751-K751,"")</x:f>
      </x:c>
      <x:c r="N751" s="10" t="n">
        <x:v>5</x:v>
      </x:c>
      <x:c r="O751" s="10"/>
      <x:c r="P751" s="10" t="str">
        <x:f>IF(COUNT(O751,N751)=2,O751-N751,"")</x:f>
      </x:c>
      <x:c r="Q751" s="10" t="n">
        <x:v>20</x:v>
      </x:c>
      <x:c r="R751" s="10"/>
      <x:c r="S751" s="10" t="str">
        <x:f>IF(COUNT(R751,Q751)=2,R751-Q751,"")</x:f>
      </x:c>
      <x:c r="T751" s="10" t="n">
        <x:v>-6</x:v>
      </x:c>
      <x:c r="U751" s="10"/>
      <x:c r="V751" s="10" t="str">
        <x:f>IF(COUNT(U751,T751)=2,U751-T751,"")</x:f>
      </x:c>
      <x:c r="W751" s="10" t="n">
        <x:v>7</x:v>
      </x:c>
      <x:c r="X751" s="10" t="str">
        <x:f>IF(COUNT(AV751,AW751)=2,AV751+AW751,"")</x:f>
      </x:c>
      <x:c r="Y751" s="10" t="str">
        <x:f>IF(COUNT(X751,W751)=2,X751-W751,"")</x:f>
      </x:c>
      <x:c r="Z751" s="10" t="n">
        <x:v>0</x:v>
      </x:c>
      <x:c r="AA751" s="10" t="str">
        <x:f>IF(COUNT(AX751,AY751)=2,AX751+AY751,"")</x:f>
      </x:c>
      <x:c r="AB751" s="10" t="str">
        <x:f>IF(COUNT(AA751,Z751)=2,AA751-Z751,"")</x:f>
      </x:c>
      <x:c r="AC751" s="10" t="n">
        <x:v>93</x:v>
      </x:c>
      <x:c r="AD751" s="10"/>
      <x:c r="AE751" s="10" t="str">
        <x:f>IF(COUNT(AD751,AC751)=2,AD751-AC751,"")</x:f>
      </x:c>
      <x:c r="AF751" s="10" t="n">
        <x:v>74</x:v>
      </x:c>
      <x:c r="AG751" s="10"/>
      <x:c r="AH751" s="10" t="str">
        <x:f>IF(COUNT(AG751,AF751)=2,AG751-AF751,"")</x:f>
      </x:c>
      <x:c r="AI751" s="10" t="n">
        <x:v>88</x:v>
      </x:c>
      <x:c r="AJ751" s="10"/>
      <x:c r="AK751" s="10" t="str">
        <x:f>IF(COUNT(AJ751,AI751)=2,AJ751-AI751,"")</x:f>
      </x:c>
      <x:c r="AL751" s="10"/>
      <x:c r="AM751" s="10"/>
      <x:c r="AN751" s="4" t="str">
        <x:v>D</x:v>
      </x:c>
      <x:c r="AO751" s="4"/>
      <x:c r="AP751" s="4" t="str">
        <x:v>STL</x:v>
      </x:c>
      <x:c r="AQ751" s="4"/>
      <x:c r="AR751" s="4" t="n">
        <x:v>18</x:v>
      </x:c>
      <x:c r="AS751" s="4"/>
      <x:c r="AT751" s="4" t="n">
        <x:v>1.5</x:v>
      </x:c>
      <x:c r="AU751" s="4"/>
      <x:c r="AV751" s="10"/>
      <x:c r="AW751" s="10"/>
      <x:c r="AX751" s="10"/>
      <x:c r="AY751" s="10"/>
      <x:c r="AZ751" s="10"/>
      <x:c r="BA751" s="10"/>
      <x:c r="BB751" s="4"/>
      <x:c r="BC751" s="4"/>
      <x:c r="BD751" s="10"/>
      <x:c r="BE751" s="10"/>
      <x:c r="BF751" s="4"/>
      <x:c r="BG751" s="4"/>
      <x:c r="BH751" s="4"/>
      <x:c r="BI751" s="4"/>
      <x:c r="BJ751" s="4"/>
      <x:c r="BK751" s="4"/>
      <x:c r="BL751" s="4"/>
      <x:c r="BM751" s="4"/>
      <x:c r="BN751" s="4"/>
      <x:c r="BO751" s="10"/>
      <x:c r="BP751" s="10"/>
      <x:c r="BQ751" s="4"/>
      <x:c r="BR751" s="10"/>
      <x:c r="BS751" s="4"/>
      <x:c r="BT751" s="10"/>
      <x:c r="BU751" s="4"/>
      <x:c r="BV751" s="10" t="n">
        <x:v>432</x:v>
      </x:c>
      <x:c r="BW751" s="10"/>
      <x:c r="BX751" s="10"/>
      <x:c r="BY751" s="4" t="str">
        <x:v>Logan Mallioux</x:v>
      </x:c>
      <x:c r="BZ751" s="4"/>
      <x:c r="CA751" s="4"/>
      <x:c r="CB751" s="4"/>
    </x:row>
    <x:row r="752" ht="22" customHeight="1">
      <x:c r="A752" s="4" t="str">
        <x:v>Logan O'Connor</x:v>
      </x:c>
      <x:c r="B752" s="4" t="str">
        <x:v>loganoconnor</x:v>
      </x:c>
      <x:c r="C752" s="10" t="n">
        <x:v>1</x:v>
      </x:c>
      <x:c r="D752" s="10" t="n">
        <x:v>0</x:v>
      </x:c>
      <x:c r="E752" s="10" t="n">
        <x:v>1</x:v>
      </x:c>
      <x:c r="F752" s="4" t="n">
        <x:f>IF(COUNT(N752,Q752,T752,W752,Z752,AC752,AF752,AI752)=8,N752*Guide!$E$5+Q752*Guide!$E$6+T752*Guide!$E$7+W752*Guide!$E$8+Z752*Guide!$E$9+AC752*Guide!$E$10+AF752*Guide!$E$11+AI752*Guide!$E$12,"")</x:f>
        <x:v>179.75</x:v>
      </x:c>
      <x:c r="G752" s="4" t="str">
        <x:f>IF(COUNT(O752,R752,U752,X752,AA752,AD752,AG752,AJ752)=8,O752*Guide!$E$5+R752*Guide!$E$6+U752*Guide!$E$7+X752*Guide!$E$8+AA752*Guide!$E$9+AD752*Guide!$E$10+AG752*Guide!$E$11+AJ752*Guide!$E$12,"")</x:f>
      </x:c>
      <x:c r="H752" s="4" t="str">
        <x:f>IF(COUNT(G752,F752)=2,G752-F752,"")</x:f>
      </x:c>
      <x:c r="I752" s="4" t="n">
        <x:f>IF(AND(ISNUMBER(F752),K752&gt;0),F752/K752,"")</x:f>
        <x:v>2.3044871794871793</x:v>
      </x:c>
      <x:c r="J752" s="4" t="str">
        <x:f>IF(AND(ISNUMBER(G752),L752&gt;0),G752/L752,"")</x:f>
      </x:c>
      <x:c r="K752" s="10" t="n">
        <x:v>78</x:v>
      </x:c>
      <x:c r="L752" s="10"/>
      <x:c r="M752" s="10" t="str">
        <x:f>IF(COUNT(L752,K752)=2,L752-K752,"")</x:f>
      </x:c>
      <x:c r="N752" s="10" t="n">
        <x:v>12</x:v>
      </x:c>
      <x:c r="O752" s="10"/>
      <x:c r="P752" s="10" t="str">
        <x:f>IF(COUNT(O752,N752)=2,O752-N752,"")</x:f>
      </x:c>
      <x:c r="Q752" s="10" t="n">
        <x:v>14</x:v>
      </x:c>
      <x:c r="R752" s="10"/>
      <x:c r="S752" s="10" t="str">
        <x:f>IF(COUNT(R752,Q752)=2,R752-Q752,"")</x:f>
      </x:c>
      <x:c r="T752" s="10" t="n">
        <x:v>4</x:v>
      </x:c>
      <x:c r="U752" s="10"/>
      <x:c r="V752" s="10" t="str">
        <x:f>IF(COUNT(U752,T752)=2,U752-T752,"")</x:f>
      </x:c>
      <x:c r="W752" s="10" t="n">
        <x:v>1</x:v>
      </x:c>
      <x:c r="X752" s="10" t="str">
        <x:f>IF(COUNT(AV752,AW752)=2,AV752+AW752,"")</x:f>
      </x:c>
      <x:c r="Y752" s="10" t="str">
        <x:f>IF(COUNT(X752,W752)=2,X752-W752,"")</x:f>
      </x:c>
      <x:c r="Z752" s="10" t="n">
        <x:v>2</x:v>
      </x:c>
      <x:c r="AA752" s="10" t="str">
        <x:f>IF(COUNT(AX752,AY752)=2,AX752+AY752,"")</x:f>
      </x:c>
      <x:c r="AB752" s="10" t="str">
        <x:f>IF(COUNT(AA752,Z752)=2,AA752-Z752,"")</x:f>
      </x:c>
      <x:c r="AC752" s="10" t="n">
        <x:v>92</x:v>
      </x:c>
      <x:c r="AD752" s="10"/>
      <x:c r="AE752" s="10" t="str">
        <x:f>IF(COUNT(AD752,AC752)=2,AD752-AC752,"")</x:f>
      </x:c>
      <x:c r="AF752" s="10" t="n">
        <x:v>73</x:v>
      </x:c>
      <x:c r="AG752" s="10"/>
      <x:c r="AH752" s="10" t="str">
        <x:f>IF(COUNT(AG752,AF752)=2,AG752-AF752,"")</x:f>
      </x:c>
      <x:c r="AI752" s="10" t="n">
        <x:v>50</x:v>
      </x:c>
      <x:c r="AJ752" s="10"/>
      <x:c r="AK752" s="10" t="str">
        <x:f>IF(COUNT(AJ752,AI752)=2,AJ752-AI752,"")</x:f>
      </x:c>
      <x:c r="AL752" s="10" t="n">
        <x:v>29</x:v>
      </x:c>
      <x:c r="AM752" s="10"/>
      <x:c r="AN752" s="4" t="str">
        <x:v>RW</x:v>
      </x:c>
      <x:c r="AO752" s="4"/>
      <x:c r="AP752" s="4" t="str">
        <x:v>COL</x:v>
      </x:c>
      <x:c r="AQ752" s="4"/>
      <x:c r="AR752" s="4" t="n">
        <x:v>14.21</x:v>
      </x:c>
      <x:c r="AS752" s="4"/>
      <x:c r="AT752" s="4" t="n">
        <x:v>0.17</x:v>
      </x:c>
      <x:c r="AU752" s="4"/>
      <x:c r="AV752" s="10"/>
      <x:c r="AW752" s="10"/>
      <x:c r="AX752" s="10"/>
      <x:c r="AY752" s="10"/>
      <x:c r="AZ752" s="10" t="n">
        <x:v>142</x:v>
      </x:c>
      <x:c r="BA752" s="10" t="n">
        <x:v>108</x:v>
      </x:c>
      <x:c r="BB752" s="4" t="n">
        <x:v>56.8</x:v>
      </x:c>
      <x:c r="BC752" s="4" t="n">
        <x:v>1.2</x:v>
      </x:c>
      <x:c r="BD752" s="10" t="n">
        <x:v>108</x:v>
      </x:c>
      <x:c r="BE752" s="10" t="n">
        <x:v>81</x:v>
      </x:c>
      <x:c r="BF752" s="4" t="n">
        <x:v>57.1</x:v>
      </x:c>
      <x:c r="BG752" s="4" t="n">
        <x:v>1.5</x:v>
      </x:c>
      <x:c r="BH752" s="4" t="n">
        <x:v>2.7</x:v>
      </x:c>
      <x:c r="BI752" s="4" t="n">
        <x:v>94</x:v>
      </x:c>
      <x:c r="BJ752" s="4" t="n">
        <x:v>96.7</x:v>
      </x:c>
      <x:c r="BK752" s="4" t="n">
        <x:v>31.8</x:v>
      </x:c>
      <x:c r="BL752" s="4" t="n">
        <x:v>68.2</x:v>
      </x:c>
      <x:c r="BM752" s="4" t="n">
        <x:v>11.45</x:v>
      </x:c>
      <x:c r="BN752" s="4" t="n">
        <x:v>10.05</x:v>
      </x:c>
      <x:c r="BO752" s="10" t="n">
        <x:v>3</x:v>
      </x:c>
      <x:c r="BP752" s="10" t="n">
        <x:v>6</x:v>
      </x:c>
      <x:c r="BQ752" s="4" t="n">
        <x:v>1</x:v>
      </x:c>
      <x:c r="BR752" s="10" t="n">
        <x:v>22</x:v>
      </x:c>
      <x:c r="BS752" s="4" t="n">
        <x:v>59.1</x:v>
      </x:c>
      <x:c r="BT752" s="10" t="n">
        <x:v>13</x:v>
      </x:c>
      <x:c r="BU752" s="4" t="str">
        <x:v>COL</x:v>
      </x:c>
      <x:c r="BV752" s="10" t="n">
        <x:v>425</x:v>
      </x:c>
      <x:c r="BW752" s="10"/>
      <x:c r="BX752" s="10" t="n">
        <x:v>754</x:v>
      </x:c>
      <x:c r="BY752" s="4" t="str">
        <x:v>Logan O'Connor</x:v>
      </x:c>
      <x:c r="BZ752" s="4"/>
      <x:c r="CA752" s="4" t="str">
        <x:v>Logan O'Connor</x:v>
      </x:c>
      <x:c r="CB752" s="4" t="str">
        <x:v>oconnlo01</x:v>
      </x:c>
    </x:row>
    <x:row r="753" ht="22" customHeight="1">
      <x:c r="A753" s="4" t="str">
        <x:v>Luca Cagnoni</x:v>
      </x:c>
      <x:c r="B753" s="4" t="str">
        <x:v>lucacagnoni</x:v>
      </x:c>
      <x:c r="C753" s="10" t="n">
        <x:v>0</x:v>
      </x:c>
      <x:c r="D753" s="10" t="n">
        <x:v>0</x:v>
      </x:c>
      <x:c r="E753" s="10" t="n">
        <x:v>1</x:v>
      </x:c>
      <x:c r="F753" s="4" t="str">
        <x:f>IF(COUNT(N753,Q753,T753,W753,Z753,AC753,AF753,AI753)=8,N753*Guide!$E$5+Q753*Guide!$E$6+T753*Guide!$E$7+W753*Guide!$E$8+Z753*Guide!$E$9+AC753*Guide!$E$10+AF753*Guide!$E$11+AI753*Guide!$E$12,"")</x:f>
      </x:c>
      <x:c r="G753" s="4" t="str">
        <x:f>IF(COUNT(O753,R753,U753,X753,AA753,AD753,AG753,AJ753)=8,O753*Guide!$E$5+R753*Guide!$E$6+U753*Guide!$E$7+X753*Guide!$E$8+AA753*Guide!$E$9+AD753*Guide!$E$10+AG753*Guide!$E$11+AJ753*Guide!$E$12,"")</x:f>
      </x:c>
      <x:c r="H753" s="4" t="str">
        <x:f>IF(COUNT(G753,F753)=2,G753-F753,"")</x:f>
      </x:c>
      <x:c r="I753" s="4" t="str">
        <x:f>IF(AND(ISNUMBER(F753),K753&gt;0),F753/K753,"")</x:f>
      </x:c>
      <x:c r="J753" s="4" t="str">
        <x:f>IF(AND(ISNUMBER(G753),L753&gt;0),G753/L753,"")</x:f>
      </x:c>
      <x:c r="K753" s="10"/>
      <x:c r="L753" s="10"/>
      <x:c r="M753" s="10" t="str">
        <x:f>IF(COUNT(L753,K753)=2,L753-K753,"")</x:f>
      </x:c>
      <x:c r="N753" s="10"/>
      <x:c r="O753" s="10"/>
      <x:c r="P753" s="10" t="str">
        <x:f>IF(COUNT(O753,N753)=2,O753-N753,"")</x:f>
      </x:c>
      <x:c r="Q753" s="10"/>
      <x:c r="R753" s="10"/>
      <x:c r="S753" s="10" t="str">
        <x:f>IF(COUNT(R753,Q753)=2,R753-Q753,"")</x:f>
      </x:c>
      <x:c r="T753" s="10"/>
      <x:c r="U753" s="10"/>
      <x:c r="V753" s="10" t="str">
        <x:f>IF(COUNT(U753,T753)=2,U753-T753,"")</x:f>
      </x:c>
      <x:c r="W753" s="10"/>
      <x:c r="X753" s="10" t="str">
        <x:f>IF(COUNT(AV753,AW753)=2,AV753+AW753,"")</x:f>
      </x:c>
      <x:c r="Y753" s="10" t="str">
        <x:f>IF(COUNT(X753,W753)=2,X753-W753,"")</x:f>
      </x:c>
      <x:c r="Z753" s="10"/>
      <x:c r="AA753" s="10" t="str">
        <x:f>IF(COUNT(AX753,AY753)=2,AX753+AY753,"")</x:f>
      </x:c>
      <x:c r="AB753" s="10" t="str">
        <x:f>IF(COUNT(AA753,Z753)=2,AA753-Z753,"")</x:f>
      </x:c>
      <x:c r="AC753" s="10"/>
      <x:c r="AD753" s="10"/>
      <x:c r="AE753" s="10" t="str">
        <x:f>IF(COUNT(AD753,AC753)=2,AD753-AC753,"")</x:f>
      </x:c>
      <x:c r="AF753" s="10"/>
      <x:c r="AG753" s="10"/>
      <x:c r="AH753" s="10" t="str">
        <x:f>IF(COUNT(AG753,AF753)=2,AG753-AF753,"")</x:f>
      </x:c>
      <x:c r="AI753" s="10"/>
      <x:c r="AJ753" s="10"/>
      <x:c r="AK753" s="10" t="str">
        <x:f>IF(COUNT(AJ753,AI753)=2,AJ753-AI753,"")</x:f>
      </x:c>
      <x:c r="AL753" s="10"/>
      <x:c r="AM753" s="10"/>
      <x:c r="AN753" s="4"/>
      <x:c r="AO753" s="4"/>
      <x:c r="AP753" s="4"/>
      <x:c r="AQ753" s="4"/>
      <x:c r="AR753" s="4"/>
      <x:c r="AS753" s="4"/>
      <x:c r="AT753" s="4"/>
      <x:c r="AU753" s="4"/>
      <x:c r="AV753" s="10"/>
      <x:c r="AW753" s="10"/>
      <x:c r="AX753" s="10"/>
      <x:c r="AY753" s="10"/>
      <x:c r="AZ753" s="10" t="n">
        <x:v>31</x:v>
      </x:c>
      <x:c r="BA753" s="10" t="n">
        <x:v>40</x:v>
      </x:c>
      <x:c r="BB753" s="4" t="n">
        <x:v>43.7</x:v>
      </x:c>
      <x:c r="BC753" s="4" t="n">
        <x:v>-6.1</x:v>
      </x:c>
      <x:c r="BD753" s="10" t="n">
        <x:v>22</x:v>
      </x:c>
      <x:c r="BE753" s="10" t="n">
        <x:v>28</x:v>
      </x:c>
      <x:c r="BF753" s="4" t="n">
        <x:v>44</x:v>
      </x:c>
      <x:c r="BG753" s="4" t="n">
        <x:v>-6.3</x:v>
      </x:c>
      <x:c r="BH753" s="4" t="n">
        <x:v>13.3</x:v>
      </x:c>
      <x:c r="BI753" s="4" t="n">
        <x:v>87.5</x:v>
      </x:c>
      <x:c r="BJ753" s="4" t="n">
        <x:v>100.8</x:v>
      </x:c>
      <x:c r="BK753" s="4" t="n">
        <x:v>58.8</x:v>
      </x:c>
      <x:c r="BL753" s="4" t="n">
        <x:v>41.2</x:v>
      </x:c>
      <x:c r="BM753" s="4" t="n">
        <x:v>18.033333333333335</x:v>
      </x:c>
      <x:c r="BN753" s="4" t="n">
        <x:v>15.25</x:v>
      </x:c>
      <x:c r="BO753" s="10" t="n">
        <x:v>1</x:v>
      </x:c>
      <x:c r="BP753" s="10" t="n">
        <x:v>1</x:v>
      </x:c>
      <x:c r="BQ753" s="4" t="n">
        <x:v>-0.2</x:v>
      </x:c>
      <x:c r="BR753" s="10" t="n">
        <x:v>8</x:v>
      </x:c>
      <x:c r="BS753" s="4" t="n">
        <x:v>50</x:v>
      </x:c>
      <x:c r="BT753" s="10" t="n">
        <x:v>3</x:v>
      </x:c>
      <x:c r="BU753" s="4" t="str">
        <x:v>SJS</x:v>
      </x:c>
      <x:c r="BV753" s="10"/>
      <x:c r="BW753" s="10"/>
      <x:c r="BX753" s="10" t="n">
        <x:v>120</x:v>
      </x:c>
      <x:c r="BY753" s="4"/>
      <x:c r="BZ753" s="4"/>
      <x:c r="CA753" s="4" t="str">
        <x:v>Luca Cagnoni</x:v>
      </x:c>
      <x:c r="CB753" s="4" t="str">
        <x:v>cagnolu01</x:v>
      </x:c>
    </x:row>
    <x:row r="754" ht="22" customHeight="1">
      <x:c r="A754" s="4" t="str">
        <x:v>Luca Del Bel Belluz</x:v>
      </x:c>
      <x:c r="B754" s="4" t="str">
        <x:v>lucadelbelbelluz</x:v>
      </x:c>
      <x:c r="C754" s="10" t="n">
        <x:v>1</x:v>
      </x:c>
      <x:c r="D754" s="10" t="n">
        <x:v>0</x:v>
      </x:c>
      <x:c r="E754" s="10" t="n">
        <x:v>1</x:v>
      </x:c>
      <x:c r="F754" s="4" t="n">
        <x:f>IF(COUNT(N754,Q754,T754,W754,Z754,AC754,AF754,AI754)=8,N754*Guide!$E$5+Q754*Guide!$E$6+T754*Guide!$E$7+W754*Guide!$E$8+Z754*Guide!$E$9+AC754*Guide!$E$10+AF754*Guide!$E$11+AI754*Guide!$E$12,"")</x:f>
        <x:v>97.5</x:v>
      </x:c>
      <x:c r="G754" s="4" t="str">
        <x:f>IF(COUNT(O754,R754,U754,X754,AA754,AD754,AG754,AJ754)=8,O754*Guide!$E$5+R754*Guide!$E$6+U754*Guide!$E$7+X754*Guide!$E$8+AA754*Guide!$E$9+AD754*Guide!$E$10+AG754*Guide!$E$11+AJ754*Guide!$E$12,"")</x:f>
      </x:c>
      <x:c r="H754" s="4" t="str">
        <x:f>IF(COUNT(G754,F754)=2,G754-F754,"")</x:f>
      </x:c>
      <x:c r="I754" s="4" t="n">
        <x:f>IF(AND(ISNUMBER(F754),K754&gt;0),F754/K754,"")</x:f>
        <x:v>2.7083333333333335</x:v>
      </x:c>
      <x:c r="J754" s="4" t="str">
        <x:f>IF(AND(ISNUMBER(G754),L754&gt;0),G754/L754,"")</x:f>
      </x:c>
      <x:c r="K754" s="10" t="n">
        <x:v>36</x:v>
      </x:c>
      <x:c r="L754" s="10"/>
      <x:c r="M754" s="10" t="str">
        <x:f>IF(COUNT(L754,K754)=2,L754-K754,"")</x:f>
      </x:c>
      <x:c r="N754" s="10" t="n">
        <x:v>7</x:v>
      </x:c>
      <x:c r="O754" s="10"/>
      <x:c r="P754" s="10" t="str">
        <x:f>IF(COUNT(O754,N754)=2,O754-N754,"")</x:f>
      </x:c>
      <x:c r="Q754" s="10" t="n">
        <x:v>11</x:v>
      </x:c>
      <x:c r="R754" s="10"/>
      <x:c r="S754" s="10" t="str">
        <x:f>IF(COUNT(R754,Q754)=2,R754-Q754,"")</x:f>
      </x:c>
      <x:c r="T754" s="10" t="n">
        <x:v>0</x:v>
      </x:c>
      <x:c r="U754" s="10"/>
      <x:c r="V754" s="10" t="str">
        <x:f>IF(COUNT(U754,T754)=2,U754-T754,"")</x:f>
      </x:c>
      <x:c r="W754" s="10" t="n">
        <x:v>3</x:v>
      </x:c>
      <x:c r="X754" s="10" t="str">
        <x:f>IF(COUNT(AV754,AW754)=2,AV754+AW754,"")</x:f>
      </x:c>
      <x:c r="Y754" s="10" t="str">
        <x:f>IF(COUNT(X754,W754)=2,X754-W754,"")</x:f>
      </x:c>
      <x:c r="Z754" s="10" t="n">
        <x:v>0</x:v>
      </x:c>
      <x:c r="AA754" s="10" t="str">
        <x:f>IF(COUNT(AX754,AY754)=2,AX754+AY754,"")</x:f>
      </x:c>
      <x:c r="AB754" s="10" t="str">
        <x:f>IF(COUNT(AA754,Z754)=2,AA754-Z754,"")</x:f>
      </x:c>
      <x:c r="AC754" s="10" t="n">
        <x:v>52</x:v>
      </x:c>
      <x:c r="AD754" s="10"/>
      <x:c r="AE754" s="10" t="str">
        <x:f>IF(COUNT(AD754,AC754)=2,AD754-AC754,"")</x:f>
      </x:c>
      <x:c r="AF754" s="10" t="n">
        <x:v>10</x:v>
      </x:c>
      <x:c r="AG754" s="10"/>
      <x:c r="AH754" s="10" t="str">
        <x:f>IF(COUNT(AG754,AF754)=2,AG754-AF754,"")</x:f>
      </x:c>
      <x:c r="AI754" s="10" t="n">
        <x:v>24</x:v>
      </x:c>
      <x:c r="AJ754" s="10"/>
      <x:c r="AK754" s="10" t="str">
        <x:f>IF(COUNT(AJ754,AI754)=2,AJ754-AI754,"")</x:f>
      </x:c>
      <x:c r="AL754" s="10" t="n">
        <x:v>22</x:v>
      </x:c>
      <x:c r="AM754" s="10"/>
      <x:c r="AN754" s="4" t="str">
        <x:v>C</x:v>
      </x:c>
      <x:c r="AO754" s="4"/>
      <x:c r="AP754" s="4" t="str">
        <x:v>CBJ</x:v>
      </x:c>
      <x:c r="AQ754" s="4"/>
      <x:c r="AR754" s="4" t="n">
        <x:v>14.28</x:v>
      </x:c>
      <x:c r="AS754" s="4"/>
      <x:c r="AT754" s="4" t="n">
        <x:v>0.94</x:v>
      </x:c>
      <x:c r="AU754" s="4"/>
      <x:c r="AV754" s="10"/>
      <x:c r="AW754" s="10"/>
      <x:c r="AX754" s="10"/>
      <x:c r="AY754" s="10"/>
      <x:c r="AZ754" s="10" t="n">
        <x:v>97</x:v>
      </x:c>
      <x:c r="BA754" s="10" t="n">
        <x:v>130</x:v>
      </x:c>
      <x:c r="BB754" s="4" t="n">
        <x:v>42.7</x:v>
      </x:c>
      <x:c r="BC754" s="4" t="n">
        <x:v>-7.8</x:v>
      </x:c>
      <x:c r="BD754" s="10" t="n">
        <x:v>71</x:v>
      </x:c>
      <x:c r="BE754" s="10" t="n">
        <x:v>89</x:v>
      </x:c>
      <x:c r="BF754" s="4" t="n">
        <x:v>44.4</x:v>
      </x:c>
      <x:c r="BG754" s="4" t="n">
        <x:v>-5.3</x:v>
      </x:c>
      <x:c r="BH754" s="4" t="n">
        <x:v>4.3</x:v>
      </x:c>
      <x:c r="BI754" s="4" t="n">
        <x:v>92.9</x:v>
      </x:c>
      <x:c r="BJ754" s="4" t="n">
        <x:v>97.1</x:v>
      </x:c>
      <x:c r="BK754" s="4" t="n">
        <x:v>37.9</x:v>
      </x:c>
      <x:c r="BL754" s="4" t="n">
        <x:v>62.1</x:v>
      </x:c>
      <x:c r="BM754" s="4" t="n">
        <x:v>9.1</x:v>
      </x:c>
      <x:c r="BN754" s="4" t="n">
        <x:v>8.866666666666667</x:v>
      </x:c>
      <x:c r="BO754" s="10" t="n">
        <x:v>2</x:v>
      </x:c>
      <x:c r="BP754" s="10" t="n">
        <x:v>1</x:v>
      </x:c>
      <x:c r="BQ754" s="4" t="n">
        <x:v>-3.1</x:v>
      </x:c>
      <x:c r="BR754" s="10" t="n">
        <x:v>16</x:v>
      </x:c>
      <x:c r="BS754" s="4" t="n">
        <x:v>68.8</x:v>
      </x:c>
      <x:c r="BT754" s="10" t="n">
        <x:v>14</x:v>
      </x:c>
      <x:c r="BU754" s="4" t="str">
        <x:v>CBJ</x:v>
      </x:c>
      <x:c r="BV754" s="10" t="n">
        <x:v>580</x:v>
      </x:c>
      <x:c r="BW754" s="10"/>
      <x:c r="BX754" s="10" t="n">
        <x:v>204</x:v>
      </x:c>
      <x:c r="BY754" s="4" t="str">
        <x:v>Luca Del Bel Belluz</x:v>
      </x:c>
      <x:c r="BZ754" s="4"/>
      <x:c r="CA754" s="4" t="str">
        <x:v>Luca Del Bel Belluz</x:v>
      </x:c>
      <x:c r="CB754" s="4" t="str">
        <x:v>delbelu01</x:v>
      </x:c>
    </x:row>
    <x:row r="755" ht="22" customHeight="1">
      <x:c r="A755" s="4" t="str">
        <x:v>Luca Pinelli</x:v>
      </x:c>
      <x:c r="B755" s="4" t="str">
        <x:v>lucapinelli</x:v>
      </x:c>
      <x:c r="C755" s="10" t="n">
        <x:v>0</x:v>
      </x:c>
      <x:c r="D755" s="10" t="n">
        <x:v>0</x:v>
      </x:c>
      <x:c r="E755" s="10" t="n">
        <x:v>1</x:v>
      </x:c>
      <x:c r="F755" s="4" t="str">
        <x:f>IF(COUNT(N755,Q755,T755,W755,Z755,AC755,AF755,AI755)=8,N755*Guide!$E$5+Q755*Guide!$E$6+T755*Guide!$E$7+W755*Guide!$E$8+Z755*Guide!$E$9+AC755*Guide!$E$10+AF755*Guide!$E$11+AI755*Guide!$E$12,"")</x:f>
      </x:c>
      <x:c r="G755" s="4" t="str">
        <x:f>IF(COUNT(O755,R755,U755,X755,AA755,AD755,AG755,AJ755)=8,O755*Guide!$E$5+R755*Guide!$E$6+U755*Guide!$E$7+X755*Guide!$E$8+AA755*Guide!$E$9+AD755*Guide!$E$10+AG755*Guide!$E$11+AJ755*Guide!$E$12,"")</x:f>
      </x:c>
      <x:c r="H755" s="4" t="str">
        <x:f>IF(COUNT(G755,F755)=2,G755-F755,"")</x:f>
      </x:c>
      <x:c r="I755" s="4" t="str">
        <x:f>IF(AND(ISNUMBER(F755),K755&gt;0),F755/K755,"")</x:f>
      </x:c>
      <x:c r="J755" s="4" t="str">
        <x:f>IF(AND(ISNUMBER(G755),L755&gt;0),G755/L755,"")</x:f>
      </x:c>
      <x:c r="K755" s="10"/>
      <x:c r="L755" s="10"/>
      <x:c r="M755" s="10" t="str">
        <x:f>IF(COUNT(L755,K755)=2,L755-K755,"")</x:f>
      </x:c>
      <x:c r="N755" s="10"/>
      <x:c r="O755" s="10"/>
      <x:c r="P755" s="10" t="str">
        <x:f>IF(COUNT(O755,N755)=2,O755-N755,"")</x:f>
      </x:c>
      <x:c r="Q755" s="10"/>
      <x:c r="R755" s="10"/>
      <x:c r="S755" s="10" t="str">
        <x:f>IF(COUNT(R755,Q755)=2,R755-Q755,"")</x:f>
      </x:c>
      <x:c r="T755" s="10"/>
      <x:c r="U755" s="10"/>
      <x:c r="V755" s="10" t="str">
        <x:f>IF(COUNT(U755,T755)=2,U755-T755,"")</x:f>
      </x:c>
      <x:c r="W755" s="10"/>
      <x:c r="X755" s="10" t="str">
        <x:f>IF(COUNT(AV755,AW755)=2,AV755+AW755,"")</x:f>
      </x:c>
      <x:c r="Y755" s="10" t="str">
        <x:f>IF(COUNT(X755,W755)=2,X755-W755,"")</x:f>
      </x:c>
      <x:c r="Z755" s="10"/>
      <x:c r="AA755" s="10" t="str">
        <x:f>IF(COUNT(AX755,AY755)=2,AX755+AY755,"")</x:f>
      </x:c>
      <x:c r="AB755" s="10" t="str">
        <x:f>IF(COUNT(AA755,Z755)=2,AA755-Z755,"")</x:f>
      </x:c>
      <x:c r="AC755" s="10"/>
      <x:c r="AD755" s="10"/>
      <x:c r="AE755" s="10" t="str">
        <x:f>IF(COUNT(AD755,AC755)=2,AD755-AC755,"")</x:f>
      </x:c>
      <x:c r="AF755" s="10"/>
      <x:c r="AG755" s="10"/>
      <x:c r="AH755" s="10" t="str">
        <x:f>IF(COUNT(AG755,AF755)=2,AG755-AF755,"")</x:f>
      </x:c>
      <x:c r="AI755" s="10"/>
      <x:c r="AJ755" s="10"/>
      <x:c r="AK755" s="10" t="str">
        <x:f>IF(COUNT(AJ755,AI755)=2,AJ755-AI755,"")</x:f>
      </x:c>
      <x:c r="AL755" s="10"/>
      <x:c r="AM755" s="10"/>
      <x:c r="AN755" s="4"/>
      <x:c r="AO755" s="4"/>
      <x:c r="AP755" s="4"/>
      <x:c r="AQ755" s="4"/>
      <x:c r="AR755" s="4"/>
      <x:c r="AS755" s="4"/>
      <x:c r="AT755" s="4"/>
      <x:c r="AU755" s="4"/>
      <x:c r="AV755" s="10"/>
      <x:c r="AW755" s="10"/>
      <x:c r="AX755" s="10"/>
      <x:c r="AY755" s="10"/>
      <x:c r="AZ755" s="10" t="n">
        <x:v>38</x:v>
      </x:c>
      <x:c r="BA755" s="10" t="n">
        <x:v>38</x:v>
      </x:c>
      <x:c r="BB755" s="4" t="n">
        <x:v>50</x:v>
      </x:c>
      <x:c r="BC755" s="4" t="n">
        <x:v>1.8</x:v>
      </x:c>
      <x:c r="BD755" s="10" t="n">
        <x:v>28</x:v>
      </x:c>
      <x:c r="BE755" s="10" t="n">
        <x:v>28</x:v>
      </x:c>
      <x:c r="BF755" s="4" t="n">
        <x:v>50</x:v>
      </x:c>
      <x:c r="BG755" s="4" t="n">
        <x:v>4.7</x:v>
      </x:c>
      <x:c r="BH755" s="4" t="n">
        <x:v>4.5</x:v>
      </x:c>
      <x:c r="BI755" s="4" t="n">
        <x:v>90.5</x:v>
      </x:c>
      <x:c r="BJ755" s="4" t="n">
        <x:v>95</x:v>
      </x:c>
      <x:c r="BK755" s="4" t="n">
        <x:v>62.5</x:v>
      </x:c>
      <x:c r="BL755" s="4" t="n">
        <x:v>37.5</x:v>
      </x:c>
      <x:c r="BM755" s="4" t="n">
        <x:v>13.766666666666667</x:v>
      </x:c>
      <x:c r="BN755" s="4" t="n">
        <x:v>13.066666666666666</x:v>
      </x:c>
      <x:c r="BO755" s="10" t="n">
        <x:v>0</x:v>
      </x:c>
      <x:c r="BP755" s="10" t="n">
        <x:v>3</x:v>
      </x:c>
      <x:c r="BQ755" s="4" t="n">
        <x:v>-0.5</x:v>
      </x:c>
      <x:c r="BR755" s="10" t="n">
        <x:v>10</x:v>
      </x:c>
      <x:c r="BS755" s="4" t="n">
        <x:v>60</x:v>
      </x:c>
      <x:c r="BT755" s="10" t="n">
        <x:v>3</x:v>
      </x:c>
      <x:c r="BU755" s="4" t="str">
        <x:v>CBJ</x:v>
      </x:c>
      <x:c r="BV755" s="10"/>
      <x:c r="BW755" s="10"/>
      <x:c r="BX755" s="10" t="n">
        <x:v>819</x:v>
      </x:c>
      <x:c r="BY755" s="4"/>
      <x:c r="BZ755" s="4"/>
      <x:c r="CA755" s="4" t="str">
        <x:v>Luca Pinelli</x:v>
      </x:c>
      <x:c r="CB755" s="4" t="str">
        <x:v>pinellu01</x:v>
      </x:c>
    </x:row>
    <x:row r="756" ht="22" customHeight="1">
      <x:c r="A756" s="4" t="str">
        <x:v>Lucas Carlsson</x:v>
      </x:c>
      <x:c r="B756" s="4" t="str">
        <x:v>lucascarlsson</x:v>
      </x:c>
      <x:c r="C756" s="10" t="n">
        <x:v>1</x:v>
      </x:c>
      <x:c r="D756" s="10" t="n">
        <x:v>0</x:v>
      </x:c>
      <x:c r="E756" s="10" t="n">
        <x:v>0</x:v>
      </x:c>
      <x:c r="F756" s="4" t="n">
        <x:f>IF(COUNT(N756,Q756,T756,W756,Z756,AC756,AF756,AI756)=8,N756*Guide!$E$5+Q756*Guide!$E$6+T756*Guide!$E$7+W756*Guide!$E$8+Z756*Guide!$E$9+AC756*Guide!$E$10+AF756*Guide!$E$11+AI756*Guide!$E$12,"")</x:f>
        <x:v>69.75</x:v>
      </x:c>
      <x:c r="G756" s="4" t="str">
        <x:f>IF(COUNT(O756,R756,U756,X756,AA756,AD756,AG756,AJ756)=8,O756*Guide!$E$5+R756*Guide!$E$6+U756*Guide!$E$7+X756*Guide!$E$8+AA756*Guide!$E$9+AD756*Guide!$E$10+AG756*Guide!$E$11+AJ756*Guide!$E$12,"")</x:f>
      </x:c>
      <x:c r="H756" s="4" t="str">
        <x:f>IF(COUNT(G756,F756)=2,G756-F756,"")</x:f>
      </x:c>
      <x:c r="I756" s="4" t="n">
        <x:f>IF(AND(ISNUMBER(F756),K756&gt;0),F756/K756,"")</x:f>
        <x:v>1.9928571428571429</x:v>
      </x:c>
      <x:c r="J756" s="4" t="str">
        <x:f>IF(AND(ISNUMBER(G756),L756&gt;0),G756/L756,"")</x:f>
      </x:c>
      <x:c r="K756" s="10" t="n">
        <x:v>35</x:v>
      </x:c>
      <x:c r="L756" s="10"/>
      <x:c r="M756" s="10" t="str">
        <x:f>IF(COUNT(L756,K756)=2,L756-K756,"")</x:f>
      </x:c>
      <x:c r="N756" s="10" t="n">
        <x:v>2</x:v>
      </x:c>
      <x:c r="O756" s="10"/>
      <x:c r="P756" s="10" t="str">
        <x:f>IF(COUNT(O756,N756)=2,O756-N756,"")</x:f>
      </x:c>
      <x:c r="Q756" s="10" t="n">
        <x:v>8</x:v>
      </x:c>
      <x:c r="R756" s="10"/>
      <x:c r="S756" s="10" t="str">
        <x:f>IF(COUNT(R756,Q756)=2,R756-Q756,"")</x:f>
      </x:c>
      <x:c r="T756" s="10" t="n">
        <x:v>-2</x:v>
      </x:c>
      <x:c r="U756" s="10"/>
      <x:c r="V756" s="10" t="str">
        <x:f>IF(COUNT(U756,T756)=2,U756-T756,"")</x:f>
      </x:c>
      <x:c r="W756" s="10" t="n">
        <x:v>0</x:v>
      </x:c>
      <x:c r="X756" s="10" t="str">
        <x:f>IF(COUNT(AV756,AW756)=2,AV756+AW756,"")</x:f>
      </x:c>
      <x:c r="Y756" s="10" t="str">
        <x:f>IF(COUNT(X756,W756)=2,X756-W756,"")</x:f>
      </x:c>
      <x:c r="Z756" s="10" t="n">
        <x:v>0</x:v>
      </x:c>
      <x:c r="AA756" s="10" t="str">
        <x:f>IF(COUNT(AX756,AY756)=2,AX756+AY756,"")</x:f>
      </x:c>
      <x:c r="AB756" s="10" t="str">
        <x:f>IF(COUNT(AA756,Z756)=2,AA756-Z756,"")</x:f>
      </x:c>
      <x:c r="AC756" s="10" t="n">
        <x:v>35</x:v>
      </x:c>
      <x:c r="AD756" s="10"/>
      <x:c r="AE756" s="10" t="str">
        <x:f>IF(COUNT(AD756,AC756)=2,AD756-AC756,"")</x:f>
      </x:c>
      <x:c r="AF756" s="10" t="n">
        <x:v>10</x:v>
      </x:c>
      <x:c r="AG756" s="10"/>
      <x:c r="AH756" s="10" t="str">
        <x:f>IF(COUNT(AG756,AF756)=2,AG756-AF756,"")</x:f>
      </x:c>
      <x:c r="AI756" s="10" t="n">
        <x:v>38</x:v>
      </x:c>
      <x:c r="AJ756" s="10"/>
      <x:c r="AK756" s="10" t="str">
        <x:f>IF(COUNT(AJ756,AI756)=2,AJ756-AI756,"")</x:f>
      </x:c>
      <x:c r="AL756" s="10" t="n">
        <x:v>28</x:v>
      </x:c>
      <x:c r="AM756" s="10"/>
      <x:c r="AN756" s="4" t="str">
        <x:v>D</x:v>
      </x:c>
      <x:c r="AO756" s="4"/>
      <x:c r="AP756" s="4" t="str">
        <x:v>SJ</x:v>
      </x:c>
      <x:c r="AQ756" s="4"/>
      <x:c r="AR756" s="4" t="n">
        <x:v>17.01</x:v>
      </x:c>
      <x:c r="AS756" s="4"/>
      <x:c r="AT756" s="4" t="n">
        <x:v>0</x:v>
      </x:c>
      <x:c r="AU756" s="4"/>
      <x:c r="AV756" s="10"/>
      <x:c r="AW756" s="10"/>
      <x:c r="AX756" s="10"/>
      <x:c r="AY756" s="10"/>
      <x:c r="AZ756" s="10"/>
      <x:c r="BA756" s="10"/>
      <x:c r="BB756" s="4"/>
      <x:c r="BC756" s="4"/>
      <x:c r="BD756" s="10"/>
      <x:c r="BE756" s="10"/>
      <x:c r="BF756" s="4"/>
      <x:c r="BG756" s="4"/>
      <x:c r="BH756" s="4"/>
      <x:c r="BI756" s="4"/>
      <x:c r="BJ756" s="4"/>
      <x:c r="BK756" s="4"/>
      <x:c r="BL756" s="4"/>
      <x:c r="BM756" s="4"/>
      <x:c r="BN756" s="4"/>
      <x:c r="BO756" s="10"/>
      <x:c r="BP756" s="10"/>
      <x:c r="BQ756" s="4"/>
      <x:c r="BR756" s="10"/>
      <x:c r="BS756" s="4"/>
      <x:c r="BT756" s="10"/>
      <x:c r="BU756" s="4"/>
      <x:c r="BV756" s="10" t="n">
        <x:v>730</x:v>
      </x:c>
      <x:c r="BW756" s="10"/>
      <x:c r="BX756" s="10"/>
      <x:c r="BY756" s="4" t="str">
        <x:v>Lucas Carlsson</x:v>
      </x:c>
      <x:c r="BZ756" s="4"/>
      <x:c r="CA756" s="4"/>
      <x:c r="CB756" s="4"/>
    </x:row>
    <x:row r="757" ht="22" customHeight="1">
      <x:c r="A757" s="4" t="str">
        <x:v>Ludvig Jansson</x:v>
      </x:c>
      <x:c r="B757" s="4" t="str">
        <x:v>ludvigjansson</x:v>
      </x:c>
      <x:c r="C757" s="10" t="n">
        <x:v>0</x:v>
      </x:c>
      <x:c r="D757" s="10" t="n">
        <x:v>0</x:v>
      </x:c>
      <x:c r="E757" s="10" t="n">
        <x:v>1</x:v>
      </x:c>
      <x:c r="F757" s="4" t="str">
        <x:f>IF(COUNT(N757,Q757,T757,W757,Z757,AC757,AF757,AI757)=8,N757*Guide!$E$5+Q757*Guide!$E$6+T757*Guide!$E$7+W757*Guide!$E$8+Z757*Guide!$E$9+AC757*Guide!$E$10+AF757*Guide!$E$11+AI757*Guide!$E$12,"")</x:f>
      </x:c>
      <x:c r="G757" s="4" t="str">
        <x:f>IF(COUNT(O757,R757,U757,X757,AA757,AD757,AG757,AJ757)=8,O757*Guide!$E$5+R757*Guide!$E$6+U757*Guide!$E$7+X757*Guide!$E$8+AA757*Guide!$E$9+AD757*Guide!$E$10+AG757*Guide!$E$11+AJ757*Guide!$E$12,"")</x:f>
      </x:c>
      <x:c r="H757" s="4" t="str">
        <x:f>IF(COUNT(G757,F757)=2,G757-F757,"")</x:f>
      </x:c>
      <x:c r="I757" s="4" t="str">
        <x:f>IF(AND(ISNUMBER(F757),K757&gt;0),F757/K757,"")</x:f>
      </x:c>
      <x:c r="J757" s="4" t="str">
        <x:f>IF(AND(ISNUMBER(G757),L757&gt;0),G757/L757,"")</x:f>
      </x:c>
      <x:c r="K757" s="10"/>
      <x:c r="L757" s="10"/>
      <x:c r="M757" s="10" t="str">
        <x:f>IF(COUNT(L757,K757)=2,L757-K757,"")</x:f>
      </x:c>
      <x:c r="N757" s="10"/>
      <x:c r="O757" s="10"/>
      <x:c r="P757" s="10" t="str">
        <x:f>IF(COUNT(O757,N757)=2,O757-N757,"")</x:f>
      </x:c>
      <x:c r="Q757" s="10"/>
      <x:c r="R757" s="10"/>
      <x:c r="S757" s="10" t="str">
        <x:f>IF(COUNT(R757,Q757)=2,R757-Q757,"")</x:f>
      </x:c>
      <x:c r="T757" s="10"/>
      <x:c r="U757" s="10"/>
      <x:c r="V757" s="10" t="str">
        <x:f>IF(COUNT(U757,T757)=2,U757-T757,"")</x:f>
      </x:c>
      <x:c r="W757" s="10"/>
      <x:c r="X757" s="10" t="str">
        <x:f>IF(COUNT(AV757,AW757)=2,AV757+AW757,"")</x:f>
      </x:c>
      <x:c r="Y757" s="10" t="str">
        <x:f>IF(COUNT(X757,W757)=2,X757-W757,"")</x:f>
      </x:c>
      <x:c r="Z757" s="10"/>
      <x:c r="AA757" s="10" t="str">
        <x:f>IF(COUNT(AX757,AY757)=2,AX757+AY757,"")</x:f>
      </x:c>
      <x:c r="AB757" s="10" t="str">
        <x:f>IF(COUNT(AA757,Z757)=2,AA757-Z757,"")</x:f>
      </x:c>
      <x:c r="AC757" s="10"/>
      <x:c r="AD757" s="10"/>
      <x:c r="AE757" s="10" t="str">
        <x:f>IF(COUNT(AD757,AC757)=2,AD757-AC757,"")</x:f>
      </x:c>
      <x:c r="AF757" s="10"/>
      <x:c r="AG757" s="10"/>
      <x:c r="AH757" s="10" t="str">
        <x:f>IF(COUNT(AG757,AF757)=2,AG757-AF757,"")</x:f>
      </x:c>
      <x:c r="AI757" s="10"/>
      <x:c r="AJ757" s="10"/>
      <x:c r="AK757" s="10" t="str">
        <x:f>IF(COUNT(AJ757,AI757)=2,AJ757-AI757,"")</x:f>
      </x:c>
      <x:c r="AL757" s="10"/>
      <x:c r="AM757" s="10"/>
      <x:c r="AN757" s="4"/>
      <x:c r="AO757" s="4"/>
      <x:c r="AP757" s="4"/>
      <x:c r="AQ757" s="4"/>
      <x:c r="AR757" s="4"/>
      <x:c r="AS757" s="4"/>
      <x:c r="AT757" s="4"/>
      <x:c r="AU757" s="4"/>
      <x:c r="AV757" s="10"/>
      <x:c r="AW757" s="10"/>
      <x:c r="AX757" s="10"/>
      <x:c r="AY757" s="10"/>
      <x:c r="AZ757" s="10" t="n">
        <x:v>51</x:v>
      </x:c>
      <x:c r="BA757" s="10" t="n">
        <x:v>68</x:v>
      </x:c>
      <x:c r="BB757" s="4" t="n">
        <x:v>42.9</x:v>
      </x:c>
      <x:c r="BC757" s="4" t="n">
        <x:v>-9.8</x:v>
      </x:c>
      <x:c r="BD757" s="10" t="n">
        <x:v>39</x:v>
      </x:c>
      <x:c r="BE757" s="10" t="n">
        <x:v>46</x:v>
      </x:c>
      <x:c r="BF757" s="4" t="n">
        <x:v>45.9</x:v>
      </x:c>
      <x:c r="BG757" s="4" t="n">
        <x:v>-6.3</x:v>
      </x:c>
      <x:c r="BH757" s="4" t="n">
        <x:v>19.2</x:v>
      </x:c>
      <x:c r="BI757" s="4" t="n">
        <x:v>88.9</x:v>
      </x:c>
      <x:c r="BJ757" s="4" t="n">
        <x:v>108.1</x:v>
      </x:c>
      <x:c r="BK757" s="4" t="n">
        <x:v>46.3</x:v>
      </x:c>
      <x:c r="BL757" s="4" t="n">
        <x:v>53.7</x:v>
      </x:c>
      <x:c r="BM757" s="4" t="n">
        <x:v>17.266666666666666</x:v>
      </x:c>
      <x:c r="BN757" s="4" t="n">
        <x:v>16.266666666666666</x:v>
      </x:c>
      <x:c r="BO757" s="10" t="n">
        <x:v>1</x:v>
      </x:c>
      <x:c r="BP757" s="10" t="n">
        <x:v>4</x:v>
      </x:c>
      <x:c r="BQ757" s="4" t="n">
        <x:v>0.2</x:v>
      </x:c>
      <x:c r="BR757" s="10" t="n">
        <x:v>6</x:v>
      </x:c>
      <x:c r="BS757" s="4" t="n">
        <x:v>50</x:v>
      </x:c>
      <x:c r="BT757" s="10" t="n">
        <x:v>4</x:v>
      </x:c>
      <x:c r="BU757" s="4" t="str">
        <x:v>FLA</x:v>
      </x:c>
      <x:c r="BV757" s="10"/>
      <x:c r="BW757" s="10"/>
      <x:c r="BX757" s="10" t="n">
        <x:v>456</x:v>
      </x:c>
      <x:c r="BY757" s="4"/>
      <x:c r="BZ757" s="4"/>
      <x:c r="CA757" s="4" t="str">
        <x:v>Ludvig Jansson</x:v>
      </x:c>
      <x:c r="CB757" s="4" t="str">
        <x:v>jansslu01</x:v>
      </x:c>
    </x:row>
    <x:row r="758" ht="22" customHeight="1">
      <x:c r="A758" s="4" t="str">
        <x:v>Lukas Reichel</x:v>
      </x:c>
      <x:c r="B758" s="4" t="str">
        <x:v>lukasreichel</x:v>
      </x:c>
      <x:c r="C758" s="10" t="n">
        <x:v>1</x:v>
      </x:c>
      <x:c r="D758" s="10" t="n">
        <x:v>0</x:v>
      </x:c>
      <x:c r="E758" s="10" t="n">
        <x:v>1</x:v>
      </x:c>
      <x:c r="F758" s="4" t="n">
        <x:f>IF(COUNT(N758,Q758,T758,W758,Z758,AC758,AF758,AI758)=8,N758*Guide!$E$5+Q758*Guide!$E$6+T758*Guide!$E$7+W758*Guide!$E$8+Z758*Guide!$E$9+AC758*Guide!$E$10+AF758*Guide!$E$11+AI758*Guide!$E$12,"")</x:f>
        <x:v>138.75</x:v>
      </x:c>
      <x:c r="G758" s="4" t="str">
        <x:f>IF(COUNT(O758,R758,U758,X758,AA758,AD758,AG758,AJ758)=8,O758*Guide!$E$5+R758*Guide!$E$6+U758*Guide!$E$7+X758*Guide!$E$8+AA758*Guide!$E$9+AD758*Guide!$E$10+AG758*Guide!$E$11+AJ758*Guide!$E$12,"")</x:f>
      </x:c>
      <x:c r="H758" s="4" t="str">
        <x:f>IF(COUNT(G758,F758)=2,G758-F758,"")</x:f>
      </x:c>
      <x:c r="I758" s="4" t="n">
        <x:f>IF(AND(ISNUMBER(F758),K758&gt;0),F758/K758,"")</x:f>
        <x:v>1.9270833333333333</x:v>
      </x:c>
      <x:c r="J758" s="4" t="str">
        <x:f>IF(AND(ISNUMBER(G758),L758&gt;0),G758/L758,"")</x:f>
      </x:c>
      <x:c r="K758" s="10" t="n">
        <x:v>72</x:v>
      </x:c>
      <x:c r="L758" s="10"/>
      <x:c r="M758" s="10" t="str">
        <x:f>IF(COUNT(L758,K758)=2,L758-K758,"")</x:f>
      </x:c>
      <x:c r="N758" s="10" t="n">
        <x:v>11</x:v>
      </x:c>
      <x:c r="O758" s="10"/>
      <x:c r="P758" s="10" t="str">
        <x:f>IF(COUNT(O758,N758)=2,O758-N758,"")</x:f>
      </x:c>
      <x:c r="Q758" s="10" t="n">
        <x:v>17</x:v>
      </x:c>
      <x:c r="R758" s="10"/>
      <x:c r="S758" s="10" t="str">
        <x:f>IF(COUNT(R758,Q758)=2,R758-Q758,"")</x:f>
      </x:c>
      <x:c r="T758" s="10" t="n">
        <x:v>-12</x:v>
      </x:c>
      <x:c r="U758" s="10"/>
      <x:c r="V758" s="10" t="str">
        <x:f>IF(COUNT(U758,T758)=2,U758-T758,"")</x:f>
      </x:c>
      <x:c r="W758" s="10" t="n">
        <x:v>5</x:v>
      </x:c>
      <x:c r="X758" s="10" t="str">
        <x:f>IF(COUNT(AV758,AW758)=2,AV758+AW758,"")</x:f>
      </x:c>
      <x:c r="Y758" s="10" t="str">
        <x:f>IF(COUNT(X758,W758)=2,X758-W758,"")</x:f>
      </x:c>
      <x:c r="Z758" s="10" t="n">
        <x:v>0</x:v>
      </x:c>
      <x:c r="AA758" s="10" t="str">
        <x:f>IF(COUNT(AX758,AY758)=2,AX758+AY758,"")</x:f>
      </x:c>
      <x:c r="AB758" s="10" t="str">
        <x:f>IF(COUNT(AA758,Z758)=2,AA758-Z758,"")</x:f>
      </x:c>
      <x:c r="AC758" s="10" t="n">
        <x:v>83</x:v>
      </x:c>
      <x:c r="AD758" s="10"/>
      <x:c r="AE758" s="10" t="str">
        <x:f>IF(COUNT(AD758,AC758)=2,AD758-AC758,"")</x:f>
      </x:c>
      <x:c r="AF758" s="10" t="n">
        <x:v>27</x:v>
      </x:c>
      <x:c r="AG758" s="10"/>
      <x:c r="AH758" s="10" t="str">
        <x:f>IF(COUNT(AG758,AF758)=2,AG758-AF758,"")</x:f>
      </x:c>
      <x:c r="AI758" s="10" t="n">
        <x:v>31</x:v>
      </x:c>
      <x:c r="AJ758" s="10"/>
      <x:c r="AK758" s="10" t="str">
        <x:f>IF(COUNT(AJ758,AI758)=2,AJ758-AI758,"")</x:f>
      </x:c>
      <x:c r="AL758" s="10" t="n">
        <x:v>23</x:v>
      </x:c>
      <x:c r="AM758" s="10"/>
      <x:c r="AN758" s="4" t="str">
        <x:v>LW</x:v>
      </x:c>
      <x:c r="AO758" s="4"/>
      <x:c r="AP758" s="4" t="str">
        <x:v>CHI</x:v>
      </x:c>
      <x:c r="AQ758" s="4"/>
      <x:c r="AR758" s="4" t="n">
        <x:v>12.950000000000001</x:v>
      </x:c>
      <x:c r="AS758" s="4"/>
      <x:c r="AT758" s="4" t="n">
        <x:v>1.3</x:v>
      </x:c>
      <x:c r="AU758" s="4"/>
      <x:c r="AV758" s="10"/>
      <x:c r="AW758" s="10"/>
      <x:c r="AX758" s="10"/>
      <x:c r="AY758" s="10"/>
      <x:c r="AZ758" s="10" t="n">
        <x:v>296</x:v>
      </x:c>
      <x:c r="BA758" s="10" t="n">
        <x:v>368</x:v>
      </x:c>
      <x:c r="BB758" s="4" t="n">
        <x:v>44.6</x:v>
      </x:c>
      <x:c r="BC758" s="4" t="n">
        <x:v>-3.6</x:v>
      </x:c>
      <x:c r="BD758" s="10" t="n">
        <x:v>216</x:v>
      </x:c>
      <x:c r="BE758" s="10" t="n">
        <x:v>279</x:v>
      </x:c>
      <x:c r="BF758" s="4" t="n">
        <x:v>43.6</x:v>
      </x:c>
      <x:c r="BG758" s="4" t="n">
        <x:v>-6</x:v>
      </x:c>
      <x:c r="BH758" s="4" t="n">
        <x:v>13.7</x:v>
      </x:c>
      <x:c r="BI758" s="4" t="n">
        <x:v>89.5</x:v>
      </x:c>
      <x:c r="BJ758" s="4" t="n">
        <x:v>103.2</x:v>
      </x:c>
      <x:c r="BK758" s="4" t="n">
        <x:v>54.1</x:v>
      </x:c>
      <x:c r="BL758" s="4" t="n">
        <x:v>45.9</x:v>
      </x:c>
      <x:c r="BM758" s="4" t="n">
        <x:v>12.45</x:v>
      </x:c>
      <x:c r="BN758" s="4" t="n">
        <x:v>11.9</x:v>
      </x:c>
      <x:c r="BO758" s="10" t="n">
        <x:v>5</x:v>
      </x:c>
      <x:c r="BP758" s="10" t="n">
        <x:v>20</x:v>
      </x:c>
      <x:c r="BQ758" s="4" t="n">
        <x:v>-4.3</x:v>
      </x:c>
      <x:c r="BR758" s="10" t="n">
        <x:v>52</x:v>
      </x:c>
      <x:c r="BS758" s="4" t="n">
        <x:v>46.2</x:v>
      </x:c>
      <x:c r="BT758" s="10" t="n">
        <x:v>29</x:v>
      </x:c>
      <x:c r="BU758" s="4" t="str">
        <x:v>TOT</x:v>
      </x:c>
      <x:c r="BV758" s="10" t="n">
        <x:v>403</x:v>
      </x:c>
      <x:c r="BW758" s="10"/>
      <x:c r="BX758" s="10" t="n">
        <x:v>848</x:v>
      </x:c>
      <x:c r="BY758" s="4" t="str">
        <x:v>Lukas Reichel</x:v>
      </x:c>
      <x:c r="BZ758" s="4"/>
      <x:c r="CA758" s="4" t="str">
        <x:v>Lukas Reichel</x:v>
      </x:c>
      <x:c r="CB758" s="4" t="str">
        <x:v>reichlu01</x:v>
      </x:c>
    </x:row>
    <x:row r="759" ht="22" customHeight="1">
      <x:c r="A759" s="4" t="str">
        <x:v>Luke Glendening</x:v>
      </x:c>
      <x:c r="B759" s="4" t="str">
        <x:v>lukeglendening</x:v>
      </x:c>
      <x:c r="C759" s="10" t="n">
        <x:v>1</x:v>
      </x:c>
      <x:c r="D759" s="10" t="n">
        <x:v>0</x:v>
      </x:c>
      <x:c r="E759" s="10" t="n">
        <x:v>1</x:v>
      </x:c>
      <x:c r="F759" s="4" t="n">
        <x:f>IF(COUNT(N759,Q759,T759,W759,Z759,AC759,AF759,AI759)=8,N759*Guide!$E$5+Q759*Guide!$E$6+T759*Guide!$E$7+W759*Guide!$E$8+Z759*Guide!$E$9+AC759*Guide!$E$10+AF759*Guide!$E$11+AI759*Guide!$E$12,"")</x:f>
        <x:v>115</x:v>
      </x:c>
      <x:c r="G759" s="4" t="str">
        <x:f>IF(COUNT(O759,R759,U759,X759,AA759,AD759,AG759,AJ759)=8,O759*Guide!$E$5+R759*Guide!$E$6+U759*Guide!$E$7+X759*Guide!$E$8+AA759*Guide!$E$9+AD759*Guide!$E$10+AG759*Guide!$E$11+AJ759*Guide!$E$12,"")</x:f>
      </x:c>
      <x:c r="H759" s="4" t="str">
        <x:f>IF(COUNT(G759,F759)=2,G759-F759,"")</x:f>
      </x:c>
      <x:c r="I759" s="4" t="n">
        <x:f>IF(AND(ISNUMBER(F759),K759&gt;0),F759/K759,"")</x:f>
        <x:v>1.4935064935064934</x:v>
      </x:c>
      <x:c r="J759" s="4" t="str">
        <x:f>IF(AND(ISNUMBER(G759),L759&gt;0),G759/L759,"")</x:f>
      </x:c>
      <x:c r="K759" s="10" t="n">
        <x:v>77</x:v>
      </x:c>
      <x:c r="L759" s="10"/>
      <x:c r="M759" s="10" t="str">
        <x:f>IF(COUNT(L759,K759)=2,L759-K759,"")</x:f>
      </x:c>
      <x:c r="N759" s="10" t="n">
        <x:v>6</x:v>
      </x:c>
      <x:c r="O759" s="10"/>
      <x:c r="P759" s="10" t="str">
        <x:f>IF(COUNT(O759,N759)=2,O759-N759,"")</x:f>
      </x:c>
      <x:c r="Q759" s="10" t="n">
        <x:v>5</x:v>
      </x:c>
      <x:c r="R759" s="10"/>
      <x:c r="S759" s="10" t="str">
        <x:f>IF(COUNT(R759,Q759)=2,R759-Q759,"")</x:f>
      </x:c>
      <x:c r="T759" s="10" t="n">
        <x:v>-6</x:v>
      </x:c>
      <x:c r="U759" s="10"/>
      <x:c r="V759" s="10" t="str">
        <x:f>IF(COUNT(U759,T759)=2,U759-T759,"")</x:f>
      </x:c>
      <x:c r="W759" s="10" t="n">
        <x:v>0</x:v>
      </x:c>
      <x:c r="X759" s="10" t="str">
        <x:f>IF(COUNT(AV759,AW759)=2,AV759+AW759,"")</x:f>
      </x:c>
      <x:c r="Y759" s="10" t="str">
        <x:f>IF(COUNT(X759,W759)=2,X759-W759,"")</x:f>
      </x:c>
      <x:c r="Z759" s="10" t="n">
        <x:v>1</x:v>
      </x:c>
      <x:c r="AA759" s="10" t="str">
        <x:f>IF(COUNT(AX759,AY759)=2,AX759+AY759,"")</x:f>
      </x:c>
      <x:c r="AB759" s="10" t="str">
        <x:f>IF(COUNT(AA759,Z759)=2,AA759-Z759,"")</x:f>
      </x:c>
      <x:c r="AC759" s="10" t="n">
        <x:v>50</x:v>
      </x:c>
      <x:c r="AD759" s="10"/>
      <x:c r="AE759" s="10" t="str">
        <x:f>IF(COUNT(AD759,AC759)=2,AD759-AC759,"")</x:f>
      </x:c>
      <x:c r="AF759" s="10" t="n">
        <x:v>104</x:v>
      </x:c>
      <x:c r="AG759" s="10"/>
      <x:c r="AH759" s="10" t="str">
        <x:f>IF(COUNT(AG759,AF759)=2,AG759-AF759,"")</x:f>
      </x:c>
      <x:c r="AI759" s="10" t="n">
        <x:v>54</x:v>
      </x:c>
      <x:c r="AJ759" s="10"/>
      <x:c r="AK759" s="10" t="str">
        <x:f>IF(COUNT(AJ759,AI759)=2,AJ759-AI759,"")</x:f>
      </x:c>
      <x:c r="AL759" s="10" t="n">
        <x:v>36</x:v>
      </x:c>
      <x:c r="AM759" s="10"/>
      <x:c r="AN759" s="4" t="str">
        <x:v>C</x:v>
      </x:c>
      <x:c r="AO759" s="4"/>
      <x:c r="AP759" s="4" t="str">
        <x:v>TB</x:v>
      </x:c>
      <x:c r="AQ759" s="4"/>
      <x:c r="AR759" s="4" t="n">
        <x:v>10.739999999999998</x:v>
      </x:c>
      <x:c r="AS759" s="4"/>
      <x:c r="AT759" s="4" t="n">
        <x:v>0.09</x:v>
      </x:c>
      <x:c r="AU759" s="4"/>
      <x:c r="AV759" s="10"/>
      <x:c r="AW759" s="10"/>
      <x:c r="AX759" s="10"/>
      <x:c r="AY759" s="10"/>
      <x:c r="AZ759" s="10" t="n">
        <x:v>456</x:v>
      </x:c>
      <x:c r="BA759" s="10" t="n">
        <x:v>671</x:v>
      </x:c>
      <x:c r="BB759" s="4" t="n">
        <x:v>40.5</x:v>
      </x:c>
      <x:c r="BC759" s="4" t="n">
        <x:v>-11.9</x:v>
      </x:c>
      <x:c r="BD759" s="10" t="n">
        <x:v>337</x:v>
      </x:c>
      <x:c r="BE759" s="10" t="n">
        <x:v>459</x:v>
      </x:c>
      <x:c r="BF759" s="4" t="n">
        <x:v>42.3</x:v>
      </x:c>
      <x:c r="BG759" s="4" t="n">
        <x:v>-10</x:v>
      </x:c>
      <x:c r="BH759" s="4" t="n">
        <x:v>7.3</x:v>
      </x:c>
      <x:c r="BI759" s="4" t="n">
        <x:v>92.1</x:v>
      </x:c>
      <x:c r="BJ759" s="4" t="n">
        <x:v>99.4</x:v>
      </x:c>
      <x:c r="BK759" s="4" t="n">
        <x:v>39.7</x:v>
      </x:c>
      <x:c r="BL759" s="4" t="n">
        <x:v>60.3</x:v>
      </x:c>
      <x:c r="BM759" s="4" t="n">
        <x:v>10.533333333333333</x:v>
      </x:c>
      <x:c r="BN759" s="4" t="n">
        <x:v>8.85</x:v>
      </x:c>
      <x:c r="BO759" s="10" t="n">
        <x:v>6</x:v>
      </x:c>
      <x:c r="BP759" s="10" t="n">
        <x:v>11</x:v>
      </x:c>
      <x:c r="BQ759" s="4" t="n">
        <x:v>-9.9</x:v>
      </x:c>
      <x:c r="BR759" s="10" t="n">
        <x:v>83</x:v>
      </x:c>
      <x:c r="BS759" s="4" t="n">
        <x:v>60.2</x:v>
      </x:c>
      <x:c r="BT759" s="10" t="n">
        <x:v>70</x:v>
      </x:c>
      <x:c r="BU759" s="4" t="str">
        <x:v>TOT</x:v>
      </x:c>
      <x:c r="BV759" s="10" t="n">
        <x:v>719</x:v>
      </x:c>
      <x:c r="BW759" s="10"/>
      <x:c r="BX759" s="10" t="n">
        <x:v>344</x:v>
      </x:c>
      <x:c r="BY759" s="4" t="str">
        <x:v>Luke Glendening</x:v>
      </x:c>
      <x:c r="BZ759" s="4"/>
      <x:c r="CA759" s="4" t="str">
        <x:v>Luke Glendening</x:v>
      </x:c>
      <x:c r="CB759" s="4" t="str">
        <x:v>glendlu01</x:v>
      </x:c>
    </x:row>
    <x:row r="760" ht="22" customHeight="1">
      <x:c r="A760" s="4" t="str">
        <x:v>Luke Haymes</x:v>
      </x:c>
      <x:c r="B760" s="4" t="str">
        <x:v>lukehaymes</x:v>
      </x:c>
      <x:c r="C760" s="10" t="n">
        <x:v>0</x:v>
      </x:c>
      <x:c r="D760" s="10" t="n">
        <x:v>0</x:v>
      </x:c>
      <x:c r="E760" s="10" t="n">
        <x:v>1</x:v>
      </x:c>
      <x:c r="F760" s="4" t="str">
        <x:f>IF(COUNT(N760,Q760,T760,W760,Z760,AC760,AF760,AI760)=8,N760*Guide!$E$5+Q760*Guide!$E$6+T760*Guide!$E$7+W760*Guide!$E$8+Z760*Guide!$E$9+AC760*Guide!$E$10+AF760*Guide!$E$11+AI760*Guide!$E$12,"")</x:f>
      </x:c>
      <x:c r="G760" s="4" t="str">
        <x:f>IF(COUNT(O760,R760,U760,X760,AA760,AD760,AG760,AJ760)=8,O760*Guide!$E$5+R760*Guide!$E$6+U760*Guide!$E$7+X760*Guide!$E$8+AA760*Guide!$E$9+AD760*Guide!$E$10+AG760*Guide!$E$11+AJ760*Guide!$E$12,"")</x:f>
      </x:c>
      <x:c r="H760" s="4" t="str">
        <x:f>IF(COUNT(G760,F760)=2,G760-F760,"")</x:f>
      </x:c>
      <x:c r="I760" s="4" t="str">
        <x:f>IF(AND(ISNUMBER(F760),K760&gt;0),F760/K760,"")</x:f>
      </x:c>
      <x:c r="J760" s="4" t="str">
        <x:f>IF(AND(ISNUMBER(G760),L760&gt;0),G760/L760,"")</x:f>
      </x:c>
      <x:c r="K760" s="10"/>
      <x:c r="L760" s="10"/>
      <x:c r="M760" s="10" t="str">
        <x:f>IF(COUNT(L760,K760)=2,L760-K760,"")</x:f>
      </x:c>
      <x:c r="N760" s="10"/>
      <x:c r="O760" s="10"/>
      <x:c r="P760" s="10" t="str">
        <x:f>IF(COUNT(O760,N760)=2,O760-N760,"")</x:f>
      </x:c>
      <x:c r="Q760" s="10"/>
      <x:c r="R760" s="10"/>
      <x:c r="S760" s="10" t="str">
        <x:f>IF(COUNT(R760,Q760)=2,R760-Q760,"")</x:f>
      </x:c>
      <x:c r="T760" s="10"/>
      <x:c r="U760" s="10"/>
      <x:c r="V760" s="10" t="str">
        <x:f>IF(COUNT(U760,T760)=2,U760-T760,"")</x:f>
      </x:c>
      <x:c r="W760" s="10"/>
      <x:c r="X760" s="10" t="str">
        <x:f>IF(COUNT(AV760,AW760)=2,AV760+AW760,"")</x:f>
      </x:c>
      <x:c r="Y760" s="10" t="str">
        <x:f>IF(COUNT(X760,W760)=2,X760-W760,"")</x:f>
      </x:c>
      <x:c r="Z760" s="10"/>
      <x:c r="AA760" s="10" t="str">
        <x:f>IF(COUNT(AX760,AY760)=2,AX760+AY760,"")</x:f>
      </x:c>
      <x:c r="AB760" s="10" t="str">
        <x:f>IF(COUNT(AA760,Z760)=2,AA760-Z760,"")</x:f>
      </x:c>
      <x:c r="AC760" s="10"/>
      <x:c r="AD760" s="10"/>
      <x:c r="AE760" s="10" t="str">
        <x:f>IF(COUNT(AD760,AC760)=2,AD760-AC760,"")</x:f>
      </x:c>
      <x:c r="AF760" s="10"/>
      <x:c r="AG760" s="10"/>
      <x:c r="AH760" s="10" t="str">
        <x:f>IF(COUNT(AG760,AF760)=2,AG760-AF760,"")</x:f>
      </x:c>
      <x:c r="AI760" s="10"/>
      <x:c r="AJ760" s="10"/>
      <x:c r="AK760" s="10" t="str">
        <x:f>IF(COUNT(AJ760,AI760)=2,AJ760-AI760,"")</x:f>
      </x:c>
      <x:c r="AL760" s="10"/>
      <x:c r="AM760" s="10"/>
      <x:c r="AN760" s="4"/>
      <x:c r="AO760" s="4"/>
      <x:c r="AP760" s="4"/>
      <x:c r="AQ760" s="4"/>
      <x:c r="AR760" s="4"/>
      <x:c r="AS760" s="4"/>
      <x:c r="AT760" s="4"/>
      <x:c r="AU760" s="4"/>
      <x:c r="AV760" s="10"/>
      <x:c r="AW760" s="10"/>
      <x:c r="AX760" s="10"/>
      <x:c r="AY760" s="10"/>
      <x:c r="AZ760" s="10" t="n">
        <x:v>41</x:v>
      </x:c>
      <x:c r="BA760" s="10" t="n">
        <x:v>39</x:v>
      </x:c>
      <x:c r="BB760" s="4" t="n">
        <x:v>51.3</x:v>
      </x:c>
      <x:c r="BC760" s="4" t="n">
        <x:v>7.3</x:v>
      </x:c>
      <x:c r="BD760" s="10" t="n">
        <x:v>35</x:v>
      </x:c>
      <x:c r="BE760" s="10" t="n">
        <x:v>28</x:v>
      </x:c>
      <x:c r="BF760" s="4" t="n">
        <x:v>55.6</x:v>
      </x:c>
      <x:c r="BG760" s="4" t="n">
        <x:v>13.7</x:v>
      </x:c>
      <x:c r="BH760" s="4" t="n">
        <x:v>10.5</x:v>
      </x:c>
      <x:c r="BI760" s="4" t="n">
        <x:v>80</x:v>
      </x:c>
      <x:c r="BJ760" s="4" t="n">
        <x:v>90.5</x:v>
      </x:c>
      <x:c r="BK760" s="4" t="n">
        <x:v>56.3</x:v>
      </x:c>
      <x:c r="BL760" s="4" t="n">
        <x:v>43.8</x:v>
      </x:c>
      <x:c r="BM760" s="4" t="n">
        <x:v>13.55</x:v>
      </x:c>
      <x:c r="BN760" s="4" t="n">
        <x:v>12.033333333333333</x:v>
      </x:c>
      <x:c r="BO760" s="10" t="n">
        <x:v>0</x:v>
      </x:c>
      <x:c r="BP760" s="10" t="n">
        <x:v>1</x:v>
      </x:c>
      <x:c r="BQ760" s="4" t="n">
        <x:v>0.1</x:v>
      </x:c>
      <x:c r="BR760" s="10" t="n">
        <x:v>7</x:v>
      </x:c>
      <x:c r="BS760" s="4" t="n">
        <x:v>42.9</x:v>
      </x:c>
      <x:c r="BT760" s="10" t="n">
        <x:v>4</x:v>
      </x:c>
      <x:c r="BU760" s="4" t="str">
        <x:v>TOR</x:v>
      </x:c>
      <x:c r="BV760" s="10"/>
      <x:c r="BW760" s="10"/>
      <x:c r="BX760" s="10" t="n">
        <x:v>398</x:v>
      </x:c>
      <x:c r="BY760" s="4"/>
      <x:c r="BZ760" s="4"/>
      <x:c r="CA760" s="4" t="str">
        <x:v>Luke Haymes</x:v>
      </x:c>
      <x:c r="CB760" s="4" t="str">
        <x:v>haymelu01</x:v>
      </x:c>
    </x:row>
    <x:row r="761" ht="22" customHeight="1">
      <x:c r="A761" s="4" t="str">
        <x:v>Luke Kunin</x:v>
      </x:c>
      <x:c r="B761" s="4" t="str">
        <x:v>lukekunin</x:v>
      </x:c>
      <x:c r="C761" s="10" t="n">
        <x:v>1</x:v>
      </x:c>
      <x:c r="D761" s="10" t="n">
        <x:v>0</x:v>
      </x:c>
      <x:c r="E761" s="10" t="n">
        <x:v>1</x:v>
      </x:c>
      <x:c r="F761" s="4" t="n">
        <x:f>IF(COUNT(N761,Q761,T761,W761,Z761,AC761,AF761,AI761)=8,N761*Guide!$E$5+Q761*Guide!$E$6+T761*Guide!$E$7+W761*Guide!$E$8+Z761*Guide!$E$9+AC761*Guide!$E$10+AF761*Guide!$E$11+AI761*Guide!$E$12,"")</x:f>
        <x:v>197.25</x:v>
      </x:c>
      <x:c r="G761" s="4" t="str">
        <x:f>IF(COUNT(O761,R761,U761,X761,AA761,AD761,AG761,AJ761)=8,O761*Guide!$E$5+R761*Guide!$E$6+U761*Guide!$E$7+X761*Guide!$E$8+AA761*Guide!$E$9+AD761*Guide!$E$10+AG761*Guide!$E$11+AJ761*Guide!$E$12,"")</x:f>
      </x:c>
      <x:c r="H761" s="4" t="str">
        <x:f>IF(COUNT(G761,F761)=2,G761-F761,"")</x:f>
      </x:c>
      <x:c r="I761" s="4" t="n">
        <x:f>IF(AND(ISNUMBER(F761),K761&gt;0),F761/K761,"")</x:f>
        <x:v>2.5953947368421053</x:v>
      </x:c>
      <x:c r="J761" s="4" t="str">
        <x:f>IF(AND(ISNUMBER(G761),L761&gt;0),G761/L761,"")</x:f>
      </x:c>
      <x:c r="K761" s="10" t="n">
        <x:v>76</x:v>
      </x:c>
      <x:c r="L761" s="10"/>
      <x:c r="M761" s="10" t="str">
        <x:f>IF(COUNT(L761,K761)=2,L761-K761,"")</x:f>
      </x:c>
      <x:c r="N761" s="10" t="n">
        <x:v>13</x:v>
      </x:c>
      <x:c r="O761" s="10"/>
      <x:c r="P761" s="10" t="str">
        <x:f>IF(COUNT(O761,N761)=2,O761-N761,"")</x:f>
      </x:c>
      <x:c r="Q761" s="10" t="n">
        <x:v>11</x:v>
      </x:c>
      <x:c r="R761" s="10"/>
      <x:c r="S761" s="10" t="str">
        <x:f>IF(COUNT(R761,Q761)=2,R761-Q761,"")</x:f>
      </x:c>
      <x:c r="T761" s="10" t="n">
        <x:v>-17</x:v>
      </x:c>
      <x:c r="U761" s="10"/>
      <x:c r="V761" s="10" t="str">
        <x:f>IF(COUNT(U761,T761)=2,U761-T761,"")</x:f>
      </x:c>
      <x:c r="W761" s="10" t="n">
        <x:v>4</x:v>
      </x:c>
      <x:c r="X761" s="10" t="str">
        <x:f>IF(COUNT(AV761,AW761)=2,AV761+AW761,"")</x:f>
      </x:c>
      <x:c r="Y761" s="10" t="str">
        <x:f>IF(COUNT(X761,W761)=2,X761-W761,"")</x:f>
      </x:c>
      <x:c r="Z761" s="10" t="n">
        <x:v>1</x:v>
      </x:c>
      <x:c r="AA761" s="10" t="str">
        <x:f>IF(COUNT(AX761,AY761)=2,AX761+AY761,"")</x:f>
      </x:c>
      <x:c r="AB761" s="10" t="str">
        <x:f>IF(COUNT(AA761,Z761)=2,AA761-Z761,"")</x:f>
      </x:c>
      <x:c r="AC761" s="10" t="n">
        <x:v>107</x:v>
      </x:c>
      <x:c r="AD761" s="10"/>
      <x:c r="AE761" s="10" t="str">
        <x:f>IF(COUNT(AD761,AC761)=2,AD761-AC761,"")</x:f>
      </x:c>
      <x:c r="AF761" s="10" t="n">
        <x:v>178</x:v>
      </x:c>
      <x:c r="AG761" s="10"/>
      <x:c r="AH761" s="10" t="str">
        <x:f>IF(COUNT(AG761,AF761)=2,AG761-AF761,"")</x:f>
      </x:c>
      <x:c r="AI761" s="10" t="n">
        <x:v>68</x:v>
      </x:c>
      <x:c r="AJ761" s="10"/>
      <x:c r="AK761" s="10" t="str">
        <x:f>IF(COUNT(AJ761,AI761)=2,AJ761-AI761,"")</x:f>
      </x:c>
      <x:c r="AL761" s="10" t="n">
        <x:v>28</x:v>
      </x:c>
      <x:c r="AM761" s="10"/>
      <x:c r="AN761" s="4" t="str">
        <x:v>C,LW,RW</x:v>
      </x:c>
      <x:c r="AO761" s="4"/>
      <x:c r="AP761" s="4" t="str">
        <x:v>FLA</x:v>
      </x:c>
      <x:c r="AQ761" s="4"/>
      <x:c r="AR761" s="4" t="n">
        <x:v>14.829999999999998</x:v>
      </x:c>
      <x:c r="AS761" s="4"/>
      <x:c r="AT761" s="4" t="n">
        <x:v>0.77</x:v>
      </x:c>
      <x:c r="AU761" s="4"/>
      <x:c r="AV761" s="10"/>
      <x:c r="AW761" s="10"/>
      <x:c r="AX761" s="10"/>
      <x:c r="AY761" s="10"/>
      <x:c r="AZ761" s="10" t="n">
        <x:v>441</x:v>
      </x:c>
      <x:c r="BA761" s="10" t="n">
        <x:v>538</x:v>
      </x:c>
      <x:c r="BB761" s="4" t="n">
        <x:v>45</x:v>
      </x:c>
      <x:c r="BC761" s="4" t="n">
        <x:v>-7.9</x:v>
      </x:c>
      <x:c r="BD761" s="10" t="n">
        <x:v>316</x:v>
      </x:c>
      <x:c r="BE761" s="10" t="n">
        <x:v>370</x:v>
      </x:c>
      <x:c r="BF761" s="4" t="n">
        <x:v>46.1</x:v>
      </x:c>
      <x:c r="BG761" s="4" t="n">
        <x:v>-5.6</x:v>
      </x:c>
      <x:c r="BH761" s="4" t="n">
        <x:v>9.9</x:v>
      </x:c>
      <x:c r="BI761" s="4" t="n">
        <x:v>89.4</x:v>
      </x:c>
      <x:c r="BJ761" s="4" t="n">
        <x:v>99.2</x:v>
      </x:c>
      <x:c r="BK761" s="4" t="n">
        <x:v>49.2</x:v>
      </x:c>
      <x:c r="BL761" s="4" t="n">
        <x:v>50.8</x:v>
      </x:c>
      <x:c r="BM761" s="4" t="n">
        <x:v>9.683333333333334</x:v>
      </x:c>
      <x:c r="BN761" s="4" t="n">
        <x:v>8.616666666666667</x:v>
      </x:c>
      <x:c r="BO761" s="10" t="n">
        <x:v>3</x:v>
      </x:c>
      <x:c r="BP761" s="10" t="n">
        <x:v>22</x:v>
      </x:c>
      <x:c r="BQ761" s="4" t="n">
        <x:v>-4.7</x:v>
      </x:c>
      <x:c r="BR761" s="10" t="n">
        <x:v>102</x:v>
      </x:c>
      <x:c r="BS761" s="4" t="n">
        <x:v>48</x:v>
      </x:c>
      <x:c r="BT761" s="10" t="n">
        <x:v>62</x:v>
      </x:c>
      <x:c r="BU761" s="4" t="str">
        <x:v>FLA</x:v>
      </x:c>
      <x:c r="BV761" s="10" t="n">
        <x:v>447</x:v>
      </x:c>
      <x:c r="BW761" s="10"/>
      <x:c r="BX761" s="10" t="n">
        <x:v>551</x:v>
      </x:c>
      <x:c r="BY761" s="4" t="str">
        <x:v>Luke Kunin</x:v>
      </x:c>
      <x:c r="BZ761" s="4"/>
      <x:c r="CA761" s="4" t="str">
        <x:v>Luke Kunin</x:v>
      </x:c>
      <x:c r="CB761" s="4" t="str">
        <x:v>kuninlu01</x:v>
      </x:c>
    </x:row>
    <x:row r="762" ht="22" customHeight="1">
      <x:c r="A762" s="4" t="str">
        <x:v>Luke Schenn</x:v>
      </x:c>
      <x:c r="B762" s="4" t="str">
        <x:v>lukeschenn</x:v>
      </x:c>
      <x:c r="C762" s="10" t="n">
        <x:v>1</x:v>
      </x:c>
      <x:c r="D762" s="10" t="n">
        <x:v>0</x:v>
      </x:c>
      <x:c r="E762" s="10" t="n">
        <x:v>1</x:v>
      </x:c>
      <x:c r="F762" s="4" t="n">
        <x:f>IF(COUNT(N762,Q762,T762,W762,Z762,AC762,AF762,AI762)=8,N762*Guide!$E$5+Q762*Guide!$E$6+T762*Guide!$E$7+W762*Guide!$E$8+Z762*Guide!$E$9+AC762*Guide!$E$10+AF762*Guide!$E$11+AI762*Guide!$E$12,"")</x:f>
        <x:v>209</x:v>
      </x:c>
      <x:c r="G762" s="4" t="str">
        <x:f>IF(COUNT(O762,R762,U762,X762,AA762,AD762,AG762,AJ762)=8,O762*Guide!$E$5+R762*Guide!$E$6+U762*Guide!$E$7+X762*Guide!$E$8+AA762*Guide!$E$9+AD762*Guide!$E$10+AG762*Guide!$E$11+AJ762*Guide!$E$12,"")</x:f>
      </x:c>
      <x:c r="H762" s="4" t="str">
        <x:f>IF(COUNT(G762,F762)=2,G762-F762,"")</x:f>
      </x:c>
      <x:c r="I762" s="4" t="n">
        <x:f>IF(AND(ISNUMBER(F762),K762&gt;0),F762/K762,"")</x:f>
        <x:v>2.75</x:v>
      </x:c>
      <x:c r="J762" s="4" t="str">
        <x:f>IF(AND(ISNUMBER(G762),L762&gt;0),G762/L762,"")</x:f>
      </x:c>
      <x:c r="K762" s="10" t="n">
        <x:v>76</x:v>
      </x:c>
      <x:c r="L762" s="10"/>
      <x:c r="M762" s="10" t="str">
        <x:f>IF(COUNT(L762,K762)=2,L762-K762,"")</x:f>
      </x:c>
      <x:c r="N762" s="10" t="n">
        <x:v>3</x:v>
      </x:c>
      <x:c r="O762" s="10"/>
      <x:c r="P762" s="10" t="str">
        <x:f>IF(COUNT(O762,N762)=2,O762-N762,"")</x:f>
      </x:c>
      <x:c r="Q762" s="10" t="n">
        <x:v>12</x:v>
      </x:c>
      <x:c r="R762" s="10"/>
      <x:c r="S762" s="10" t="str">
        <x:f>IF(COUNT(R762,Q762)=2,R762-Q762,"")</x:f>
      </x:c>
      <x:c r="T762" s="10" t="n">
        <x:v>0</x:v>
      </x:c>
      <x:c r="U762" s="10"/>
      <x:c r="V762" s="10" t="str">
        <x:f>IF(COUNT(U762,T762)=2,U762-T762,"")</x:f>
      </x:c>
      <x:c r="W762" s="10" t="n">
        <x:v>0</x:v>
      </x:c>
      <x:c r="X762" s="10" t="str">
        <x:f>IF(COUNT(AV762,AW762)=2,AV762+AW762,"")</x:f>
      </x:c>
      <x:c r="Y762" s="10" t="str">
        <x:f>IF(COUNT(X762,W762)=2,X762-W762,"")</x:f>
      </x:c>
      <x:c r="Z762" s="10" t="n">
        <x:v>0</x:v>
      </x:c>
      <x:c r="AA762" s="10" t="str">
        <x:f>IF(COUNT(AX762,AY762)=2,AX762+AY762,"")</x:f>
      </x:c>
      <x:c r="AB762" s="10" t="str">
        <x:f>IF(COUNT(AA762,Z762)=2,AA762-Z762,"")</x:f>
      </x:c>
      <x:c r="AC762" s="10" t="n">
        <x:v>77</x:v>
      </x:c>
      <x:c r="AD762" s="10"/>
      <x:c r="AE762" s="10" t="str">
        <x:f>IF(COUNT(AD762,AC762)=2,AD762-AC762,"")</x:f>
      </x:c>
      <x:c r="AF762" s="10" t="n">
        <x:v>270</x:v>
      </x:c>
      <x:c r="AG762" s="10"/>
      <x:c r="AH762" s="10" t="str">
        <x:f>IF(COUNT(AG762,AF762)=2,AG762-AF762,"")</x:f>
      </x:c>
      <x:c r="AI762" s="10" t="n">
        <x:v>99</x:v>
      </x:c>
      <x:c r="AJ762" s="10"/>
      <x:c r="AK762" s="10" t="str">
        <x:f>IF(COUNT(AJ762,AI762)=2,AJ762-AI762,"")</x:f>
      </x:c>
      <x:c r="AL762" s="10" t="n">
        <x:v>36</x:v>
      </x:c>
      <x:c r="AM762" s="10"/>
      <x:c r="AN762" s="4" t="str">
        <x:v>D</x:v>
      </x:c>
      <x:c r="AO762" s="4"/>
      <x:c r="AP762" s="4" t="str">
        <x:v>WPG</x:v>
      </x:c>
      <x:c r="AQ762" s="4"/>
      <x:c r="AR762" s="4" t="n">
        <x:v>15.91</x:v>
      </x:c>
      <x:c r="AS762" s="4"/>
      <x:c r="AT762" s="4" t="n">
        <x:v>0.05</x:v>
      </x:c>
      <x:c r="AU762" s="4"/>
      <x:c r="AV762" s="10"/>
      <x:c r="AW762" s="10"/>
      <x:c r="AX762" s="10"/>
      <x:c r="AY762" s="10"/>
      <x:c r="AZ762" s="10" t="n">
        <x:v>492</x:v>
      </x:c>
      <x:c r="BA762" s="10" t="n">
        <x:v>637</x:v>
      </x:c>
      <x:c r="BB762" s="4" t="n">
        <x:v>43.6</x:v>
      </x:c>
      <x:c r="BC762" s="4" t="n">
        <x:v>-6.9</x:v>
      </x:c>
      <x:c r="BD762" s="10" t="n">
        <x:v>334</x:v>
      </x:c>
      <x:c r="BE762" s="10" t="n">
        <x:v>460</x:v>
      </x:c>
      <x:c r="BF762" s="4" t="n">
        <x:v>42.1</x:v>
      </x:c>
      <x:c r="BG762" s="4" t="n">
        <x:v>-8.6</x:v>
      </x:c>
      <x:c r="BH762" s="4" t="n">
        <x:v>8.9</x:v>
      </x:c>
      <x:c r="BI762" s="4" t="n">
        <x:v>88.3</x:v>
      </x:c>
      <x:c r="BJ762" s="4" t="n">
        <x:v>97.2</x:v>
      </x:c>
      <x:c r="BK762" s="4" t="n">
        <x:v>41.8</x:v>
      </x:c>
      <x:c r="BL762" s="4" t="n">
        <x:v>58.2</x:v>
      </x:c>
      <x:c r="BM762" s="4" t="n">
        <x:v>13.666666666666666</x:v>
      </x:c>
      <x:c r="BN762" s="4" t="n">
        <x:v>12.033333333333333</x:v>
      </x:c>
      <x:c r="BO762" s="10" t="n">
        <x:v>7</x:v>
      </x:c>
      <x:c r="BP762" s="10" t="n">
        <x:v>44</x:v>
      </x:c>
      <x:c r="BQ762" s="4" t="n">
        <x:v>-7.7</x:v>
      </x:c>
      <x:c r="BR762" s="10" t="n">
        <x:v>96</x:v>
      </x:c>
      <x:c r="BS762" s="4" t="n">
        <x:v>36.5</x:v>
      </x:c>
      <x:c r="BT762" s="10" t="n">
        <x:v>50</x:v>
      </x:c>
      <x:c r="BU762" s="4" t="str">
        <x:v>TOT</x:v>
      </x:c>
      <x:c r="BV762" s="10" t="n">
        <x:v>622</x:v>
      </x:c>
      <x:c r="BW762" s="10"/>
      <x:c r="BX762" s="10" t="n">
        <x:v>907</x:v>
      </x:c>
      <x:c r="BY762" s="4" t="str">
        <x:v>Luke Schenn</x:v>
      </x:c>
      <x:c r="BZ762" s="4"/>
      <x:c r="CA762" s="4" t="str">
        <x:v>Luke Schenn</x:v>
      </x:c>
      <x:c r="CB762" s="4" t="str">
        <x:v>schenlu01</x:v>
      </x:c>
    </x:row>
    <x:row r="763" ht="22" customHeight="1">
      <x:c r="A763" s="4" t="str">
        <x:v>Mackenzie MacEachern</x:v>
      </x:c>
      <x:c r="B763" s="4" t="str">
        <x:v>mackenziemaceachern</x:v>
      </x:c>
      <x:c r="C763" s="10" t="n">
        <x:v>0</x:v>
      </x:c>
      <x:c r="D763" s="10" t="n">
        <x:v>0</x:v>
      </x:c>
      <x:c r="E763" s="10" t="n">
        <x:v>1</x:v>
      </x:c>
      <x:c r="F763" s="4" t="str">
        <x:f>IF(COUNT(N763,Q763,T763,W763,Z763,AC763,AF763,AI763)=8,N763*Guide!$E$5+Q763*Guide!$E$6+T763*Guide!$E$7+W763*Guide!$E$8+Z763*Guide!$E$9+AC763*Guide!$E$10+AF763*Guide!$E$11+AI763*Guide!$E$12,"")</x:f>
      </x:c>
      <x:c r="G763" s="4" t="str">
        <x:f>IF(COUNT(O763,R763,U763,X763,AA763,AD763,AG763,AJ763)=8,O763*Guide!$E$5+R763*Guide!$E$6+U763*Guide!$E$7+X763*Guide!$E$8+AA763*Guide!$E$9+AD763*Guide!$E$10+AG763*Guide!$E$11+AJ763*Guide!$E$12,"")</x:f>
      </x:c>
      <x:c r="H763" s="4" t="str">
        <x:f>IF(COUNT(G763,F763)=2,G763-F763,"")</x:f>
      </x:c>
      <x:c r="I763" s="4" t="str">
        <x:f>IF(AND(ISNUMBER(F763),K763&gt;0),F763/K763,"")</x:f>
      </x:c>
      <x:c r="J763" s="4" t="str">
        <x:f>IF(AND(ISNUMBER(G763),L763&gt;0),G763/L763,"")</x:f>
      </x:c>
      <x:c r="K763" s="10"/>
      <x:c r="L763" s="10"/>
      <x:c r="M763" s="10" t="str">
        <x:f>IF(COUNT(L763,K763)=2,L763-K763,"")</x:f>
      </x:c>
      <x:c r="N763" s="10"/>
      <x:c r="O763" s="10"/>
      <x:c r="P763" s="10" t="str">
        <x:f>IF(COUNT(O763,N763)=2,O763-N763,"")</x:f>
      </x:c>
      <x:c r="Q763" s="10"/>
      <x:c r="R763" s="10"/>
      <x:c r="S763" s="10" t="str">
        <x:f>IF(COUNT(R763,Q763)=2,R763-Q763,"")</x:f>
      </x:c>
      <x:c r="T763" s="10"/>
      <x:c r="U763" s="10"/>
      <x:c r="V763" s="10" t="str">
        <x:f>IF(COUNT(U763,T763)=2,U763-T763,"")</x:f>
      </x:c>
      <x:c r="W763" s="10"/>
      <x:c r="X763" s="10" t="str">
        <x:f>IF(COUNT(AV763,AW763)=2,AV763+AW763,"")</x:f>
      </x:c>
      <x:c r="Y763" s="10" t="str">
        <x:f>IF(COUNT(X763,W763)=2,X763-W763,"")</x:f>
      </x:c>
      <x:c r="Z763" s="10"/>
      <x:c r="AA763" s="10" t="str">
        <x:f>IF(COUNT(AX763,AY763)=2,AX763+AY763,"")</x:f>
      </x:c>
      <x:c r="AB763" s="10" t="str">
        <x:f>IF(COUNT(AA763,Z763)=2,AA763-Z763,"")</x:f>
      </x:c>
      <x:c r="AC763" s="10"/>
      <x:c r="AD763" s="10"/>
      <x:c r="AE763" s="10" t="str">
        <x:f>IF(COUNT(AD763,AC763)=2,AD763-AC763,"")</x:f>
      </x:c>
      <x:c r="AF763" s="10"/>
      <x:c r="AG763" s="10"/>
      <x:c r="AH763" s="10" t="str">
        <x:f>IF(COUNT(AG763,AF763)=2,AG763-AF763,"")</x:f>
      </x:c>
      <x:c r="AI763" s="10"/>
      <x:c r="AJ763" s="10"/>
      <x:c r="AK763" s="10" t="str">
        <x:f>IF(COUNT(AJ763,AI763)=2,AJ763-AI763,"")</x:f>
      </x:c>
      <x:c r="AL763" s="10"/>
      <x:c r="AM763" s="10"/>
      <x:c r="AN763" s="4"/>
      <x:c r="AO763" s="4"/>
      <x:c r="AP763" s="4"/>
      <x:c r="AQ763" s="4"/>
      <x:c r="AR763" s="4"/>
      <x:c r="AS763" s="4"/>
      <x:c r="AT763" s="4"/>
      <x:c r="AU763" s="4"/>
      <x:c r="AV763" s="10"/>
      <x:c r="AW763" s="10"/>
      <x:c r="AX763" s="10"/>
      <x:c r="AY763" s="10"/>
      <x:c r="AZ763" s="10" t="n">
        <x:v>64</x:v>
      </x:c>
      <x:c r="BA763" s="10" t="n">
        <x:v>91</x:v>
      </x:c>
      <x:c r="BB763" s="4" t="n">
        <x:v>41.3</x:v>
      </x:c>
      <x:c r="BC763" s="4" t="n">
        <x:v>-3</x:v>
      </x:c>
      <x:c r="BD763" s="10" t="n">
        <x:v>45</x:v>
      </x:c>
      <x:c r="BE763" s="10" t="n">
        <x:v>68</x:v>
      </x:c>
      <x:c r="BF763" s="4" t="n">
        <x:v>39.8</x:v>
      </x:c>
      <x:c r="BG763" s="4" t="n">
        <x:v>-3.8</x:v>
      </x:c>
      <x:c r="BH763" s="4" t="n">
        <x:v>18.5</x:v>
      </x:c>
      <x:c r="BI763" s="4" t="n">
        <x:v>87.5</x:v>
      </x:c>
      <x:c r="BJ763" s="4" t="n">
        <x:v>106</x:v>
      </x:c>
      <x:c r="BK763" s="4" t="n">
        <x:v>37.5</x:v>
      </x:c>
      <x:c r="BL763" s="4" t="n">
        <x:v>62.5</x:v>
      </x:c>
      <x:c r="BM763" s="4" t="n">
        <x:v>10.183333333333334</x:v>
      </x:c>
      <x:c r="BN763" s="4" t="n">
        <x:v>10.15</x:v>
      </x:c>
      <x:c r="BO763" s="10" t="n">
        <x:v>1</x:v>
      </x:c>
      <x:c r="BP763" s="10" t="n">
        <x:v>3</x:v>
      </x:c>
      <x:c r="BQ763" s="4" t="n">
        <x:v>-1.7</x:v>
      </x:c>
      <x:c r="BR763" s="10" t="n">
        <x:v>10</x:v>
      </x:c>
      <x:c r="BS763" s="4" t="n">
        <x:v>60</x:v>
      </x:c>
      <x:c r="BT763" s="10" t="n">
        <x:v>8</x:v>
      </x:c>
      <x:c r="BU763" s="4" t="str">
        <x:v>VAN</x:v>
      </x:c>
      <x:c r="BV763" s="10"/>
      <x:c r="BW763" s="10"/>
      <x:c r="BX763" s="10" t="n">
        <x:v>624</x:v>
      </x:c>
      <x:c r="BY763" s="4"/>
      <x:c r="BZ763" s="4"/>
      <x:c r="CA763" s="4" t="str">
        <x:v>Mackenzie MacEachern</x:v>
      </x:c>
      <x:c r="CB763" s="4" t="str">
        <x:v>maceama01</x:v>
      </x:c>
    </x:row>
    <x:row r="764" ht="22" customHeight="1">
      <x:c r="A764" s="4" t="str">
        <x:v>Maksim Shabanov</x:v>
      </x:c>
      <x:c r="B764" s="4" t="str">
        <x:v>maksimshabanov</x:v>
      </x:c>
      <x:c r="C764" s="10" t="n">
        <x:v>0</x:v>
      </x:c>
      <x:c r="D764" s="10" t="n">
        <x:v>0</x:v>
      </x:c>
      <x:c r="E764" s="10" t="n">
        <x:v>1</x:v>
      </x:c>
      <x:c r="F764" s="4" t="str">
        <x:f>IF(COUNT(N764,Q764,T764,W764,Z764,AC764,AF764,AI764)=8,N764*Guide!$E$5+Q764*Guide!$E$6+T764*Guide!$E$7+W764*Guide!$E$8+Z764*Guide!$E$9+AC764*Guide!$E$10+AF764*Guide!$E$11+AI764*Guide!$E$12,"")</x:f>
      </x:c>
      <x:c r="G764" s="4" t="str">
        <x:f>IF(COUNT(O764,R764,U764,X764,AA764,AD764,AG764,AJ764)=8,O764*Guide!$E$5+R764*Guide!$E$6+U764*Guide!$E$7+X764*Guide!$E$8+AA764*Guide!$E$9+AD764*Guide!$E$10+AG764*Guide!$E$11+AJ764*Guide!$E$12,"")</x:f>
      </x:c>
      <x:c r="H764" s="4" t="str">
        <x:f>IF(COUNT(G764,F764)=2,G764-F764,"")</x:f>
      </x:c>
      <x:c r="I764" s="4" t="str">
        <x:f>IF(AND(ISNUMBER(F764),K764&gt;0),F764/K764,"")</x:f>
      </x:c>
      <x:c r="J764" s="4" t="str">
        <x:f>IF(AND(ISNUMBER(G764),L764&gt;0),G764/L764,"")</x:f>
      </x:c>
      <x:c r="K764" s="10"/>
      <x:c r="L764" s="10"/>
      <x:c r="M764" s="10" t="str">
        <x:f>IF(COUNT(L764,K764)=2,L764-K764,"")</x:f>
      </x:c>
      <x:c r="N764" s="10"/>
      <x:c r="O764" s="10"/>
      <x:c r="P764" s="10" t="str">
        <x:f>IF(COUNT(O764,N764)=2,O764-N764,"")</x:f>
      </x:c>
      <x:c r="Q764" s="10"/>
      <x:c r="R764" s="10"/>
      <x:c r="S764" s="10" t="str">
        <x:f>IF(COUNT(R764,Q764)=2,R764-Q764,"")</x:f>
      </x:c>
      <x:c r="T764" s="10"/>
      <x:c r="U764" s="10"/>
      <x:c r="V764" s="10" t="str">
        <x:f>IF(COUNT(U764,T764)=2,U764-T764,"")</x:f>
      </x:c>
      <x:c r="W764" s="10"/>
      <x:c r="X764" s="10" t="str">
        <x:f>IF(COUNT(AV764,AW764)=2,AV764+AW764,"")</x:f>
      </x:c>
      <x:c r="Y764" s="10" t="str">
        <x:f>IF(COUNT(X764,W764)=2,X764-W764,"")</x:f>
      </x:c>
      <x:c r="Z764" s="10"/>
      <x:c r="AA764" s="10" t="str">
        <x:f>IF(COUNT(AX764,AY764)=2,AX764+AY764,"")</x:f>
      </x:c>
      <x:c r="AB764" s="10" t="str">
        <x:f>IF(COUNT(AA764,Z764)=2,AA764-Z764,"")</x:f>
      </x:c>
      <x:c r="AC764" s="10"/>
      <x:c r="AD764" s="10"/>
      <x:c r="AE764" s="10" t="str">
        <x:f>IF(COUNT(AD764,AC764)=2,AD764-AC764,"")</x:f>
      </x:c>
      <x:c r="AF764" s="10"/>
      <x:c r="AG764" s="10"/>
      <x:c r="AH764" s="10" t="str">
        <x:f>IF(COUNT(AG764,AF764)=2,AG764-AF764,"")</x:f>
      </x:c>
      <x:c r="AI764" s="10"/>
      <x:c r="AJ764" s="10"/>
      <x:c r="AK764" s="10" t="str">
        <x:f>IF(COUNT(AJ764,AI764)=2,AJ764-AI764,"")</x:f>
      </x:c>
      <x:c r="AL764" s="10"/>
      <x:c r="AM764" s="10"/>
      <x:c r="AN764" s="4"/>
      <x:c r="AO764" s="4"/>
      <x:c r="AP764" s="4"/>
      <x:c r="AQ764" s="4"/>
      <x:c r="AR764" s="4"/>
      <x:c r="AS764" s="4"/>
      <x:c r="AT764" s="4"/>
      <x:c r="AU764" s="4"/>
      <x:c r="AV764" s="10"/>
      <x:c r="AW764" s="10"/>
      <x:c r="AX764" s="10"/>
      <x:c r="AY764" s="10"/>
      <x:c r="AZ764" s="10" t="n">
        <x:v>472</x:v>
      </x:c>
      <x:c r="BA764" s="10" t="n">
        <x:v>580</x:v>
      </x:c>
      <x:c r="BB764" s="4" t="n">
        <x:v>44.9</x:v>
      </x:c>
      <x:c r="BC764" s="4" t="n">
        <x:v>-5</x:v>
      </x:c>
      <x:c r="BD764" s="10" t="n">
        <x:v>356</x:v>
      </x:c>
      <x:c r="BE764" s="10" t="n">
        <x:v>419</x:v>
      </x:c>
      <x:c r="BF764" s="4" t="n">
        <x:v>45.9</x:v>
      </x:c>
      <x:c r="BG764" s="4" t="n">
        <x:v>-4.8</x:v>
      </x:c>
      <x:c r="BH764" s="4" t="n">
        <x:v>10.5</x:v>
      </x:c>
      <x:c r="BI764" s="4" t="n">
        <x:v>89.7</x:v>
      </x:c>
      <x:c r="BJ764" s="4" t="n">
        <x:v>100.3</x:v>
      </x:c>
      <x:c r="BK764" s="4" t="n">
        <x:v>50.3</x:v>
      </x:c>
      <x:c r="BL764" s="4" t="n">
        <x:v>49.7</x:v>
      </x:c>
      <x:c r="BM764" s="4" t="n">
        <x:v>13.683333333333334</x:v>
      </x:c>
      <x:c r="BN764" s="4" t="n">
        <x:v>12.066666666666666</x:v>
      </x:c>
      <x:c r="BO764" s="10" t="n">
        <x:v>11</x:v>
      </x:c>
      <x:c r="BP764" s="10" t="n">
        <x:v>35</x:v>
      </x:c>
      <x:c r="BQ764" s="4" t="n">
        <x:v>-7.4</x:v>
      </x:c>
      <x:c r="BR764" s="10" t="n">
        <x:v>114</x:v>
      </x:c>
      <x:c r="BS764" s="4" t="n">
        <x:v>49.1</x:v>
      </x:c>
      <x:c r="BT764" s="10" t="n">
        <x:v>44</x:v>
      </x:c>
      <x:c r="BU764" s="4" t="str">
        <x:v>NYI</x:v>
      </x:c>
      <x:c r="BV764" s="10"/>
      <x:c r="BW764" s="10"/>
      <x:c r="BX764" s="10" t="n">
        <x:v>925</x:v>
      </x:c>
      <x:c r="BY764" s="4"/>
      <x:c r="BZ764" s="4"/>
      <x:c r="CA764" s="4" t="str">
        <x:v>Maksim Shabanov</x:v>
      </x:c>
      <x:c r="CB764" s="4" t="str">
        <x:v>shabama01</x:v>
      </x:c>
    </x:row>
    <x:row r="765" ht="22" customHeight="1">
      <x:c r="A765" s="4" t="str">
        <x:v>Marc Del Gaizo</x:v>
      </x:c>
      <x:c r="B765" s="4" t="str">
        <x:v>marcdelgaizo</x:v>
      </x:c>
      <x:c r="C765" s="10" t="n">
        <x:v>1</x:v>
      </x:c>
      <x:c r="D765" s="10" t="n">
        <x:v>0</x:v>
      </x:c>
      <x:c r="E765" s="10" t="n">
        <x:v>0</x:v>
      </x:c>
      <x:c r="F765" s="4" t="n">
        <x:f>IF(COUNT(N765,Q765,T765,W765,Z765,AC765,AF765,AI765)=8,N765*Guide!$E$5+Q765*Guide!$E$6+T765*Guide!$E$7+W765*Guide!$E$8+Z765*Guide!$E$9+AC765*Guide!$E$10+AF765*Guide!$E$11+AI765*Guide!$E$12,"")</x:f>
        <x:v>128.25</x:v>
      </x:c>
      <x:c r="G765" s="4" t="str">
        <x:f>IF(COUNT(O765,R765,U765,X765,AA765,AD765,AG765,AJ765)=8,O765*Guide!$E$5+R765*Guide!$E$6+U765*Guide!$E$7+X765*Guide!$E$8+AA765*Guide!$E$9+AD765*Guide!$E$10+AG765*Guide!$E$11+AJ765*Guide!$E$12,"")</x:f>
      </x:c>
      <x:c r="H765" s="4" t="str">
        <x:f>IF(COUNT(G765,F765)=2,G765-F765,"")</x:f>
      </x:c>
      <x:c r="I765" s="4" t="n">
        <x:f>IF(AND(ISNUMBER(F765),K765&gt;0),F765/K765,"")</x:f>
        <x:v>2.4663461538461537</x:v>
      </x:c>
      <x:c r="J765" s="4" t="str">
        <x:f>IF(AND(ISNUMBER(G765),L765&gt;0),G765/L765,"")</x:f>
      </x:c>
      <x:c r="K765" s="10" t="n">
        <x:v>52</x:v>
      </x:c>
      <x:c r="L765" s="10"/>
      <x:c r="M765" s="10" t="str">
        <x:f>IF(COUNT(L765,K765)=2,L765-K765,"")</x:f>
      </x:c>
      <x:c r="N765" s="10" t="n">
        <x:v>3</x:v>
      </x:c>
      <x:c r="O765" s="10"/>
      <x:c r="P765" s="10" t="str">
        <x:f>IF(COUNT(O765,N765)=2,O765-N765,"")</x:f>
      </x:c>
      <x:c r="Q765" s="10" t="n">
        <x:v>9</x:v>
      </x:c>
      <x:c r="R765" s="10"/>
      <x:c r="S765" s="10" t="str">
        <x:f>IF(COUNT(R765,Q765)=2,R765-Q765,"")</x:f>
      </x:c>
      <x:c r="T765" s="10" t="n">
        <x:v>1</x:v>
      </x:c>
      <x:c r="U765" s="10"/>
      <x:c r="V765" s="10" t="str">
        <x:f>IF(COUNT(U765,T765)=2,U765-T765,"")</x:f>
      </x:c>
      <x:c r="W765" s="10" t="n">
        <x:v>0</x:v>
      </x:c>
      <x:c r="X765" s="10" t="str">
        <x:f>IF(COUNT(AV765,AW765)=2,AV765+AW765,"")</x:f>
      </x:c>
      <x:c r="Y765" s="10" t="str">
        <x:f>IF(COUNT(X765,W765)=2,X765-W765,"")</x:f>
      </x:c>
      <x:c r="Z765" s="10" t="n">
        <x:v>0</x:v>
      </x:c>
      <x:c r="AA765" s="10" t="str">
        <x:f>IF(COUNT(AX765,AY765)=2,AX765+AY765,"")</x:f>
      </x:c>
      <x:c r="AB765" s="10" t="str">
        <x:f>IF(COUNT(AA765,Z765)=2,AA765-Z765,"")</x:f>
      </x:c>
      <x:c r="AC765" s="10" t="n">
        <x:v>83</x:v>
      </x:c>
      <x:c r="AD765" s="10"/>
      <x:c r="AE765" s="10" t="str">
        <x:f>IF(COUNT(AD765,AC765)=2,AD765-AC765,"")</x:f>
      </x:c>
      <x:c r="AF765" s="10" t="n">
        <x:v>78</x:v>
      </x:c>
      <x:c r="AG765" s="10"/>
      <x:c r="AH765" s="10" t="str">
        <x:f>IF(COUNT(AG765,AF765)=2,AG765-AF765,"")</x:f>
      </x:c>
      <x:c r="AI765" s="10" t="n">
        <x:v>64</x:v>
      </x:c>
      <x:c r="AJ765" s="10"/>
      <x:c r="AK765" s="10" t="str">
        <x:f>IF(COUNT(AJ765,AI765)=2,AJ765-AI765,"")</x:f>
      </x:c>
      <x:c r="AL765" s="10" t="n">
        <x:v>26</x:v>
      </x:c>
      <x:c r="AM765" s="10"/>
      <x:c r="AN765" s="4" t="str">
        <x:v>D</x:v>
      </x:c>
      <x:c r="AO765" s="4"/>
      <x:c r="AP765" s="4" t="str">
        <x:v>NSH</x:v>
      </x:c>
      <x:c r="AQ765" s="4"/>
      <x:c r="AR765" s="4" t="n">
        <x:v>16.76</x:v>
      </x:c>
      <x:c r="AS765" s="4"/>
      <x:c r="AT765" s="4" t="n">
        <x:v>0.13</x:v>
      </x:c>
      <x:c r="AU765" s="4"/>
      <x:c r="AV765" s="10"/>
      <x:c r="AW765" s="10"/>
      <x:c r="AX765" s="10"/>
      <x:c r="AY765" s="10"/>
      <x:c r="AZ765" s="10"/>
      <x:c r="BA765" s="10"/>
      <x:c r="BB765" s="4"/>
      <x:c r="BC765" s="4"/>
      <x:c r="BD765" s="10"/>
      <x:c r="BE765" s="10"/>
      <x:c r="BF765" s="4"/>
      <x:c r="BG765" s="4"/>
      <x:c r="BH765" s="4"/>
      <x:c r="BI765" s="4"/>
      <x:c r="BJ765" s="4"/>
      <x:c r="BK765" s="4"/>
      <x:c r="BL765" s="4"/>
      <x:c r="BM765" s="4"/>
      <x:c r="BN765" s="4"/>
      <x:c r="BO765" s="10"/>
      <x:c r="BP765" s="10"/>
      <x:c r="BQ765" s="4"/>
      <x:c r="BR765" s="10"/>
      <x:c r="BS765" s="4"/>
      <x:c r="BT765" s="10"/>
      <x:c r="BU765" s="4"/>
      <x:c r="BV765" s="10" t="n">
        <x:v>689</x:v>
      </x:c>
      <x:c r="BW765" s="10"/>
      <x:c r="BX765" s="10"/>
      <x:c r="BY765" s="4" t="str">
        <x:v>Marc Del Gaizo</x:v>
      </x:c>
      <x:c r="BZ765" s="4"/>
      <x:c r="CA765" s="4"/>
      <x:c r="CB765" s="4"/>
    </x:row>
    <x:row r="766" ht="22" customHeight="1">
      <x:c r="A766" s="4" t="str">
        <x:v>Marc Gatcomb</x:v>
      </x:c>
      <x:c r="B766" s="4" t="str">
        <x:v>marcgatcomb</x:v>
      </x:c>
      <x:c r="C766" s="10" t="n">
        <x:v>1</x:v>
      </x:c>
      <x:c r="D766" s="10" t="n">
        <x:v>0</x:v>
      </x:c>
      <x:c r="E766" s="10" t="n">
        <x:v>1</x:v>
      </x:c>
      <x:c r="F766" s="4" t="n">
        <x:f>IF(COUNT(N766,Q766,T766,W766,Z766,AC766,AF766,AI766)=8,N766*Guide!$E$5+Q766*Guide!$E$6+T766*Guide!$E$7+W766*Guide!$E$8+Z766*Guide!$E$9+AC766*Guide!$E$10+AF766*Guide!$E$11+AI766*Guide!$E$12,"")</x:f>
        <x:v>134.5</x:v>
      </x:c>
      <x:c r="G766" s="4" t="str">
        <x:f>IF(COUNT(O766,R766,U766,X766,AA766,AD766,AG766,AJ766)=8,O766*Guide!$E$5+R766*Guide!$E$6+U766*Guide!$E$7+X766*Guide!$E$8+AA766*Guide!$E$9+AD766*Guide!$E$10+AG766*Guide!$E$11+AJ766*Guide!$E$12,"")</x:f>
      </x:c>
      <x:c r="H766" s="4" t="str">
        <x:f>IF(COUNT(G766,F766)=2,G766-F766,"")</x:f>
      </x:c>
      <x:c r="I766" s="4" t="n">
        <x:f>IF(AND(ISNUMBER(F766),K766&gt;0),F766/K766,"")</x:f>
        <x:v>2.5377358490566038</x:v>
      </x:c>
      <x:c r="J766" s="4" t="str">
        <x:f>IF(AND(ISNUMBER(G766),L766&gt;0),G766/L766,"")</x:f>
      </x:c>
      <x:c r="K766" s="10" t="n">
        <x:v>53</x:v>
      </x:c>
      <x:c r="L766" s="10"/>
      <x:c r="M766" s="10" t="str">
        <x:f>IF(COUNT(L766,K766)=2,L766-K766,"")</x:f>
      </x:c>
      <x:c r="N766" s="10" t="n">
        <x:v>9</x:v>
      </x:c>
      <x:c r="O766" s="10"/>
      <x:c r="P766" s="10" t="str">
        <x:f>IF(COUNT(O766,N766)=2,O766-N766,"")</x:f>
      </x:c>
      <x:c r="Q766" s="10" t="n">
        <x:v>5</x:v>
      </x:c>
      <x:c r="R766" s="10"/>
      <x:c r="S766" s="10" t="str">
        <x:f>IF(COUNT(R766,Q766)=2,R766-Q766,"")</x:f>
      </x:c>
      <x:c r="T766" s="10" t="n">
        <x:v>-1</x:v>
      </x:c>
      <x:c r="U766" s="10"/>
      <x:c r="V766" s="10" t="str">
        <x:f>IF(COUNT(U766,T766)=2,U766-T766,"")</x:f>
      </x:c>
      <x:c r="W766" s="10" t="n">
        <x:v>0</x:v>
      </x:c>
      <x:c r="X766" s="10" t="str">
        <x:f>IF(COUNT(AV766,AW766)=2,AV766+AW766,"")</x:f>
      </x:c>
      <x:c r="Y766" s="10" t="str">
        <x:f>IF(COUNT(X766,W766)=2,X766-W766,"")</x:f>
      </x:c>
      <x:c r="Z766" s="10" t="n">
        <x:v>0</x:v>
      </x:c>
      <x:c r="AA766" s="10" t="str">
        <x:f>IF(COUNT(AX766,AY766)=2,AX766+AY766,"")</x:f>
      </x:c>
      <x:c r="AB766" s="10" t="str">
        <x:f>IF(COUNT(AA766,Z766)=2,AA766-Z766,"")</x:f>
      </x:c>
      <x:c r="AC766" s="10" t="n">
        <x:v>53</x:v>
      </x:c>
      <x:c r="AD766" s="10"/>
      <x:c r="AE766" s="10" t="str">
        <x:f>IF(COUNT(AD766,AC766)=2,AD766-AC766,"")</x:f>
      </x:c>
      <x:c r="AF766" s="10" t="n">
        <x:v>198</x:v>
      </x:c>
      <x:c r="AG766" s="10"/>
      <x:c r="AH766" s="10" t="str">
        <x:f>IF(COUNT(AG766,AF766)=2,AG766-AF766,"")</x:f>
      </x:c>
      <x:c r="AI766" s="10" t="n">
        <x:v>29</x:v>
      </x:c>
      <x:c r="AJ766" s="10"/>
      <x:c r="AK766" s="10" t="str">
        <x:f>IF(COUNT(AJ766,AI766)=2,AJ766-AI766,"")</x:f>
      </x:c>
      <x:c r="AL766" s="10" t="n">
        <x:v>26</x:v>
      </x:c>
      <x:c r="AM766" s="10"/>
      <x:c r="AN766" s="4" t="str">
        <x:v>RW</x:v>
      </x:c>
      <x:c r="AO766" s="4"/>
      <x:c r="AP766" s="4" t="str">
        <x:v>NYI</x:v>
      </x:c>
      <x:c r="AQ766" s="4"/>
      <x:c r="AR766" s="4" t="n">
        <x:v>9.92</x:v>
      </x:c>
      <x:c r="AS766" s="4"/>
      <x:c r="AT766" s="4" t="n">
        <x:v>0.09</x:v>
      </x:c>
      <x:c r="AU766" s="4"/>
      <x:c r="AV766" s="10"/>
      <x:c r="AW766" s="10"/>
      <x:c r="AX766" s="10"/>
      <x:c r="AY766" s="10"/>
      <x:c r="AZ766" s="10" t="n">
        <x:v>408</x:v>
      </x:c>
      <x:c r="BA766" s="10" t="n">
        <x:v>421</x:v>
      </x:c>
      <x:c r="BB766" s="4" t="n">
        <x:v>49.2</x:v>
      </x:c>
      <x:c r="BC766" s="4" t="n">
        <x:v>0</x:v>
      </x:c>
      <x:c r="BD766" s="10" t="n">
        <x:v>303</x:v>
      </x:c>
      <x:c r="BE766" s="10" t="n">
        <x:v>285</x:v>
      </x:c>
      <x:c r="BF766" s="4" t="n">
        <x:v>51.5</x:v>
      </x:c>
      <x:c r="BG766" s="4" t="n">
        <x:v>2.6</x:v>
      </x:c>
      <x:c r="BH766" s="4" t="n">
        <x:v>5.6</x:v>
      </x:c>
      <x:c r="BI766" s="4" t="n">
        <x:v>91.5</x:v>
      </x:c>
      <x:c r="BJ766" s="4" t="n">
        <x:v>97.1</x:v>
      </x:c>
      <x:c r="BK766" s="4" t="n">
        <x:v>51.7</x:v>
      </x:c>
      <x:c r="BL766" s="4" t="n">
        <x:v>48.3</x:v>
      </x:c>
      <x:c r="BM766" s="4" t="n">
        <x:v>10.083333333333334</x:v>
      </x:c>
      <x:c r="BN766" s="4" t="n">
        <x:v>10.066666666666666</x:v>
      </x:c>
      <x:c r="BO766" s="10" t="n">
        <x:v>6</x:v>
      </x:c>
      <x:c r="BP766" s="10" t="n">
        <x:v>12</x:v>
      </x:c>
      <x:c r="BQ766" s="4" t="n">
        <x:v>2.5</x:v>
      </x:c>
      <x:c r="BR766" s="10" t="n">
        <x:v>94</x:v>
      </x:c>
      <x:c r="BS766" s="4" t="n">
        <x:v>58.5</x:v>
      </x:c>
      <x:c r="BT766" s="10" t="n">
        <x:v>49</x:v>
      </x:c>
      <x:c r="BU766" s="4" t="str">
        <x:v>NYI</x:v>
      </x:c>
      <x:c r="BV766" s="10" t="n">
        <x:v>651</x:v>
      </x:c>
      <x:c r="BW766" s="10"/>
      <x:c r="BX766" s="10" t="n">
        <x:v>323</x:v>
      </x:c>
      <x:c r="BY766" s="4" t="str">
        <x:v>Marc Gatcomb</x:v>
      </x:c>
      <x:c r="BZ766" s="4"/>
      <x:c r="CA766" s="4" t="str">
        <x:v>Marc Gatcomb</x:v>
      </x:c>
      <x:c r="CB766" s="4" t="str">
        <x:v>gatcoma01</x:v>
      </x:c>
    </x:row>
    <x:row r="767" ht="22" customHeight="1">
      <x:c r="A767" s="4" t="str">
        <x:v>Marc McLaughlin</x:v>
      </x:c>
      <x:c r="B767" s="4" t="str">
        <x:v>marcmclaughlin</x:v>
      </x:c>
      <x:c r="C767" s="10" t="n">
        <x:v>0</x:v>
      </x:c>
      <x:c r="D767" s="10" t="n">
        <x:v>0</x:v>
      </x:c>
      <x:c r="E767" s="10" t="n">
        <x:v>1</x:v>
      </x:c>
      <x:c r="F767" s="4" t="str">
        <x:f>IF(COUNT(N767,Q767,T767,W767,Z767,AC767,AF767,AI767)=8,N767*Guide!$E$5+Q767*Guide!$E$6+T767*Guide!$E$7+W767*Guide!$E$8+Z767*Guide!$E$9+AC767*Guide!$E$10+AF767*Guide!$E$11+AI767*Guide!$E$12,"")</x:f>
      </x:c>
      <x:c r="G767" s="4" t="str">
        <x:f>IF(COUNT(O767,R767,U767,X767,AA767,AD767,AG767,AJ767)=8,O767*Guide!$E$5+R767*Guide!$E$6+U767*Guide!$E$7+X767*Guide!$E$8+AA767*Guide!$E$9+AD767*Guide!$E$10+AG767*Guide!$E$11+AJ767*Guide!$E$12,"")</x:f>
      </x:c>
      <x:c r="H767" s="4" t="str">
        <x:f>IF(COUNT(G767,F767)=2,G767-F767,"")</x:f>
      </x:c>
      <x:c r="I767" s="4" t="str">
        <x:f>IF(AND(ISNUMBER(F767),K767&gt;0),F767/K767,"")</x:f>
      </x:c>
      <x:c r="J767" s="4" t="str">
        <x:f>IF(AND(ISNUMBER(G767),L767&gt;0),G767/L767,"")</x:f>
      </x:c>
      <x:c r="K767" s="10"/>
      <x:c r="L767" s="10"/>
      <x:c r="M767" s="10" t="str">
        <x:f>IF(COUNT(L767,K767)=2,L767-K767,"")</x:f>
      </x:c>
      <x:c r="N767" s="10"/>
      <x:c r="O767" s="10"/>
      <x:c r="P767" s="10" t="str">
        <x:f>IF(COUNT(O767,N767)=2,O767-N767,"")</x:f>
      </x:c>
      <x:c r="Q767" s="10"/>
      <x:c r="R767" s="10"/>
      <x:c r="S767" s="10" t="str">
        <x:f>IF(COUNT(R767,Q767)=2,R767-Q767,"")</x:f>
      </x:c>
      <x:c r="T767" s="10"/>
      <x:c r="U767" s="10"/>
      <x:c r="V767" s="10" t="str">
        <x:f>IF(COUNT(U767,T767)=2,U767-T767,"")</x:f>
      </x:c>
      <x:c r="W767" s="10"/>
      <x:c r="X767" s="10" t="str">
        <x:f>IF(COUNT(AV767,AW767)=2,AV767+AW767,"")</x:f>
      </x:c>
      <x:c r="Y767" s="10" t="str">
        <x:f>IF(COUNT(X767,W767)=2,X767-W767,"")</x:f>
      </x:c>
      <x:c r="Z767" s="10"/>
      <x:c r="AA767" s="10" t="str">
        <x:f>IF(COUNT(AX767,AY767)=2,AX767+AY767,"")</x:f>
      </x:c>
      <x:c r="AB767" s="10" t="str">
        <x:f>IF(COUNT(AA767,Z767)=2,AA767-Z767,"")</x:f>
      </x:c>
      <x:c r="AC767" s="10"/>
      <x:c r="AD767" s="10"/>
      <x:c r="AE767" s="10" t="str">
        <x:f>IF(COUNT(AD767,AC767)=2,AD767-AC767,"")</x:f>
      </x:c>
      <x:c r="AF767" s="10"/>
      <x:c r="AG767" s="10"/>
      <x:c r="AH767" s="10" t="str">
        <x:f>IF(COUNT(AG767,AF767)=2,AG767-AF767,"")</x:f>
      </x:c>
      <x:c r="AI767" s="10"/>
      <x:c r="AJ767" s="10"/>
      <x:c r="AK767" s="10" t="str">
        <x:f>IF(COUNT(AJ767,AI767)=2,AJ767-AI767,"")</x:f>
      </x:c>
      <x:c r="AL767" s="10"/>
      <x:c r="AM767" s="10"/>
      <x:c r="AN767" s="4"/>
      <x:c r="AO767" s="4"/>
      <x:c r="AP767" s="4"/>
      <x:c r="AQ767" s="4"/>
      <x:c r="AR767" s="4"/>
      <x:c r="AS767" s="4"/>
      <x:c r="AT767" s="4"/>
      <x:c r="AU767" s="4"/>
      <x:c r="AV767" s="10"/>
      <x:c r="AW767" s="10"/>
      <x:c r="AX767" s="10"/>
      <x:c r="AY767" s="10"/>
      <x:c r="AZ767" s="10" t="n">
        <x:v>33</x:v>
      </x:c>
      <x:c r="BA767" s="10" t="n">
        <x:v>60</x:v>
      </x:c>
      <x:c r="BB767" s="4" t="n">
        <x:v>35.5</x:v>
      </x:c>
      <x:c r="BC767" s="4" t="n">
        <x:v>-18.9</x:v>
      </x:c>
      <x:c r="BD767" s="10" t="n">
        <x:v>21</x:v>
      </x:c>
      <x:c r="BE767" s="10" t="n">
        <x:v>39</x:v>
      </x:c>
      <x:c r="BF767" s="4" t="n">
        <x:v>35</x:v>
      </x:c>
      <x:c r="BG767" s="4" t="n">
        <x:v>-18.4</x:v>
      </x:c>
      <x:c r="BH767" s="4" t="n">
        <x:v>14.3</x:v>
      </x:c>
      <x:c r="BI767" s="4" t="n">
        <x:v>88</x:v>
      </x:c>
      <x:c r="BJ767" s="4" t="n">
        <x:v>102.3</x:v>
      </x:c>
      <x:c r="BK767" s="4" t="n">
        <x:v>44.8</x:v>
      </x:c>
      <x:c r="BL767" s="4" t="n">
        <x:v>55.2</x:v>
      </x:c>
      <x:c r="BM767" s="4" t="n">
        <x:v>8.2</x:v>
      </x:c>
      <x:c r="BN767" s="4" t="n">
        <x:v>8.15</x:v>
      </x:c>
      <x:c r="BO767" s="10" t="n">
        <x:v>1</x:v>
      </x:c>
      <x:c r="BP767" s="10" t="n">
        <x:v>1</x:v>
      </x:c>
      <x:c r="BQ767" s="4" t="n">
        <x:v>-1.5</x:v>
      </x:c>
      <x:c r="BR767" s="10" t="n">
        <x:v>6</x:v>
      </x:c>
      <x:c r="BS767" s="4" t="n">
        <x:v>0</x:v>
      </x:c>
      <x:c r="BT767" s="10" t="n">
        <x:v>7</x:v>
      </x:c>
      <x:c r="BU767" s="4" t="str">
        <x:v>NJD</x:v>
      </x:c>
      <x:c r="BV767" s="10"/>
      <x:c r="BW767" s="10"/>
      <x:c r="BX767" s="10" t="n">
        <x:v>675</x:v>
      </x:c>
      <x:c r="BY767" s="4"/>
      <x:c r="BZ767" s="4"/>
      <x:c r="CA767" s="4" t="str">
        <x:v>Marc McLaughlin</x:v>
      </x:c>
      <x:c r="CB767" s="4" t="str">
        <x:v>mclauma01</x:v>
      </x:c>
    </x:row>
    <x:row r="768" ht="22" customHeight="1">
      <x:c r="A768" s="4" t="str">
        <x:v>Marcus Foligno</x:v>
      </x:c>
      <x:c r="B768" s="4" t="str">
        <x:v>marcusfoligno</x:v>
      </x:c>
      <x:c r="C768" s="10" t="n">
        <x:v>1</x:v>
      </x:c>
      <x:c r="D768" s="10" t="n">
        <x:v>0</x:v>
      </x:c>
      <x:c r="E768" s="10" t="n">
        <x:v>1</x:v>
      </x:c>
      <x:c r="F768" s="4" t="n">
        <x:f>IF(COUNT(N768,Q768,T768,W768,Z768,AC768,AF768,AI768)=8,N768*Guide!$E$5+Q768*Guide!$E$6+T768*Guide!$E$7+W768*Guide!$E$8+Z768*Guide!$E$9+AC768*Guide!$E$10+AF768*Guide!$E$11+AI768*Guide!$E$12,"")</x:f>
        <x:v>231</x:v>
      </x:c>
      <x:c r="G768" s="4" t="str">
        <x:f>IF(COUNT(O768,R768,U768,X768,AA768,AD768,AG768,AJ768)=8,O768*Guide!$E$5+R768*Guide!$E$6+U768*Guide!$E$7+X768*Guide!$E$8+AA768*Guide!$E$9+AD768*Guide!$E$10+AG768*Guide!$E$11+AJ768*Guide!$E$12,"")</x:f>
      </x:c>
      <x:c r="H768" s="4" t="str">
        <x:f>IF(COUNT(G768,F768)=2,G768-F768,"")</x:f>
      </x:c>
      <x:c r="I768" s="4" t="n">
        <x:f>IF(AND(ISNUMBER(F768),K768&gt;0),F768/K768,"")</x:f>
        <x:v>3</x:v>
      </x:c>
      <x:c r="J768" s="4" t="str">
        <x:f>IF(AND(ISNUMBER(G768),L768&gt;0),G768/L768,"")</x:f>
      </x:c>
      <x:c r="K768" s="10" t="n">
        <x:v>77</x:v>
      </x:c>
      <x:c r="L768" s="10"/>
      <x:c r="M768" s="10" t="str">
        <x:f>IF(COUNT(L768,K768)=2,L768-K768,"")</x:f>
      </x:c>
      <x:c r="N768" s="10" t="n">
        <x:v>14</x:v>
      </x:c>
      <x:c r="O768" s="10"/>
      <x:c r="P768" s="10" t="str">
        <x:f>IF(COUNT(O768,N768)=2,O768-N768,"")</x:f>
      </x:c>
      <x:c r="Q768" s="10" t="n">
        <x:v>15</x:v>
      </x:c>
      <x:c r="R768" s="10"/>
      <x:c r="S768" s="10" t="str">
        <x:f>IF(COUNT(R768,Q768)=2,R768-Q768,"")</x:f>
      </x:c>
      <x:c r="T768" s="10" t="n">
        <x:v>5</x:v>
      </x:c>
      <x:c r="U768" s="10"/>
      <x:c r="V768" s="10" t="str">
        <x:f>IF(COUNT(U768,T768)=2,U768-T768,"")</x:f>
      </x:c>
      <x:c r="W768" s="10" t="n">
        <x:v>2</x:v>
      </x:c>
      <x:c r="X768" s="10" t="str">
        <x:f>IF(COUNT(AV768,AW768)=2,AV768+AW768,"")</x:f>
      </x:c>
      <x:c r="Y768" s="10" t="str">
        <x:f>IF(COUNT(X768,W768)=2,X768-W768,"")</x:f>
      </x:c>
      <x:c r="Z768" s="10" t="n">
        <x:v>1</x:v>
      </x:c>
      <x:c r="AA768" s="10" t="str">
        <x:f>IF(COUNT(AX768,AY768)=2,AX768+AY768,"")</x:f>
      </x:c>
      <x:c r="AB768" s="10" t="str">
        <x:f>IF(COUNT(AA768,Z768)=2,AA768-Z768,"")</x:f>
      </x:c>
      <x:c r="AC768" s="10" t="n">
        <x:v>84</x:v>
      </x:c>
      <x:c r="AD768" s="10"/>
      <x:c r="AE768" s="10" t="str">
        <x:f>IF(COUNT(AD768,AC768)=2,AD768-AC768,"")</x:f>
      </x:c>
      <x:c r="AF768" s="10" t="n">
        <x:v>249</x:v>
      </x:c>
      <x:c r="AG768" s="10"/>
      <x:c r="AH768" s="10" t="str">
        <x:f>IF(COUNT(AG768,AF768)=2,AG768-AF768,"")</x:f>
      </x:c>
      <x:c r="AI768" s="10" t="n">
        <x:v>49</x:v>
      </x:c>
      <x:c r="AJ768" s="10"/>
      <x:c r="AK768" s="10" t="str">
        <x:f>IF(COUNT(AJ768,AI768)=2,AJ768-AI768,"")</x:f>
      </x:c>
      <x:c r="AL768" s="10" t="n">
        <x:v>34</x:v>
      </x:c>
      <x:c r="AM768" s="10"/>
      <x:c r="AN768" s="4" t="str">
        <x:v>LW</x:v>
      </x:c>
      <x:c r="AO768" s="4"/>
      <x:c r="AP768" s="4" t="str">
        <x:v>MIN</x:v>
      </x:c>
      <x:c r="AQ768" s="4"/>
      <x:c r="AR768" s="4" t="n">
        <x:v>14.25</x:v>
      </x:c>
      <x:c r="AS768" s="4"/>
      <x:c r="AT768" s="4" t="n">
        <x:v>0.42</x:v>
      </x:c>
      <x:c r="AU768" s="4"/>
      <x:c r="AV768" s="10"/>
      <x:c r="AW768" s="10"/>
      <x:c r="AX768" s="10"/>
      <x:c r="AY768" s="10"/>
      <x:c r="AZ768" s="10" t="n">
        <x:v>611</x:v>
      </x:c>
      <x:c r="BA768" s="10" t="n">
        <x:v>637</x:v>
      </x:c>
      <x:c r="BB768" s="4" t="n">
        <x:v>49</x:v>
      </x:c>
      <x:c r="BC768" s="4" t="n">
        <x:v>1.7</x:v>
      </x:c>
      <x:c r="BD768" s="10" t="n">
        <x:v>441</x:v>
      </x:c>
      <x:c r="BE768" s="10" t="n">
        <x:v>439</x:v>
      </x:c>
      <x:c r="BF768" s="4" t="n">
        <x:v>50.1</x:v>
      </x:c>
      <x:c r="BG768" s="4" t="n">
        <x:v>2.3</x:v>
      </x:c>
      <x:c r="BH768" s="4" t="n">
        <x:v>5.6</x:v>
      </x:c>
      <x:c r="BI768" s="4" t="n">
        <x:v>89.5</x:v>
      </x:c>
      <x:c r="BJ768" s="4" t="n">
        <x:v>95</x:v>
      </x:c>
      <x:c r="BK768" s="4" t="n">
        <x:v>38</x:v>
      </x:c>
      <x:c r="BL768" s="4" t="n">
        <x:v>62</x:v>
      </x:c>
      <x:c r="BM768" s="4" t="n">
        <x:v>12.85</x:v>
      </x:c>
      <x:c r="BN768" s="4" t="n">
        <x:v>11.283333333333333</x:v>
      </x:c>
      <x:c r="BO768" s="10" t="n">
        <x:v>11</x:v>
      </x:c>
      <x:c r="BP768" s="10" t="n">
        <x:v>29</x:v>
      </x:c>
      <x:c r="BQ768" s="4" t="n">
        <x:v>-2.3</x:v>
      </x:c>
      <x:c r="BR768" s="10" t="n">
        <x:v>106</x:v>
      </x:c>
      <x:c r="BS768" s="4" t="n">
        <x:v>61.3</x:v>
      </x:c>
      <x:c r="BT768" s="10" t="n">
        <x:v>56</x:v>
      </x:c>
      <x:c r="BU768" s="4" t="str">
        <x:v>MIN</x:v>
      </x:c>
      <x:c r="BV768" s="10" t="n">
        <x:v>379</x:v>
      </x:c>
      <x:c r="BW768" s="10"/>
      <x:c r="BX768" s="10" t="n">
        <x:v>301</x:v>
      </x:c>
      <x:c r="BY768" s="4" t="str">
        <x:v>Marcus Foligno</x:v>
      </x:c>
      <x:c r="BZ768" s="4"/>
      <x:c r="CA768" s="4" t="str">
        <x:v>Marcus Foligno</x:v>
      </x:c>
      <x:c r="CB768" s="4" t="str">
        <x:v>foligma01</x:v>
      </x:c>
    </x:row>
    <x:row r="769" ht="22" customHeight="1">
      <x:c r="A769" s="4" t="str">
        <x:v>Marek Alscher</x:v>
      </x:c>
      <x:c r="B769" s="4" t="str">
        <x:v>marekalscher</x:v>
      </x:c>
      <x:c r="C769" s="10" t="n">
        <x:v>0</x:v>
      </x:c>
      <x:c r="D769" s="10" t="n">
        <x:v>0</x:v>
      </x:c>
      <x:c r="E769" s="10" t="n">
        <x:v>1</x:v>
      </x:c>
      <x:c r="F769" s="4" t="str">
        <x:f>IF(COUNT(N769,Q769,T769,W769,Z769,AC769,AF769,AI769)=8,N769*Guide!$E$5+Q769*Guide!$E$6+T769*Guide!$E$7+W769*Guide!$E$8+Z769*Guide!$E$9+AC769*Guide!$E$10+AF769*Guide!$E$11+AI769*Guide!$E$12,"")</x:f>
      </x:c>
      <x:c r="G769" s="4" t="str">
        <x:f>IF(COUNT(O769,R769,U769,X769,AA769,AD769,AG769,AJ769)=8,O769*Guide!$E$5+R769*Guide!$E$6+U769*Guide!$E$7+X769*Guide!$E$8+AA769*Guide!$E$9+AD769*Guide!$E$10+AG769*Guide!$E$11+AJ769*Guide!$E$12,"")</x:f>
      </x:c>
      <x:c r="H769" s="4" t="str">
        <x:f>IF(COUNT(G769,F769)=2,G769-F769,"")</x:f>
      </x:c>
      <x:c r="I769" s="4" t="str">
        <x:f>IF(AND(ISNUMBER(F769),K769&gt;0),F769/K769,"")</x:f>
      </x:c>
      <x:c r="J769" s="4" t="str">
        <x:f>IF(AND(ISNUMBER(G769),L769&gt;0),G769/L769,"")</x:f>
      </x:c>
      <x:c r="K769" s="10"/>
      <x:c r="L769" s="10"/>
      <x:c r="M769" s="10" t="str">
        <x:f>IF(COUNT(L769,K769)=2,L769-K769,"")</x:f>
      </x:c>
      <x:c r="N769" s="10"/>
      <x:c r="O769" s="10"/>
      <x:c r="P769" s="10" t="str">
        <x:f>IF(COUNT(O769,N769)=2,O769-N769,"")</x:f>
      </x:c>
      <x:c r="Q769" s="10"/>
      <x:c r="R769" s="10"/>
      <x:c r="S769" s="10" t="str">
        <x:f>IF(COUNT(R769,Q769)=2,R769-Q769,"")</x:f>
      </x:c>
      <x:c r="T769" s="10"/>
      <x:c r="U769" s="10"/>
      <x:c r="V769" s="10" t="str">
        <x:f>IF(COUNT(U769,T769)=2,U769-T769,"")</x:f>
      </x:c>
      <x:c r="W769" s="10"/>
      <x:c r="X769" s="10" t="str">
        <x:f>IF(COUNT(AV769,AW769)=2,AV769+AW769,"")</x:f>
      </x:c>
      <x:c r="Y769" s="10" t="str">
        <x:f>IF(COUNT(X769,W769)=2,X769-W769,"")</x:f>
      </x:c>
      <x:c r="Z769" s="10"/>
      <x:c r="AA769" s="10" t="str">
        <x:f>IF(COUNT(AX769,AY769)=2,AX769+AY769,"")</x:f>
      </x:c>
      <x:c r="AB769" s="10" t="str">
        <x:f>IF(COUNT(AA769,Z769)=2,AA769-Z769,"")</x:f>
      </x:c>
      <x:c r="AC769" s="10"/>
      <x:c r="AD769" s="10"/>
      <x:c r="AE769" s="10" t="str">
        <x:f>IF(COUNT(AD769,AC769)=2,AD769-AC769,"")</x:f>
      </x:c>
      <x:c r="AF769" s="10"/>
      <x:c r="AG769" s="10"/>
      <x:c r="AH769" s="10" t="str">
        <x:f>IF(COUNT(AG769,AF769)=2,AG769-AF769,"")</x:f>
      </x:c>
      <x:c r="AI769" s="10"/>
      <x:c r="AJ769" s="10"/>
      <x:c r="AK769" s="10" t="str">
        <x:f>IF(COUNT(AJ769,AI769)=2,AJ769-AI769,"")</x:f>
      </x:c>
      <x:c r="AL769" s="10"/>
      <x:c r="AM769" s="10"/>
      <x:c r="AN769" s="4"/>
      <x:c r="AO769" s="4"/>
      <x:c r="AP769" s="4"/>
      <x:c r="AQ769" s="4"/>
      <x:c r="AR769" s="4"/>
      <x:c r="AS769" s="4"/>
      <x:c r="AT769" s="4"/>
      <x:c r="AU769" s="4"/>
      <x:c r="AV769" s="10"/>
      <x:c r="AW769" s="10"/>
      <x:c r="AX769" s="10"/>
      <x:c r="AY769" s="10"/>
      <x:c r="AZ769" s="10" t="n">
        <x:v>64</x:v>
      </x:c>
      <x:c r="BA769" s="10" t="n">
        <x:v>57</x:v>
      </x:c>
      <x:c r="BB769" s="4" t="n">
        <x:v>52.9</x:v>
      </x:c>
      <x:c r="BC769" s="4" t="n">
        <x:v>4.5</x:v>
      </x:c>
      <x:c r="BD769" s="10" t="n">
        <x:v>46</x:v>
      </x:c>
      <x:c r="BE769" s="10" t="n">
        <x:v>41</x:v>
      </x:c>
      <x:c r="BF769" s="4" t="n">
        <x:v>52.9</x:v>
      </x:c>
      <x:c r="BG769" s="4" t="n">
        <x:v>3.6</x:v>
      </x:c>
      <x:c r="BH769" s="4" t="n">
        <x:v>19.4</x:v>
      </x:c>
      <x:c r="BI769" s="4" t="n">
        <x:v>92</x:v>
      </x:c>
      <x:c r="BJ769" s="4" t="n">
        <x:v>111.4</x:v>
      </x:c>
      <x:c r="BK769" s="4" t="n">
        <x:v>51.4</x:v>
      </x:c>
      <x:c r="BL769" s="4" t="n">
        <x:v>48.6</x:v>
      </x:c>
      <x:c r="BM769" s="4" t="n">
        <x:v>20.366666666666667</x:v>
      </x:c>
      <x:c r="BN769" s="4" t="n">
        <x:v>18.75</x:v>
      </x:c>
      <x:c r="BO769" s="10" t="n">
        <x:v>1</x:v>
      </x:c>
      <x:c r="BP769" s="10" t="n">
        <x:v>3</x:v>
      </x:c>
      <x:c r="BQ769" s="4" t="n">
        <x:v>0.8</x:v>
      </x:c>
      <x:c r="BR769" s="10" t="n">
        <x:v>13</x:v>
      </x:c>
      <x:c r="BS769" s="4" t="n">
        <x:v>46.2</x:v>
      </x:c>
      <x:c r="BT769" s="10" t="n">
        <x:v>4</x:v>
      </x:c>
      <x:c r="BU769" s="4" t="str">
        <x:v>FLA</x:v>
      </x:c>
      <x:c r="BV769" s="10"/>
      <x:c r="BW769" s="10"/>
      <x:c r="BX769" s="10" t="n">
        <x:v>8</x:v>
      </x:c>
      <x:c r="BY769" s="4"/>
      <x:c r="BZ769" s="4"/>
      <x:c r="CA769" s="4" t="str">
        <x:v>Marek Alscher</x:v>
      </x:c>
      <x:c r="CB769" s="4" t="str">
        <x:v>alschma01</x:v>
      </x:c>
    </x:row>
    <x:row r="770" ht="22" customHeight="1">
      <x:c r="A770" s="4" t="str">
        <x:v>Marshall Rifai</x:v>
      </x:c>
      <x:c r="B770" s="4" t="str">
        <x:v>marshallrifai</x:v>
      </x:c>
      <x:c r="C770" s="10" t="n">
        <x:v>0</x:v>
      </x:c>
      <x:c r="D770" s="10" t="n">
        <x:v>0</x:v>
      </x:c>
      <x:c r="E770" s="10" t="n">
        <x:v>1</x:v>
      </x:c>
      <x:c r="F770" s="4" t="str">
        <x:f>IF(COUNT(N770,Q770,T770,W770,Z770,AC770,AF770,AI770)=8,N770*Guide!$E$5+Q770*Guide!$E$6+T770*Guide!$E$7+W770*Guide!$E$8+Z770*Guide!$E$9+AC770*Guide!$E$10+AF770*Guide!$E$11+AI770*Guide!$E$12,"")</x:f>
      </x:c>
      <x:c r="G770" s="4" t="str">
        <x:f>IF(COUNT(O770,R770,U770,X770,AA770,AD770,AG770,AJ770)=8,O770*Guide!$E$5+R770*Guide!$E$6+U770*Guide!$E$7+X770*Guide!$E$8+AA770*Guide!$E$9+AD770*Guide!$E$10+AG770*Guide!$E$11+AJ770*Guide!$E$12,"")</x:f>
      </x:c>
      <x:c r="H770" s="4" t="str">
        <x:f>IF(COUNT(G770,F770)=2,G770-F770,"")</x:f>
      </x:c>
      <x:c r="I770" s="4" t="str">
        <x:f>IF(AND(ISNUMBER(F770),K770&gt;0),F770/K770,"")</x:f>
      </x:c>
      <x:c r="J770" s="4" t="str">
        <x:f>IF(AND(ISNUMBER(G770),L770&gt;0),G770/L770,"")</x:f>
      </x:c>
      <x:c r="K770" s="10"/>
      <x:c r="L770" s="10"/>
      <x:c r="M770" s="10" t="str">
        <x:f>IF(COUNT(L770,K770)=2,L770-K770,"")</x:f>
      </x:c>
      <x:c r="N770" s="10"/>
      <x:c r="O770" s="10"/>
      <x:c r="P770" s="10" t="str">
        <x:f>IF(COUNT(O770,N770)=2,O770-N770,"")</x:f>
      </x:c>
      <x:c r="Q770" s="10"/>
      <x:c r="R770" s="10"/>
      <x:c r="S770" s="10" t="str">
        <x:f>IF(COUNT(R770,Q770)=2,R770-Q770,"")</x:f>
      </x:c>
      <x:c r="T770" s="10"/>
      <x:c r="U770" s="10"/>
      <x:c r="V770" s="10" t="str">
        <x:f>IF(COUNT(U770,T770)=2,U770-T770,"")</x:f>
      </x:c>
      <x:c r="W770" s="10"/>
      <x:c r="X770" s="10" t="str">
        <x:f>IF(COUNT(AV770,AW770)=2,AV770+AW770,"")</x:f>
      </x:c>
      <x:c r="Y770" s="10" t="str">
        <x:f>IF(COUNT(X770,W770)=2,X770-W770,"")</x:f>
      </x:c>
      <x:c r="Z770" s="10"/>
      <x:c r="AA770" s="10" t="str">
        <x:f>IF(COUNT(AX770,AY770)=2,AX770+AY770,"")</x:f>
      </x:c>
      <x:c r="AB770" s="10" t="str">
        <x:f>IF(COUNT(AA770,Z770)=2,AA770-Z770,"")</x:f>
      </x:c>
      <x:c r="AC770" s="10"/>
      <x:c r="AD770" s="10"/>
      <x:c r="AE770" s="10" t="str">
        <x:f>IF(COUNT(AD770,AC770)=2,AD770-AC770,"")</x:f>
      </x:c>
      <x:c r="AF770" s="10"/>
      <x:c r="AG770" s="10"/>
      <x:c r="AH770" s="10" t="str">
        <x:f>IF(COUNT(AG770,AF770)=2,AG770-AF770,"")</x:f>
      </x:c>
      <x:c r="AI770" s="10"/>
      <x:c r="AJ770" s="10"/>
      <x:c r="AK770" s="10" t="str">
        <x:f>IF(COUNT(AJ770,AI770)=2,AJ770-AI770,"")</x:f>
      </x:c>
      <x:c r="AL770" s="10"/>
      <x:c r="AM770" s="10"/>
      <x:c r="AN770" s="4"/>
      <x:c r="AO770" s="4"/>
      <x:c r="AP770" s="4"/>
      <x:c r="AQ770" s="4"/>
      <x:c r="AR770" s="4"/>
      <x:c r="AS770" s="4"/>
      <x:c r="AT770" s="4"/>
      <x:c r="AU770" s="4"/>
      <x:c r="AV770" s="10"/>
      <x:c r="AW770" s="10"/>
      <x:c r="AX770" s="10"/>
      <x:c r="AY770" s="10"/>
      <x:c r="AZ770" s="10" t="n">
        <x:v>9</x:v>
      </x:c>
      <x:c r="BA770" s="10" t="n">
        <x:v>16</x:v>
      </x:c>
      <x:c r="BB770" s="4" t="n">
        <x:v>36</x:v>
      </x:c>
      <x:c r="BC770" s="4" t="n">
        <x:v>-32</x:v>
      </x:c>
      <x:c r="BD770" s="10" t="n">
        <x:v>5</x:v>
      </x:c>
      <x:c r="BE770" s="10" t="n">
        <x:v>12</x:v>
      </x:c>
      <x:c r="BF770" s="4" t="n">
        <x:v>29.4</x:v>
      </x:c>
      <x:c r="BG770" s="4" t="n">
        <x:v>-36.5</x:v>
      </x:c>
      <x:c r="BH770" s="4" t="n">
        <x:v>25</x:v>
      </x:c>
      <x:c r="BI770" s="4" t="n">
        <x:v>87.5</x:v>
      </x:c>
      <x:c r="BJ770" s="4" t="n">
        <x:v>112.5</x:v>
      </x:c>
      <x:c r="BK770" s="4" t="n">
        <x:v>33.3</x:v>
      </x:c>
      <x:c r="BL770" s="4" t="n">
        <x:v>66.7</x:v>
      </x:c>
      <x:c r="BM770" s="4" t="n">
        <x:v>9.666666666666666</x:v>
      </x:c>
      <x:c r="BN770" s="4" t="n">
        <x:v>9.666666666666666</x:v>
      </x:c>
      <x:c r="BO770" s="10" t="n">
        <x:v>0</x:v>
      </x:c>
      <x:c r="BP770" s="10" t="n">
        <x:v>1</x:v>
      </x:c>
      <x:c r="BQ770" s="4" t="n">
        <x:v>-0.5</x:v>
      </x:c>
      <x:c r="BR770" s="10" t="n">
        <x:v>2</x:v>
      </x:c>
      <x:c r="BS770" s="4" t="n">
        <x:v>50</x:v>
      </x:c>
      <x:c r="BT770" s="10" t="n">
        <x:v>1</x:v>
      </x:c>
      <x:c r="BU770" s="4" t="str">
        <x:v>TOR</x:v>
      </x:c>
      <x:c r="BV770" s="10"/>
      <x:c r="BW770" s="10"/>
      <x:c r="BX770" s="10" t="n">
        <x:v>861</x:v>
      </x:c>
      <x:c r="BY770" s="4"/>
      <x:c r="BZ770" s="4"/>
      <x:c r="CA770" s="4" t="str">
        <x:v>Marshall Rifai</x:v>
      </x:c>
      <x:c r="CB770" s="4" t="str">
        <x:v>rifaima01</x:v>
      </x:c>
    </x:row>
    <x:row r="771" ht="22" customHeight="1">
      <x:c r="A771" s="4" t="str">
        <x:v>Marshall Warren</x:v>
      </x:c>
      <x:c r="B771" s="4" t="str">
        <x:v>marshallwarren</x:v>
      </x:c>
      <x:c r="C771" s="10" t="n">
        <x:v>0</x:v>
      </x:c>
      <x:c r="D771" s="10" t="n">
        <x:v>0</x:v>
      </x:c>
      <x:c r="E771" s="10" t="n">
        <x:v>1</x:v>
      </x:c>
      <x:c r="F771" s="4" t="str">
        <x:f>IF(COUNT(N771,Q771,T771,W771,Z771,AC771,AF771,AI771)=8,N771*Guide!$E$5+Q771*Guide!$E$6+T771*Guide!$E$7+W771*Guide!$E$8+Z771*Guide!$E$9+AC771*Guide!$E$10+AF771*Guide!$E$11+AI771*Guide!$E$12,"")</x:f>
      </x:c>
      <x:c r="G771" s="4" t="str">
        <x:f>IF(COUNT(O771,R771,U771,X771,AA771,AD771,AG771,AJ771)=8,O771*Guide!$E$5+R771*Guide!$E$6+U771*Guide!$E$7+X771*Guide!$E$8+AA771*Guide!$E$9+AD771*Guide!$E$10+AG771*Guide!$E$11+AJ771*Guide!$E$12,"")</x:f>
      </x:c>
      <x:c r="H771" s="4" t="str">
        <x:f>IF(COUNT(G771,F771)=2,G771-F771,"")</x:f>
      </x:c>
      <x:c r="I771" s="4" t="str">
        <x:f>IF(AND(ISNUMBER(F771),K771&gt;0),F771/K771,"")</x:f>
      </x:c>
      <x:c r="J771" s="4" t="str">
        <x:f>IF(AND(ISNUMBER(G771),L771&gt;0),G771/L771,"")</x:f>
      </x:c>
      <x:c r="K771" s="10"/>
      <x:c r="L771" s="10"/>
      <x:c r="M771" s="10" t="str">
        <x:f>IF(COUNT(L771,K771)=2,L771-K771,"")</x:f>
      </x:c>
      <x:c r="N771" s="10"/>
      <x:c r="O771" s="10"/>
      <x:c r="P771" s="10" t="str">
        <x:f>IF(COUNT(O771,N771)=2,O771-N771,"")</x:f>
      </x:c>
      <x:c r="Q771" s="10"/>
      <x:c r="R771" s="10"/>
      <x:c r="S771" s="10" t="str">
        <x:f>IF(COUNT(R771,Q771)=2,R771-Q771,"")</x:f>
      </x:c>
      <x:c r="T771" s="10"/>
      <x:c r="U771" s="10"/>
      <x:c r="V771" s="10" t="str">
        <x:f>IF(COUNT(U771,T771)=2,U771-T771,"")</x:f>
      </x:c>
      <x:c r="W771" s="10"/>
      <x:c r="X771" s="10" t="str">
        <x:f>IF(COUNT(AV771,AW771)=2,AV771+AW771,"")</x:f>
      </x:c>
      <x:c r="Y771" s="10" t="str">
        <x:f>IF(COUNT(X771,W771)=2,X771-W771,"")</x:f>
      </x:c>
      <x:c r="Z771" s="10"/>
      <x:c r="AA771" s="10" t="str">
        <x:f>IF(COUNT(AX771,AY771)=2,AX771+AY771,"")</x:f>
      </x:c>
      <x:c r="AB771" s="10" t="str">
        <x:f>IF(COUNT(AA771,Z771)=2,AA771-Z771,"")</x:f>
      </x:c>
      <x:c r="AC771" s="10"/>
      <x:c r="AD771" s="10"/>
      <x:c r="AE771" s="10" t="str">
        <x:f>IF(COUNT(AD771,AC771)=2,AD771-AC771,"")</x:f>
      </x:c>
      <x:c r="AF771" s="10"/>
      <x:c r="AG771" s="10"/>
      <x:c r="AH771" s="10" t="str">
        <x:f>IF(COUNT(AG771,AF771)=2,AG771-AF771,"")</x:f>
      </x:c>
      <x:c r="AI771" s="10"/>
      <x:c r="AJ771" s="10"/>
      <x:c r="AK771" s="10" t="str">
        <x:f>IF(COUNT(AJ771,AI771)=2,AJ771-AI771,"")</x:f>
      </x:c>
      <x:c r="AL771" s="10"/>
      <x:c r="AM771" s="10"/>
      <x:c r="AN771" s="4"/>
      <x:c r="AO771" s="4"/>
      <x:c r="AP771" s="4"/>
      <x:c r="AQ771" s="4"/>
      <x:c r="AR771" s="4"/>
      <x:c r="AS771" s="4"/>
      <x:c r="AT771" s="4"/>
      <x:c r="AU771" s="4"/>
      <x:c r="AV771" s="10"/>
      <x:c r="AW771" s="10"/>
      <x:c r="AX771" s="10"/>
      <x:c r="AY771" s="10"/>
      <x:c r="AZ771" s="10" t="n">
        <x:v>78</x:v>
      </x:c>
      <x:c r="BA771" s="10" t="n">
        <x:v>74</x:v>
      </x:c>
      <x:c r="BB771" s="4" t="n">
        <x:v>51.3</x:v>
      </x:c>
      <x:c r="BC771" s="4" t="n">
        <x:v>-0.4</x:v>
      </x:c>
      <x:c r="BD771" s="10" t="n">
        <x:v>56</x:v>
      </x:c>
      <x:c r="BE771" s="10" t="n">
        <x:v>57</x:v>
      </x:c>
      <x:c r="BF771" s="4" t="n">
        <x:v>49.6</x:v>
      </x:c>
      <x:c r="BG771" s="4" t="n">
        <x:v>-1.5</x:v>
      </x:c>
      <x:c r="BH771" s="4" t="n">
        <x:v>8.3</x:v>
      </x:c>
      <x:c r="BI771" s="4" t="n">
        <x:v>91.2</x:v>
      </x:c>
      <x:c r="BJ771" s="4" t="n">
        <x:v>99.5</x:v>
      </x:c>
      <x:c r="BK771" s="4" t="n">
        <x:v>59.6</x:v>
      </x:c>
      <x:c r="BL771" s="4" t="n">
        <x:v>40.4</x:v>
      </x:c>
      <x:c r="BM771" s="4" t="n">
        <x:v>11.483333333333333</x:v>
      </x:c>
      <x:c r="BN771" s="4" t="n">
        <x:v>11.2</x:v>
      </x:c>
      <x:c r="BO771" s="10" t="n">
        <x:v>1</x:v>
      </x:c>
      <x:c r="BP771" s="10" t="n">
        <x:v>7</x:v>
      </x:c>
      <x:c r="BQ771" s="4" t="n">
        <x:v>0.3</x:v>
      </x:c>
      <x:c r="BR771" s="10" t="n">
        <x:v>19</x:v>
      </x:c>
      <x:c r="BS771" s="4" t="n">
        <x:v>36.8</x:v>
      </x:c>
      <x:c r="BT771" s="10" t="n">
        <x:v>8</x:v>
      </x:c>
      <x:c r="BU771" s="4" t="str">
        <x:v>NYI</x:v>
      </x:c>
      <x:c r="BV771" s="10"/>
      <x:c r="BW771" s="10"/>
      <x:c r="BX771" s="10" t="n">
        <x:v>1063</x:v>
      </x:c>
      <x:c r="BY771" s="4"/>
      <x:c r="BZ771" s="4"/>
      <x:c r="CA771" s="4" t="str">
        <x:v>Marshall Warren</x:v>
      </x:c>
      <x:c r="CB771" s="4" t="str">
        <x:v>warrema01</x:v>
      </x:c>
    </x:row>
    <x:row r="772" ht="22" customHeight="1">
      <x:c r="A772" s="4" t="str">
        <x:v>Martin Pospisil</x:v>
      </x:c>
      <x:c r="B772" s="4" t="str">
        <x:v>martinpospisil</x:v>
      </x:c>
      <x:c r="C772" s="10" t="n">
        <x:v>1</x:v>
      </x:c>
      <x:c r="D772" s="10" t="n">
        <x:v>0</x:v>
      </x:c>
      <x:c r="E772" s="10" t="n">
        <x:v>1</x:v>
      </x:c>
      <x:c r="F772" s="4" t="n">
        <x:f>IF(COUNT(N772,Q772,T772,W772,Z772,AC772,AF772,AI772)=8,N772*Guide!$E$5+Q772*Guide!$E$6+T772*Guide!$E$7+W772*Guide!$E$8+Z772*Guide!$E$9+AC772*Guide!$E$10+AF772*Guide!$E$11+AI772*Guide!$E$12,"")</x:f>
        <x:v>228</x:v>
      </x:c>
      <x:c r="G772" s="4" t="str">
        <x:f>IF(COUNT(O772,R772,U772,X772,AA772,AD772,AG772,AJ772)=8,O772*Guide!$E$5+R772*Guide!$E$6+U772*Guide!$E$7+X772*Guide!$E$8+AA772*Guide!$E$9+AD772*Guide!$E$10+AG772*Guide!$E$11+AJ772*Guide!$E$12,"")</x:f>
      </x:c>
      <x:c r="H772" s="4" t="str">
        <x:f>IF(COUNT(G772,F772)=2,G772-F772,"")</x:f>
      </x:c>
      <x:c r="I772" s="4" t="n">
        <x:f>IF(AND(ISNUMBER(F772),K772&gt;0),F772/K772,"")</x:f>
        <x:v>2.923076923076923</x:v>
      </x:c>
      <x:c r="J772" s="4" t="str">
        <x:f>IF(AND(ISNUMBER(G772),L772&gt;0),G772/L772,"")</x:f>
      </x:c>
      <x:c r="K772" s="10" t="n">
        <x:v>78</x:v>
      </x:c>
      <x:c r="L772" s="10"/>
      <x:c r="M772" s="10" t="str">
        <x:f>IF(COUNT(L772,K772)=2,L772-K772,"")</x:f>
      </x:c>
      <x:c r="N772" s="10" t="n">
        <x:v>10</x:v>
      </x:c>
      <x:c r="O772" s="10"/>
      <x:c r="P772" s="10" t="str">
        <x:f>IF(COUNT(O772,N772)=2,O772-N772,"")</x:f>
      </x:c>
      <x:c r="Q772" s="10" t="n">
        <x:v>20</x:v>
      </x:c>
      <x:c r="R772" s="10"/>
      <x:c r="S772" s="10" t="str">
        <x:f>IF(COUNT(R772,Q772)=2,R772-Q772,"")</x:f>
      </x:c>
      <x:c r="T772" s="10" t="n">
        <x:v>-1</x:v>
      </x:c>
      <x:c r="U772" s="10"/>
      <x:c r="V772" s="10" t="str">
        <x:f>IF(COUNT(U772,T772)=2,U772-T772,"")</x:f>
      </x:c>
      <x:c r="W772" s="10" t="n">
        <x:v>5</x:v>
      </x:c>
      <x:c r="X772" s="10" t="str">
        <x:f>IF(COUNT(AV772,AW772)=2,AV772+AW772,"")</x:f>
      </x:c>
      <x:c r="Y772" s="10" t="str">
        <x:f>IF(COUNT(X772,W772)=2,X772-W772,"")</x:f>
      </x:c>
      <x:c r="Z772" s="10" t="n">
        <x:v>0</x:v>
      </x:c>
      <x:c r="AA772" s="10" t="str">
        <x:f>IF(COUNT(AX772,AY772)=2,AX772+AY772,"")</x:f>
      </x:c>
      <x:c r="AB772" s="10" t="str">
        <x:f>IF(COUNT(AA772,Z772)=2,AA772-Z772,"")</x:f>
      </x:c>
      <x:c r="AC772" s="10" t="n">
        <x:v>123</x:v>
      </x:c>
      <x:c r="AD772" s="10"/>
      <x:c r="AE772" s="10" t="str">
        <x:f>IF(COUNT(AD772,AC772)=2,AD772-AC772,"")</x:f>
      </x:c>
      <x:c r="AF772" s="10" t="n">
        <x:v>289</x:v>
      </x:c>
      <x:c r="AG772" s="10"/>
      <x:c r="AH772" s="10" t="str">
        <x:f>IF(COUNT(AG772,AF772)=2,AG772-AF772,"")</x:f>
      </x:c>
      <x:c r="AI772" s="10" t="n">
        <x:v>28</x:v>
      </x:c>
      <x:c r="AJ772" s="10"/>
      <x:c r="AK772" s="10" t="str">
        <x:f>IF(COUNT(AJ772,AI772)=2,AJ772-AI772,"")</x:f>
      </x:c>
      <x:c r="AL772" s="10" t="n">
        <x:v>26</x:v>
      </x:c>
      <x:c r="AM772" s="10"/>
      <x:c r="AN772" s="4" t="str">
        <x:v>C,RW</x:v>
      </x:c>
      <x:c r="AO772" s="4"/>
      <x:c r="AP772" s="4" t="str">
        <x:v>CGY</x:v>
      </x:c>
      <x:c r="AQ772" s="4"/>
      <x:c r="AR772" s="4" t="n">
        <x:v>13.77</x:v>
      </x:c>
      <x:c r="AS772" s="4"/>
      <x:c r="AT772" s="4" t="n">
        <x:v>0.78</x:v>
      </x:c>
      <x:c r="AU772" s="4"/>
      <x:c r="AV772" s="10"/>
      <x:c r="AW772" s="10"/>
      <x:c r="AX772" s="10"/>
      <x:c r="AY772" s="10"/>
      <x:c r="AZ772" s="10" t="n">
        <x:v>186</x:v>
      </x:c>
      <x:c r="BA772" s="10" t="n">
        <x:v>198</x:v>
      </x:c>
      <x:c r="BB772" s="4" t="n">
        <x:v>48.4</x:v>
      </x:c>
      <x:c r="BC772" s="4" t="n">
        <x:v>0.2</x:v>
      </x:c>
      <x:c r="BD772" s="10" t="n">
        <x:v>134</x:v>
      </x:c>
      <x:c r="BE772" s="10" t="n">
        <x:v>148</x:v>
      </x:c>
      <x:c r="BF772" s="4" t="n">
        <x:v>47.5</x:v>
      </x:c>
      <x:c r="BG772" s="4" t="n">
        <x:v>-1</x:v>
      </x:c>
      <x:c r="BH772" s="4" t="n">
        <x:v>4.4</x:v>
      </x:c>
      <x:c r="BI772" s="4" t="n">
        <x:v>91.9</x:v>
      </x:c>
      <x:c r="BJ772" s="4" t="n">
        <x:v>96.3</x:v>
      </x:c>
      <x:c r="BK772" s="4" t="n">
        <x:v>50.5</x:v>
      </x:c>
      <x:c r="BL772" s="4" t="n">
        <x:v>49.5</x:v>
      </x:c>
      <x:c r="BM772" s="4" t="n">
        <x:v>10.15</x:v>
      </x:c>
      <x:c r="BN772" s="4" t="n">
        <x:v>0.4166666666666667</x:v>
      </x:c>
      <x:c r="BO772" s="10" t="n">
        <x:v>3</x:v>
      </x:c>
      <x:c r="BP772" s="10" t="n">
        <x:v>5</x:v>
      </x:c>
      <x:c r="BQ772" s="4" t="n">
        <x:v>-1.8</x:v>
      </x:c>
      <x:c r="BR772" s="10" t="n">
        <x:v>36</x:v>
      </x:c>
      <x:c r="BS772" s="4" t="n">
        <x:v>52.8</x:v>
      </x:c>
      <x:c r="BT772" s="10" t="n">
        <x:v>22</x:v>
      </x:c>
      <x:c r="BU772" s="4" t="str">
        <x:v>CGY</x:v>
      </x:c>
      <x:c r="BV772" s="10" t="n">
        <x:v>367</x:v>
      </x:c>
      <x:c r="BW772" s="10"/>
      <x:c r="BX772" s="10" t="n">
        <x:v>828</x:v>
      </x:c>
      <x:c r="BY772" s="4" t="str">
        <x:v>Martin Pospisil</x:v>
      </x:c>
      <x:c r="BZ772" s="4"/>
      <x:c r="CA772" s="4" t="str">
        <x:v>Martin Pospisil</x:v>
      </x:c>
      <x:c r="CB772" s="4" t="str">
        <x:v>pospima01</x:v>
      </x:c>
    </x:row>
    <x:row r="773" ht="22" customHeight="1">
      <x:c r="A773" s="4" t="str">
        <x:v>Mason Appleton</x:v>
      </x:c>
      <x:c r="B773" s="4" t="str">
        <x:v>masonappleton</x:v>
      </x:c>
      <x:c r="C773" s="10" t="n">
        <x:v>1</x:v>
      </x:c>
      <x:c r="D773" s="10" t="n">
        <x:v>0</x:v>
      </x:c>
      <x:c r="E773" s="10" t="n">
        <x:v>1</x:v>
      </x:c>
      <x:c r="F773" s="4" t="n">
        <x:f>IF(COUNT(N773,Q773,T773,W773,Z773,AC773,AF773,AI773)=8,N773*Guide!$E$5+Q773*Guide!$E$6+T773*Guide!$E$7+W773*Guide!$E$8+Z773*Guide!$E$9+AC773*Guide!$E$10+AF773*Guide!$E$11+AI773*Guide!$E$12,"")</x:f>
        <x:v>188.75</x:v>
      </x:c>
      <x:c r="G773" s="4" t="str">
        <x:f>IF(COUNT(O773,R773,U773,X773,AA773,AD773,AG773,AJ773)=8,O773*Guide!$E$5+R773*Guide!$E$6+U773*Guide!$E$7+X773*Guide!$E$8+AA773*Guide!$E$9+AD773*Guide!$E$10+AG773*Guide!$E$11+AJ773*Guide!$E$12,"")</x:f>
      </x:c>
      <x:c r="H773" s="4" t="str">
        <x:f>IF(COUNT(G773,F773)=2,G773-F773,"")</x:f>
      </x:c>
      <x:c r="I773" s="4" t="n">
        <x:f>IF(AND(ISNUMBER(F773),K773&gt;0),F773/K773,"")</x:f>
        <x:v>2.359375</x:v>
      </x:c>
      <x:c r="J773" s="4" t="str">
        <x:f>IF(AND(ISNUMBER(G773),L773&gt;0),G773/L773,"")</x:f>
      </x:c>
      <x:c r="K773" s="10" t="n">
        <x:v>80</x:v>
      </x:c>
      <x:c r="L773" s="10"/>
      <x:c r="M773" s="10" t="str">
        <x:f>IF(COUNT(L773,K773)=2,L773-K773,"")</x:f>
      </x:c>
      <x:c r="N773" s="10" t="n">
        <x:v>12</x:v>
      </x:c>
      <x:c r="O773" s="10"/>
      <x:c r="P773" s="10" t="str">
        <x:f>IF(COUNT(O773,N773)=2,O773-N773,"")</x:f>
      </x:c>
      <x:c r="Q773" s="10" t="n">
        <x:v>19</x:v>
      </x:c>
      <x:c r="R773" s="10"/>
      <x:c r="S773" s="10" t="str">
        <x:f>IF(COUNT(R773,Q773)=2,R773-Q773,"")</x:f>
      </x:c>
      <x:c r="T773" s="10" t="n">
        <x:v>3</x:v>
      </x:c>
      <x:c r="U773" s="10"/>
      <x:c r="V773" s="10" t="str">
        <x:f>IF(COUNT(U773,T773)=2,U773-T773,"")</x:f>
      </x:c>
      <x:c r="W773" s="10" t="n">
        <x:v>2</x:v>
      </x:c>
      <x:c r="X773" s="10" t="str">
        <x:f>IF(COUNT(AV773,AW773)=2,AV773+AW773,"")</x:f>
      </x:c>
      <x:c r="Y773" s="10" t="str">
        <x:f>IF(COUNT(X773,W773)=2,X773-W773,"")</x:f>
      </x:c>
      <x:c r="Z773" s="10" t="n">
        <x:v>1</x:v>
      </x:c>
      <x:c r="AA773" s="10" t="str">
        <x:f>IF(COUNT(AX773,AY773)=2,AX773+AY773,"")</x:f>
      </x:c>
      <x:c r="AB773" s="10" t="str">
        <x:f>IF(COUNT(AA773,Z773)=2,AA773-Z773,"")</x:f>
      </x:c>
      <x:c r="AC773" s="10" t="n">
        <x:v>114</x:v>
      </x:c>
      <x:c r="AD773" s="10"/>
      <x:c r="AE773" s="10" t="str">
        <x:f>IF(COUNT(AD773,AC773)=2,AD773-AC773,"")</x:f>
      </x:c>
      <x:c r="AF773" s="10" t="n">
        <x:v>87</x:v>
      </x:c>
      <x:c r="AG773" s="10"/>
      <x:c r="AH773" s="10" t="str">
        <x:f>IF(COUNT(AG773,AF773)=2,AG773-AF773,"")</x:f>
      </x:c>
      <x:c r="AI773" s="10" t="n">
        <x:v>34</x:v>
      </x:c>
      <x:c r="AJ773" s="10"/>
      <x:c r="AK773" s="10" t="str">
        <x:f>IF(COUNT(AJ773,AI773)=2,AJ773-AI773,"")</x:f>
      </x:c>
      <x:c r="AL773" s="10" t="n">
        <x:v>30</x:v>
      </x:c>
      <x:c r="AM773" s="10"/>
      <x:c r="AN773" s="4" t="str">
        <x:v>C,RW</x:v>
      </x:c>
      <x:c r="AO773" s="4"/>
      <x:c r="AP773" s="4" t="str">
        <x:v>DET</x:v>
      </x:c>
      <x:c r="AQ773" s="4"/>
      <x:c r="AR773" s="4" t="n">
        <x:v>15.05</x:v>
      </x:c>
      <x:c r="AS773" s="4"/>
      <x:c r="AT773" s="4" t="n">
        <x:v>0.3</x:v>
      </x:c>
      <x:c r="AU773" s="4"/>
      <x:c r="AV773" s="10"/>
      <x:c r="AW773" s="10"/>
      <x:c r="AX773" s="10"/>
      <x:c r="AY773" s="10"/>
      <x:c r="AZ773" s="10" t="n">
        <x:v>673</x:v>
      </x:c>
      <x:c r="BA773" s="10" t="n">
        <x:v>786</x:v>
      </x:c>
      <x:c r="BB773" s="4" t="n">
        <x:v>46.1</x:v>
      </x:c>
      <x:c r="BC773" s="4" t="n">
        <x:v>-4</x:v>
      </x:c>
      <x:c r="BD773" s="10" t="n">
        <x:v>471</x:v>
      </x:c>
      <x:c r="BE773" s="10" t="n">
        <x:v>560</x:v>
      </x:c>
      <x:c r="BF773" s="4" t="n">
        <x:v>45.7</x:v>
      </x:c>
      <x:c r="BG773" s="4" t="n">
        <x:v>-6</x:v>
      </x:c>
      <x:c r="BH773" s="4" t="n">
        <x:v>8</x:v>
      </x:c>
      <x:c r="BI773" s="4" t="n">
        <x:v>91.8</x:v>
      </x:c>
      <x:c r="BJ773" s="4" t="n">
        <x:v>99.8</x:v>
      </x:c>
      <x:c r="BK773" s="4" t="n">
        <x:v>44.4</x:v>
      </x:c>
      <x:c r="BL773" s="4" t="n">
        <x:v>55.6</x:v>
      </x:c>
      <x:c r="BM773" s="4" t="n">
        <x:v>13.516666666666667</x:v>
      </x:c>
      <x:c r="BN773" s="4" t="n">
        <x:v>12.2</x:v>
      </x:c>
      <x:c r="BO773" s="10" t="n">
        <x:v>1</x:v>
      </x:c>
      <x:c r="BP773" s="10" t="n">
        <x:v>22</x:v>
      </x:c>
      <x:c r="BQ773" s="4" t="n">
        <x:v>-7.7</x:v>
      </x:c>
      <x:c r="BR773" s="10" t="n">
        <x:v>114</x:v>
      </x:c>
      <x:c r="BS773" s="4" t="n">
        <x:v>55.3</x:v>
      </x:c>
      <x:c r="BT773" s="10" t="n">
        <x:v>65</x:v>
      </x:c>
      <x:c r="BU773" s="4" t="str">
        <x:v>DET</x:v>
      </x:c>
      <x:c r="BV773" s="10" t="n">
        <x:v>363</x:v>
      </x:c>
      <x:c r="BW773" s="10"/>
      <x:c r="BX773" s="10" t="n">
        <x:v>17</x:v>
      </x:c>
      <x:c r="BY773" s="4" t="str">
        <x:v>Mason Appleton</x:v>
      </x:c>
      <x:c r="BZ773" s="4"/>
      <x:c r="CA773" s="4" t="str">
        <x:v>Mason Appleton</x:v>
      </x:c>
      <x:c r="CB773" s="4" t="str">
        <x:v>applema01</x:v>
      </x:c>
    </x:row>
    <x:row r="774" ht="22" customHeight="1">
      <x:c r="A774" s="4" t="str">
        <x:v>Mason Geertsen</x:v>
      </x:c>
      <x:c r="B774" s="4" t="str">
        <x:v>masongeertsen</x:v>
      </x:c>
      <x:c r="C774" s="10" t="n">
        <x:v>0</x:v>
      </x:c>
      <x:c r="D774" s="10" t="n">
        <x:v>0</x:v>
      </x:c>
      <x:c r="E774" s="10" t="n">
        <x:v>1</x:v>
      </x:c>
      <x:c r="F774" s="4" t="str">
        <x:f>IF(COUNT(N774,Q774,T774,W774,Z774,AC774,AF774,AI774)=8,N774*Guide!$E$5+Q774*Guide!$E$6+T774*Guide!$E$7+W774*Guide!$E$8+Z774*Guide!$E$9+AC774*Guide!$E$10+AF774*Guide!$E$11+AI774*Guide!$E$12,"")</x:f>
      </x:c>
      <x:c r="G774" s="4" t="str">
        <x:f>IF(COUNT(O774,R774,U774,X774,AA774,AD774,AG774,AJ774)=8,O774*Guide!$E$5+R774*Guide!$E$6+U774*Guide!$E$7+X774*Guide!$E$8+AA774*Guide!$E$9+AD774*Guide!$E$10+AG774*Guide!$E$11+AJ774*Guide!$E$12,"")</x:f>
      </x:c>
      <x:c r="H774" s="4" t="str">
        <x:f>IF(COUNT(G774,F774)=2,G774-F774,"")</x:f>
      </x:c>
      <x:c r="I774" s="4" t="str">
        <x:f>IF(AND(ISNUMBER(F774),K774&gt;0),F774/K774,"")</x:f>
      </x:c>
      <x:c r="J774" s="4" t="str">
        <x:f>IF(AND(ISNUMBER(G774),L774&gt;0),G774/L774,"")</x:f>
      </x:c>
      <x:c r="K774" s="10"/>
      <x:c r="L774" s="10"/>
      <x:c r="M774" s="10" t="str">
        <x:f>IF(COUNT(L774,K774)=2,L774-K774,"")</x:f>
      </x:c>
      <x:c r="N774" s="10"/>
      <x:c r="O774" s="10"/>
      <x:c r="P774" s="10" t="str">
        <x:f>IF(COUNT(O774,N774)=2,O774-N774,"")</x:f>
      </x:c>
      <x:c r="Q774" s="10"/>
      <x:c r="R774" s="10"/>
      <x:c r="S774" s="10" t="str">
        <x:f>IF(COUNT(R774,Q774)=2,R774-Q774,"")</x:f>
      </x:c>
      <x:c r="T774" s="10"/>
      <x:c r="U774" s="10"/>
      <x:c r="V774" s="10" t="str">
        <x:f>IF(COUNT(U774,T774)=2,U774-T774,"")</x:f>
      </x:c>
      <x:c r="W774" s="10"/>
      <x:c r="X774" s="10" t="str">
        <x:f>IF(COUNT(AV774,AW774)=2,AV774+AW774,"")</x:f>
      </x:c>
      <x:c r="Y774" s="10" t="str">
        <x:f>IF(COUNT(X774,W774)=2,X774-W774,"")</x:f>
      </x:c>
      <x:c r="Z774" s="10"/>
      <x:c r="AA774" s="10" t="str">
        <x:f>IF(COUNT(AX774,AY774)=2,AX774+AY774,"")</x:f>
      </x:c>
      <x:c r="AB774" s="10" t="str">
        <x:f>IF(COUNT(AA774,Z774)=2,AA774-Z774,"")</x:f>
      </x:c>
      <x:c r="AC774" s="10"/>
      <x:c r="AD774" s="10"/>
      <x:c r="AE774" s="10" t="str">
        <x:f>IF(COUNT(AD774,AC774)=2,AD774-AC774,"")</x:f>
      </x:c>
      <x:c r="AF774" s="10"/>
      <x:c r="AG774" s="10"/>
      <x:c r="AH774" s="10" t="str">
        <x:f>IF(COUNT(AG774,AF774)=2,AG774-AF774,"")</x:f>
      </x:c>
      <x:c r="AI774" s="10"/>
      <x:c r="AJ774" s="10"/>
      <x:c r="AK774" s="10" t="str">
        <x:f>IF(COUNT(AJ774,AI774)=2,AJ774-AI774,"")</x:f>
      </x:c>
      <x:c r="AL774" s="10"/>
      <x:c r="AM774" s="10"/>
      <x:c r="AN774" s="4"/>
      <x:c r="AO774" s="4"/>
      <x:c r="AP774" s="4"/>
      <x:c r="AQ774" s="4"/>
      <x:c r="AR774" s="4"/>
      <x:c r="AS774" s="4"/>
      <x:c r="AT774" s="4"/>
      <x:c r="AU774" s="4"/>
      <x:c r="AV774" s="10"/>
      <x:c r="AW774" s="10"/>
      <x:c r="AX774" s="10"/>
      <x:c r="AY774" s="10"/>
      <x:c r="AZ774" s="10" t="n">
        <x:v>14</x:v>
      </x:c>
      <x:c r="BA774" s="10" t="n">
        <x:v>16</x:v>
      </x:c>
      <x:c r="BB774" s="4" t="n">
        <x:v>46.7</x:v>
      </x:c>
      <x:c r="BC774" s="4" t="n">
        <x:v>-3</x:v>
      </x:c>
      <x:c r="BD774" s="10" t="n">
        <x:v>11</x:v>
      </x:c>
      <x:c r="BE774" s="10" t="n">
        <x:v>10</x:v>
      </x:c>
      <x:c r="BF774" s="4" t="n">
        <x:v>52.4</x:v>
      </x:c>
      <x:c r="BG774" s="4" t="n">
        <x:v>4.8</x:v>
      </x:c>
      <x:c r="BH774" s="4" t="n">
        <x:v>0</x:v>
      </x:c>
      <x:c r="BI774" s="4" t="n">
        <x:v>87.5</x:v>
      </x:c>
      <x:c r="BJ774" s="4" t="n">
        <x:v>87.5</x:v>
      </x:c>
      <x:c r="BK774" s="4" t="n">
        <x:v>41.7</x:v>
      </x:c>
      <x:c r="BL774" s="4" t="n">
        <x:v>58.3</x:v>
      </x:c>
      <x:c r="BM774" s="4" t="n">
        <x:v>4.116666666666666</x:v>
      </x:c>
      <x:c r="BN774" s="4" t="n">
        <x:v>4.1</x:v>
      </x:c>
      <x:c r="BO774" s="10" t="n">
        <x:v>0</x:v>
      </x:c>
      <x:c r="BP774" s="10" t="n">
        <x:v>0</x:v>
      </x:c>
      <x:c r="BQ774" s="4" t="n">
        <x:v>-0.5</x:v>
      </x:c>
      <x:c r="BR774" s="10" t="n">
        <x:v>2</x:v>
      </x:c>
      <x:c r="BS774" s="4" t="n">
        <x:v>50</x:v>
      </x:c>
      <x:c r="BT774" s="10" t="n">
        <x:v>5</x:v>
      </x:c>
      <x:c r="BU774" s="4" t="str">
        <x:v>BUF</x:v>
      </x:c>
      <x:c r="BV774" s="10"/>
      <x:c r="BW774" s="10"/>
      <x:c r="BX774" s="10" t="n">
        <x:v>333</x:v>
      </x:c>
      <x:c r="BY774" s="4"/>
      <x:c r="BZ774" s="4"/>
      <x:c r="CA774" s="4" t="str">
        <x:v>Mason Geertsen</x:v>
      </x:c>
      <x:c r="CB774" s="4" t="str">
        <x:v>geertma01</x:v>
      </x:c>
    </x:row>
    <x:row r="775" ht="22" customHeight="1">
      <x:c r="A775" s="4" t="str">
        <x:v>Matěj Blümel</x:v>
      </x:c>
      <x:c r="B775" s="4" t="str">
        <x:v>matejblumel</x:v>
      </x:c>
      <x:c r="C775" s="10" t="n">
        <x:v>0</x:v>
      </x:c>
      <x:c r="D775" s="10" t="n">
        <x:v>0</x:v>
      </x:c>
      <x:c r="E775" s="10" t="n">
        <x:v>1</x:v>
      </x:c>
      <x:c r="F775" s="4" t="str">
        <x:f>IF(COUNT(N775,Q775,T775,W775,Z775,AC775,AF775,AI775)=8,N775*Guide!$E$5+Q775*Guide!$E$6+T775*Guide!$E$7+W775*Guide!$E$8+Z775*Guide!$E$9+AC775*Guide!$E$10+AF775*Guide!$E$11+AI775*Guide!$E$12,"")</x:f>
      </x:c>
      <x:c r="G775" s="4" t="str">
        <x:f>IF(COUNT(O775,R775,U775,X775,AA775,AD775,AG775,AJ775)=8,O775*Guide!$E$5+R775*Guide!$E$6+U775*Guide!$E$7+X775*Guide!$E$8+AA775*Guide!$E$9+AD775*Guide!$E$10+AG775*Guide!$E$11+AJ775*Guide!$E$12,"")</x:f>
      </x:c>
      <x:c r="H775" s="4" t="str">
        <x:f>IF(COUNT(G775,F775)=2,G775-F775,"")</x:f>
      </x:c>
      <x:c r="I775" s="4" t="str">
        <x:f>IF(AND(ISNUMBER(F775),K775&gt;0),F775/K775,"")</x:f>
      </x:c>
      <x:c r="J775" s="4" t="str">
        <x:f>IF(AND(ISNUMBER(G775),L775&gt;0),G775/L775,"")</x:f>
      </x:c>
      <x:c r="K775" s="10"/>
      <x:c r="L775" s="10"/>
      <x:c r="M775" s="10" t="str">
        <x:f>IF(COUNT(L775,K775)=2,L775-K775,"")</x:f>
      </x:c>
      <x:c r="N775" s="10"/>
      <x:c r="O775" s="10"/>
      <x:c r="P775" s="10" t="str">
        <x:f>IF(COUNT(O775,N775)=2,O775-N775,"")</x:f>
      </x:c>
      <x:c r="Q775" s="10"/>
      <x:c r="R775" s="10"/>
      <x:c r="S775" s="10" t="str">
        <x:f>IF(COUNT(R775,Q775)=2,R775-Q775,"")</x:f>
      </x:c>
      <x:c r="T775" s="10"/>
      <x:c r="U775" s="10"/>
      <x:c r="V775" s="10" t="str">
        <x:f>IF(COUNT(U775,T775)=2,U775-T775,"")</x:f>
      </x:c>
      <x:c r="W775" s="10"/>
      <x:c r="X775" s="10" t="str">
        <x:f>IF(COUNT(AV775,AW775)=2,AV775+AW775,"")</x:f>
      </x:c>
      <x:c r="Y775" s="10" t="str">
        <x:f>IF(COUNT(X775,W775)=2,X775-W775,"")</x:f>
      </x:c>
      <x:c r="Z775" s="10"/>
      <x:c r="AA775" s="10" t="str">
        <x:f>IF(COUNT(AX775,AY775)=2,AX775+AY775,"")</x:f>
      </x:c>
      <x:c r="AB775" s="10" t="str">
        <x:f>IF(COUNT(AA775,Z775)=2,AA775-Z775,"")</x:f>
      </x:c>
      <x:c r="AC775" s="10"/>
      <x:c r="AD775" s="10"/>
      <x:c r="AE775" s="10" t="str">
        <x:f>IF(COUNT(AD775,AC775)=2,AD775-AC775,"")</x:f>
      </x:c>
      <x:c r="AF775" s="10"/>
      <x:c r="AG775" s="10"/>
      <x:c r="AH775" s="10" t="str">
        <x:f>IF(COUNT(AG775,AF775)=2,AG775-AF775,"")</x:f>
      </x:c>
      <x:c r="AI775" s="10"/>
      <x:c r="AJ775" s="10"/>
      <x:c r="AK775" s="10" t="str">
        <x:f>IF(COUNT(AJ775,AI775)=2,AJ775-AI775,"")</x:f>
      </x:c>
      <x:c r="AL775" s="10"/>
      <x:c r="AM775" s="10"/>
      <x:c r="AN775" s="4"/>
      <x:c r="AO775" s="4"/>
      <x:c r="AP775" s="4"/>
      <x:c r="AQ775" s="4"/>
      <x:c r="AR775" s="4"/>
      <x:c r="AS775" s="4"/>
      <x:c r="AT775" s="4"/>
      <x:c r="AU775" s="4"/>
      <x:c r="AV775" s="10"/>
      <x:c r="AW775" s="10"/>
      <x:c r="AX775" s="10"/>
      <x:c r="AY775" s="10"/>
      <x:c r="AZ775" s="10" t="n">
        <x:v>32</x:v>
      </x:c>
      <x:c r="BA775" s="10" t="n">
        <x:v>40</x:v>
      </x:c>
      <x:c r="BB775" s="4" t="n">
        <x:v>44.4</x:v>
      </x:c>
      <x:c r="BC775" s="4" t="n">
        <x:v>1.6</x:v>
      </x:c>
      <x:c r="BD775" s="10" t="n">
        <x:v>25</x:v>
      </x:c>
      <x:c r="BE775" s="10" t="n">
        <x:v>28</x:v>
      </x:c>
      <x:c r="BF775" s="4" t="n">
        <x:v>47.2</x:v>
      </x:c>
      <x:c r="BG775" s="4" t="n">
        <x:v>4.7</x:v>
      </x:c>
      <x:c r="BH775" s="4" t="n">
        <x:v>0</x:v>
      </x:c>
      <x:c r="BI775" s="4" t="n">
        <x:v>88.2</x:v>
      </x:c>
      <x:c r="BJ775" s="4" t="n">
        <x:v>88.2</x:v>
      </x:c>
      <x:c r="BK775" s="4" t="n">
        <x:v>40</x:v>
      </x:c>
      <x:c r="BL775" s="4" t="n">
        <x:v>60</x:v>
      </x:c>
      <x:c r="BM775" s="4" t="n">
        <x:v>10.866666666666667</x:v>
      </x:c>
      <x:c r="BN775" s="4" t="n">
        <x:v>9.366666666666667</x:v>
      </x:c>
      <x:c r="BO775" s="10" t="n">
        <x:v>0</x:v>
      </x:c>
      <x:c r="BP775" s="10" t="n">
        <x:v>3</x:v>
      </x:c>
      <x:c r="BQ775" s="4" t="n">
        <x:v>0.3</x:v>
      </x:c>
      <x:c r="BR775" s="10" t="n">
        <x:v>10</x:v>
      </x:c>
      <x:c r="BS775" s="4" t="n">
        <x:v>40</x:v>
      </x:c>
      <x:c r="BT775" s="10" t="n">
        <x:v>4</x:v>
      </x:c>
      <x:c r="BU775" s="4" t="str">
        <x:v>BOS</x:v>
      </x:c>
      <x:c r="BV775" s="10"/>
      <x:c r="BW775" s="10"/>
      <x:c r="BX775" s="10" t="n">
        <x:v>73</x:v>
      </x:c>
      <x:c r="BY775" s="4"/>
      <x:c r="BZ775" s="4"/>
      <x:c r="CA775" s="4" t="str">
        <x:v>Matěj Blümel</x:v>
      </x:c>
      <x:c r="CB775" s="4" t="str">
        <x:v>blumema01</x:v>
      </x:c>
    </x:row>
    <x:row r="776" ht="22" customHeight="1">
      <x:c r="A776" s="4" t="str">
        <x:v>Mathew Dumba</x:v>
      </x:c>
      <x:c r="B776" s="4" t="str">
        <x:v>mathewdumba</x:v>
      </x:c>
      <x:c r="C776" s="10" t="n">
        <x:v>1</x:v>
      </x:c>
      <x:c r="D776" s="10" t="n">
        <x:v>0</x:v>
      </x:c>
      <x:c r="E776" s="10" t="n">
        <x:v>1</x:v>
      </x:c>
      <x:c r="F776" s="4" t="n">
        <x:f>IF(COUNT(N776,Q776,T776,W776,Z776,AC776,AF776,AI776)=8,N776*Guide!$E$5+Q776*Guide!$E$6+T776*Guide!$E$7+W776*Guide!$E$8+Z776*Guide!$E$9+AC776*Guide!$E$10+AF776*Guide!$E$11+AI776*Guide!$E$12,"")</x:f>
        <x:v>133.75</x:v>
      </x:c>
      <x:c r="G776" s="4" t="str">
        <x:f>IF(COUNT(O776,R776,U776,X776,AA776,AD776,AG776,AJ776)=8,O776*Guide!$E$5+R776*Guide!$E$6+U776*Guide!$E$7+X776*Guide!$E$8+AA776*Guide!$E$9+AD776*Guide!$E$10+AG776*Guide!$E$11+AJ776*Guide!$E$12,"")</x:f>
      </x:c>
      <x:c r="H776" s="4" t="str">
        <x:f>IF(COUNT(G776,F776)=2,G776-F776,"")</x:f>
      </x:c>
      <x:c r="I776" s="4" t="n">
        <x:f>IF(AND(ISNUMBER(F776),K776&gt;0),F776/K776,"")</x:f>
        <x:v>1.9384057971014492</x:v>
      </x:c>
      <x:c r="J776" s="4" t="str">
        <x:f>IF(AND(ISNUMBER(G776),L776&gt;0),G776/L776,"")</x:f>
      </x:c>
      <x:c r="K776" s="10" t="n">
        <x:v>69</x:v>
      </x:c>
      <x:c r="L776" s="10"/>
      <x:c r="M776" s="10" t="str">
        <x:f>IF(COUNT(L776,K776)=2,L776-K776,"")</x:f>
      </x:c>
      <x:c r="N776" s="10" t="n">
        <x:v>3</x:v>
      </x:c>
      <x:c r="O776" s="10"/>
      <x:c r="P776" s="10" t="str">
        <x:f>IF(COUNT(O776,N776)=2,O776-N776,"")</x:f>
      </x:c>
      <x:c r="Q776" s="10" t="n">
        <x:v>11</x:v>
      </x:c>
      <x:c r="R776" s="10"/>
      <x:c r="S776" s="10" t="str">
        <x:f>IF(COUNT(R776,Q776)=2,R776-Q776,"")</x:f>
      </x:c>
      <x:c r="T776" s="10" t="n">
        <x:v>-7</x:v>
      </x:c>
      <x:c r="U776" s="10"/>
      <x:c r="V776" s="10" t="str">
        <x:f>IF(COUNT(U776,T776)=2,U776-T776,"")</x:f>
      </x:c>
      <x:c r="W776" s="10" t="n">
        <x:v>3</x:v>
      </x:c>
      <x:c r="X776" s="10" t="str">
        <x:f>IF(COUNT(AV776,AW776)=2,AV776+AW776,"")</x:f>
      </x:c>
      <x:c r="Y776" s="10" t="str">
        <x:f>IF(COUNT(X776,W776)=2,X776-W776,"")</x:f>
      </x:c>
      <x:c r="Z776" s="10" t="n">
        <x:v>0</x:v>
      </x:c>
      <x:c r="AA776" s="10" t="str">
        <x:f>IF(COUNT(AX776,AY776)=2,AX776+AY776,"")</x:f>
      </x:c>
      <x:c r="AB776" s="10" t="str">
        <x:f>IF(COUNT(AA776,Z776)=2,AA776-Z776,"")</x:f>
      </x:c>
      <x:c r="AC776" s="10" t="n">
        <x:v>70</x:v>
      </x:c>
      <x:c r="AD776" s="10"/>
      <x:c r="AE776" s="10" t="str">
        <x:f>IF(COUNT(AD776,AC776)=2,AD776-AC776,"")</x:f>
      </x:c>
      <x:c r="AF776" s="10" t="n">
        <x:v>79</x:v>
      </x:c>
      <x:c r="AG776" s="10"/>
      <x:c r="AH776" s="10" t="str">
        <x:f>IF(COUNT(AG776,AF776)=2,AG776-AF776,"")</x:f>
      </x:c>
      <x:c r="AI776" s="10" t="n">
        <x:v>74</x:v>
      </x:c>
      <x:c r="AJ776" s="10"/>
      <x:c r="AK776" s="10" t="str">
        <x:f>IF(COUNT(AJ776,AI776)=2,AJ776-AI776,"")</x:f>
      </x:c>
      <x:c r="AL776" s="10" t="n">
        <x:v>31</x:v>
      </x:c>
      <x:c r="AM776" s="10"/>
      <x:c r="AN776" s="4" t="str">
        <x:v>D</x:v>
      </x:c>
      <x:c r="AO776" s="4"/>
      <x:c r="AP776" s="4" t="str">
        <x:v>PIT</x:v>
      </x:c>
      <x:c r="AQ776" s="4"/>
      <x:c r="AR776" s="4" t="n">
        <x:v>16.279999999999998</x:v>
      </x:c>
      <x:c r="AS776" s="4"/>
      <x:c r="AT776" s="4" t="n">
        <x:v>0.52</x:v>
      </x:c>
      <x:c r="AU776" s="4"/>
      <x:c r="AV776" s="10"/>
      <x:c r="AW776" s="10"/>
      <x:c r="AX776" s="10"/>
      <x:c r="AY776" s="10"/>
      <x:c r="AZ776" s="10" t="n">
        <x:v>145</x:v>
      </x:c>
      <x:c r="BA776" s="10" t="n">
        <x:v>174</x:v>
      </x:c>
      <x:c r="BB776" s="4" t="n">
        <x:v>45.5</x:v>
      </x:c>
      <x:c r="BC776" s="4" t="n">
        <x:v>-4.8</x:v>
      </x:c>
      <x:c r="BD776" s="10" t="n">
        <x:v>103</x:v>
      </x:c>
      <x:c r="BE776" s="10" t="n">
        <x:v>113</x:v>
      </x:c>
      <x:c r="BF776" s="4" t="n">
        <x:v>47.7</x:v>
      </x:c>
      <x:c r="BG776" s="4" t="n">
        <x:v>-2.1</x:v>
      </x:c>
      <x:c r="BH776" s="4" t="n">
        <x:v>7.1</x:v>
      </x:c>
      <x:c r="BI776" s="4" t="n">
        <x:v>86.1</x:v>
      </x:c>
      <x:c r="BJ776" s="4" t="n">
        <x:v>93.3</x:v>
      </x:c>
      <x:c r="BK776" s="4" t="n">
        <x:v>45.8</x:v>
      </x:c>
      <x:c r="BL776" s="4" t="n">
        <x:v>54.2</x:v>
      </x:c>
      <x:c r="BM776" s="4" t="n">
        <x:v>14.933333333333334</x:v>
      </x:c>
      <x:c r="BN776" s="4" t="n">
        <x:v>14.816666666666666</x:v>
      </x:c>
      <x:c r="BO776" s="10" t="n">
        <x:v>6</x:v>
      </x:c>
      <x:c r="BP776" s="10" t="n">
        <x:v>8</x:v>
      </x:c>
      <x:c r="BQ776" s="4" t="n">
        <x:v>-0.2</x:v>
      </x:c>
      <x:c r="BR776" s="10" t="n">
        <x:v>26</x:v>
      </x:c>
      <x:c r="BS776" s="4" t="n">
        <x:v>26.9</x:v>
      </x:c>
      <x:c r="BT776" s="10" t="n">
        <x:v>11</x:v>
      </x:c>
      <x:c r="BU776" s="4" t="str">
        <x:v>PIT</x:v>
      </x:c>
      <x:c r="BV776" s="10" t="n">
        <x:v>644</x:v>
      </x:c>
      <x:c r="BW776" s="10"/>
      <x:c r="BX776" s="10" t="n">
        <x:v>248</x:v>
      </x:c>
      <x:c r="BY776" s="4" t="str">
        <x:v>Mathew Dumba</x:v>
      </x:c>
      <x:c r="BZ776" s="4"/>
      <x:c r="CA776" s="4" t="str">
        <x:v>Mathew Dumba</x:v>
      </x:c>
      <x:c r="CB776" s="4" t="str">
        <x:v>dumbama01</x:v>
      </x:c>
    </x:row>
    <x:row r="777" ht="22" customHeight="1">
      <x:c r="A777" s="4" t="str">
        <x:v>Mathieu Joseph</x:v>
      </x:c>
      <x:c r="B777" s="4" t="str">
        <x:v>mathieujoseph</x:v>
      </x:c>
      <x:c r="C777" s="10" t="n">
        <x:v>1</x:v>
      </x:c>
      <x:c r="D777" s="10" t="n">
        <x:v>0</x:v>
      </x:c>
      <x:c r="E777" s="10" t="n">
        <x:v>1</x:v>
      </x:c>
      <x:c r="F777" s="4" t="n">
        <x:f>IF(COUNT(N777,Q777,T777,W777,Z777,AC777,AF777,AI777)=8,N777*Guide!$E$5+Q777*Guide!$E$6+T777*Guide!$E$7+W777*Guide!$E$8+Z777*Guide!$E$9+AC777*Guide!$E$10+AF777*Guide!$E$11+AI777*Guide!$E$12,"")</x:f>
        <x:v>145.5</x:v>
      </x:c>
      <x:c r="G777" s="4" t="str">
        <x:f>IF(COUNT(O777,R777,U777,X777,AA777,AD777,AG777,AJ777)=8,O777*Guide!$E$5+R777*Guide!$E$6+U777*Guide!$E$7+X777*Guide!$E$8+AA777*Guide!$E$9+AD777*Guide!$E$10+AG777*Guide!$E$11+AJ777*Guide!$E$12,"")</x:f>
      </x:c>
      <x:c r="H777" s="4" t="str">
        <x:f>IF(COUNT(G777,F777)=2,G777-F777,"")</x:f>
      </x:c>
      <x:c r="I777" s="4" t="n">
        <x:f>IF(AND(ISNUMBER(F777),K777&gt;0),F777/K777,"")</x:f>
        <x:v>2.2045454545454546</x:v>
      </x:c>
      <x:c r="J777" s="4" t="str">
        <x:f>IF(AND(ISNUMBER(G777),L777&gt;0),G777/L777,"")</x:f>
      </x:c>
      <x:c r="K777" s="10" t="n">
        <x:v>66</x:v>
      </x:c>
      <x:c r="L777" s="10"/>
      <x:c r="M777" s="10" t="str">
        <x:f>IF(COUNT(L777,K777)=2,L777-K777,"")</x:f>
      </x:c>
      <x:c r="N777" s="10" t="n">
        <x:v>7</x:v>
      </x:c>
      <x:c r="O777" s="10"/>
      <x:c r="P777" s="10" t="str">
        <x:f>IF(COUNT(O777,N777)=2,O777-N777,"")</x:f>
      </x:c>
      <x:c r="Q777" s="10" t="n">
        <x:v>12</x:v>
      </x:c>
      <x:c r="R777" s="10"/>
      <x:c r="S777" s="10" t="str">
        <x:f>IF(COUNT(R777,Q777)=2,R777-Q777,"")</x:f>
      </x:c>
      <x:c r="T777" s="10" t="n">
        <x:v>-1</x:v>
      </x:c>
      <x:c r="U777" s="10"/>
      <x:c r="V777" s="10" t="str">
        <x:f>IF(COUNT(U777,T777)=2,U777-T777,"")</x:f>
      </x:c>
      <x:c r="W777" s="10" t="n">
        <x:v>2</x:v>
      </x:c>
      <x:c r="X777" s="10" t="str">
        <x:f>IF(COUNT(AV777,AW777)=2,AV777+AW777,"")</x:f>
      </x:c>
      <x:c r="Y777" s="10" t="str">
        <x:f>IF(COUNT(X777,W777)=2,X777-W777,"")</x:f>
      </x:c>
      <x:c r="Z777" s="10" t="n">
        <x:v>1</x:v>
      </x:c>
      <x:c r="AA777" s="10" t="str">
        <x:f>IF(COUNT(AX777,AY777)=2,AX777+AY777,"")</x:f>
      </x:c>
      <x:c r="AB777" s="10" t="str">
        <x:f>IF(COUNT(AA777,Z777)=2,AA777-Z777,"")</x:f>
      </x:c>
      <x:c r="AC777" s="10" t="n">
        <x:v>77</x:v>
      </x:c>
      <x:c r="AD777" s="10"/>
      <x:c r="AE777" s="10" t="str">
        <x:f>IF(COUNT(AD777,AC777)=2,AD777-AC777,"")</x:f>
      </x:c>
      <x:c r="AF777" s="10" t="n">
        <x:v>119</x:v>
      </x:c>
      <x:c r="AG777" s="10"/>
      <x:c r="AH777" s="10" t="str">
        <x:f>IF(COUNT(AG777,AF777)=2,AG777-AF777,"")</x:f>
      </x:c>
      <x:c r="AI777" s="10" t="n">
        <x:v>38</x:v>
      </x:c>
      <x:c r="AJ777" s="10"/>
      <x:c r="AK777" s="10" t="str">
        <x:f>IF(COUNT(AJ777,AI777)=2,AJ777-AI777,"")</x:f>
      </x:c>
      <x:c r="AL777" s="10" t="n">
        <x:v>28</x:v>
      </x:c>
      <x:c r="AM777" s="10"/>
      <x:c r="AN777" s="4" t="str">
        <x:v>RW</x:v>
      </x:c>
      <x:c r="AO777" s="4"/>
      <x:c r="AP777" s="4" t="str">
        <x:v>STL</x:v>
      </x:c>
      <x:c r="AQ777" s="4"/>
      <x:c r="AR777" s="4" t="n">
        <x:v>12.639999999999999</x:v>
      </x:c>
      <x:c r="AS777" s="4"/>
      <x:c r="AT777" s="4" t="n">
        <x:v>0.28</x:v>
      </x:c>
      <x:c r="AU777" s="4"/>
      <x:c r="AV777" s="10"/>
      <x:c r="AW777" s="10"/>
      <x:c r="AX777" s="10"/>
      <x:c r="AY777" s="10"/>
      <x:c r="AZ777" s="10" t="n">
        <x:v>457</x:v>
      </x:c>
      <x:c r="BA777" s="10" t="n">
        <x:v>501</x:v>
      </x:c>
      <x:c r="BB777" s="4" t="n">
        <x:v>47.7</x:v>
      </x:c>
      <x:c r="BC777" s="4" t="n">
        <x:v>-2.2</x:v>
      </x:c>
      <x:c r="BD777" s="10" t="n">
        <x:v>319</x:v>
      </x:c>
      <x:c r="BE777" s="10" t="n">
        <x:v>340</x:v>
      </x:c>
      <x:c r="BF777" s="4" t="n">
        <x:v>48.4</x:v>
      </x:c>
      <x:c r="BG777" s="4" t="n">
        <x:v>-1.8</x:v>
      </x:c>
      <x:c r="BH777" s="4" t="n">
        <x:v>7.4</x:v>
      </x:c>
      <x:c r="BI777" s="4" t="n">
        <x:v>89.9</x:v>
      </x:c>
      <x:c r="BJ777" s="4" t="n">
        <x:v>97.3</x:v>
      </x:c>
      <x:c r="BK777" s="4" t="n">
        <x:v>41.8</x:v>
      </x:c>
      <x:c r="BL777" s="4" t="n">
        <x:v>58.2</x:v>
      </x:c>
      <x:c r="BM777" s="4" t="n">
        <x:v>11.983333333333333</x:v>
      </x:c>
      <x:c r="BN777" s="4" t="n">
        <x:v>11.183333333333334</x:v>
      </x:c>
      <x:c r="BO777" s="10" t="n">
        <x:v>14</x:v>
      </x:c>
      <x:c r="BP777" s="10" t="n">
        <x:v>25</x:v>
      </x:c>
      <x:c r="BQ777" s="4" t="n">
        <x:v>-1.4</x:v>
      </x:c>
      <x:c r="BR777" s="10" t="n">
        <x:v>86</x:v>
      </x:c>
      <x:c r="BS777" s="4" t="n">
        <x:v>41.9</x:v>
      </x:c>
      <x:c r="BT777" s="10" t="n">
        <x:v>51</x:v>
      </x:c>
      <x:c r="BU777" s="4" t="str">
        <x:v>TOT</x:v>
      </x:c>
      <x:c r="BV777" s="10" t="n">
        <x:v>551</x:v>
      </x:c>
      <x:c r="BW777" s="10"/>
      <x:c r="BX777" s="10" t="n">
        <x:v>477</x:v>
      </x:c>
      <x:c r="BY777" s="4" t="str">
        <x:v>Mathieu Joseph</x:v>
      </x:c>
      <x:c r="BZ777" s="4"/>
      <x:c r="CA777" s="4" t="str">
        <x:v>Mathieu Joseph</x:v>
      </x:c>
      <x:c r="CB777" s="4" t="str">
        <x:v>josepma01</x:v>
      </x:c>
    </x:row>
    <x:row r="778" ht="22" customHeight="1">
      <x:c r="A778" s="4" t="str">
        <x:v>Matt Benning</x:v>
      </x:c>
      <x:c r="B778" s="4" t="str">
        <x:v>mattbenning</x:v>
      </x:c>
      <x:c r="C778" s="10" t="n">
        <x:v>0</x:v>
      </x:c>
      <x:c r="D778" s="10" t="n">
        <x:v>0</x:v>
      </x:c>
      <x:c r="E778" s="10" t="n">
        <x:v>1</x:v>
      </x:c>
      <x:c r="F778" s="4" t="str">
        <x:f>IF(COUNT(N778,Q778,T778,W778,Z778,AC778,AF778,AI778)=8,N778*Guide!$E$5+Q778*Guide!$E$6+T778*Guide!$E$7+W778*Guide!$E$8+Z778*Guide!$E$9+AC778*Guide!$E$10+AF778*Guide!$E$11+AI778*Guide!$E$12,"")</x:f>
      </x:c>
      <x:c r="G778" s="4" t="str">
        <x:f>IF(COUNT(O778,R778,U778,X778,AA778,AD778,AG778,AJ778)=8,O778*Guide!$E$5+R778*Guide!$E$6+U778*Guide!$E$7+X778*Guide!$E$8+AA778*Guide!$E$9+AD778*Guide!$E$10+AG778*Guide!$E$11+AJ778*Guide!$E$12,"")</x:f>
      </x:c>
      <x:c r="H778" s="4" t="str">
        <x:f>IF(COUNT(G778,F778)=2,G778-F778,"")</x:f>
      </x:c>
      <x:c r="I778" s="4" t="str">
        <x:f>IF(AND(ISNUMBER(F778),K778&gt;0),F778/K778,"")</x:f>
      </x:c>
      <x:c r="J778" s="4" t="str">
        <x:f>IF(AND(ISNUMBER(G778),L778&gt;0),G778/L778,"")</x:f>
      </x:c>
      <x:c r="K778" s="10"/>
      <x:c r="L778" s="10"/>
      <x:c r="M778" s="10" t="str">
        <x:f>IF(COUNT(L778,K778)=2,L778-K778,"")</x:f>
      </x:c>
      <x:c r="N778" s="10"/>
      <x:c r="O778" s="10"/>
      <x:c r="P778" s="10" t="str">
        <x:f>IF(COUNT(O778,N778)=2,O778-N778,"")</x:f>
      </x:c>
      <x:c r="Q778" s="10"/>
      <x:c r="R778" s="10"/>
      <x:c r="S778" s="10" t="str">
        <x:f>IF(COUNT(R778,Q778)=2,R778-Q778,"")</x:f>
      </x:c>
      <x:c r="T778" s="10"/>
      <x:c r="U778" s="10"/>
      <x:c r="V778" s="10" t="str">
        <x:f>IF(COUNT(U778,T778)=2,U778-T778,"")</x:f>
      </x:c>
      <x:c r="W778" s="10"/>
      <x:c r="X778" s="10" t="str">
        <x:f>IF(COUNT(AV778,AW778)=2,AV778+AW778,"")</x:f>
      </x:c>
      <x:c r="Y778" s="10" t="str">
        <x:f>IF(COUNT(X778,W778)=2,X778-W778,"")</x:f>
      </x:c>
      <x:c r="Z778" s="10"/>
      <x:c r="AA778" s="10" t="str">
        <x:f>IF(COUNT(AX778,AY778)=2,AX778+AY778,"")</x:f>
      </x:c>
      <x:c r="AB778" s="10" t="str">
        <x:f>IF(COUNT(AA778,Z778)=2,AA778-Z778,"")</x:f>
      </x:c>
      <x:c r="AC778" s="10"/>
      <x:c r="AD778" s="10"/>
      <x:c r="AE778" s="10" t="str">
        <x:f>IF(COUNT(AD778,AC778)=2,AD778-AC778,"")</x:f>
      </x:c>
      <x:c r="AF778" s="10"/>
      <x:c r="AG778" s="10"/>
      <x:c r="AH778" s="10" t="str">
        <x:f>IF(COUNT(AG778,AF778)=2,AG778-AF778,"")</x:f>
      </x:c>
      <x:c r="AI778" s="10"/>
      <x:c r="AJ778" s="10"/>
      <x:c r="AK778" s="10" t="str">
        <x:f>IF(COUNT(AJ778,AI778)=2,AJ778-AI778,"")</x:f>
      </x:c>
      <x:c r="AL778" s="10"/>
      <x:c r="AM778" s="10"/>
      <x:c r="AN778" s="4"/>
      <x:c r="AO778" s="4"/>
      <x:c r="AP778" s="4"/>
      <x:c r="AQ778" s="4"/>
      <x:c r="AR778" s="4"/>
      <x:c r="AS778" s="4"/>
      <x:c r="AT778" s="4"/>
      <x:c r="AU778" s="4"/>
      <x:c r="AV778" s="10"/>
      <x:c r="AW778" s="10"/>
      <x:c r="AX778" s="10"/>
      <x:c r="AY778" s="10"/>
      <x:c r="AZ778" s="10" t="n">
        <x:v>9</x:v>
      </x:c>
      <x:c r="BA778" s="10" t="n">
        <x:v>14</x:v>
      </x:c>
      <x:c r="BB778" s="4" t="n">
        <x:v>39.1</x:v>
      </x:c>
      <x:c r="BC778" s="4" t="n">
        <x:v>-11.5</x:v>
      </x:c>
      <x:c r="BD778" s="10" t="n">
        <x:v>6</x:v>
      </x:c>
      <x:c r="BE778" s="10" t="n">
        <x:v>7</x:v>
      </x:c>
      <x:c r="BF778" s="4" t="n">
        <x:v>46.2</x:v>
      </x:c>
      <x:c r="BG778" s="4" t="n">
        <x:v>0</x:v>
      </x:c>
      <x:c r="BH778" s="4" t="n">
        <x:v>0</x:v>
      </x:c>
      <x:c r="BI778" s="4" t="n">
        <x:v>100</x:v>
      </x:c>
      <x:c r="BJ778" s="4" t="n">
        <x:v>100</x:v>
      </x:c>
      <x:c r="BK778" s="4" t="n">
        <x:v>20</x:v>
      </x:c>
      <x:c r="BL778" s="4" t="n">
        <x:v>80</x:v>
      </x:c>
      <x:c r="BM778" s="4" t="n">
        <x:v>12.433333333333334</x:v>
      </x:c>
      <x:c r="BN778" s="4" t="n">
        <x:v>12.35</x:v>
      </x:c>
      <x:c r="BO778" s="10" t="n">
        <x:v>0</x:v>
      </x:c>
      <x:c r="BP778" s="10" t="n">
        <x:v>1</x:v>
      </x:c>
      <x:c r="BQ778" s="4" t="n">
        <x:v>0.3</x:v>
      </x:c>
      <x:c r="BR778" s="10" t="n">
        <x:v>1</x:v>
      </x:c>
      <x:c r="BS778" s="4" t="n">
        <x:v>0</x:v>
      </x:c>
      <x:c r="BT778" s="10" t="n">
        <x:v>1</x:v>
      </x:c>
      <x:c r="BU778" s="4" t="str">
        <x:v>TOR</x:v>
      </x:c>
      <x:c r="BV778" s="10"/>
      <x:c r="BW778" s="10"/>
      <x:c r="BX778" s="10" t="n">
        <x:v>47</x:v>
      </x:c>
      <x:c r="BY778" s="4"/>
      <x:c r="BZ778" s="4"/>
      <x:c r="CA778" s="4" t="str">
        <x:v>Matt Benning</x:v>
      </x:c>
      <x:c r="CB778" s="4" t="str">
        <x:v>bennima01</x:v>
      </x:c>
    </x:row>
    <x:row r="779" ht="22" customHeight="1">
      <x:c r="A779" s="4" t="str">
        <x:v>Matt Grzelcyk</x:v>
      </x:c>
      <x:c r="B779" s="4" t="str">
        <x:v>mattgrzelcyk</x:v>
      </x:c>
      <x:c r="C779" s="10" t="n">
        <x:v>1</x:v>
      </x:c>
      <x:c r="D779" s="10" t="n">
        <x:v>0</x:v>
      </x:c>
      <x:c r="E779" s="10" t="n">
        <x:v>1</x:v>
      </x:c>
      <x:c r="F779" s="4" t="n">
        <x:f>IF(COUNT(N779,Q779,T779,W779,Z779,AC779,AF779,AI779)=8,N779*Guide!$E$5+Q779*Guide!$E$6+T779*Guide!$E$7+W779*Guide!$E$8+Z779*Guide!$E$9+AC779*Guide!$E$10+AF779*Guide!$E$11+AI779*Guide!$E$12,"")</x:f>
        <x:v>223.75</x:v>
      </x:c>
      <x:c r="G779" s="4" t="str">
        <x:f>IF(COUNT(O779,R779,U779,X779,AA779,AD779,AG779,AJ779)=8,O779*Guide!$E$5+R779*Guide!$E$6+U779*Guide!$E$7+X779*Guide!$E$8+AA779*Guide!$E$9+AD779*Guide!$E$10+AG779*Guide!$E$11+AJ779*Guide!$E$12,"")</x:f>
      </x:c>
      <x:c r="H779" s="4" t="str">
        <x:f>IF(COUNT(G779,F779)=2,G779-F779,"")</x:f>
      </x:c>
      <x:c r="I779" s="4" t="n">
        <x:f>IF(AND(ISNUMBER(F779),K779&gt;0),F779/K779,"")</x:f>
        <x:v>2.8685897435897436</x:v>
      </x:c>
      <x:c r="J779" s="4" t="str">
        <x:f>IF(AND(ISNUMBER(G779),L779&gt;0),G779/L779,"")</x:f>
      </x:c>
      <x:c r="K779" s="10" t="n">
        <x:v>78</x:v>
      </x:c>
      <x:c r="L779" s="10"/>
      <x:c r="M779" s="10" t="str">
        <x:f>IF(COUNT(L779,K779)=2,L779-K779,"")</x:f>
      </x:c>
      <x:c r="N779" s="10" t="n">
        <x:v>4</x:v>
      </x:c>
      <x:c r="O779" s="10"/>
      <x:c r="P779" s="10" t="str">
        <x:f>IF(COUNT(O779,N779)=2,O779-N779,"")</x:f>
      </x:c>
      <x:c r="Q779" s="10" t="n">
        <x:v>29</x:v>
      </x:c>
      <x:c r="R779" s="10"/>
      <x:c r="S779" s="10" t="str">
        <x:f>IF(COUNT(R779,Q779)=2,R779-Q779,"")</x:f>
      </x:c>
      <x:c r="T779" s="10" t="n">
        <x:v>2</x:v>
      </x:c>
      <x:c r="U779" s="10"/>
      <x:c r="V779" s="10" t="str">
        <x:f>IF(COUNT(U779,T779)=2,U779-T779,"")</x:f>
      </x:c>
      <x:c r="W779" s="10" t="n">
        <x:v>12</x:v>
      </x:c>
      <x:c r="X779" s="10" t="str">
        <x:f>IF(COUNT(AV779,AW779)=2,AV779+AW779,"")</x:f>
      </x:c>
      <x:c r="Y779" s="10" t="str">
        <x:f>IF(COUNT(X779,W779)=2,X779-W779,"")</x:f>
      </x:c>
      <x:c r="Z779" s="10" t="n">
        <x:v>0</x:v>
      </x:c>
      <x:c r="AA779" s="10" t="str">
        <x:f>IF(COUNT(AX779,AY779)=2,AX779+AY779,"")</x:f>
      </x:c>
      <x:c r="AB779" s="10" t="str">
        <x:f>IF(COUNT(AA779,Z779)=2,AA779-Z779,"")</x:f>
      </x:c>
      <x:c r="AC779" s="10" t="n">
        <x:v>93</x:v>
      </x:c>
      <x:c r="AD779" s="10"/>
      <x:c r="AE779" s="10" t="str">
        <x:f>IF(COUNT(AD779,AC779)=2,AD779-AC779,"")</x:f>
      </x:c>
      <x:c r="AF779" s="10" t="n">
        <x:v>46</x:v>
      </x:c>
      <x:c r="AG779" s="10"/>
      <x:c r="AH779" s="10" t="str">
        <x:f>IF(COUNT(AG779,AF779)=2,AG779-AF779,"")</x:f>
      </x:c>
      <x:c r="AI779" s="10" t="n">
        <x:v>96</x:v>
      </x:c>
      <x:c r="AJ779" s="10"/>
      <x:c r="AK779" s="10" t="str">
        <x:f>IF(COUNT(AJ779,AI779)=2,AJ779-AI779,"")</x:f>
      </x:c>
      <x:c r="AL779" s="10" t="n">
        <x:v>32</x:v>
      </x:c>
      <x:c r="AM779" s="10"/>
      <x:c r="AN779" s="4" t="str">
        <x:v>D</x:v>
      </x:c>
      <x:c r="AO779" s="4"/>
      <x:c r="AP779" s="4" t="str">
        <x:v>PIT</x:v>
      </x:c>
      <x:c r="AQ779" s="4"/>
      <x:c r="AR779" s="4" t="n">
        <x:v>20.19</x:v>
      </x:c>
      <x:c r="AS779" s="4"/>
      <x:c r="AT779" s="4" t="n">
        <x:v>1.78</x:v>
      </x:c>
      <x:c r="AU779" s="4"/>
      <x:c r="AV779" s="10"/>
      <x:c r="AW779" s="10"/>
      <x:c r="AX779" s="10"/>
      <x:c r="AY779" s="10"/>
      <x:c r="AZ779" s="10" t="n">
        <x:v>930</x:v>
      </x:c>
      <x:c r="BA779" s="10" t="n">
        <x:v>1057</x:v>
      </x:c>
      <x:c r="BB779" s="4" t="n">
        <x:v>46.8</x:v>
      </x:c>
      <x:c r="BC779" s="4" t="n">
        <x:v>0.8</x:v>
      </x:c>
      <x:c r="BD779" s="10" t="n">
        <x:v>707</x:v>
      </x:c>
      <x:c r="BE779" s="10" t="n">
        <x:v>800</x:v>
      </x:c>
      <x:c r="BF779" s="4" t="n">
        <x:v>46.9</x:v>
      </x:c>
      <x:c r="BG779" s="4" t="n">
        <x:v>1.5</x:v>
      </x:c>
      <x:c r="BH779" s="4" t="n">
        <x:v>10</x:v>
      </x:c>
      <x:c r="BI779" s="4" t="n">
        <x:v>89.7</x:v>
      </x:c>
      <x:c r="BJ779" s="4" t="n">
        <x:v>99.7</x:v>
      </x:c>
      <x:c r="BK779" s="4" t="n">
        <x:v>54.7</x:v>
      </x:c>
      <x:c r="BL779" s="4" t="n">
        <x:v>45.3</x:v>
      </x:c>
      <x:c r="BM779" s="4" t="n">
        <x:v>16.966666666666665</x:v>
      </x:c>
      <x:c r="BN779" s="4" t="n">
        <x:v>15.733333333333333</x:v>
      </x:c>
      <x:c r="BO779" s="10" t="n">
        <x:v>21</x:v>
      </x:c>
      <x:c r="BP779" s="10" t="n">
        <x:v>46</x:v>
      </x:c>
      <x:c r="BQ779" s="4" t="n">
        <x:v>-11.8</x:v>
      </x:c>
      <x:c r="BR779" s="10" t="n">
        <x:v>159</x:v>
      </x:c>
      <x:c r="BS779" s="4" t="n">
        <x:v>42.8</x:v>
      </x:c>
      <x:c r="BT779" s="10" t="n">
        <x:v>69</x:v>
      </x:c>
      <x:c r="BU779" s="4" t="str">
        <x:v>CHI</x:v>
      </x:c>
      <x:c r="BV779" s="10" t="n">
        <x:v>326</x:v>
      </x:c>
      <x:c r="BW779" s="10"/>
      <x:c r="BX779" s="10" t="n">
        <x:v>367</x:v>
      </x:c>
      <x:c r="BY779" s="4" t="str">
        <x:v>Matt Grzelcyk</x:v>
      </x:c>
      <x:c r="BZ779" s="4"/>
      <x:c r="CA779" s="4" t="str">
        <x:v>Matt Grzelcyk</x:v>
      </x:c>
      <x:c r="CB779" s="4" t="str">
        <x:v>grzelma01</x:v>
      </x:c>
    </x:row>
    <x:row r="780" ht="22" customHeight="1">
      <x:c r="A780" s="4" t="str">
        <x:v>Matt Kiersted</x:v>
      </x:c>
      <x:c r="B780" s="4" t="str">
        <x:v>mattkiersted</x:v>
      </x:c>
      <x:c r="C780" s="10" t="n">
        <x:v>0</x:v>
      </x:c>
      <x:c r="D780" s="10" t="n">
        <x:v>0</x:v>
      </x:c>
      <x:c r="E780" s="10" t="n">
        <x:v>1</x:v>
      </x:c>
      <x:c r="F780" s="4" t="str">
        <x:f>IF(COUNT(N780,Q780,T780,W780,Z780,AC780,AF780,AI780)=8,N780*Guide!$E$5+Q780*Guide!$E$6+T780*Guide!$E$7+W780*Guide!$E$8+Z780*Guide!$E$9+AC780*Guide!$E$10+AF780*Guide!$E$11+AI780*Guide!$E$12,"")</x:f>
      </x:c>
      <x:c r="G780" s="4" t="str">
        <x:f>IF(COUNT(O780,R780,U780,X780,AA780,AD780,AG780,AJ780)=8,O780*Guide!$E$5+R780*Guide!$E$6+U780*Guide!$E$7+X780*Guide!$E$8+AA780*Guide!$E$9+AD780*Guide!$E$10+AG780*Guide!$E$11+AJ780*Guide!$E$12,"")</x:f>
      </x:c>
      <x:c r="H780" s="4" t="str">
        <x:f>IF(COUNT(G780,F780)=2,G780-F780,"")</x:f>
      </x:c>
      <x:c r="I780" s="4" t="str">
        <x:f>IF(AND(ISNUMBER(F780),K780&gt;0),F780/K780,"")</x:f>
      </x:c>
      <x:c r="J780" s="4" t="str">
        <x:f>IF(AND(ISNUMBER(G780),L780&gt;0),G780/L780,"")</x:f>
      </x:c>
      <x:c r="K780" s="10"/>
      <x:c r="L780" s="10"/>
      <x:c r="M780" s="10" t="str">
        <x:f>IF(COUNT(L780,K780)=2,L780-K780,"")</x:f>
      </x:c>
      <x:c r="N780" s="10"/>
      <x:c r="O780" s="10"/>
      <x:c r="P780" s="10" t="str">
        <x:f>IF(COUNT(O780,N780)=2,O780-N780,"")</x:f>
      </x:c>
      <x:c r="Q780" s="10"/>
      <x:c r="R780" s="10"/>
      <x:c r="S780" s="10" t="str">
        <x:f>IF(COUNT(R780,Q780)=2,R780-Q780,"")</x:f>
      </x:c>
      <x:c r="T780" s="10"/>
      <x:c r="U780" s="10"/>
      <x:c r="V780" s="10" t="str">
        <x:f>IF(COUNT(U780,T780)=2,U780-T780,"")</x:f>
      </x:c>
      <x:c r="W780" s="10"/>
      <x:c r="X780" s="10" t="str">
        <x:f>IF(COUNT(AV780,AW780)=2,AV780+AW780,"")</x:f>
      </x:c>
      <x:c r="Y780" s="10" t="str">
        <x:f>IF(COUNT(X780,W780)=2,X780-W780,"")</x:f>
      </x:c>
      <x:c r="Z780" s="10"/>
      <x:c r="AA780" s="10" t="str">
        <x:f>IF(COUNT(AX780,AY780)=2,AX780+AY780,"")</x:f>
      </x:c>
      <x:c r="AB780" s="10" t="str">
        <x:f>IF(COUNT(AA780,Z780)=2,AA780-Z780,"")</x:f>
      </x:c>
      <x:c r="AC780" s="10"/>
      <x:c r="AD780" s="10"/>
      <x:c r="AE780" s="10" t="str">
        <x:f>IF(COUNT(AD780,AC780)=2,AD780-AC780,"")</x:f>
      </x:c>
      <x:c r="AF780" s="10"/>
      <x:c r="AG780" s="10"/>
      <x:c r="AH780" s="10" t="str">
        <x:f>IF(COUNT(AG780,AF780)=2,AG780-AF780,"")</x:f>
      </x:c>
      <x:c r="AI780" s="10"/>
      <x:c r="AJ780" s="10"/>
      <x:c r="AK780" s="10" t="str">
        <x:f>IF(COUNT(AJ780,AI780)=2,AJ780-AI780,"")</x:f>
      </x:c>
      <x:c r="AL780" s="10"/>
      <x:c r="AM780" s="10"/>
      <x:c r="AN780" s="4"/>
      <x:c r="AO780" s="4"/>
      <x:c r="AP780" s="4"/>
      <x:c r="AQ780" s="4"/>
      <x:c r="AR780" s="4"/>
      <x:c r="AS780" s="4"/>
      <x:c r="AT780" s="4"/>
      <x:c r="AU780" s="4"/>
      <x:c r="AV780" s="10"/>
      <x:c r="AW780" s="10"/>
      <x:c r="AX780" s="10"/>
      <x:c r="AY780" s="10"/>
      <x:c r="AZ780" s="10" t="n">
        <x:v>60</x:v>
      </x:c>
      <x:c r="BA780" s="10" t="n">
        <x:v>90</x:v>
      </x:c>
      <x:c r="BB780" s="4" t="n">
        <x:v>40</x:v>
      </x:c>
      <x:c r="BC780" s="4" t="n">
        <x:v>-5.4</x:v>
      </x:c>
      <x:c r="BD780" s="10" t="n">
        <x:v>44</x:v>
      </x:c>
      <x:c r="BE780" s="10" t="n">
        <x:v>65</x:v>
      </x:c>
      <x:c r="BF780" s="4" t="n">
        <x:v>40.4</x:v>
      </x:c>
      <x:c r="BG780" s="4" t="n">
        <x:v>-9</x:v>
      </x:c>
      <x:c r="BH780" s="4" t="n">
        <x:v>10.7</x:v>
      </x:c>
      <x:c r="BI780" s="4" t="n">
        <x:v>92.1</x:v>
      </x:c>
      <x:c r="BJ780" s="4" t="n">
        <x:v>102.8</x:v>
      </x:c>
      <x:c r="BK780" s="4" t="n">
        <x:v>45.6</x:v>
      </x:c>
      <x:c r="BL780" s="4" t="n">
        <x:v>54.4</x:v>
      </x:c>
      <x:c r="BM780" s="4" t="n">
        <x:v>15.733333333333333</x:v>
      </x:c>
      <x:c r="BN780" s="4" t="n">
        <x:v>13.733333333333333</x:v>
      </x:c>
      <x:c r="BO780" s="10" t="n">
        <x:v>0</x:v>
      </x:c>
      <x:c r="BP780" s="10" t="n">
        <x:v>10</x:v>
      </x:c>
      <x:c r="BQ780" s="4" t="n">
        <x:v>-1.8</x:v>
      </x:c>
      <x:c r="BR780" s="10" t="n">
        <x:v>5</x:v>
      </x:c>
      <x:c r="BS780" s="4" t="n">
        <x:v>80</x:v>
      </x:c>
      <x:c r="BT780" s="10" t="n">
        <x:v>6</x:v>
      </x:c>
      <x:c r="BU780" s="4" t="str">
        <x:v>MIN</x:v>
      </x:c>
      <x:c r="BV780" s="10"/>
      <x:c r="BW780" s="10"/>
      <x:c r="BX780" s="10" t="n">
        <x:v>518</x:v>
      </x:c>
      <x:c r="BY780" s="4"/>
      <x:c r="BZ780" s="4"/>
      <x:c r="CA780" s="4" t="str">
        <x:v>Matt Kiersted</x:v>
      </x:c>
      <x:c r="CB780" s="4" t="str">
        <x:v>kiersma01</x:v>
      </x:c>
    </x:row>
    <x:row r="781" ht="22" customHeight="1">
      <x:c r="A781" s="4" t="str">
        <x:v>Matt Luff</x:v>
      </x:c>
      <x:c r="B781" s="4" t="str">
        <x:v>mattluff</x:v>
      </x:c>
      <x:c r="C781" s="10" t="n">
        <x:v>0</x:v>
      </x:c>
      <x:c r="D781" s="10" t="n">
        <x:v>0</x:v>
      </x:c>
      <x:c r="E781" s="10" t="n">
        <x:v>1</x:v>
      </x:c>
      <x:c r="F781" s="4" t="str">
        <x:f>IF(COUNT(N781,Q781,T781,W781,Z781,AC781,AF781,AI781)=8,N781*Guide!$E$5+Q781*Guide!$E$6+T781*Guide!$E$7+W781*Guide!$E$8+Z781*Guide!$E$9+AC781*Guide!$E$10+AF781*Guide!$E$11+AI781*Guide!$E$12,"")</x:f>
      </x:c>
      <x:c r="G781" s="4" t="str">
        <x:f>IF(COUNT(O781,R781,U781,X781,AA781,AD781,AG781,AJ781)=8,O781*Guide!$E$5+R781*Guide!$E$6+U781*Guide!$E$7+X781*Guide!$E$8+AA781*Guide!$E$9+AD781*Guide!$E$10+AG781*Guide!$E$11+AJ781*Guide!$E$12,"")</x:f>
      </x:c>
      <x:c r="H781" s="4" t="str">
        <x:f>IF(COUNT(G781,F781)=2,G781-F781,"")</x:f>
      </x:c>
      <x:c r="I781" s="4" t="str">
        <x:f>IF(AND(ISNUMBER(F781),K781&gt;0),F781/K781,"")</x:f>
      </x:c>
      <x:c r="J781" s="4" t="str">
        <x:f>IF(AND(ISNUMBER(G781),L781&gt;0),G781/L781,"")</x:f>
      </x:c>
      <x:c r="K781" s="10"/>
      <x:c r="L781" s="10"/>
      <x:c r="M781" s="10" t="str">
        <x:f>IF(COUNT(L781,K781)=2,L781-K781,"")</x:f>
      </x:c>
      <x:c r="N781" s="10"/>
      <x:c r="O781" s="10"/>
      <x:c r="P781" s="10" t="str">
        <x:f>IF(COUNT(O781,N781)=2,O781-N781,"")</x:f>
      </x:c>
      <x:c r="Q781" s="10"/>
      <x:c r="R781" s="10"/>
      <x:c r="S781" s="10" t="str">
        <x:f>IF(COUNT(R781,Q781)=2,R781-Q781,"")</x:f>
      </x:c>
      <x:c r="T781" s="10"/>
      <x:c r="U781" s="10"/>
      <x:c r="V781" s="10" t="str">
        <x:f>IF(COUNT(U781,T781)=2,U781-T781,"")</x:f>
      </x:c>
      <x:c r="W781" s="10"/>
      <x:c r="X781" s="10" t="str">
        <x:f>IF(COUNT(AV781,AW781)=2,AV781+AW781,"")</x:f>
      </x:c>
      <x:c r="Y781" s="10" t="str">
        <x:f>IF(COUNT(X781,W781)=2,X781-W781,"")</x:f>
      </x:c>
      <x:c r="Z781" s="10"/>
      <x:c r="AA781" s="10" t="str">
        <x:f>IF(COUNT(AX781,AY781)=2,AX781+AY781,"")</x:f>
      </x:c>
      <x:c r="AB781" s="10" t="str">
        <x:f>IF(COUNT(AA781,Z781)=2,AA781-Z781,"")</x:f>
      </x:c>
      <x:c r="AC781" s="10"/>
      <x:c r="AD781" s="10"/>
      <x:c r="AE781" s="10" t="str">
        <x:f>IF(COUNT(AD781,AC781)=2,AD781-AC781,"")</x:f>
      </x:c>
      <x:c r="AF781" s="10"/>
      <x:c r="AG781" s="10"/>
      <x:c r="AH781" s="10" t="str">
        <x:f>IF(COUNT(AG781,AF781)=2,AG781-AF781,"")</x:f>
      </x:c>
      <x:c r="AI781" s="10"/>
      <x:c r="AJ781" s="10"/>
      <x:c r="AK781" s="10" t="str">
        <x:f>IF(COUNT(AJ781,AI781)=2,AJ781-AI781,"")</x:f>
      </x:c>
      <x:c r="AL781" s="10"/>
      <x:c r="AM781" s="10"/>
      <x:c r="AN781" s="4"/>
      <x:c r="AO781" s="4"/>
      <x:c r="AP781" s="4"/>
      <x:c r="AQ781" s="4"/>
      <x:c r="AR781" s="4"/>
      <x:c r="AS781" s="4"/>
      <x:c r="AT781" s="4"/>
      <x:c r="AU781" s="4"/>
      <x:c r="AV781" s="10"/>
      <x:c r="AW781" s="10"/>
      <x:c r="AX781" s="10"/>
      <x:c r="AY781" s="10"/>
      <x:c r="AZ781" s="10" t="n">
        <x:v>36</x:v>
      </x:c>
      <x:c r="BA781" s="10" t="n">
        <x:v>40</x:v>
      </x:c>
      <x:c r="BB781" s="4" t="n">
        <x:v>47.4</x:v>
      </x:c>
      <x:c r="BC781" s="4" t="n">
        <x:v>1.6</x:v>
      </x:c>
      <x:c r="BD781" s="10" t="n">
        <x:v>26</x:v>
      </x:c>
      <x:c r="BE781" s="10" t="n">
        <x:v>31</x:v>
      </x:c>
      <x:c r="BF781" s="4" t="n">
        <x:v>45.6</x:v>
      </x:c>
      <x:c r="BG781" s="4" t="n">
        <x:v>-0.1</x:v>
      </x:c>
      <x:c r="BH781" s="4" t="n">
        <x:v>5.6</x:v>
      </x:c>
      <x:c r="BI781" s="4" t="n">
        <x:v>86.4</x:v>
      </x:c>
      <x:c r="BJ781" s="4" t="n">
        <x:v>91.9</x:v>
      </x:c>
      <x:c r="BK781" s="4" t="n">
        <x:v>57.1</x:v>
      </x:c>
      <x:c r="BL781" s="4" t="n">
        <x:v>42.9</x:v>
      </x:c>
      <x:c r="BM781" s="4" t="n">
        <x:v>9.133333333333333</x:v>
      </x:c>
      <x:c r="BN781" s="4" t="n">
        <x:v>8.983333333333333</x:v>
      </x:c>
      <x:c r="BO781" s="10" t="n">
        <x:v>2</x:v>
      </x:c>
      <x:c r="BP781" s="10" t="n">
        <x:v>0</x:v>
      </x:c>
      <x:c r="BQ781" s="4" t="n">
        <x:v>-1.1</x:v>
      </x:c>
      <x:c r="BR781" s="10" t="n">
        <x:v>7</x:v>
      </x:c>
      <x:c r="BS781" s="4" t="n">
        <x:v>71.4</x:v>
      </x:c>
      <x:c r="BT781" s="10" t="n">
        <x:v>5</x:v>
      </x:c>
      <x:c r="BU781" s="4" t="str">
        <x:v>STL</x:v>
      </x:c>
      <x:c r="BV781" s="10"/>
      <x:c r="BW781" s="10"/>
      <x:c r="BX781" s="10" t="n">
        <x:v>610</x:v>
      </x:c>
      <x:c r="BY781" s="4"/>
      <x:c r="BZ781" s="4"/>
      <x:c r="CA781" s="4" t="str">
        <x:v>Matt Luff</x:v>
      </x:c>
      <x:c r="CB781" s="4" t="str">
        <x:v>luffma01</x:v>
      </x:c>
    </x:row>
    <x:row r="782" ht="22" customHeight="1">
      <x:c r="A782" s="4" t="str">
        <x:v>Matt Rempe</x:v>
      </x:c>
      <x:c r="B782" s="4" t="str">
        <x:v>mattrempe</x:v>
      </x:c>
      <x:c r="C782" s="10" t="n">
        <x:v>1</x:v>
      </x:c>
      <x:c r="D782" s="10" t="n">
        <x:v>0</x:v>
      </x:c>
      <x:c r="E782" s="10" t="n">
        <x:v>1</x:v>
      </x:c>
      <x:c r="F782" s="4" t="n">
        <x:f>IF(COUNT(N782,Q782,T782,W782,Z782,AC782,AF782,AI782)=8,N782*Guide!$E$5+Q782*Guide!$E$6+T782*Guide!$E$7+W782*Guide!$E$8+Z782*Guide!$E$9+AC782*Guide!$E$10+AF782*Guide!$E$11+AI782*Guide!$E$12,"")</x:f>
        <x:v>101.25</x:v>
      </x:c>
      <x:c r="G782" s="4" t="str">
        <x:f>IF(COUNT(O782,R782,U782,X782,AA782,AD782,AG782,AJ782)=8,O782*Guide!$E$5+R782*Guide!$E$6+U782*Guide!$E$7+X782*Guide!$E$8+AA782*Guide!$E$9+AD782*Guide!$E$10+AG782*Guide!$E$11+AJ782*Guide!$E$12,"")</x:f>
      </x:c>
      <x:c r="H782" s="4" t="str">
        <x:f>IF(COUNT(G782,F782)=2,G782-F782,"")</x:f>
      </x:c>
      <x:c r="I782" s="4" t="n">
        <x:f>IF(AND(ISNUMBER(F782),K782&gt;0),F782/K782,"")</x:f>
        <x:v>2.066326530612245</x:v>
      </x:c>
      <x:c r="J782" s="4" t="str">
        <x:f>IF(AND(ISNUMBER(G782),L782&gt;0),G782/L782,"")</x:f>
      </x:c>
      <x:c r="K782" s="10" t="n">
        <x:v>49</x:v>
      </x:c>
      <x:c r="L782" s="10"/>
      <x:c r="M782" s="10" t="str">
        <x:f>IF(COUNT(L782,K782)=2,L782-K782,"")</x:f>
      </x:c>
      <x:c r="N782" s="10" t="n">
        <x:v>6</x:v>
      </x:c>
      <x:c r="O782" s="10"/>
      <x:c r="P782" s="10" t="str">
        <x:f>IF(COUNT(O782,N782)=2,O782-N782,"")</x:f>
      </x:c>
      <x:c r="Q782" s="10" t="n">
        <x:v>7</x:v>
      </x:c>
      <x:c r="R782" s="10"/>
      <x:c r="S782" s="10" t="str">
        <x:f>IF(COUNT(R782,Q782)=2,R782-Q782,"")</x:f>
      </x:c>
      <x:c r="T782" s="10" t="n">
        <x:v>-1</x:v>
      </x:c>
      <x:c r="U782" s="10"/>
      <x:c r="V782" s="10" t="str">
        <x:f>IF(COUNT(U782,T782)=2,U782-T782,"")</x:f>
      </x:c>
      <x:c r="W782" s="10" t="n">
        <x:v>0</x:v>
      </x:c>
      <x:c r="X782" s="10" t="str">
        <x:f>IF(COUNT(AV782,AW782)=2,AV782+AW782,"")</x:f>
      </x:c>
      <x:c r="Y782" s="10" t="str">
        <x:f>IF(COUNT(X782,W782)=2,X782-W782,"")</x:f>
      </x:c>
      <x:c r="Z782" s="10" t="n">
        <x:v>0</x:v>
      </x:c>
      <x:c r="AA782" s="10" t="str">
        <x:f>IF(COUNT(AX782,AY782)=2,AX782+AY782,"")</x:f>
      </x:c>
      <x:c r="AB782" s="10" t="str">
        <x:f>IF(COUNT(AA782,Z782)=2,AA782-Z782,"")</x:f>
      </x:c>
      <x:c r="AC782" s="10" t="n">
        <x:v>41</x:v>
      </x:c>
      <x:c r="AD782" s="10"/>
      <x:c r="AE782" s="10" t="str">
        <x:f>IF(COUNT(AD782,AC782)=2,AD782-AC782,"")</x:f>
      </x:c>
      <x:c r="AF782" s="10" t="n">
        <x:v>137</x:v>
      </x:c>
      <x:c r="AG782" s="10"/>
      <x:c r="AH782" s="10" t="str">
        <x:f>IF(COUNT(AG782,AF782)=2,AG782-AF782,"")</x:f>
      </x:c>
      <x:c r="AI782" s="10" t="n">
        <x:v>17</x:v>
      </x:c>
      <x:c r="AJ782" s="10"/>
      <x:c r="AK782" s="10" t="str">
        <x:f>IF(COUNT(AJ782,AI782)=2,AJ782-AI782,"")</x:f>
      </x:c>
      <x:c r="AL782" s="10" t="n">
        <x:v>23</x:v>
      </x:c>
      <x:c r="AM782" s="10"/>
      <x:c r="AN782" s="4" t="str">
        <x:v>RW</x:v>
      </x:c>
      <x:c r="AO782" s="4"/>
      <x:c r="AP782" s="4" t="str">
        <x:v>NYR</x:v>
      </x:c>
      <x:c r="AQ782" s="4"/>
      <x:c r="AR782" s="4" t="n">
        <x:v>8.909999999999998</x:v>
      </x:c>
      <x:c r="AS782" s="4"/>
      <x:c r="AT782" s="4" t="n">
        <x:v>0.12</x:v>
      </x:c>
      <x:c r="AU782" s="4"/>
      <x:c r="AV782" s="10"/>
      <x:c r="AW782" s="10"/>
      <x:c r="AX782" s="10"/>
      <x:c r="AY782" s="10"/>
      <x:c r="AZ782" s="10" t="n">
        <x:v>206</x:v>
      </x:c>
      <x:c r="BA782" s="10" t="n">
        <x:v>207</x:v>
      </x:c>
      <x:c r="BB782" s="4" t="n">
        <x:v>49.9</x:v>
      </x:c>
      <x:c r="BC782" s="4" t="n">
        <x:v>1.3</x:v>
      </x:c>
      <x:c r="BD782" s="10" t="n">
        <x:v>133</x:v>
      </x:c>
      <x:c r="BE782" s="10" t="n">
        <x:v>151</x:v>
      </x:c>
      <x:c r="BF782" s="4" t="n">
        <x:v>46.8</x:v>
      </x:c>
      <x:c r="BG782" s="4" t="n">
        <x:v>0</x:v>
      </x:c>
      <x:c r="BH782" s="4" t="n">
        <x:v>7.9</x:v>
      </x:c>
      <x:c r="BI782" s="4" t="n">
        <x:v>89.5</x:v>
      </x:c>
      <x:c r="BJ782" s="4" t="n">
        <x:v>97.4</x:v>
      </x:c>
      <x:c r="BK782" s="4" t="n">
        <x:v>36</x:v>
      </x:c>
      <x:c r="BL782" s="4" t="n">
        <x:v>64</x:v>
      </x:c>
      <x:c r="BM782" s="4" t="n">
        <x:v>8.6</x:v>
      </x:c>
      <x:c r="BN782" s="4" t="n">
        <x:v>8.3</x:v>
      </x:c>
      <x:c r="BO782" s="10" t="n">
        <x:v>2</x:v>
      </x:c>
      <x:c r="BP782" s="10" t="n">
        <x:v>5</x:v>
      </x:c>
      <x:c r="BQ782" s="4" t="n">
        <x:v>-0.8</x:v>
      </x:c>
      <x:c r="BR782" s="10" t="n">
        <x:v>32</x:v>
      </x:c>
      <x:c r="BS782" s="4" t="n">
        <x:v>46.9</x:v>
      </x:c>
      <x:c r="BT782" s="10" t="n">
        <x:v>26</x:v>
      </x:c>
      <x:c r="BU782" s="4" t="str">
        <x:v>NYR</x:v>
      </x:c>
      <x:c r="BV782" s="10" t="n">
        <x:v>673</x:v>
      </x:c>
      <x:c r="BW782" s="10"/>
      <x:c r="BX782" s="10" t="n">
        <x:v>858</x:v>
      </x:c>
      <x:c r="BY782" s="4" t="str">
        <x:v>Matt Rempe</x:v>
      </x:c>
      <x:c r="BZ782" s="4"/>
      <x:c r="CA782" s="4" t="str">
        <x:v>Matt Rempe</x:v>
      </x:c>
      <x:c r="CB782" s="4" t="str">
        <x:v>rempema01</x:v>
      </x:c>
    </x:row>
    <x:row r="783" ht="22" customHeight="1">
      <x:c r="A783" s="4" t="str">
        <x:v>Matthew Benning</x:v>
      </x:c>
      <x:c r="B783" s="4" t="str">
        <x:v>matthewbenning</x:v>
      </x:c>
      <x:c r="C783" s="10" t="n">
        <x:v>1</x:v>
      </x:c>
      <x:c r="D783" s="10" t="n">
        <x:v>0</x:v>
      </x:c>
      <x:c r="E783" s="10" t="n">
        <x:v>0</x:v>
      </x:c>
      <x:c r="F783" s="4" t="n">
        <x:f>IF(COUNT(N783,Q783,T783,W783,Z783,AC783,AF783,AI783)=8,N783*Guide!$E$5+Q783*Guide!$E$6+T783*Guide!$E$7+W783*Guide!$E$8+Z783*Guide!$E$9+AC783*Guide!$E$10+AF783*Guide!$E$11+AI783*Guide!$E$12,"")</x:f>
        <x:v>196.75</x:v>
      </x:c>
      <x:c r="G783" s="4" t="str">
        <x:f>IF(COUNT(O783,R783,U783,X783,AA783,AD783,AG783,AJ783)=8,O783*Guide!$E$5+R783*Guide!$E$6+U783*Guide!$E$7+X783*Guide!$E$8+AA783*Guide!$E$9+AD783*Guide!$E$10+AG783*Guide!$E$11+AJ783*Guide!$E$12,"")</x:f>
      </x:c>
      <x:c r="H783" s="4" t="str">
        <x:f>IF(COUNT(G783,F783)=2,G783-F783,"")</x:f>
      </x:c>
      <x:c r="I783" s="4" t="n">
        <x:f>IF(AND(ISNUMBER(F783),K783&gt;0),F783/K783,"")</x:f>
        <x:v>2.459375</x:v>
      </x:c>
      <x:c r="J783" s="4" t="str">
        <x:f>IF(AND(ISNUMBER(G783),L783&gt;0),G783/L783,"")</x:f>
      </x:c>
      <x:c r="K783" s="10" t="n">
        <x:v>80</x:v>
      </x:c>
      <x:c r="L783" s="10"/>
      <x:c r="M783" s="10" t="str">
        <x:f>IF(COUNT(L783,K783)=2,L783-K783,"")</x:f>
      </x:c>
      <x:c r="N783" s="10" t="n">
        <x:v>3</x:v>
      </x:c>
      <x:c r="O783" s="10"/>
      <x:c r="P783" s="10" t="str">
        <x:f>IF(COUNT(O783,N783)=2,O783-N783,"")</x:f>
      </x:c>
      <x:c r="Q783" s="10" t="n">
        <x:v>19</x:v>
      </x:c>
      <x:c r="R783" s="10"/>
      <x:c r="S783" s="10" t="str">
        <x:f>IF(COUNT(R783,Q783)=2,R783-Q783,"")</x:f>
      </x:c>
      <x:c r="T783" s="10" t="n">
        <x:v>-10</x:v>
      </x:c>
      <x:c r="U783" s="10"/>
      <x:c r="V783" s="10" t="str">
        <x:f>IF(COUNT(U783,T783)=2,U783-T783,"")</x:f>
      </x:c>
      <x:c r="W783" s="10" t="n">
        <x:v>3</x:v>
      </x:c>
      <x:c r="X783" s="10" t="str">
        <x:f>IF(COUNT(AV783,AW783)=2,AV783+AW783,"")</x:f>
      </x:c>
      <x:c r="Y783" s="10" t="str">
        <x:f>IF(COUNT(X783,W783)=2,X783-W783,"")</x:f>
      </x:c>
      <x:c r="Z783" s="10" t="n">
        <x:v>1</x:v>
      </x:c>
      <x:c r="AA783" s="10" t="str">
        <x:f>IF(COUNT(AX783,AY783)=2,AX783+AY783,"")</x:f>
      </x:c>
      <x:c r="AB783" s="10" t="str">
        <x:f>IF(COUNT(AA783,Z783)=2,AA783-Z783,"")</x:f>
      </x:c>
      <x:c r="AC783" s="10" t="n">
        <x:v>78</x:v>
      </x:c>
      <x:c r="AD783" s="10"/>
      <x:c r="AE783" s="10" t="str">
        <x:f>IF(COUNT(AD783,AC783)=2,AD783-AC783,"")</x:f>
      </x:c>
      <x:c r="AF783" s="10" t="n">
        <x:v>77</x:v>
      </x:c>
      <x:c r="AG783" s="10"/>
      <x:c r="AH783" s="10" t="str">
        <x:f>IF(COUNT(AG783,AF783)=2,AG783-AF783,"")</x:f>
      </x:c>
      <x:c r="AI783" s="10" t="n">
        <x:v>124</x:v>
      </x:c>
      <x:c r="AJ783" s="10"/>
      <x:c r="AK783" s="10" t="str">
        <x:f>IF(COUNT(AJ783,AI783)=2,AJ783-AI783,"")</x:f>
      </x:c>
      <x:c r="AL783" s="10" t="n">
        <x:v>31</x:v>
      </x:c>
      <x:c r="AM783" s="10"/>
      <x:c r="AN783" s="4" t="str">
        <x:v>D</x:v>
      </x:c>
      <x:c r="AO783" s="4"/>
      <x:c r="AP783" s="4" t="str">
        <x:v>TOR</x:v>
      </x:c>
      <x:c r="AQ783" s="4"/>
      <x:c r="AR783" s="4" t="n">
        <x:v>19.33</x:v>
      </x:c>
      <x:c r="AS783" s="4"/>
      <x:c r="AT783" s="4" t="n">
        <x:v>0.81</x:v>
      </x:c>
      <x:c r="AU783" s="4"/>
      <x:c r="AV783" s="10"/>
      <x:c r="AW783" s="10"/>
      <x:c r="AX783" s="10"/>
      <x:c r="AY783" s="10"/>
      <x:c r="AZ783" s="10"/>
      <x:c r="BA783" s="10"/>
      <x:c r="BB783" s="4"/>
      <x:c r="BC783" s="4"/>
      <x:c r="BD783" s="10"/>
      <x:c r="BE783" s="10"/>
      <x:c r="BF783" s="4"/>
      <x:c r="BG783" s="4"/>
      <x:c r="BH783" s="4"/>
      <x:c r="BI783" s="4"/>
      <x:c r="BJ783" s="4"/>
      <x:c r="BK783" s="4"/>
      <x:c r="BL783" s="4"/>
      <x:c r="BM783" s="4"/>
      <x:c r="BN783" s="4"/>
      <x:c r="BO783" s="10"/>
      <x:c r="BP783" s="10"/>
      <x:c r="BQ783" s="4"/>
      <x:c r="BR783" s="10"/>
      <x:c r="BS783" s="4"/>
      <x:c r="BT783" s="10"/>
      <x:c r="BU783" s="4"/>
      <x:c r="BV783" s="10" t="n">
        <x:v>480</x:v>
      </x:c>
      <x:c r="BW783" s="10"/>
      <x:c r="BX783" s="10"/>
      <x:c r="BY783" s="4" t="str">
        <x:v>Matthew Benning</x:v>
      </x:c>
      <x:c r="BZ783" s="4"/>
      <x:c r="CA783" s="4"/>
      <x:c r="CB783" s="4"/>
    </x:row>
    <x:row r="784" ht="22" customHeight="1">
      <x:c r="A784" s="4" t="str">
        <x:v>Matthew Highmore</x:v>
      </x:c>
      <x:c r="B784" s="4" t="str">
        <x:v>matthewhighmore</x:v>
      </x:c>
      <x:c r="C784" s="10" t="n">
        <x:v>1</x:v>
      </x:c>
      <x:c r="D784" s="10" t="n">
        <x:v>0</x:v>
      </x:c>
      <x:c r="E784" s="10" t="n">
        <x:v>0</x:v>
      </x:c>
      <x:c r="F784" s="4" t="n">
        <x:f>IF(COUNT(N784,Q784,T784,W784,Z784,AC784,AF784,AI784)=8,N784*Guide!$E$5+Q784*Guide!$E$6+T784*Guide!$E$7+W784*Guide!$E$8+Z784*Guide!$E$9+AC784*Guide!$E$10+AF784*Guide!$E$11+AI784*Guide!$E$12,"")</x:f>
        <x:v>89.75</x:v>
      </x:c>
      <x:c r="G784" s="4" t="str">
        <x:f>IF(COUNT(O784,R784,U784,X784,AA784,AD784,AG784,AJ784)=8,O784*Guide!$E$5+R784*Guide!$E$6+U784*Guide!$E$7+X784*Guide!$E$8+AA784*Guide!$E$9+AD784*Guide!$E$10+AG784*Guide!$E$11+AJ784*Guide!$E$12,"")</x:f>
      </x:c>
      <x:c r="H784" s="4" t="str">
        <x:f>IF(COUNT(G784,F784)=2,G784-F784,"")</x:f>
      </x:c>
      <x:c r="I784" s="4" t="n">
        <x:f>IF(AND(ISNUMBER(F784),K784&gt;0),F784/K784,"")</x:f>
        <x:v>1.662037037037037</x:v>
      </x:c>
      <x:c r="J784" s="4" t="str">
        <x:f>IF(AND(ISNUMBER(G784),L784&gt;0),G784/L784,"")</x:f>
      </x:c>
      <x:c r="K784" s="10" t="n">
        <x:v>54</x:v>
      </x:c>
      <x:c r="L784" s="10"/>
      <x:c r="M784" s="10" t="str">
        <x:f>IF(COUNT(L784,K784)=2,L784-K784,"")</x:f>
      </x:c>
      <x:c r="N784" s="10" t="n">
        <x:v>5</x:v>
      </x:c>
      <x:c r="O784" s="10"/>
      <x:c r="P784" s="10" t="str">
        <x:f>IF(COUNT(O784,N784)=2,O784-N784,"")</x:f>
      </x:c>
      <x:c r="Q784" s="10" t="n">
        <x:v>7</x:v>
      </x:c>
      <x:c r="R784" s="10"/>
      <x:c r="S784" s="10" t="str">
        <x:f>IF(COUNT(R784,Q784)=2,R784-Q784,"")</x:f>
      </x:c>
      <x:c r="T784" s="10" t="n">
        <x:v>-2</x:v>
      </x:c>
      <x:c r="U784" s="10"/>
      <x:c r="V784" s="10" t="str">
        <x:f>IF(COUNT(U784,T784)=2,U784-T784,"")</x:f>
      </x:c>
      <x:c r="W784" s="10" t="n">
        <x:v>0</x:v>
      </x:c>
      <x:c r="X784" s="10" t="str">
        <x:f>IF(COUNT(AV784,AW784)=2,AV784+AW784,"")</x:f>
      </x:c>
      <x:c r="Y784" s="10" t="str">
        <x:f>IF(COUNT(X784,W784)=2,X784-W784,"")</x:f>
      </x:c>
      <x:c r="Z784" s="10" t="n">
        <x:v>1</x:v>
      </x:c>
      <x:c r="AA784" s="10" t="str">
        <x:f>IF(COUNT(AX784,AY784)=2,AX784+AY784,"")</x:f>
      </x:c>
      <x:c r="AB784" s="10" t="str">
        <x:f>IF(COUNT(AA784,Z784)=2,AA784-Z784,"")</x:f>
      </x:c>
      <x:c r="AC784" s="10" t="n">
        <x:v>47</x:v>
      </x:c>
      <x:c r="AD784" s="10"/>
      <x:c r="AE784" s="10" t="str">
        <x:f>IF(COUNT(AD784,AC784)=2,AD784-AC784,"")</x:f>
      </x:c>
      <x:c r="AF784" s="10" t="n">
        <x:v>63</x:v>
      </x:c>
      <x:c r="AG784" s="10"/>
      <x:c r="AH784" s="10" t="str">
        <x:f>IF(COUNT(AG784,AF784)=2,AG784-AF784,"")</x:f>
      </x:c>
      <x:c r="AI784" s="10" t="n">
        <x:v>27</x:v>
      </x:c>
      <x:c r="AJ784" s="10"/>
      <x:c r="AK784" s="10" t="str">
        <x:f>IF(COUNT(AJ784,AI784)=2,AJ784-AI784,"")</x:f>
      </x:c>
      <x:c r="AL784" s="10" t="n">
        <x:v>29</x:v>
      </x:c>
      <x:c r="AM784" s="10"/>
      <x:c r="AN784" s="4" t="str">
        <x:v>C</x:v>
      </x:c>
      <x:c r="AO784" s="4"/>
      <x:c r="AP784" s="4" t="str">
        <x:v>OTT</x:v>
      </x:c>
      <x:c r="AQ784" s="4"/>
      <x:c r="AR784" s="4" t="n">
        <x:v>11.03</x:v>
      </x:c>
      <x:c r="AS784" s="4"/>
      <x:c r="AT784" s="4" t="n">
        <x:v>0</x:v>
      </x:c>
      <x:c r="AU784" s="4"/>
      <x:c r="AV784" s="10"/>
      <x:c r="AW784" s="10"/>
      <x:c r="AX784" s="10"/>
      <x:c r="AY784" s="10"/>
      <x:c r="AZ784" s="10"/>
      <x:c r="BA784" s="10"/>
      <x:c r="BB784" s="4"/>
      <x:c r="BC784" s="4"/>
      <x:c r="BD784" s="10"/>
      <x:c r="BE784" s="10"/>
      <x:c r="BF784" s="4"/>
      <x:c r="BG784" s="4"/>
      <x:c r="BH784" s="4"/>
      <x:c r="BI784" s="4"/>
      <x:c r="BJ784" s="4"/>
      <x:c r="BK784" s="4"/>
      <x:c r="BL784" s="4"/>
      <x:c r="BM784" s="4"/>
      <x:c r="BN784" s="4"/>
      <x:c r="BO784" s="10"/>
      <x:c r="BP784" s="10"/>
      <x:c r="BQ784" s="4"/>
      <x:c r="BR784" s="10"/>
      <x:c r="BS784" s="4"/>
      <x:c r="BT784" s="10"/>
      <x:c r="BU784" s="4"/>
      <x:c r="BV784" s="10" t="n">
        <x:v>699</x:v>
      </x:c>
      <x:c r="BW784" s="10"/>
      <x:c r="BX784" s="10"/>
      <x:c r="BY784" s="4" t="str">
        <x:v>Matthew Highmore</x:v>
      </x:c>
      <x:c r="BZ784" s="4"/>
      <x:c r="CA784" s="4"/>
      <x:c r="CB784" s="4"/>
    </x:row>
    <x:row r="785" ht="22" customHeight="1">
      <x:c r="A785" s="4" t="str">
        <x:v>Matthew Kessel</x:v>
      </x:c>
      <x:c r="B785" s="4" t="str">
        <x:v>matthewkessel</x:v>
      </x:c>
      <x:c r="C785" s="10" t="n">
        <x:v>1</x:v>
      </x:c>
      <x:c r="D785" s="10" t="n">
        <x:v>0</x:v>
      </x:c>
      <x:c r="E785" s="10" t="n">
        <x:v>1</x:v>
      </x:c>
      <x:c r="F785" s="4" t="n">
        <x:f>IF(COUNT(N785,Q785,T785,W785,Z785,AC785,AF785,AI785)=8,N785*Guide!$E$5+Q785*Guide!$E$6+T785*Guide!$E$7+W785*Guide!$E$8+Z785*Guide!$E$9+AC785*Guide!$E$10+AF785*Guide!$E$11+AI785*Guide!$E$12,"")</x:f>
        <x:v>71.75</x:v>
      </x:c>
      <x:c r="G785" s="4" t="str">
        <x:f>IF(COUNT(O785,R785,U785,X785,AA785,AD785,AG785,AJ785)=8,O785*Guide!$E$5+R785*Guide!$E$6+U785*Guide!$E$7+X785*Guide!$E$8+AA785*Guide!$E$9+AD785*Guide!$E$10+AG785*Guide!$E$11+AJ785*Guide!$E$12,"")</x:f>
      </x:c>
      <x:c r="H785" s="4" t="str">
        <x:f>IF(COUNT(G785,F785)=2,G785-F785,"")</x:f>
      </x:c>
      <x:c r="I785" s="4" t="n">
        <x:f>IF(AND(ISNUMBER(F785),K785&gt;0),F785/K785,"")</x:f>
        <x:v>1.5944444444444446</x:v>
      </x:c>
      <x:c r="J785" s="4" t="str">
        <x:f>IF(AND(ISNUMBER(G785),L785&gt;0),G785/L785,"")</x:f>
      </x:c>
      <x:c r="K785" s="10" t="n">
        <x:v>45</x:v>
      </x:c>
      <x:c r="L785" s="10"/>
      <x:c r="M785" s="10" t="str">
        <x:f>IF(COUNT(L785,K785)=2,L785-K785,"")</x:f>
      </x:c>
      <x:c r="N785" s="10" t="n">
        <x:v>1</x:v>
      </x:c>
      <x:c r="O785" s="10"/>
      <x:c r="P785" s="10" t="str">
        <x:f>IF(COUNT(O785,N785)=2,O785-N785,"")</x:f>
      </x:c>
      <x:c r="Q785" s="10" t="n">
        <x:v>6</x:v>
      </x:c>
      <x:c r="R785" s="10"/>
      <x:c r="S785" s="10" t="str">
        <x:f>IF(COUNT(R785,Q785)=2,R785-Q785,"")</x:f>
      </x:c>
      <x:c r="T785" s="10" t="n">
        <x:v>-1</x:v>
      </x:c>
      <x:c r="U785" s="10"/>
      <x:c r="V785" s="10" t="str">
        <x:f>IF(COUNT(U785,T785)=2,U785-T785,"")</x:f>
      </x:c>
      <x:c r="W785" s="10" t="n">
        <x:v>0</x:v>
      </x:c>
      <x:c r="X785" s="10" t="str">
        <x:f>IF(COUNT(AV785,AW785)=2,AV785+AW785,"")</x:f>
      </x:c>
      <x:c r="Y785" s="10" t="str">
        <x:f>IF(COUNT(X785,W785)=2,X785-W785,"")</x:f>
      </x:c>
      <x:c r="Z785" s="10" t="n">
        <x:v>0</x:v>
      </x:c>
      <x:c r="AA785" s="10" t="str">
        <x:f>IF(COUNT(AX785,AY785)=2,AX785+AY785,"")</x:f>
      </x:c>
      <x:c r="AB785" s="10" t="str">
        <x:f>IF(COUNT(AA785,Z785)=2,AA785-Z785,"")</x:f>
      </x:c>
      <x:c r="AC785" s="10" t="n">
        <x:v>31</x:v>
      </x:c>
      <x:c r="AD785" s="10"/>
      <x:c r="AE785" s="10" t="str">
        <x:f>IF(COUNT(AD785,AC785)=2,AD785-AC785,"")</x:f>
      </x:c>
      <x:c r="AF785" s="10" t="n">
        <x:v>34</x:v>
      </x:c>
      <x:c r="AG785" s="10"/>
      <x:c r="AH785" s="10" t="str">
        <x:f>IF(COUNT(AG785,AF785)=2,AG785-AF785,"")</x:f>
      </x:c>
      <x:c r="AI785" s="10" t="n">
        <x:v>46</x:v>
      </x:c>
      <x:c r="AJ785" s="10"/>
      <x:c r="AK785" s="10" t="str">
        <x:f>IF(COUNT(AJ785,AI785)=2,AJ785-AI785,"")</x:f>
      </x:c>
      <x:c r="AL785" s="10" t="n">
        <x:v>25</x:v>
      </x:c>
      <x:c r="AM785" s="10"/>
      <x:c r="AN785" s="4" t="str">
        <x:v>D</x:v>
      </x:c>
      <x:c r="AO785" s="4"/>
      <x:c r="AP785" s="4" t="str">
        <x:v>STL</x:v>
      </x:c>
      <x:c r="AQ785" s="4"/>
      <x:c r="AR785" s="4" t="n">
        <x:v>13.72</x:v>
      </x:c>
      <x:c r="AS785" s="4"/>
      <x:c r="AT785" s="4" t="n">
        <x:v>0.04</x:v>
      </x:c>
      <x:c r="AU785" s="4"/>
      <x:c r="AV785" s="10"/>
      <x:c r="AW785" s="10"/>
      <x:c r="AX785" s="10"/>
      <x:c r="AY785" s="10"/>
      <x:c r="AZ785" s="10" t="n">
        <x:v>262</x:v>
      </x:c>
      <x:c r="BA785" s="10" t="n">
        <x:v>317</x:v>
      </x:c>
      <x:c r="BB785" s="4" t="n">
        <x:v>45.3</x:v>
      </x:c>
      <x:c r="BC785" s="4" t="n">
        <x:v>-0.2</x:v>
      </x:c>
      <x:c r="BD785" s="10" t="n">
        <x:v>199</x:v>
      </x:c>
      <x:c r="BE785" s="10" t="n">
        <x:v>231</x:v>
      </x:c>
      <x:c r="BF785" s="4" t="n">
        <x:v>46.3</x:v>
      </x:c>
      <x:c r="BG785" s="4" t="n">
        <x:v>1</x:v>
      </x:c>
      <x:c r="BH785" s="4" t="n">
        <x:v>9.8</x:v>
      </x:c>
      <x:c r="BI785" s="4" t="n">
        <x:v>92.7</x:v>
      </x:c>
      <x:c r="BJ785" s="4" t="n">
        <x:v>102.4</x:v>
      </x:c>
      <x:c r="BK785" s="4" t="n">
        <x:v>55.1</x:v>
      </x:c>
      <x:c r="BL785" s="4" t="n">
        <x:v>44.9</x:v>
      </x:c>
      <x:c r="BM785" s="4" t="n">
        <x:v>12.533333333333333</x:v>
      </x:c>
      <x:c r="BN785" s="4" t="n">
        <x:v>12.133333333333333</x:v>
      </x:c>
      <x:c r="BO785" s="10" t="n">
        <x:v>1</x:v>
      </x:c>
      <x:c r="BP785" s="10" t="n">
        <x:v>15</x:v>
      </x:c>
      <x:c r="BQ785" s="4" t="n">
        <x:v>-3.9</x:v>
      </x:c>
      <x:c r="BR785" s="10" t="n">
        <x:v>43</x:v>
      </x:c>
      <x:c r="BS785" s="4" t="n">
        <x:v>46.5</x:v>
      </x:c>
      <x:c r="BT785" s="10" t="n">
        <x:v>29</x:v>
      </x:c>
      <x:c r="BU785" s="4" t="str">
        <x:v>STL</x:v>
      </x:c>
      <x:c r="BV785" s="10" t="n">
        <x:v>756</x:v>
      </x:c>
      <x:c r="BW785" s="10"/>
      <x:c r="BX785" s="10" t="n">
        <x:v>515</x:v>
      </x:c>
      <x:c r="BY785" s="4" t="str">
        <x:v>Matthew Kessel</x:v>
      </x:c>
      <x:c r="BZ785" s="4"/>
      <x:c r="CA785" s="4" t="str">
        <x:v>Matthew Kessel</x:v>
      </x:c>
      <x:c r="CB785" s="4" t="str">
        <x:v>kessema01</x:v>
      </x:c>
    </x:row>
    <x:row r="786" ht="22" customHeight="1">
      <x:c r="A786" s="4" t="str">
        <x:v>Matthew Phillips</x:v>
      </x:c>
      <x:c r="B786" s="4" t="str">
        <x:v>matthewphillips</x:v>
      </x:c>
      <x:c r="C786" s="10" t="n">
        <x:v>1</x:v>
      </x:c>
      <x:c r="D786" s="10" t="n">
        <x:v>0</x:v>
      </x:c>
      <x:c r="E786" s="10" t="n">
        <x:v>0</x:v>
      </x:c>
      <x:c r="F786" s="4" t="n">
        <x:f>IF(COUNT(N786,Q786,T786,W786,Z786,AC786,AF786,AI786)=8,N786*Guide!$E$5+Q786*Guide!$E$6+T786*Guide!$E$7+W786*Guide!$E$8+Z786*Guide!$E$9+AC786*Guide!$E$10+AF786*Guide!$E$11+AI786*Guide!$E$12,"")</x:f>
        <x:v>94.25</x:v>
      </x:c>
      <x:c r="G786" s="4" t="str">
        <x:f>IF(COUNT(O786,R786,U786,X786,AA786,AD786,AG786,AJ786)=8,O786*Guide!$E$5+R786*Guide!$E$6+U786*Guide!$E$7+X786*Guide!$E$8+AA786*Guide!$E$9+AD786*Guide!$E$10+AG786*Guide!$E$11+AJ786*Guide!$E$12,"")</x:f>
      </x:c>
      <x:c r="H786" s="4" t="str">
        <x:f>IF(COUNT(G786,F786)=2,G786-F786,"")</x:f>
      </x:c>
      <x:c r="I786" s="4" t="n">
        <x:f>IF(AND(ISNUMBER(F786),K786&gt;0),F786/K786,"")</x:f>
        <x:v>1.625</x:v>
      </x:c>
      <x:c r="J786" s="4" t="str">
        <x:f>IF(AND(ISNUMBER(G786),L786&gt;0),G786/L786,"")</x:f>
      </x:c>
      <x:c r="K786" s="10" t="n">
        <x:v>58</x:v>
      </x:c>
      <x:c r="L786" s="10"/>
      <x:c r="M786" s="10" t="str">
        <x:f>IF(COUNT(L786,K786)=2,L786-K786,"")</x:f>
      </x:c>
      <x:c r="N786" s="10" t="n">
        <x:v>6</x:v>
      </x:c>
      <x:c r="O786" s="10"/>
      <x:c r="P786" s="10" t="str">
        <x:f>IF(COUNT(O786,N786)=2,O786-N786,"")</x:f>
      </x:c>
      <x:c r="Q786" s="10" t="n">
        <x:v>11</x:v>
      </x:c>
      <x:c r="R786" s="10"/>
      <x:c r="S786" s="10" t="str">
        <x:f>IF(COUNT(R786,Q786)=2,R786-Q786,"")</x:f>
      </x:c>
      <x:c r="T786" s="10" t="n">
        <x:v>-2</x:v>
      </x:c>
      <x:c r="U786" s="10"/>
      <x:c r="V786" s="10" t="str">
        <x:f>IF(COUNT(U786,T786)=2,U786-T786,"")</x:f>
      </x:c>
      <x:c r="W786" s="10" t="n">
        <x:v>3</x:v>
      </x:c>
      <x:c r="X786" s="10" t="str">
        <x:f>IF(COUNT(AV786,AW786)=2,AV786+AW786,"")</x:f>
      </x:c>
      <x:c r="Y786" s="10" t="str">
        <x:f>IF(COUNT(X786,W786)=2,X786-W786,"")</x:f>
      </x:c>
      <x:c r="Z786" s="10" t="n">
        <x:v>0</x:v>
      </x:c>
      <x:c r="AA786" s="10" t="str">
        <x:f>IF(COUNT(AX786,AY786)=2,AX786+AY786,"")</x:f>
      </x:c>
      <x:c r="AB786" s="10" t="str">
        <x:f>IF(COUNT(AA786,Z786)=2,AA786-Z786,"")</x:f>
      </x:c>
      <x:c r="AC786" s="10" t="n">
        <x:v>48</x:v>
      </x:c>
      <x:c r="AD786" s="10"/>
      <x:c r="AE786" s="10" t="str">
        <x:f>IF(COUNT(AD786,AC786)=2,AD786-AC786,"")</x:f>
      </x:c>
      <x:c r="AF786" s="10" t="n">
        <x:v>16</x:v>
      </x:c>
      <x:c r="AG786" s="10"/>
      <x:c r="AH786" s="10" t="str">
        <x:f>IF(COUNT(AG786,AF786)=2,AG786-AF786,"")</x:f>
      </x:c>
      <x:c r="AI786" s="10" t="n">
        <x:v>27</x:v>
      </x:c>
      <x:c r="AJ786" s="10"/>
      <x:c r="AK786" s="10" t="str">
        <x:f>IF(COUNT(AJ786,AI786)=2,AJ786-AI786,"")</x:f>
      </x:c>
      <x:c r="AL786" s="10" t="n">
        <x:v>27</x:v>
      </x:c>
      <x:c r="AM786" s="10"/>
      <x:c r="AN786" s="4" t="str">
        <x:v>RW</x:v>
      </x:c>
      <x:c r="AO786" s="4"/>
      <x:c r="AP786" s="4" t="str">
        <x:v>COL</x:v>
      </x:c>
      <x:c r="AQ786" s="4"/>
      <x:c r="AR786" s="4" t="n">
        <x:v>10.44</x:v>
      </x:c>
      <x:c r="AS786" s="4"/>
      <x:c r="AT786" s="4" t="n">
        <x:v>0.96</x:v>
      </x:c>
      <x:c r="AU786" s="4"/>
      <x:c r="AV786" s="10"/>
      <x:c r="AW786" s="10"/>
      <x:c r="AX786" s="10"/>
      <x:c r="AY786" s="10"/>
      <x:c r="AZ786" s="10"/>
      <x:c r="BA786" s="10"/>
      <x:c r="BB786" s="4"/>
      <x:c r="BC786" s="4"/>
      <x:c r="BD786" s="10"/>
      <x:c r="BE786" s="10"/>
      <x:c r="BF786" s="4"/>
      <x:c r="BG786" s="4"/>
      <x:c r="BH786" s="4"/>
      <x:c r="BI786" s="4"/>
      <x:c r="BJ786" s="4"/>
      <x:c r="BK786" s="4"/>
      <x:c r="BL786" s="4"/>
      <x:c r="BM786" s="4"/>
      <x:c r="BN786" s="4"/>
      <x:c r="BO786" s="10"/>
      <x:c r="BP786" s="10"/>
      <x:c r="BQ786" s="4"/>
      <x:c r="BR786" s="10"/>
      <x:c r="BS786" s="4"/>
      <x:c r="BT786" s="10"/>
      <x:c r="BU786" s="4"/>
      <x:c r="BV786" s="10" t="n">
        <x:v>597</x:v>
      </x:c>
      <x:c r="BW786" s="10"/>
      <x:c r="BX786" s="10"/>
      <x:c r="BY786" s="4" t="str">
        <x:v>Matthew Phillips</x:v>
      </x:c>
      <x:c r="BZ786" s="4"/>
      <x:c r="CA786" s="4"/>
      <x:c r="CB786" s="4"/>
    </x:row>
    <x:row r="787" ht="22" customHeight="1">
      <x:c r="A787" s="4" t="str">
        <x:v>Matthew Poitras</x:v>
      </x:c>
      <x:c r="B787" s="4" t="str">
        <x:v>matthewpoitras</x:v>
      </x:c>
      <x:c r="C787" s="10" t="n">
        <x:v>1</x:v>
      </x:c>
      <x:c r="D787" s="10" t="n">
        <x:v>0</x:v>
      </x:c>
      <x:c r="E787" s="10" t="n">
        <x:v>1</x:v>
      </x:c>
      <x:c r="F787" s="4" t="n">
        <x:f>IF(COUNT(N787,Q787,T787,W787,Z787,AC787,AF787,AI787)=8,N787*Guide!$E$5+Q787*Guide!$E$6+T787*Guide!$E$7+W787*Guide!$E$8+Z787*Guide!$E$9+AC787*Guide!$E$10+AF787*Guide!$E$11+AI787*Guide!$E$12,"")</x:f>
        <x:v>165.25</x:v>
      </x:c>
      <x:c r="G787" s="4" t="str">
        <x:f>IF(COUNT(O787,R787,U787,X787,AA787,AD787,AG787,AJ787)=8,O787*Guide!$E$5+R787*Guide!$E$6+U787*Guide!$E$7+X787*Guide!$E$8+AA787*Guide!$E$9+AD787*Guide!$E$10+AG787*Guide!$E$11+AJ787*Guide!$E$12,"")</x:f>
      </x:c>
      <x:c r="H787" s="4" t="str">
        <x:f>IF(COUNT(G787,F787)=2,G787-F787,"")</x:f>
      </x:c>
      <x:c r="I787" s="4" t="n">
        <x:f>IF(AND(ISNUMBER(F787),K787&gt;0),F787/K787,"")</x:f>
        <x:v>2.3607142857142858</x:v>
      </x:c>
      <x:c r="J787" s="4" t="str">
        <x:f>IF(AND(ISNUMBER(G787),L787&gt;0),G787/L787,"")</x:f>
      </x:c>
      <x:c r="K787" s="10" t="n">
        <x:v>70</x:v>
      </x:c>
      <x:c r="L787" s="10"/>
      <x:c r="M787" s="10" t="str">
        <x:f>IF(COUNT(L787,K787)=2,L787-K787,"")</x:f>
      </x:c>
      <x:c r="N787" s="10" t="n">
        <x:v>11</x:v>
      </x:c>
      <x:c r="O787" s="10"/>
      <x:c r="P787" s="10" t="str">
        <x:f>IF(COUNT(O787,N787)=2,O787-N787,"")</x:f>
      </x:c>
      <x:c r="Q787" s="10" t="n">
        <x:v>22</x:v>
      </x:c>
      <x:c r="R787" s="10"/>
      <x:c r="S787" s="10" t="str">
        <x:f>IF(COUNT(R787,Q787)=2,R787-Q787,"")</x:f>
      </x:c>
      <x:c r="T787" s="10" t="n">
        <x:v>0</x:v>
      </x:c>
      <x:c r="U787" s="10"/>
      <x:c r="V787" s="10" t="str">
        <x:f>IF(COUNT(U787,T787)=2,U787-T787,"")</x:f>
      </x:c>
      <x:c r="W787" s="10" t="n">
        <x:v>5</x:v>
      </x:c>
      <x:c r="X787" s="10" t="str">
        <x:f>IF(COUNT(AV787,AW787)=2,AV787+AW787,"")</x:f>
      </x:c>
      <x:c r="Y787" s="10" t="str">
        <x:f>IF(COUNT(X787,W787)=2,X787-W787,"")</x:f>
      </x:c>
      <x:c r="Z787" s="10" t="n">
        <x:v>0</x:v>
      </x:c>
      <x:c r="AA787" s="10" t="str">
        <x:f>IF(COUNT(AX787,AY787)=2,AX787+AY787,"")</x:f>
      </x:c>
      <x:c r="AB787" s="10" t="str">
        <x:f>IF(COUNT(AA787,Z787)=2,AA787-Z787,"")</x:f>
      </x:c>
      <x:c r="AC787" s="10" t="n">
        <x:v>86</x:v>
      </x:c>
      <x:c r="AD787" s="10"/>
      <x:c r="AE787" s="10" t="str">
        <x:f>IF(COUNT(AD787,AC787)=2,AD787-AC787,"")</x:f>
      </x:c>
      <x:c r="AF787" s="10" t="n">
        <x:v>31</x:v>
      </x:c>
      <x:c r="AG787" s="10"/>
      <x:c r="AH787" s="10" t="str">
        <x:f>IF(COUNT(AG787,AF787)=2,AG787-AF787,"")</x:f>
      </x:c>
      <x:c r="AI787" s="10" t="n">
        <x:v>28</x:v>
      </x:c>
      <x:c r="AJ787" s="10"/>
      <x:c r="AK787" s="10" t="str">
        <x:f>IF(COUNT(AJ787,AI787)=2,AJ787-AI787,"")</x:f>
      </x:c>
      <x:c r="AL787" s="10" t="n">
        <x:v>21</x:v>
      </x:c>
      <x:c r="AM787" s="10"/>
      <x:c r="AN787" s="4" t="str">
        <x:v>C</x:v>
      </x:c>
      <x:c r="AO787" s="4"/>
      <x:c r="AP787" s="4" t="str">
        <x:v>BOS</x:v>
      </x:c>
      <x:c r="AQ787" s="4"/>
      <x:c r="AR787" s="4" t="n">
        <x:v>13.79</x:v>
      </x:c>
      <x:c r="AS787" s="4"/>
      <x:c r="AT787" s="4" t="n">
        <x:v>1.08</x:v>
      </x:c>
      <x:c r="AU787" s="4"/>
      <x:c r="AV787" s="10"/>
      <x:c r="AW787" s="10"/>
      <x:c r="AX787" s="10"/>
      <x:c r="AY787" s="10"/>
      <x:c r="AZ787" s="10" t="n">
        <x:v>33</x:v>
      </x:c>
      <x:c r="BA787" s="10" t="n">
        <x:v>26</x:v>
      </x:c>
      <x:c r="BB787" s="4" t="n">
        <x:v>55.9</x:v>
      </x:c>
      <x:c r="BC787" s="4" t="n">
        <x:v>6.8</x:v>
      </x:c>
      <x:c r="BD787" s="10" t="n">
        <x:v>23</x:v>
      </x:c>
      <x:c r="BE787" s="10" t="n">
        <x:v>18</x:v>
      </x:c>
      <x:c r="BF787" s="4" t="n">
        <x:v>56.1</x:v>
      </x:c>
      <x:c r="BG787" s="4" t="n">
        <x:v>9.8</x:v>
      </x:c>
      <x:c r="BH787" s="4" t="n">
        <x:v>5.3</x:v>
      </x:c>
      <x:c r="BI787" s="4" t="n">
        <x:v>100</x:v>
      </x:c>
      <x:c r="BJ787" s="4" t="n">
        <x:v>105.3</x:v>
      </x:c>
      <x:c r="BK787" s="4" t="n">
        <x:v>40</x:v>
      </x:c>
      <x:c r="BL787" s="4" t="n">
        <x:v>60</x:v>
      </x:c>
      <x:c r="BM787" s="4" t="n">
        <x:v>12.116666666666667</x:v>
      </x:c>
      <x:c r="BN787" s="4" t="n">
        <x:v>11.366666666666667</x:v>
      </x:c>
      <x:c r="BO787" s="10" t="n">
        <x:v>0</x:v>
      </x:c>
      <x:c r="BP787" s="10" t="n">
        <x:v>1</x:v>
      </x:c>
      <x:c r="BQ787" s="4" t="n">
        <x:v>1.5</x:v>
      </x:c>
      <x:c r="BR787" s="10" t="n">
        <x:v>8</x:v>
      </x:c>
      <x:c r="BS787" s="4" t="n">
        <x:v>100</x:v>
      </x:c>
      <x:c r="BT787" s="10" t="n">
        <x:v>3</x:v>
      </x:c>
      <x:c r="BU787" s="4" t="str">
        <x:v>BOS</x:v>
      </x:c>
      <x:c r="BV787" s="10" t="n">
        <x:v>338</x:v>
      </x:c>
      <x:c r="BW787" s="10"/>
      <x:c r="BX787" s="10" t="n">
        <x:v>826</x:v>
      </x:c>
      <x:c r="BY787" s="4" t="str">
        <x:v>Matthew Poitras</x:v>
      </x:c>
      <x:c r="BZ787" s="4"/>
      <x:c r="CA787" s="4" t="str">
        <x:v>Matthew Poitras</x:v>
      </x:c>
      <x:c r="CB787" s="4" t="str">
        <x:v>poitrma01</x:v>
      </x:c>
    </x:row>
    <x:row r="788" ht="22" customHeight="1">
      <x:c r="A788" s="4" t="str">
        <x:v>Matthew Robertson</x:v>
      </x:c>
      <x:c r="B788" s="4" t="str">
        <x:v>matthewrobertson</x:v>
      </x:c>
      <x:c r="C788" s="10" t="n">
        <x:v>0</x:v>
      </x:c>
      <x:c r="D788" s="10" t="n">
        <x:v>1</x:v>
      </x:c>
      <x:c r="E788" s="10" t="n">
        <x:v>1</x:v>
      </x:c>
      <x:c r="F788" s="4" t="str">
        <x:f>IF(COUNT(N788,Q788,T788,W788,Z788,AC788,AF788,AI788)=8,N788*Guide!$E$5+Q788*Guide!$E$6+T788*Guide!$E$7+W788*Guide!$E$8+Z788*Guide!$E$9+AC788*Guide!$E$10+AF788*Guide!$E$11+AI788*Guide!$E$12,"")</x:f>
      </x:c>
      <x:c r="G788" s="4" t="n">
        <x:f>IF(COUNT(O788,R788,U788,X788,AA788,AD788,AG788,AJ788)=8,O788*Guide!$E$5+R788*Guide!$E$6+U788*Guide!$E$7+X788*Guide!$E$8+AA788*Guide!$E$9+AD788*Guide!$E$10+AG788*Guide!$E$11+AJ788*Guide!$E$12,"")</x:f>
        <x:v>165.5</x:v>
      </x:c>
      <x:c r="H788" s="4" t="str">
        <x:f>IF(COUNT(G788,F788)=2,G788-F788,"")</x:f>
      </x:c>
      <x:c r="I788" s="4" t="str">
        <x:f>IF(AND(ISNUMBER(F788),K788&gt;0),F788/K788,"")</x:f>
      </x:c>
      <x:c r="J788" s="4" t="n">
        <x:f>IF(AND(ISNUMBER(G788),L788&gt;0),G788/L788,"")</x:f>
        <x:v>2.298611111111111</x:v>
      </x:c>
      <x:c r="K788" s="10"/>
      <x:c r="L788" s="10" t="n">
        <x:v>72</x:v>
      </x:c>
      <x:c r="M788" s="10" t="str">
        <x:f>IF(COUNT(L788,K788)=2,L788-K788,"")</x:f>
      </x:c>
      <x:c r="N788" s="10"/>
      <x:c r="O788" s="10" t="n">
        <x:v>6</x:v>
      </x:c>
      <x:c r="P788" s="10" t="str">
        <x:f>IF(COUNT(O788,N788)=2,O788-N788,"")</x:f>
      </x:c>
      <x:c r="Q788" s="10"/>
      <x:c r="R788" s="10" t="n">
        <x:v>12</x:v>
      </x:c>
      <x:c r="S788" s="10" t="str">
        <x:f>IF(COUNT(R788,Q788)=2,R788-Q788,"")</x:f>
      </x:c>
      <x:c r="T788" s="10"/>
      <x:c r="U788" s="10" t="n">
        <x:v>-1</x:v>
      </x:c>
      <x:c r="V788" s="10" t="str">
        <x:f>IF(COUNT(U788,T788)=2,U788-T788,"")</x:f>
      </x:c>
      <x:c r="W788" s="10"/>
      <x:c r="X788" s="10" t="n">
        <x:f>IF(COUNT(AV788,AW788)=2,AV788+AW788,"")</x:f>
        <x:v>0</x:v>
      </x:c>
      <x:c r="Y788" s="10" t="str">
        <x:f>IF(COUNT(X788,W788)=2,X788-W788,"")</x:f>
      </x:c>
      <x:c r="Z788" s="10"/>
      <x:c r="AA788" s="10" t="n">
        <x:f>IF(COUNT(AX788,AY788)=2,AX788+AY788,"")</x:f>
        <x:v>0</x:v>
      </x:c>
      <x:c r="AB788" s="10" t="str">
        <x:f>IF(COUNT(AA788,Z788)=2,AA788-Z788,"")</x:f>
      </x:c>
      <x:c r="AC788" s="10"/>
      <x:c r="AD788" s="10" t="n">
        <x:v>79</x:v>
      </x:c>
      <x:c r="AE788" s="10" t="str">
        <x:f>IF(COUNT(AD788,AC788)=2,AD788-AC788,"")</x:f>
      </x:c>
      <x:c r="AF788" s="10"/>
      <x:c r="AG788" s="10" t="n">
        <x:v>107</x:v>
      </x:c>
      <x:c r="AH788" s="10" t="str">
        <x:f>IF(COUNT(AG788,AF788)=2,AG788-AF788,"")</x:f>
      </x:c>
      <x:c r="AI788" s="10"/>
      <x:c r="AJ788" s="10" t="n">
        <x:v>80</x:v>
      </x:c>
      <x:c r="AK788" s="10" t="str">
        <x:f>IF(COUNT(AJ788,AI788)=2,AJ788-AI788,"")</x:f>
      </x:c>
      <x:c r="AL788" s="10"/>
      <x:c r="AM788" s="10" t="n">
        <x:v>24</x:v>
      </x:c>
      <x:c r="AN788" s="4"/>
      <x:c r="AO788" s="4" t="str">
        <x:v>D</x:v>
      </x:c>
      <x:c r="AP788" s="4"/>
      <x:c r="AQ788" s="4" t="str">
        <x:v>NYR</x:v>
      </x:c>
      <x:c r="AR788" s="4"/>
      <x:c r="AS788" s="4" t="n">
        <x:v>17.4</x:v>
      </x:c>
      <x:c r="AT788" s="4"/>
      <x:c r="AU788" s="4" t="n">
        <x:v>7.6</x:v>
      </x:c>
      <x:c r="AV788" s="10" t="n">
        <x:v>0</x:v>
      </x:c>
      <x:c r="AW788" s="10" t="n">
        <x:v>0</x:v>
      </x:c>
      <x:c r="AX788" s="10" t="n">
        <x:v>0</x:v>
      </x:c>
      <x:c r="AY788" s="10" t="n">
        <x:v>0</x:v>
      </x:c>
      <x:c r="AZ788" s="10" t="n">
        <x:v>1036</x:v>
      </x:c>
      <x:c r="BA788" s="10" t="n">
        <x:v>1097</x:v>
      </x:c>
      <x:c r="BB788" s="4" t="n">
        <x:v>48.6</x:v>
      </x:c>
      <x:c r="BC788" s="4" t="n">
        <x:v>-0.9</x:v>
      </x:c>
      <x:c r="BD788" s="10" t="n">
        <x:v>727</x:v>
      </x:c>
      <x:c r="BE788" s="10" t="n">
        <x:v>780</x:v>
      </x:c>
      <x:c r="BF788" s="4" t="n">
        <x:v>48.2</x:v>
      </x:c>
      <x:c r="BG788" s="4" t="n">
        <x:v>0.1</x:v>
      </x:c>
      <x:c r="BH788" s="4" t="n">
        <x:v>10.3</x:v>
      </x:c>
      <x:c r="BI788" s="4" t="n">
        <x:v>90.6</x:v>
      </x:c>
      <x:c r="BJ788" s="4" t="n">
        <x:v>100.9</x:v>
      </x:c>
      <x:c r="BK788" s="4" t="n">
        <x:v>47.4</x:v>
      </x:c>
      <x:c r="BL788" s="4" t="n">
        <x:v>52.6</x:v>
      </x:c>
      <x:c r="BM788" s="4" t="n">
        <x:v>17.4</x:v>
      </x:c>
      <x:c r="BN788" s="4" t="n">
        <x:v>15.833333333333334</x:v>
      </x:c>
      <x:c r="BO788" s="10" t="n">
        <x:v>9</x:v>
      </x:c>
      <x:c r="BP788" s="10" t="n">
        <x:v>52</x:v>
      </x:c>
      <x:c r="BQ788" s="4" t="n">
        <x:v>-2.7</x:v>
      </x:c>
      <x:c r="BR788" s="10" t="n">
        <x:v>216</x:v>
      </x:c>
      <x:c r="BS788" s="4" t="n">
        <x:v>36.6</x:v>
      </x:c>
      <x:c r="BT788" s="10" t="n">
        <x:v>72</x:v>
      </x:c>
      <x:c r="BU788" s="4" t="str">
        <x:v>NYR</x:v>
      </x:c>
      <x:c r="BV788" s="10"/>
      <x:c r="BW788" s="10" t="n">
        <x:v>500</x:v>
      </x:c>
      <x:c r="BX788" s="10" t="n">
        <x:v>866</x:v>
      </x:c>
      <x:c r="BY788" s="4"/>
      <x:c r="BZ788" s="4" t="str">
        <x:v>Matthew Robertson</x:v>
      </x:c>
      <x:c r="CA788" s="4" t="str">
        <x:v>Matthew Robertson</x:v>
      </x:c>
      <x:c r="CB788" s="4" t="str">
        <x:v>roberma02</x:v>
      </x:c>
    </x:row>
    <x:row r="789" ht="22" customHeight="1">
      <x:c r="A789" s="4" t="str">
        <x:v>Matthew Schaefer</x:v>
      </x:c>
      <x:c r="B789" s="4" t="str">
        <x:v>matthewschaefer</x:v>
      </x:c>
      <x:c r="C789" s="10" t="n">
        <x:v>0</x:v>
      </x:c>
      <x:c r="D789" s="10" t="n">
        <x:v>1</x:v>
      </x:c>
      <x:c r="E789" s="10" t="n">
        <x:v>1</x:v>
      </x:c>
      <x:c r="F789" s="4" t="str">
        <x:f>IF(COUNT(N789,Q789,T789,W789,Z789,AC789,AF789,AI789)=8,N789*Guide!$E$5+Q789*Guide!$E$6+T789*Guide!$E$7+W789*Guide!$E$8+Z789*Guide!$E$9+AC789*Guide!$E$10+AF789*Guide!$E$11+AI789*Guide!$E$12,"")</x:f>
      </x:c>
      <x:c r="G789" s="4" t="n">
        <x:f>IF(COUNT(O789,R789,U789,X789,AA789,AD789,AG789,AJ789)=8,O789*Guide!$E$5+R789*Guide!$E$6+U789*Guide!$E$7+X789*Guide!$E$8+AA789*Guide!$E$9+AD789*Guide!$E$10+AG789*Guide!$E$11+AJ789*Guide!$E$12,"")</x:f>
        <x:v>379.75</x:v>
      </x:c>
      <x:c r="H789" s="4" t="str">
        <x:f>IF(COUNT(G789,F789)=2,G789-F789,"")</x:f>
      </x:c>
      <x:c r="I789" s="4" t="str">
        <x:f>IF(AND(ISNUMBER(F789),K789&gt;0),F789/K789,"")</x:f>
      </x:c>
      <x:c r="J789" s="4" t="n">
        <x:f>IF(AND(ISNUMBER(G789),L789&gt;0),G789/L789,"")</x:f>
        <x:v>4.6310975609756095</x:v>
      </x:c>
      <x:c r="K789" s="10"/>
      <x:c r="L789" s="10" t="n">
        <x:v>82</x:v>
      </x:c>
      <x:c r="M789" s="10" t="str">
        <x:f>IF(COUNT(L789,K789)=2,L789-K789,"")</x:f>
      </x:c>
      <x:c r="N789" s="10"/>
      <x:c r="O789" s="10" t="n">
        <x:v>23</x:v>
      </x:c>
      <x:c r="P789" s="10" t="str">
        <x:f>IF(COUNT(O789,N789)=2,O789-N789,"")</x:f>
      </x:c>
      <x:c r="Q789" s="10"/>
      <x:c r="R789" s="10" t="n">
        <x:v>36</x:v>
      </x:c>
      <x:c r="S789" s="10" t="str">
        <x:f>IF(COUNT(R789,Q789)=2,R789-Q789,"")</x:f>
      </x:c>
      <x:c r="T789" s="10"/>
      <x:c r="U789" s="10" t="n">
        <x:v>13</x:v>
      </x:c>
      <x:c r="V789" s="10" t="str">
        <x:f>IF(COUNT(U789,T789)=2,U789-T789,"")</x:f>
      </x:c>
      <x:c r="W789" s="10"/>
      <x:c r="X789" s="10" t="n">
        <x:f>IF(COUNT(AV789,AW789)=2,AV789+AW789,"")</x:f>
        <x:v>18</x:v>
      </x:c>
      <x:c r="Y789" s="10" t="str">
        <x:f>IF(COUNT(X789,W789)=2,X789-W789,"")</x:f>
      </x:c>
      <x:c r="Z789" s="10"/>
      <x:c r="AA789" s="10" t="n">
        <x:f>IF(COUNT(AX789,AY789)=2,AX789+AY789,"")</x:f>
        <x:v>0</x:v>
      </x:c>
      <x:c r="AB789" s="10" t="str">
        <x:f>IF(COUNT(AA789,Z789)=2,AA789-Z789,"")</x:f>
      </x:c>
      <x:c r="AC789" s="10"/>
      <x:c r="AD789" s="10" t="n">
        <x:v>222</x:v>
      </x:c>
      <x:c r="AE789" s="10" t="str">
        <x:f>IF(COUNT(AD789,AC789)=2,AD789-AC789,"")</x:f>
      </x:c>
      <x:c r="AF789" s="10"/>
      <x:c r="AG789" s="10" t="n">
        <x:v>40</x:v>
      </x:c>
      <x:c r="AH789" s="10" t="str">
        <x:f>IF(COUNT(AG789,AF789)=2,AG789-AF789,"")</x:f>
      </x:c>
      <x:c r="AI789" s="10"/>
      <x:c r="AJ789" s="10" t="n">
        <x:v>111</x:v>
      </x:c>
      <x:c r="AK789" s="10" t="str">
        <x:f>IF(COUNT(AJ789,AI789)=2,AJ789-AI789,"")</x:f>
      </x:c>
      <x:c r="AL789" s="10"/>
      <x:c r="AM789" s="10" t="n">
        <x:v>18</x:v>
      </x:c>
      <x:c r="AN789" s="4"/>
      <x:c r="AO789" s="4" t="str">
        <x:v>D</x:v>
      </x:c>
      <x:c r="AP789" s="4"/>
      <x:c r="AQ789" s="4" t="str">
        <x:v>NYI</x:v>
      </x:c>
      <x:c r="AR789" s="4"/>
      <x:c r="AS789" s="4" t="n">
        <x:v>24.683333333333334</x:v>
      </x:c>
      <x:c r="AT789" s="4"/>
      <x:c r="AU789" s="4" t="n">
        <x:v>10.4</x:v>
      </x:c>
      <x:c r="AV789" s="10" t="n">
        <x:v>8</x:v>
      </x:c>
      <x:c r="AW789" s="10" t="n">
        <x:v>10</x:v>
      </x:c>
      <x:c r="AX789" s="10" t="n">
        <x:v>0</x:v>
      </x:c>
      <x:c r="AY789" s="10" t="n">
        <x:v>0</x:v>
      </x:c>
      <x:c r="AZ789" s="10" t="n">
        <x:v>1726</x:v>
      </x:c>
      <x:c r="BA789" s="10" t="n">
        <x:v>1652</x:v>
      </x:c>
      <x:c r="BB789" s="4" t="n">
        <x:v>51.1</x:v>
      </x:c>
      <x:c r="BC789" s="4" t="n">
        <x:v>2.7</x:v>
      </x:c>
      <x:c r="BD789" s="10" t="n">
        <x:v>1265</x:v>
      </x:c>
      <x:c r="BE789" s="10" t="n">
        <x:v>1183</x:v>
      </x:c>
      <x:c r="BF789" s="4" t="n">
        <x:v>51.7</x:v>
      </x:c>
      <x:c r="BG789" s="4" t="n">
        <x:v>3</x:v>
      </x:c>
      <x:c r="BH789" s="4" t="n">
        <x:v>10.8</x:v>
      </x:c>
      <x:c r="BI789" s="4" t="n">
        <x:v>89.6</x:v>
      </x:c>
      <x:c r="BJ789" s="4" t="n">
        <x:v>100.4</x:v>
      </x:c>
      <x:c r="BK789" s="4" t="n">
        <x:v>54.6</x:v>
      </x:c>
      <x:c r="BL789" s="4" t="n">
        <x:v>45.4</x:v>
      </x:c>
      <x:c r="BM789" s="4" t="n">
        <x:v>24.683333333333334</x:v>
      </x:c>
      <x:c r="BN789" s="4" t="n">
        <x:v>20.283333333333335</x:v>
      </x:c>
      <x:c r="BO789" s="10" t="n">
        <x:v>38</x:v>
      </x:c>
      <x:c r="BP789" s="10" t="n">
        <x:v>90</x:v>
      </x:c>
      <x:c r="BQ789" s="4" t="n">
        <x:v>9.8</x:v>
      </x:c>
      <x:c r="BR789" s="10" t="n">
        <x:v>527</x:v>
      </x:c>
      <x:c r="BS789" s="4" t="n">
        <x:v>42.1</x:v>
      </x:c>
      <x:c r="BT789" s="10" t="n">
        <x:v>82</x:v>
      </x:c>
      <x:c r="BU789" s="4" t="str">
        <x:v>NYI</x:v>
      </x:c>
      <x:c r="BV789" s="10"/>
      <x:c r="BW789" s="10" t="n">
        <x:v>95</x:v>
      </x:c>
      <x:c r="BX789" s="10" t="n">
        <x:v>901</x:v>
      </x:c>
      <x:c r="BY789" s="4"/>
      <x:c r="BZ789" s="4" t="str">
        <x:v>Matthew Schaefer</x:v>
      </x:c>
      <x:c r="CA789" s="4" t="str">
        <x:v>Matthew Schaefer</x:v>
      </x:c>
      <x:c r="CB789" s="4" t="str">
        <x:v>schaema01</x:v>
      </x:c>
    </x:row>
    <x:row r="790" ht="22" customHeight="1">
      <x:c r="A790" s="4" t="str">
        <x:v>Matthew Wood</x:v>
      </x:c>
      <x:c r="B790" s="4" t="str">
        <x:v>matthewwood</x:v>
      </x:c>
      <x:c r="C790" s="10" t="n">
        <x:v>0</x:v>
      </x:c>
      <x:c r="D790" s="10" t="n">
        <x:v>1</x:v>
      </x:c>
      <x:c r="E790" s="10" t="n">
        <x:v>1</x:v>
      </x:c>
      <x:c r="F790" s="4" t="str">
        <x:f>IF(COUNT(N790,Q790,T790,W790,Z790,AC790,AF790,AI790)=8,N790*Guide!$E$5+Q790*Guide!$E$6+T790*Guide!$E$7+W790*Guide!$E$8+Z790*Guide!$E$9+AC790*Guide!$E$10+AF790*Guide!$E$11+AI790*Guide!$E$12,"")</x:f>
      </x:c>
      <x:c r="G790" s="4" t="n">
        <x:f>IF(COUNT(O790,R790,U790,X790,AA790,AD790,AG790,AJ790)=8,O790*Guide!$E$5+R790*Guide!$E$6+U790*Guide!$E$7+X790*Guide!$E$8+AA790*Guide!$E$9+AD790*Guide!$E$10+AG790*Guide!$E$11+AJ790*Guide!$E$12,"")</x:f>
        <x:v>172.75</x:v>
      </x:c>
      <x:c r="H790" s="4" t="str">
        <x:f>IF(COUNT(G790,F790)=2,G790-F790,"")</x:f>
      </x:c>
      <x:c r="I790" s="4" t="str">
        <x:f>IF(AND(ISNUMBER(F790),K790&gt;0),F790/K790,"")</x:f>
      </x:c>
      <x:c r="J790" s="4" t="n">
        <x:f>IF(AND(ISNUMBER(G790),L790&gt;0),G790/L790,"")</x:f>
        <x:v>2.433098591549296</x:v>
      </x:c>
      <x:c r="K790" s="10"/>
      <x:c r="L790" s="10" t="n">
        <x:v>71</x:v>
      </x:c>
      <x:c r="M790" s="10" t="str">
        <x:f>IF(COUNT(L790,K790)=2,L790-K790,"")</x:f>
      </x:c>
      <x:c r="N790" s="10"/>
      <x:c r="O790" s="10" t="n">
        <x:v>17</x:v>
      </x:c>
      <x:c r="P790" s="10" t="str">
        <x:f>IF(COUNT(O790,N790)=2,O790-N790,"")</x:f>
      </x:c>
      <x:c r="Q790" s="10"/>
      <x:c r="R790" s="10" t="n">
        <x:v>13</x:v>
      </x:c>
      <x:c r="S790" s="10" t="str">
        <x:f>IF(COUNT(R790,Q790)=2,R790-Q790,"")</x:f>
      </x:c>
      <x:c r="T790" s="10"/>
      <x:c r="U790" s="10" t="n">
        <x:v>-3</x:v>
      </x:c>
      <x:c r="V790" s="10" t="str">
        <x:f>IF(COUNT(U790,T790)=2,U790-T790,"")</x:f>
      </x:c>
      <x:c r="W790" s="10"/>
      <x:c r="X790" s="10" t="n">
        <x:f>IF(COUNT(AV790,AW790)=2,AV790+AW790,"")</x:f>
        <x:v>8</x:v>
      </x:c>
      <x:c r="Y790" s="10" t="str">
        <x:f>IF(COUNT(X790,W790)=2,X790-W790,"")</x:f>
      </x:c>
      <x:c r="Z790" s="10"/>
      <x:c r="AA790" s="10" t="n">
        <x:f>IF(COUNT(AX790,AY790)=2,AX790+AY790,"")</x:f>
        <x:v>1</x:v>
      </x:c>
      <x:c r="AB790" s="10" t="str">
        <x:f>IF(COUNT(AA790,Z790)=2,AA790-Z790,"")</x:f>
      </x:c>
      <x:c r="AC790" s="10"/>
      <x:c r="AD790" s="10" t="n">
        <x:v>103</x:v>
      </x:c>
      <x:c r="AE790" s="10" t="str">
        <x:f>IF(COUNT(AD790,AC790)=2,AD790-AC790,"")</x:f>
      </x:c>
      <x:c r="AF790" s="10"/>
      <x:c r="AG790" s="10" t="n">
        <x:v>53</x:v>
      </x:c>
      <x:c r="AH790" s="10" t="str">
        <x:f>IF(COUNT(AG790,AF790)=2,AG790-AF790,"")</x:f>
      </x:c>
      <x:c r="AI790" s="10"/>
      <x:c r="AJ790" s="10" t="n">
        <x:v>25</x:v>
      </x:c>
      <x:c r="AK790" s="10" t="str">
        <x:f>IF(COUNT(AJ790,AI790)=2,AJ790-AI790,"")</x:f>
      </x:c>
      <x:c r="AL790" s="10"/>
      <x:c r="AM790" s="10" t="n">
        <x:v>20</x:v>
      </x:c>
      <x:c r="AN790" s="4"/>
      <x:c r="AO790" s="4" t="str">
        <x:v>RW</x:v>
      </x:c>
      <x:c r="AP790" s="4"/>
      <x:c r="AQ790" s="4" t="str">
        <x:v>NSH</x:v>
      </x:c>
      <x:c r="AR790" s="4"/>
      <x:c r="AS790" s="4" t="n">
        <x:v>12.316666666666666</x:v>
      </x:c>
      <x:c r="AT790" s="4"/>
      <x:c r="AU790" s="4" t="n">
        <x:v>16.5</x:v>
      </x:c>
      <x:c r="AV790" s="10" t="n">
        <x:v>4</x:v>
      </x:c>
      <x:c r="AW790" s="10" t="n">
        <x:v>4</x:v>
      </x:c>
      <x:c r="AX790" s="10" t="n">
        <x:v>1</x:v>
      </x:c>
      <x:c r="AY790" s="10" t="n">
        <x:v>0</x:v>
      </x:c>
      <x:c r="AZ790" s="10" t="n">
        <x:v>754</x:v>
      </x:c>
      <x:c r="BA790" s="10" t="n">
        <x:v>750</x:v>
      </x:c>
      <x:c r="BB790" s="4" t="n">
        <x:v>50.1</x:v>
      </x:c>
      <x:c r="BC790" s="4" t="n">
        <x:v>0.4</x:v>
      </x:c>
      <x:c r="BD790" s="10" t="n">
        <x:v>531</x:v>
      </x:c>
      <x:c r="BE790" s="10" t="n">
        <x:v>584</x:v>
      </x:c>
      <x:c r="BF790" s="4" t="n">
        <x:v>47.6</x:v>
      </x:c>
      <x:c r="BG790" s="4" t="n">
        <x:v>-0.9</x:v>
      </x:c>
      <x:c r="BH790" s="4" t="n">
        <x:v>11.2</x:v>
      </x:c>
      <x:c r="BI790" s="4" t="n">
        <x:v>88.8</x:v>
      </x:c>
      <x:c r="BJ790" s="4" t="n">
        <x:v>100</x:v>
      </x:c>
      <x:c r="BK790" s="4" t="n">
        <x:v>61.8</x:v>
      </x:c>
      <x:c r="BL790" s="4" t="n">
        <x:v>38.2</x:v>
      </x:c>
      <x:c r="BM790" s="4" t="n">
        <x:v>12.316666666666666</x:v>
      </x:c>
      <x:c r="BN790" s="4" t="n">
        <x:v>10.766666666666667</x:v>
      </x:c>
      <x:c r="BO790" s="10" t="n">
        <x:v>10</x:v>
      </x:c>
      <x:c r="BP790" s="10" t="n">
        <x:v>41</x:v>
      </x:c>
      <x:c r="BQ790" s="4" t="n">
        <x:v>-0.8</x:v>
      </x:c>
      <x:c r="BR790" s="10" t="n">
        <x:v>192</x:v>
      </x:c>
      <x:c r="BS790" s="4" t="n">
        <x:v>53.6</x:v>
      </x:c>
      <x:c r="BT790" s="10" t="n">
        <x:v>71</x:v>
      </x:c>
      <x:c r="BU790" s="4" t="str">
        <x:v>NSH</x:v>
      </x:c>
      <x:c r="BV790" s="10"/>
      <x:c r="BW790" s="10" t="n">
        <x:v>333</x:v>
      </x:c>
      <x:c r="BX790" s="10" t="n">
        <x:v>1081</x:v>
      </x:c>
      <x:c r="BY790" s="4"/>
      <x:c r="BZ790" s="4" t="str">
        <x:v>Matthew Wood</x:v>
      </x:c>
      <x:c r="CA790" s="4" t="str">
        <x:v>Matthew Wood</x:v>
      </x:c>
      <x:c r="CB790" s="4" t="str">
        <x:v>woodma01</x:v>
      </x:c>
    </x:row>
    <x:row r="791" ht="22" customHeight="1">
      <x:c r="A791" s="4" t="str">
        <x:v>Mattias Janmark</x:v>
      </x:c>
      <x:c r="B791" s="4" t="str">
        <x:v>mattiasjanmark</x:v>
      </x:c>
      <x:c r="C791" s="10" t="n">
        <x:v>1</x:v>
      </x:c>
      <x:c r="D791" s="10" t="n">
        <x:v>0</x:v>
      </x:c>
      <x:c r="E791" s="10" t="n">
        <x:v>1</x:v>
      </x:c>
      <x:c r="F791" s="4" t="n">
        <x:f>IF(COUNT(N791,Q791,T791,W791,Z791,AC791,AF791,AI791)=8,N791*Guide!$E$5+Q791*Guide!$E$6+T791*Guide!$E$7+W791*Guide!$E$8+Z791*Guide!$E$9+AC791*Guide!$E$10+AF791*Guide!$E$11+AI791*Guide!$E$12,"")</x:f>
        <x:v>119.25</x:v>
      </x:c>
      <x:c r="G791" s="4" t="str">
        <x:f>IF(COUNT(O791,R791,U791,X791,AA791,AD791,AG791,AJ791)=8,O791*Guide!$E$5+R791*Guide!$E$6+U791*Guide!$E$7+X791*Guide!$E$8+AA791*Guide!$E$9+AD791*Guide!$E$10+AG791*Guide!$E$11+AJ791*Guide!$E$12,"")</x:f>
      </x:c>
      <x:c r="H791" s="4" t="str">
        <x:f>IF(COUNT(G791,F791)=2,G791-F791,"")</x:f>
      </x:c>
      <x:c r="I791" s="4" t="n">
        <x:f>IF(AND(ISNUMBER(F791),K791&gt;0),F791/K791,"")</x:f>
        <x:v>1.5288461538461537</x:v>
      </x:c>
      <x:c r="J791" s="4" t="str">
        <x:f>IF(AND(ISNUMBER(G791),L791&gt;0),G791/L791,"")</x:f>
      </x:c>
      <x:c r="K791" s="10" t="n">
        <x:v>78</x:v>
      </x:c>
      <x:c r="L791" s="10"/>
      <x:c r="M791" s="10" t="str">
        <x:f>IF(COUNT(L791,K791)=2,L791-K791,"")</x:f>
      </x:c>
      <x:c r="N791" s="10" t="n">
        <x:v>6</x:v>
      </x:c>
      <x:c r="O791" s="10"/>
      <x:c r="P791" s="10" t="str">
        <x:f>IF(COUNT(O791,N791)=2,O791-N791,"")</x:f>
      </x:c>
      <x:c r="Q791" s="10" t="n">
        <x:v>14</x:v>
      </x:c>
      <x:c r="R791" s="10"/>
      <x:c r="S791" s="10" t="str">
        <x:f>IF(COUNT(R791,Q791)=2,R791-Q791,"")</x:f>
      </x:c>
      <x:c r="T791" s="10" t="n">
        <x:v>-3</x:v>
      </x:c>
      <x:c r="U791" s="10"/>
      <x:c r="V791" s="10" t="str">
        <x:f>IF(COUNT(U791,T791)=2,U791-T791,"")</x:f>
      </x:c>
      <x:c r="W791" s="10" t="n">
        <x:v>0</x:v>
      </x:c>
      <x:c r="X791" s="10" t="str">
        <x:f>IF(COUNT(AV791,AW791)=2,AV791+AW791,"")</x:f>
      </x:c>
      <x:c r="Y791" s="10" t="str">
        <x:f>IF(COUNT(X791,W791)=2,X791-W791,"")</x:f>
      </x:c>
      <x:c r="Z791" s="10" t="n">
        <x:v>2</x:v>
      </x:c>
      <x:c r="AA791" s="10" t="str">
        <x:f>IF(COUNT(AX791,AY791)=2,AX791+AY791,"")</x:f>
      </x:c>
      <x:c r="AB791" s="10" t="str">
        <x:f>IF(COUNT(AA791,Z791)=2,AA791-Z791,"")</x:f>
      </x:c>
      <x:c r="AC791" s="10" t="n">
        <x:v>62</x:v>
      </x:c>
      <x:c r="AD791" s="10"/>
      <x:c r="AE791" s="10" t="str">
        <x:f>IF(COUNT(AD791,AC791)=2,AD791-AC791,"")</x:f>
      </x:c>
      <x:c r="AF791" s="10" t="n">
        <x:v>43</x:v>
      </x:c>
      <x:c r="AG791" s="10"/>
      <x:c r="AH791" s="10" t="str">
        <x:f>IF(COUNT(AG791,AF791)=2,AG791-AF791,"")</x:f>
      </x:c>
      <x:c r="AI791" s="10" t="n">
        <x:v>32</x:v>
      </x:c>
      <x:c r="AJ791" s="10"/>
      <x:c r="AK791" s="10" t="str">
        <x:f>IF(COUNT(AJ791,AI791)=2,AJ791-AI791,"")</x:f>
      </x:c>
      <x:c r="AL791" s="10" t="n">
        <x:v>33</x:v>
      </x:c>
      <x:c r="AM791" s="10"/>
      <x:c r="AN791" s="4" t="str">
        <x:v>C</x:v>
      </x:c>
      <x:c r="AO791" s="4"/>
      <x:c r="AP791" s="4" t="str">
        <x:v>EDM</x:v>
      </x:c>
      <x:c r="AQ791" s="4"/>
      <x:c r="AR791" s="4" t="n">
        <x:v>13.059999999999999</x:v>
      </x:c>
      <x:c r="AS791" s="4"/>
      <x:c r="AT791" s="4" t="n">
        <x:v>0.09</x:v>
      </x:c>
      <x:c r="AU791" s="4"/>
      <x:c r="AV791" s="10"/>
      <x:c r="AW791" s="10"/>
      <x:c r="AX791" s="10"/>
      <x:c r="AY791" s="10"/>
      <x:c r="AZ791" s="10" t="n">
        <x:v>348</x:v>
      </x:c>
      <x:c r="BA791" s="10" t="n">
        <x:v>425</x:v>
      </x:c>
      <x:c r="BB791" s="4" t="n">
        <x:v>45</x:v>
      </x:c>
      <x:c r="BC791" s="4" t="n">
        <x:v>-7.3</x:v>
      </x:c>
      <x:c r="BD791" s="10" t="n">
        <x:v>245</x:v>
      </x:c>
      <x:c r="BE791" s="10" t="n">
        <x:v>300</x:v>
      </x:c>
      <x:c r="BF791" s="4" t="n">
        <x:v>45</x:v>
      </x:c>
      <x:c r="BG791" s="4" t="n">
        <x:v>-8.1</x:v>
      </x:c>
      <x:c r="BH791" s="4" t="n">
        <x:v>5.4</x:v>
      </x:c>
      <x:c r="BI791" s="4" t="n">
        <x:v>90.2</x:v>
      </x:c>
      <x:c r="BJ791" s="4" t="n">
        <x:v>95.6</x:v>
      </x:c>
      <x:c r="BK791" s="4" t="n">
        <x:v>37.1</x:v>
      </x:c>
      <x:c r="BL791" s="4" t="n">
        <x:v>62.9</x:v>
      </x:c>
      <x:c r="BM791" s="4" t="n">
        <x:v>11.85</x:v>
      </x:c>
      <x:c r="BN791" s="4" t="n">
        <x:v>10.35</x:v>
      </x:c>
      <x:c r="BO791" s="10" t="n">
        <x:v>5</x:v>
      </x:c>
      <x:c r="BP791" s="10" t="n">
        <x:v>14</x:v>
      </x:c>
      <x:c r="BQ791" s="4" t="n">
        <x:v>-4.3</x:v>
      </x:c>
      <x:c r="BR791" s="10" t="n">
        <x:v>53</x:v>
      </x:c>
      <x:c r="BS791" s="4" t="n">
        <x:v>45.3</x:v>
      </x:c>
      <x:c r="BT791" s="10" t="n">
        <x:v>43</x:v>
      </x:c>
      <x:c r="BU791" s="4" t="str">
        <x:v>EDM</x:v>
      </x:c>
      <x:c r="BV791" s="10" t="n">
        <x:v>529</x:v>
      </x:c>
      <x:c r="BW791" s="10"/>
      <x:c r="BX791" s="10" t="n">
        <x:v>455</x:v>
      </x:c>
      <x:c r="BY791" s="4" t="str">
        <x:v>Mattias Janmark</x:v>
      </x:c>
      <x:c r="BZ791" s="4"/>
      <x:c r="CA791" s="4" t="str">
        <x:v>Mattias Janmark</x:v>
      </x:c>
      <x:c r="CB791" s="4" t="str">
        <x:v>janmama02</x:v>
      </x:c>
    </x:row>
    <x:row r="792" ht="22" customHeight="1">
      <x:c r="A792" s="4" t="str">
        <x:v>Matvei Gridin</x:v>
      </x:c>
      <x:c r="B792" s="4" t="str">
        <x:v>matveigridin</x:v>
      </x:c>
      <x:c r="C792" s="10" t="n">
        <x:v>0</x:v>
      </x:c>
      <x:c r="D792" s="10" t="n">
        <x:v>1</x:v>
      </x:c>
      <x:c r="E792" s="10" t="n">
        <x:v>1</x:v>
      </x:c>
      <x:c r="F792" s="4" t="str">
        <x:f>IF(COUNT(N792,Q792,T792,W792,Z792,AC792,AF792,AI792)=8,N792*Guide!$E$5+Q792*Guide!$E$6+T792*Guide!$E$7+W792*Guide!$E$8+Z792*Guide!$E$9+AC792*Guide!$E$10+AF792*Guide!$E$11+AI792*Guide!$E$12,"")</x:f>
      </x:c>
      <x:c r="G792" s="4" t="n">
        <x:f>IF(COUNT(O792,R792,U792,X792,AA792,AD792,AG792,AJ792)=8,O792*Guide!$E$5+R792*Guide!$E$6+U792*Guide!$E$7+X792*Guide!$E$8+AA792*Guide!$E$9+AD792*Guide!$E$10+AG792*Guide!$E$11+AJ792*Guide!$E$12,"")</x:f>
        <x:v>100.25</x:v>
      </x:c>
      <x:c r="H792" s="4" t="str">
        <x:f>IF(COUNT(G792,F792)=2,G792-F792,"")</x:f>
      </x:c>
      <x:c r="I792" s="4" t="str">
        <x:f>IF(AND(ISNUMBER(F792),K792&gt;0),F792/K792,"")</x:f>
      </x:c>
      <x:c r="J792" s="4" t="n">
        <x:f>IF(AND(ISNUMBER(G792),L792&gt;0),G792/L792,"")</x:f>
        <x:v>2.7094594594594597</x:v>
      </x:c>
      <x:c r="K792" s="10"/>
      <x:c r="L792" s="10" t="n">
        <x:v>37</x:v>
      </x:c>
      <x:c r="M792" s="10" t="str">
        <x:f>IF(COUNT(L792,K792)=2,L792-K792,"")</x:f>
      </x:c>
      <x:c r="N792" s="10"/>
      <x:c r="O792" s="10" t="n">
        <x:v>6</x:v>
      </x:c>
      <x:c r="P792" s="10" t="str">
        <x:f>IF(COUNT(O792,N792)=2,O792-N792,"")</x:f>
      </x:c>
      <x:c r="Q792" s="10"/>
      <x:c r="R792" s="10" t="n">
        <x:v>14</x:v>
      </x:c>
      <x:c r="S792" s="10" t="str">
        <x:f>IF(COUNT(R792,Q792)=2,R792-Q792,"")</x:f>
      </x:c>
      <x:c r="T792" s="10"/>
      <x:c r="U792" s="10" t="n">
        <x:v>-14</x:v>
      </x:c>
      <x:c r="V792" s="10" t="str">
        <x:f>IF(COUNT(U792,T792)=2,U792-T792,"")</x:f>
      </x:c>
      <x:c r="W792" s="10"/>
      <x:c r="X792" s="10" t="n">
        <x:f>IF(COUNT(AV792,AW792)=2,AV792+AW792,"")</x:f>
        <x:v>7</x:v>
      </x:c>
      <x:c r="Y792" s="10" t="str">
        <x:f>IF(COUNT(X792,W792)=2,X792-W792,"")</x:f>
      </x:c>
      <x:c r="Z792" s="10"/>
      <x:c r="AA792" s="10" t="n">
        <x:f>IF(COUNT(AX792,AY792)=2,AX792+AY792,"")</x:f>
        <x:v>0</x:v>
      </x:c>
      <x:c r="AB792" s="10" t="str">
        <x:f>IF(COUNT(AA792,Z792)=2,AA792-Z792,"")</x:f>
      </x:c>
      <x:c r="AC792" s="10"/>
      <x:c r="AD792" s="10" t="n">
        <x:v>70</x:v>
      </x:c>
      <x:c r="AE792" s="10" t="str">
        <x:f>IF(COUNT(AD792,AC792)=2,AD792-AC792,"")</x:f>
      </x:c>
      <x:c r="AF792" s="10"/>
      <x:c r="AG792" s="10" t="n">
        <x:v>11</x:v>
      </x:c>
      <x:c r="AH792" s="10" t="str">
        <x:f>IF(COUNT(AG792,AF792)=2,AG792-AF792,"")</x:f>
      </x:c>
      <x:c r="AI792" s="10"/>
      <x:c r="AJ792" s="10" t="n">
        <x:v>28</x:v>
      </x:c>
      <x:c r="AK792" s="10" t="str">
        <x:f>IF(COUNT(AJ792,AI792)=2,AJ792-AI792,"")</x:f>
      </x:c>
      <x:c r="AL792" s="10"/>
      <x:c r="AM792" s="10" t="n">
        <x:v>19</x:v>
      </x:c>
      <x:c r="AN792" s="4"/>
      <x:c r="AO792" s="4" t="str">
        <x:v>F</x:v>
      </x:c>
      <x:c r="AP792" s="4"/>
      <x:c r="AQ792" s="4" t="str">
        <x:v>CGY</x:v>
      </x:c>
      <x:c r="AR792" s="4"/>
      <x:c r="AS792" s="4" t="n">
        <x:v>15.166666666666666</x:v>
      </x:c>
      <x:c r="AT792" s="4"/>
      <x:c r="AU792" s="4" t="n">
        <x:v>8.6</x:v>
      </x:c>
      <x:c r="AV792" s="10" t="n">
        <x:v>1</x:v>
      </x:c>
      <x:c r="AW792" s="10" t="n">
        <x:v>6</x:v>
      </x:c>
      <x:c r="AX792" s="10" t="n">
        <x:v>0</x:v>
      </x:c>
      <x:c r="AY792" s="10" t="n">
        <x:v>0</x:v>
      </x:c>
      <x:c r="AZ792" s="10" t="n">
        <x:v>434</x:v>
      </x:c>
      <x:c r="BA792" s="10" t="n">
        <x:v>554</x:v>
      </x:c>
      <x:c r="BB792" s="4" t="n">
        <x:v>43.9</x:v>
      </x:c>
      <x:c r="BC792" s="4" t="n">
        <x:v>-4.3</x:v>
      </x:c>
      <x:c r="BD792" s="10" t="n">
        <x:v>313</x:v>
      </x:c>
      <x:c r="BE792" s="10" t="n">
        <x:v>398</x:v>
      </x:c>
      <x:c r="BF792" s="4" t="n">
        <x:v>44</x:v>
      </x:c>
      <x:c r="BG792" s="4" t="n">
        <x:v>-4.1</x:v>
      </x:c>
      <x:c r="BH792" s="4" t="n">
        <x:v>9.8</x:v>
      </x:c>
      <x:c r="BI792" s="4" t="n">
        <x:v>87.4</x:v>
      </x:c>
      <x:c r="BJ792" s="4" t="n">
        <x:v>97.2</x:v>
      </x:c>
      <x:c r="BK792" s="4" t="n">
        <x:v>70.5</x:v>
      </x:c>
      <x:c r="BL792" s="4" t="n">
        <x:v>29.5</x:v>
      </x:c>
      <x:c r="BM792" s="4" t="n">
        <x:v>15.166666666666666</x:v>
      </x:c>
      <x:c r="BN792" s="4" t="n">
        <x:v>13.2</x:v>
      </x:c>
      <x:c r="BO792" s="10" t="n">
        <x:v>7</x:v>
      </x:c>
      <x:c r="BP792" s="10" t="n">
        <x:v>42</x:v>
      </x:c>
      <x:c r="BQ792" s="4" t="n">
        <x:v>-6</x:v>
      </x:c>
      <x:c r="BR792" s="10" t="n">
        <x:v>140</x:v>
      </x:c>
      <x:c r="BS792" s="4" t="n">
        <x:v>50</x:v>
      </x:c>
      <x:c r="BT792" s="10" t="n">
        <x:v>37</x:v>
      </x:c>
      <x:c r="BU792" s="4" t="str">
        <x:v>CGY</x:v>
      </x:c>
      <x:c r="BV792" s="10"/>
      <x:c r="BW792" s="10" t="n">
        <x:v>466</x:v>
      </x:c>
      <x:c r="BX792" s="10" t="n">
        <x:v>361</x:v>
      </x:c>
      <x:c r="BY792" s="4"/>
      <x:c r="BZ792" s="4" t="str">
        <x:v>Matvei Gridin</x:v>
      </x:c>
      <x:c r="CA792" s="4" t="str">
        <x:v>Matvei Gridin</x:v>
      </x:c>
      <x:c r="CB792" s="4" t="str">
        <x:v>gridima01</x:v>
      </x:c>
    </x:row>
    <x:row r="793" ht="22" customHeight="1">
      <x:c r="A793" s="4" t="str">
        <x:v>Maveric Lamoureux</x:v>
      </x:c>
      <x:c r="B793" s="4" t="str">
        <x:v>mavericlamoureux</x:v>
      </x:c>
      <x:c r="C793" s="10" t="n">
        <x:v>1</x:v>
      </x:c>
      <x:c r="D793" s="10" t="n">
        <x:v>0</x:v>
      </x:c>
      <x:c r="E793" s="10" t="n">
        <x:v>1</x:v>
      </x:c>
      <x:c r="F793" s="4" t="n">
        <x:f>IF(COUNT(N793,Q793,T793,W793,Z793,AC793,AF793,AI793)=8,N793*Guide!$E$5+Q793*Guide!$E$6+T793*Guide!$E$7+W793*Guide!$E$8+Z793*Guide!$E$9+AC793*Guide!$E$10+AF793*Guide!$E$11+AI793*Guide!$E$12,"")</x:f>
        <x:v>184.25</x:v>
      </x:c>
      <x:c r="G793" s="4" t="str">
        <x:f>IF(COUNT(O793,R793,U793,X793,AA793,AD793,AG793,AJ793)=8,O793*Guide!$E$5+R793*Guide!$E$6+U793*Guide!$E$7+X793*Guide!$E$8+AA793*Guide!$E$9+AD793*Guide!$E$10+AG793*Guide!$E$11+AJ793*Guide!$E$12,"")</x:f>
      </x:c>
      <x:c r="H793" s="4" t="str">
        <x:f>IF(COUNT(G793,F793)=2,G793-F793,"")</x:f>
      </x:c>
      <x:c r="I793" s="4" t="n">
        <x:f>IF(AND(ISNUMBER(F793),K793&gt;0),F793/K793,"")</x:f>
        <x:v>2.3621794871794872</x:v>
      </x:c>
      <x:c r="J793" s="4" t="str">
        <x:f>IF(AND(ISNUMBER(G793),L793&gt;0),G793/L793,"")</x:f>
      </x:c>
      <x:c r="K793" s="10" t="n">
        <x:v>78</x:v>
      </x:c>
      <x:c r="L793" s="10"/>
      <x:c r="M793" s="10" t="str">
        <x:f>IF(COUNT(L793,K793)=2,L793-K793,"")</x:f>
      </x:c>
      <x:c r="N793" s="10" t="n">
        <x:v>6</x:v>
      </x:c>
      <x:c r="O793" s="10"/>
      <x:c r="P793" s="10" t="str">
        <x:f>IF(COUNT(O793,N793)=2,O793-N793,"")</x:f>
      </x:c>
      <x:c r="Q793" s="10" t="n">
        <x:v>15</x:v>
      </x:c>
      <x:c r="R793" s="10"/>
      <x:c r="S793" s="10" t="str">
        <x:f>IF(COUNT(R793,Q793)=2,R793-Q793,"")</x:f>
      </x:c>
      <x:c r="T793" s="10" t="n">
        <x:v>1</x:v>
      </x:c>
      <x:c r="U793" s="10"/>
      <x:c r="V793" s="10" t="str">
        <x:f>IF(COUNT(U793,T793)=2,U793-T793,"")</x:f>
      </x:c>
      <x:c r="W793" s="10" t="n">
        <x:v>0</x:v>
      </x:c>
      <x:c r="X793" s="10" t="str">
        <x:f>IF(COUNT(AV793,AW793)=2,AV793+AW793,"")</x:f>
      </x:c>
      <x:c r="Y793" s="10" t="str">
        <x:f>IF(COUNT(X793,W793)=2,X793-W793,"")</x:f>
      </x:c>
      <x:c r="Z793" s="10" t="n">
        <x:v>0</x:v>
      </x:c>
      <x:c r="AA793" s="10" t="str">
        <x:f>IF(COUNT(AX793,AY793)=2,AX793+AY793,"")</x:f>
      </x:c>
      <x:c r="AB793" s="10" t="str">
        <x:f>IF(COUNT(AA793,Z793)=2,AA793-Z793,"")</x:f>
      </x:c>
      <x:c r="AC793" s="10" t="n">
        <x:v>101</x:v>
      </x:c>
      <x:c r="AD793" s="10"/>
      <x:c r="AE793" s="10" t="str">
        <x:f>IF(COUNT(AD793,AC793)=2,AD793-AC793,"")</x:f>
      </x:c>
      <x:c r="AF793" s="10" t="n">
        <x:v>92</x:v>
      </x:c>
      <x:c r="AG793" s="10"/>
      <x:c r="AH793" s="10" t="str">
        <x:f>IF(COUNT(AG793,AF793)=2,AG793-AF793,"")</x:f>
      </x:c>
      <x:c r="AI793" s="10" t="n">
        <x:v>88</x:v>
      </x:c>
      <x:c r="AJ793" s="10"/>
      <x:c r="AK793" s="10" t="str">
        <x:f>IF(COUNT(AJ793,AI793)=2,AJ793-AI793,"")</x:f>
      </x:c>
      <x:c r="AL793" s="10" t="n">
        <x:v>22</x:v>
      </x:c>
      <x:c r="AM793" s="10"/>
      <x:c r="AN793" s="4" t="str">
        <x:v>D</x:v>
      </x:c>
      <x:c r="AO793" s="4"/>
      <x:c r="AP793" s="4" t="str">
        <x:v>UTA</x:v>
      </x:c>
      <x:c r="AQ793" s="4"/>
      <x:c r="AR793" s="4" t="n">
        <x:v>17.75</x:v>
      </x:c>
      <x:c r="AS793" s="4"/>
      <x:c r="AT793" s="4" t="n">
        <x:v>0.04</x:v>
      </x:c>
      <x:c r="AU793" s="4"/>
      <x:c r="AV793" s="10"/>
      <x:c r="AW793" s="10"/>
      <x:c r="AX793" s="10"/>
      <x:c r="AY793" s="10"/>
      <x:c r="AZ793" s="10" t="n">
        <x:v>67</x:v>
      </x:c>
      <x:c r="BA793" s="10" t="n">
        <x:v>77</x:v>
      </x:c>
      <x:c r="BB793" s="4" t="n">
        <x:v>46.5</x:v>
      </x:c>
      <x:c r="BC793" s="4" t="n">
        <x:v>-1.3</x:v>
      </x:c>
      <x:c r="BD793" s="10" t="n">
        <x:v>49</x:v>
      </x:c>
      <x:c r="BE793" s="10" t="n">
        <x:v>50</x:v>
      </x:c>
      <x:c r="BF793" s="4" t="n">
        <x:v>49.5</x:v>
      </x:c>
      <x:c r="BG793" s="4" t="n">
        <x:v>1.5</x:v>
      </x:c>
      <x:c r="BH793" s="4" t="n">
        <x:v>16.7</x:v>
      </x:c>
      <x:c r="BI793" s="4" t="n">
        <x:v>96.9</x:v>
      </x:c>
      <x:c r="BJ793" s="4" t="n">
        <x:v>113.5</x:v>
      </x:c>
      <x:c r="BK793" s="4" t="n">
        <x:v>44</x:v>
      </x:c>
      <x:c r="BL793" s="4" t="n">
        <x:v>56</x:v>
      </x:c>
      <x:c r="BM793" s="4" t="n">
        <x:v>14.65</x:v>
      </x:c>
      <x:c r="BN793" s="4" t="n">
        <x:v>14.65</x:v>
      </x:c>
      <x:c r="BO793" s="10" t="n">
        <x:v>2</x:v>
      </x:c>
      <x:c r="BP793" s="10" t="n">
        <x:v>4</x:v>
      </x:c>
      <x:c r="BQ793" s="4" t="n">
        <x:v>0</x:v>
      </x:c>
      <x:c r="BR793" s="10" t="n">
        <x:v>10</x:v>
      </x:c>
      <x:c r="BS793" s="4" t="n">
        <x:v>40</x:v>
      </x:c>
      <x:c r="BT793" s="10" t="n">
        <x:v>5</x:v>
      </x:c>
      <x:c r="BU793" s="4" t="str">
        <x:v>UTA</x:v>
      </x:c>
      <x:c r="BV793" s="10" t="n">
        <x:v>492</x:v>
      </x:c>
      <x:c r="BW793" s="10"/>
      <x:c r="BX793" s="10" t="n">
        <x:v>571</x:v>
      </x:c>
      <x:c r="BY793" s="4" t="str">
        <x:v>Maveric Lamoureux</x:v>
      </x:c>
      <x:c r="BZ793" s="4"/>
      <x:c r="CA793" s="4" t="str">
        <x:v>Maveric Lamoureux</x:v>
      </x:c>
      <x:c r="CB793" s="4" t="str">
        <x:v>lamouma01</x:v>
      </x:c>
    </x:row>
    <x:row r="794" ht="22" customHeight="1">
      <x:c r="A794" s="4" t="str">
        <x:v>Max Jones</x:v>
      </x:c>
      <x:c r="B794" s="4" t="str">
        <x:v>maxjones</x:v>
      </x:c>
      <x:c r="C794" s="10" t="n">
        <x:v>1</x:v>
      </x:c>
      <x:c r="D794" s="10" t="n">
        <x:v>0</x:v>
      </x:c>
      <x:c r="E794" s="10" t="n">
        <x:v>1</x:v>
      </x:c>
      <x:c r="F794" s="4" t="n">
        <x:f>IF(COUNT(N794,Q794,T794,W794,Z794,AC794,AF794,AI794)=8,N794*Guide!$E$5+Q794*Guide!$E$6+T794*Guide!$E$7+W794*Guide!$E$8+Z794*Guide!$E$9+AC794*Guide!$E$10+AF794*Guide!$E$11+AI794*Guide!$E$12,"")</x:f>
        <x:v>88.25</x:v>
      </x:c>
      <x:c r="G794" s="4" t="str">
        <x:f>IF(COUNT(O794,R794,U794,X794,AA794,AD794,AG794,AJ794)=8,O794*Guide!$E$5+R794*Guide!$E$6+U794*Guide!$E$7+X794*Guide!$E$8+AA794*Guide!$E$9+AD794*Guide!$E$10+AG794*Guide!$E$11+AJ794*Guide!$E$12,"")</x:f>
      </x:c>
      <x:c r="H794" s="4" t="str">
        <x:f>IF(COUNT(G794,F794)=2,G794-F794,"")</x:f>
      </x:c>
      <x:c r="I794" s="4" t="n">
        <x:f>IF(AND(ISNUMBER(F794),K794&gt;0),F794/K794,"")</x:f>
        <x:v>1.961111111111111</x:v>
      </x:c>
      <x:c r="J794" s="4" t="str">
        <x:f>IF(AND(ISNUMBER(G794),L794&gt;0),G794/L794,"")</x:f>
      </x:c>
      <x:c r="K794" s="10" t="n">
        <x:v>45</x:v>
      </x:c>
      <x:c r="L794" s="10"/>
      <x:c r="M794" s="10" t="str">
        <x:f>IF(COUNT(L794,K794)=2,L794-K794,"")</x:f>
      </x:c>
      <x:c r="N794" s="10" t="n">
        <x:v>5</x:v>
      </x:c>
      <x:c r="O794" s="10"/>
      <x:c r="P794" s="10" t="str">
        <x:f>IF(COUNT(O794,N794)=2,O794-N794,"")</x:f>
      </x:c>
      <x:c r="Q794" s="10" t="n">
        <x:v>7</x:v>
      </x:c>
      <x:c r="R794" s="10"/>
      <x:c r="S794" s="10" t="str">
        <x:f>IF(COUNT(R794,Q794)=2,R794-Q794,"")</x:f>
      </x:c>
      <x:c r="T794" s="10" t="n">
        <x:v>-4</x:v>
      </x:c>
      <x:c r="U794" s="10"/>
      <x:c r="V794" s="10" t="str">
        <x:f>IF(COUNT(U794,T794)=2,U794-T794,"")</x:f>
      </x:c>
      <x:c r="W794" s="10" t="n">
        <x:v>2</x:v>
      </x:c>
      <x:c r="X794" s="10" t="str">
        <x:f>IF(COUNT(AV794,AW794)=2,AV794+AW794,"")</x:f>
      </x:c>
      <x:c r="Y794" s="10" t="str">
        <x:f>IF(COUNT(X794,W794)=2,X794-W794,"")</x:f>
      </x:c>
      <x:c r="Z794" s="10" t="n">
        <x:v>0</x:v>
      </x:c>
      <x:c r="AA794" s="10" t="str">
        <x:f>IF(COUNT(AX794,AY794)=2,AX794+AY794,"")</x:f>
      </x:c>
      <x:c r="AB794" s="10" t="str">
        <x:f>IF(COUNT(AA794,Z794)=2,AA794-Z794,"")</x:f>
      </x:c>
      <x:c r="AC794" s="10" t="n">
        <x:v>47</x:v>
      </x:c>
      <x:c r="AD794" s="10"/>
      <x:c r="AE794" s="10" t="str">
        <x:f>IF(COUNT(AD794,AC794)=2,AD794-AC794,"")</x:f>
      </x:c>
      <x:c r="AF794" s="10" t="n">
        <x:v>108</x:v>
      </x:c>
      <x:c r="AG794" s="10"/>
      <x:c r="AH794" s="10" t="str">
        <x:f>IF(COUNT(AG794,AF794)=2,AG794-AF794,"")</x:f>
      </x:c>
      <x:c r="AI794" s="10" t="n">
        <x:v>14</x:v>
      </x:c>
      <x:c r="AJ794" s="10"/>
      <x:c r="AK794" s="10" t="str">
        <x:f>IF(COUNT(AJ794,AI794)=2,AJ794-AI794,"")</x:f>
      </x:c>
      <x:c r="AL794" s="10" t="n">
        <x:v>27</x:v>
      </x:c>
      <x:c r="AM794" s="10"/>
      <x:c r="AN794" s="4" t="str">
        <x:v>LW</x:v>
      </x:c>
      <x:c r="AO794" s="4"/>
      <x:c r="AP794" s="4" t="str">
        <x:v>EDM</x:v>
      </x:c>
      <x:c r="AQ794" s="4"/>
      <x:c r="AR794" s="4" t="n">
        <x:v>10.48</x:v>
      </x:c>
      <x:c r="AS794" s="4"/>
      <x:c r="AT794" s="4" t="n">
        <x:v>0.61</x:v>
      </x:c>
      <x:c r="AU794" s="4"/>
      <x:c r="AV794" s="10"/>
      <x:c r="AW794" s="10"/>
      <x:c r="AX794" s="10"/>
      <x:c r="AY794" s="10"/>
      <x:c r="AZ794" s="10" t="n">
        <x:v>158</x:v>
      </x:c>
      <x:c r="BA794" s="10" t="n">
        <x:v>144</x:v>
      </x:c>
      <x:c r="BB794" s="4" t="n">
        <x:v>52.3</x:v>
      </x:c>
      <x:c r="BC794" s="4" t="n">
        <x:v>3.4</x:v>
      </x:c>
      <x:c r="BD794" s="10" t="n">
        <x:v>105</x:v>
      </x:c>
      <x:c r="BE794" s="10" t="n">
        <x:v>87</x:v>
      </x:c>
      <x:c r="BF794" s="4" t="n">
        <x:v>54.7</x:v>
      </x:c>
      <x:c r="BG794" s="4" t="n">
        <x:v>5.7</x:v>
      </x:c>
      <x:c r="BH794" s="4" t="n">
        <x:v>11.4</x:v>
      </x:c>
      <x:c r="BI794" s="4" t="n">
        <x:v>90.6</x:v>
      </x:c>
      <x:c r="BJ794" s="4" t="n">
        <x:v>102</x:v>
      </x:c>
      <x:c r="BK794" s="4" t="n">
        <x:v>50</x:v>
      </x:c>
      <x:c r="BL794" s="4" t="n">
        <x:v>50</x:v>
      </x:c>
      <x:c r="BM794" s="4" t="n">
        <x:v>8.35</x:v>
      </x:c>
      <x:c r="BN794" s="4" t="n">
        <x:v>8.333333333333334</x:v>
      </x:c>
      <x:c r="BO794" s="10" t="n">
        <x:v>5</x:v>
      </x:c>
      <x:c r="BP794" s="10" t="n">
        <x:v>8</x:v>
      </x:c>
      <x:c r="BQ794" s="4" t="n">
        <x:v>1.7</x:v>
      </x:c>
      <x:c r="BR794" s="10" t="n">
        <x:v>38</x:v>
      </x:c>
      <x:c r="BS794" s="4" t="n">
        <x:v>57.9</x:v>
      </x:c>
      <x:c r="BT794" s="10" t="n">
        <x:v>21</x:v>
      </x:c>
      <x:c r="BU794" s="4" t="str">
        <x:v>EDM</x:v>
      </x:c>
      <x:c r="BV794" s="10" t="n">
        <x:v>696</x:v>
      </x:c>
      <x:c r="BW794" s="10"/>
      <x:c r="BX794" s="10" t="n">
        <x:v>475</x:v>
      </x:c>
      <x:c r="BY794" s="4" t="str">
        <x:v>Max Jones</x:v>
      </x:c>
      <x:c r="BZ794" s="4"/>
      <x:c r="CA794" s="4" t="str">
        <x:v>Max Jones</x:v>
      </x:c>
      <x:c r="CB794" s="4" t="str">
        <x:v>jonesma03</x:v>
      </x:c>
    </x:row>
    <x:row r="795" ht="22" customHeight="1">
      <x:c r="A795" s="4" t="str">
        <x:v>Max Pacioretty</x:v>
      </x:c>
      <x:c r="B795" s="4" t="str">
        <x:v>maxpacioretty</x:v>
      </x:c>
      <x:c r="C795" s="10" t="n">
        <x:v>1</x:v>
      </x:c>
      <x:c r="D795" s="10" t="n">
        <x:v>0</x:v>
      </x:c>
      <x:c r="E795" s="10" t="n">
        <x:v>0</x:v>
      </x:c>
      <x:c r="F795" s="4" t="n">
        <x:f>IF(COUNT(N795,Q795,T795,W795,Z795,AC795,AF795,AI795)=8,N795*Guide!$E$5+Q795*Guide!$E$6+T795*Guide!$E$7+W795*Guide!$E$8+Z795*Guide!$E$9+AC795*Guide!$E$10+AF795*Guide!$E$11+AI795*Guide!$E$12,"")</x:f>
        <x:v>193.5</x:v>
      </x:c>
      <x:c r="G795" s="4" t="str">
        <x:f>IF(COUNT(O795,R795,U795,X795,AA795,AD795,AG795,AJ795)=8,O795*Guide!$E$5+R795*Guide!$E$6+U795*Guide!$E$7+X795*Guide!$E$8+AA795*Guide!$E$9+AD795*Guide!$E$10+AG795*Guide!$E$11+AJ795*Guide!$E$12,"")</x:f>
      </x:c>
      <x:c r="H795" s="4" t="str">
        <x:f>IF(COUNT(G795,F795)=2,G795-F795,"")</x:f>
      </x:c>
      <x:c r="I795" s="4" t="n">
        <x:f>IF(AND(ISNUMBER(F795),K795&gt;0),F795/K795,"")</x:f>
        <x:v>2.7253521126760565</x:v>
      </x:c>
      <x:c r="J795" s="4" t="str">
        <x:f>IF(AND(ISNUMBER(G795),L795&gt;0),G795/L795,"")</x:f>
      </x:c>
      <x:c r="K795" s="10" t="n">
        <x:v>71</x:v>
      </x:c>
      <x:c r="L795" s="10"/>
      <x:c r="M795" s="10" t="str">
        <x:f>IF(COUNT(L795,K795)=2,L795-K795,"")</x:f>
      </x:c>
      <x:c r="N795" s="10" t="n">
        <x:v>11</x:v>
      </x:c>
      <x:c r="O795" s="10"/>
      <x:c r="P795" s="10" t="str">
        <x:f>IF(COUNT(O795,N795)=2,O795-N795,"")</x:f>
      </x:c>
      <x:c r="Q795" s="10" t="n">
        <x:v>18</x:v>
      </x:c>
      <x:c r="R795" s="10"/>
      <x:c r="S795" s="10" t="str">
        <x:f>IF(COUNT(R795,Q795)=2,R795-Q795,"")</x:f>
      </x:c>
      <x:c r="T795" s="10" t="n">
        <x:v>-6</x:v>
      </x:c>
      <x:c r="U795" s="10"/>
      <x:c r="V795" s="10" t="str">
        <x:f>IF(COUNT(U795,T795)=2,U795-T795,"")</x:f>
      </x:c>
      <x:c r="W795" s="10" t="n">
        <x:v>6</x:v>
      </x:c>
      <x:c r="X795" s="10" t="str">
        <x:f>IF(COUNT(AV795,AW795)=2,AV795+AW795,"")</x:f>
      </x:c>
      <x:c r="Y795" s="10" t="str">
        <x:f>IF(COUNT(X795,W795)=2,X795-W795,"")</x:f>
      </x:c>
      <x:c r="Z795" s="10" t="n">
        <x:v>0</x:v>
      </x:c>
      <x:c r="AA795" s="10" t="str">
        <x:f>IF(COUNT(AX795,AY795)=2,AX795+AY795,"")</x:f>
      </x:c>
      <x:c r="AB795" s="10" t="str">
        <x:f>IF(COUNT(AA795,Z795)=2,AA795-Z795,"")</x:f>
      </x:c>
      <x:c r="AC795" s="10" t="n">
        <x:v>121</x:v>
      </x:c>
      <x:c r="AD795" s="10"/>
      <x:c r="AE795" s="10" t="str">
        <x:f>IF(COUNT(AD795,AC795)=2,AD795-AC795,"")</x:f>
      </x:c>
      <x:c r="AF795" s="10" t="n">
        <x:v>171</x:v>
      </x:c>
      <x:c r="AG795" s="10"/>
      <x:c r="AH795" s="10" t="str">
        <x:f>IF(COUNT(AG795,AF795)=2,AG795-AF795,"")</x:f>
      </x:c>
      <x:c r="AI795" s="10" t="n">
        <x:v>30</x:v>
      </x:c>
      <x:c r="AJ795" s="10"/>
      <x:c r="AK795" s="10" t="str">
        <x:f>IF(COUNT(AJ795,AI795)=2,AJ795-AI795,"")</x:f>
      </x:c>
      <x:c r="AL795" s="10" t="n">
        <x:v>37</x:v>
      </x:c>
      <x:c r="AM795" s="10"/>
      <x:c r="AN795" s="4" t="str">
        <x:v>LW</x:v>
      </x:c>
      <x:c r="AO795" s="4"/>
      <x:c r="AP795" s="4" t="str">
        <x:v>TOR</x:v>
      </x:c>
      <x:c r="AQ795" s="4"/>
      <x:c r="AR795" s="4" t="n">
        <x:v>13.28</x:v>
      </x:c>
      <x:c r="AS795" s="4"/>
      <x:c r="AT795" s="4" t="n">
        <x:v>1.18</x:v>
      </x:c>
      <x:c r="AU795" s="4"/>
      <x:c r="AV795" s="10"/>
      <x:c r="AW795" s="10"/>
      <x:c r="AX795" s="10"/>
      <x:c r="AY795" s="10"/>
      <x:c r="AZ795" s="10"/>
      <x:c r="BA795" s="10"/>
      <x:c r="BB795" s="4"/>
      <x:c r="BC795" s="4"/>
      <x:c r="BD795" s="10"/>
      <x:c r="BE795" s="10"/>
      <x:c r="BF795" s="4"/>
      <x:c r="BG795" s="4"/>
      <x:c r="BH795" s="4"/>
      <x:c r="BI795" s="4"/>
      <x:c r="BJ795" s="4"/>
      <x:c r="BK795" s="4"/>
      <x:c r="BL795" s="4"/>
      <x:c r="BM795" s="4"/>
      <x:c r="BN795" s="4"/>
      <x:c r="BO795" s="10"/>
      <x:c r="BP795" s="10"/>
      <x:c r="BQ795" s="4"/>
      <x:c r="BR795" s="10"/>
      <x:c r="BS795" s="4"/>
      <x:c r="BT795" s="10"/>
      <x:c r="BU795" s="4"/>
      <x:c r="BV795" s="10" t="n">
        <x:v>386</x:v>
      </x:c>
      <x:c r="BW795" s="10"/>
      <x:c r="BX795" s="10"/>
      <x:c r="BY795" s="4" t="str">
        <x:v>Max Pacioretty</x:v>
      </x:c>
      <x:c r="BZ795" s="4"/>
      <x:c r="CA795" s="4"/>
      <x:c r="CB795" s="4"/>
    </x:row>
    <x:row r="796" ht="22" customHeight="1">
      <x:c r="A796" s="4" t="str">
        <x:v>Maxim Groshev</x:v>
      </x:c>
      <x:c r="B796" s="4" t="str">
        <x:v>maximgroshev</x:v>
      </x:c>
      <x:c r="C796" s="10" t="n">
        <x:v>0</x:v>
      </x:c>
      <x:c r="D796" s="10" t="n">
        <x:v>0</x:v>
      </x:c>
      <x:c r="E796" s="10" t="n">
        <x:v>1</x:v>
      </x:c>
      <x:c r="F796" s="4" t="str">
        <x:f>IF(COUNT(N796,Q796,T796,W796,Z796,AC796,AF796,AI796)=8,N796*Guide!$E$5+Q796*Guide!$E$6+T796*Guide!$E$7+W796*Guide!$E$8+Z796*Guide!$E$9+AC796*Guide!$E$10+AF796*Guide!$E$11+AI796*Guide!$E$12,"")</x:f>
      </x:c>
      <x:c r="G796" s="4" t="str">
        <x:f>IF(COUNT(O796,R796,U796,X796,AA796,AD796,AG796,AJ796)=8,O796*Guide!$E$5+R796*Guide!$E$6+U796*Guide!$E$7+X796*Guide!$E$8+AA796*Guide!$E$9+AD796*Guide!$E$10+AG796*Guide!$E$11+AJ796*Guide!$E$12,"")</x:f>
      </x:c>
      <x:c r="H796" s="4" t="str">
        <x:f>IF(COUNT(G796,F796)=2,G796-F796,"")</x:f>
      </x:c>
      <x:c r="I796" s="4" t="str">
        <x:f>IF(AND(ISNUMBER(F796),K796&gt;0),F796/K796,"")</x:f>
      </x:c>
      <x:c r="J796" s="4" t="str">
        <x:f>IF(AND(ISNUMBER(G796),L796&gt;0),G796/L796,"")</x:f>
      </x:c>
      <x:c r="K796" s="10"/>
      <x:c r="L796" s="10"/>
      <x:c r="M796" s="10" t="str">
        <x:f>IF(COUNT(L796,K796)=2,L796-K796,"")</x:f>
      </x:c>
      <x:c r="N796" s="10"/>
      <x:c r="O796" s="10"/>
      <x:c r="P796" s="10" t="str">
        <x:f>IF(COUNT(O796,N796)=2,O796-N796,"")</x:f>
      </x:c>
      <x:c r="Q796" s="10"/>
      <x:c r="R796" s="10"/>
      <x:c r="S796" s="10" t="str">
        <x:f>IF(COUNT(R796,Q796)=2,R796-Q796,"")</x:f>
      </x:c>
      <x:c r="T796" s="10"/>
      <x:c r="U796" s="10"/>
      <x:c r="V796" s="10" t="str">
        <x:f>IF(COUNT(U796,T796)=2,U796-T796,"")</x:f>
      </x:c>
      <x:c r="W796" s="10"/>
      <x:c r="X796" s="10" t="str">
        <x:f>IF(COUNT(AV796,AW796)=2,AV796+AW796,"")</x:f>
      </x:c>
      <x:c r="Y796" s="10" t="str">
        <x:f>IF(COUNT(X796,W796)=2,X796-W796,"")</x:f>
      </x:c>
      <x:c r="Z796" s="10"/>
      <x:c r="AA796" s="10" t="str">
        <x:f>IF(COUNT(AX796,AY796)=2,AX796+AY796,"")</x:f>
      </x:c>
      <x:c r="AB796" s="10" t="str">
        <x:f>IF(COUNT(AA796,Z796)=2,AA796-Z796,"")</x:f>
      </x:c>
      <x:c r="AC796" s="10"/>
      <x:c r="AD796" s="10"/>
      <x:c r="AE796" s="10" t="str">
        <x:f>IF(COUNT(AD796,AC796)=2,AD796-AC796,"")</x:f>
      </x:c>
      <x:c r="AF796" s="10"/>
      <x:c r="AG796" s="10"/>
      <x:c r="AH796" s="10" t="str">
        <x:f>IF(COUNT(AG796,AF796)=2,AG796-AF796,"")</x:f>
      </x:c>
      <x:c r="AI796" s="10"/>
      <x:c r="AJ796" s="10"/>
      <x:c r="AK796" s="10" t="str">
        <x:f>IF(COUNT(AJ796,AI796)=2,AJ796-AI796,"")</x:f>
      </x:c>
      <x:c r="AL796" s="10"/>
      <x:c r="AM796" s="10"/>
      <x:c r="AN796" s="4"/>
      <x:c r="AO796" s="4"/>
      <x:c r="AP796" s="4"/>
      <x:c r="AQ796" s="4"/>
      <x:c r="AR796" s="4"/>
      <x:c r="AS796" s="4"/>
      <x:c r="AT796" s="4"/>
      <x:c r="AU796" s="4"/>
      <x:c r="AV796" s="10"/>
      <x:c r="AW796" s="10"/>
      <x:c r="AX796" s="10"/>
      <x:c r="AY796" s="10"/>
      <x:c r="AZ796" s="10" t="n">
        <x:v>16</x:v>
      </x:c>
      <x:c r="BA796" s="10" t="n">
        <x:v>31</x:v>
      </x:c>
      <x:c r="BB796" s="4" t="n">
        <x:v>34</x:v>
      </x:c>
      <x:c r="BC796" s="4" t="n">
        <x:v>-3.6</x:v>
      </x:c>
      <x:c r="BD796" s="10" t="n">
        <x:v>13</x:v>
      </x:c>
      <x:c r="BE796" s="10" t="n">
        <x:v>24</x:v>
      </x:c>
      <x:c r="BF796" s="4" t="n">
        <x:v>35.1</x:v>
      </x:c>
      <x:c r="BG796" s="4" t="n">
        <x:v>-7.1</x:v>
      </x:c>
      <x:c r="BH796" s="4" t="n">
        <x:v>10</x:v>
      </x:c>
      <x:c r="BI796" s="4" t="n">
        <x:v>100</x:v>
      </x:c>
      <x:c r="BJ796" s="4" t="n">
        <x:v>110</x:v>
      </x:c>
      <x:c r="BK796" s="4" t="n">
        <x:v>13.3</x:v>
      </x:c>
      <x:c r="BL796" s="4" t="n">
        <x:v>86.7</x:v>
      </x:c>
      <x:c r="BM796" s="4" t="n">
        <x:v>11.5</x:v>
      </x:c>
      <x:c r="BN796" s="4" t="n">
        <x:v>11.483333333333333</x:v>
      </x:c>
      <x:c r="BO796" s="10" t="n">
        <x:v>0</x:v>
      </x:c>
      <x:c r="BP796" s="10" t="n">
        <x:v>1</x:v>
      </x:c>
      <x:c r="BQ796" s="4" t="n">
        <x:v>-1.2</x:v>
      </x:c>
      <x:c r="BR796" s="10" t="n">
        <x:v>1</x:v>
      </x:c>
      <x:c r="BS796" s="4" t="n">
        <x:v>100</x:v>
      </x:c>
      <x:c r="BT796" s="10" t="n">
        <x:v>2</x:v>
      </x:c>
      <x:c r="BU796" s="4" t="str">
        <x:v>TBL</x:v>
      </x:c>
      <x:c r="BV796" s="10"/>
      <x:c r="BW796" s="10"/>
      <x:c r="BX796" s="10" t="n">
        <x:v>363</x:v>
      </x:c>
      <x:c r="BY796" s="4"/>
      <x:c r="BZ796" s="4"/>
      <x:c r="CA796" s="4" t="str">
        <x:v>Maxim Groshev</x:v>
      </x:c>
      <x:c r="CB796" s="4" t="str">
        <x:v>groshma01</x:v>
      </x:c>
    </x:row>
    <x:row r="797" ht="22" customHeight="1">
      <x:c r="A797" s="4" t="str">
        <x:v>Maxim Shabanov</x:v>
      </x:c>
      <x:c r="B797" s="4" t="str">
        <x:v>maximshabanov</x:v>
      </x:c>
      <x:c r="C797" s="10" t="n">
        <x:v>1</x:v>
      </x:c>
      <x:c r="D797" s="10" t="n">
        <x:v>0</x:v>
      </x:c>
      <x:c r="E797" s="10" t="n">
        <x:v>0</x:v>
      </x:c>
      <x:c r="F797" s="4" t="n">
        <x:f>IF(COUNT(N797,Q797,T797,W797,Z797,AC797,AF797,AI797)=8,N797*Guide!$E$5+Q797*Guide!$E$6+T797*Guide!$E$7+W797*Guide!$E$8+Z797*Guide!$E$9+AC797*Guide!$E$10+AF797*Guide!$E$11+AI797*Guide!$E$12,"")</x:f>
        <x:v>220.25</x:v>
      </x:c>
      <x:c r="G797" s="4" t="str">
        <x:f>IF(COUNT(O797,R797,U797,X797,AA797,AD797,AG797,AJ797)=8,O797*Guide!$E$5+R797*Guide!$E$6+U797*Guide!$E$7+X797*Guide!$E$8+AA797*Guide!$E$9+AD797*Guide!$E$10+AG797*Guide!$E$11+AJ797*Guide!$E$12,"")</x:f>
      </x:c>
      <x:c r="H797" s="4" t="str">
        <x:f>IF(COUNT(G797,F797)=2,G797-F797,"")</x:f>
      </x:c>
      <x:c r="I797" s="4" t="n">
        <x:f>IF(AND(ISNUMBER(F797),K797&gt;0),F797/K797,"")</x:f>
        <x:v>2.898026315789474</x:v>
      </x:c>
      <x:c r="J797" s="4" t="str">
        <x:f>IF(AND(ISNUMBER(G797),L797&gt;0),G797/L797,"")</x:f>
      </x:c>
      <x:c r="K797" s="10" t="n">
        <x:v>76</x:v>
      </x:c>
      <x:c r="L797" s="10"/>
      <x:c r="M797" s="10" t="str">
        <x:f>IF(COUNT(L797,K797)=2,L797-K797,"")</x:f>
      </x:c>
      <x:c r="N797" s="10" t="n">
        <x:v>20</x:v>
      </x:c>
      <x:c r="O797" s="10"/>
      <x:c r="P797" s="10" t="str">
        <x:f>IF(COUNT(O797,N797)=2,O797-N797,"")</x:f>
      </x:c>
      <x:c r="Q797" s="10" t="n">
        <x:v>24</x:v>
      </x:c>
      <x:c r="R797" s="10"/>
      <x:c r="S797" s="10" t="str">
        <x:f>IF(COUNT(R797,Q797)=2,R797-Q797,"")</x:f>
      </x:c>
      <x:c r="T797" s="10" t="n">
        <x:v>-2</x:v>
      </x:c>
      <x:c r="U797" s="10"/>
      <x:c r="V797" s="10" t="str">
        <x:f>IF(COUNT(U797,T797)=2,U797-T797,"")</x:f>
      </x:c>
      <x:c r="W797" s="10" t="n">
        <x:v>10</x:v>
      </x:c>
      <x:c r="X797" s="10" t="str">
        <x:f>IF(COUNT(AV797,AW797)=2,AV797+AW797,"")</x:f>
      </x:c>
      <x:c r="Y797" s="10" t="str">
        <x:f>IF(COUNT(X797,W797)=2,X797-W797,"")</x:f>
      </x:c>
      <x:c r="Z797" s="10" t="n">
        <x:v>0</x:v>
      </x:c>
      <x:c r="AA797" s="10" t="str">
        <x:f>IF(COUNT(AX797,AY797)=2,AX797+AY797,"")</x:f>
      </x:c>
      <x:c r="AB797" s="10" t="str">
        <x:f>IF(COUNT(AA797,Z797)=2,AA797-Z797,"")</x:f>
      </x:c>
      <x:c r="AC797" s="10" t="n">
        <x:v>163</x:v>
      </x:c>
      <x:c r="AD797" s="10"/>
      <x:c r="AE797" s="10" t="str">
        <x:f>IF(COUNT(AD797,AC797)=2,AD797-AC797,"")</x:f>
      </x:c>
      <x:c r="AF797" s="10" t="n">
        <x:v>30</x:v>
      </x:c>
      <x:c r="AG797" s="10"/>
      <x:c r="AH797" s="10" t="str">
        <x:f>IF(COUNT(AG797,AF797)=2,AG797-AF797,"")</x:f>
      </x:c>
      <x:c r="AI797" s="10" t="n">
        <x:v>16</x:v>
      </x:c>
      <x:c r="AJ797" s="10"/>
      <x:c r="AK797" s="10" t="str">
        <x:f>IF(COUNT(AJ797,AI797)=2,AJ797-AI797,"")</x:f>
      </x:c>
      <x:c r="AL797" s="10" t="n">
        <x:v>25</x:v>
      </x:c>
      <x:c r="AM797" s="10"/>
      <x:c r="AN797" s="4" t="str">
        <x:v>RW</x:v>
      </x:c>
      <x:c r="AO797" s="4"/>
      <x:c r="AP797" s="4" t="str">
        <x:v>NYI</x:v>
      </x:c>
      <x:c r="AQ797" s="4"/>
      <x:c r="AR797" s="4" t="n">
        <x:v>15.5</x:v>
      </x:c>
      <x:c r="AS797" s="4"/>
      <x:c r="AT797" s="4" t="n">
        <x:v>1.75</x:v>
      </x:c>
      <x:c r="AU797" s="4"/>
      <x:c r="AV797" s="10"/>
      <x:c r="AW797" s="10"/>
      <x:c r="AX797" s="10"/>
      <x:c r="AY797" s="10"/>
      <x:c r="AZ797" s="10"/>
      <x:c r="BA797" s="10"/>
      <x:c r="BB797" s="4"/>
      <x:c r="BC797" s="4"/>
      <x:c r="BD797" s="10"/>
      <x:c r="BE797" s="10"/>
      <x:c r="BF797" s="4"/>
      <x:c r="BG797" s="4"/>
      <x:c r="BH797" s="4"/>
      <x:c r="BI797" s="4"/>
      <x:c r="BJ797" s="4"/>
      <x:c r="BK797" s="4"/>
      <x:c r="BL797" s="4"/>
      <x:c r="BM797" s="4"/>
      <x:c r="BN797" s="4"/>
      <x:c r="BO797" s="10"/>
      <x:c r="BP797" s="10"/>
      <x:c r="BQ797" s="4"/>
      <x:c r="BR797" s="10"/>
      <x:c r="BS797" s="4"/>
      <x:c r="BT797" s="10"/>
      <x:c r="BU797" s="4"/>
      <x:c r="BV797" s="10" t="n">
        <x:v>211</x:v>
      </x:c>
      <x:c r="BW797" s="10"/>
      <x:c r="BX797" s="10"/>
      <x:c r="BY797" s="4" t="str">
        <x:v>Maxim Shabanov</x:v>
      </x:c>
      <x:c r="BZ797" s="4"/>
      <x:c r="CA797" s="4"/>
      <x:c r="CB797" s="4"/>
    </x:row>
    <x:row r="798" ht="22" customHeight="1">
      <x:c r="A798" s="4" t="str">
        <x:v>Maxim Tsyplakov</x:v>
      </x:c>
      <x:c r="B798" s="4" t="str">
        <x:v>maximtsyplakov</x:v>
      </x:c>
      <x:c r="C798" s="10" t="n">
        <x:v>1</x:v>
      </x:c>
      <x:c r="D798" s="10" t="n">
        <x:v>0</x:v>
      </x:c>
      <x:c r="E798" s="10" t="n">
        <x:v>1</x:v>
      </x:c>
      <x:c r="F798" s="4" t="n">
        <x:f>IF(COUNT(N798,Q798,T798,W798,Z798,AC798,AF798,AI798)=8,N798*Guide!$E$5+Q798*Guide!$E$6+T798*Guide!$E$7+W798*Guide!$E$8+Z798*Guide!$E$9+AC798*Guide!$E$10+AF798*Guide!$E$11+AI798*Guide!$E$12,"")</x:f>
        <x:v>230</x:v>
      </x:c>
      <x:c r="G798" s="4" t="str">
        <x:f>IF(COUNT(O798,R798,U798,X798,AA798,AD798,AG798,AJ798)=8,O798*Guide!$E$5+R798*Guide!$E$6+U798*Guide!$E$7+X798*Guide!$E$8+AA798*Guide!$E$9+AD798*Guide!$E$10+AG798*Guide!$E$11+AJ798*Guide!$E$12,"")</x:f>
      </x:c>
      <x:c r="H798" s="4" t="str">
        <x:f>IF(COUNT(G798,F798)=2,G798-F798,"")</x:f>
      </x:c>
      <x:c r="I798" s="4" t="n">
        <x:f>IF(AND(ISNUMBER(F798),K798&gt;0),F798/K798,"")</x:f>
        <x:v>2.948717948717949</x:v>
      </x:c>
      <x:c r="J798" s="4" t="str">
        <x:f>IF(AND(ISNUMBER(G798),L798&gt;0),G798/L798,"")</x:f>
      </x:c>
      <x:c r="K798" s="10" t="n">
        <x:v>78</x:v>
      </x:c>
      <x:c r="L798" s="10"/>
      <x:c r="M798" s="10" t="str">
        <x:f>IF(COUNT(L798,K798)=2,L798-K798,"")</x:f>
      </x:c>
      <x:c r="N798" s="10" t="n">
        <x:v>14</x:v>
      </x:c>
      <x:c r="O798" s="10"/>
      <x:c r="P798" s="10" t="str">
        <x:f>IF(COUNT(O798,N798)=2,O798-N798,"")</x:f>
      </x:c>
      <x:c r="Q798" s="10" t="n">
        <x:v>23</x:v>
      </x:c>
      <x:c r="R798" s="10"/>
      <x:c r="S798" s="10" t="str">
        <x:f>IF(COUNT(R798,Q798)=2,R798-Q798,"")</x:f>
      </x:c>
      <x:c r="T798" s="10" t="n">
        <x:v>4</x:v>
      </x:c>
      <x:c r="U798" s="10"/>
      <x:c r="V798" s="10" t="str">
        <x:f>IF(COUNT(U798,T798)=2,U798-T798,"")</x:f>
      </x:c>
      <x:c r="W798" s="10" t="n">
        <x:v>5</x:v>
      </x:c>
      <x:c r="X798" s="10" t="str">
        <x:f>IF(COUNT(AV798,AW798)=2,AV798+AW798,"")</x:f>
      </x:c>
      <x:c r="Y798" s="10" t="str">
        <x:f>IF(COUNT(X798,W798)=2,X798-W798,"")</x:f>
      </x:c>
      <x:c r="Z798" s="10" t="n">
        <x:v>0</x:v>
      </x:c>
      <x:c r="AA798" s="10" t="str">
        <x:f>IF(COUNT(AX798,AY798)=2,AX798+AY798,"")</x:f>
      </x:c>
      <x:c r="AB798" s="10" t="str">
        <x:f>IF(COUNT(AA798,Z798)=2,AA798-Z798,"")</x:f>
      </x:c>
      <x:c r="AC798" s="10" t="n">
        <x:v>123</x:v>
      </x:c>
      <x:c r="AD798" s="10"/>
      <x:c r="AE798" s="10" t="str">
        <x:f>IF(COUNT(AD798,AC798)=2,AD798-AC798,"")</x:f>
      </x:c>
      <x:c r="AF798" s="10" t="n">
        <x:v>138</x:v>
      </x:c>
      <x:c r="AG798" s="10"/>
      <x:c r="AH798" s="10" t="str">
        <x:f>IF(COUNT(AG798,AF798)=2,AG798-AF798,"")</x:f>
      </x:c>
      <x:c r="AI798" s="10" t="n">
        <x:v>41</x:v>
      </x:c>
      <x:c r="AJ798" s="10"/>
      <x:c r="AK798" s="10" t="str">
        <x:f>IF(COUNT(AJ798,AI798)=2,AJ798-AI798,"")</x:f>
      </x:c>
      <x:c r="AL798" s="10" t="n">
        <x:v>27</x:v>
      </x:c>
      <x:c r="AM798" s="10"/>
      <x:c r="AN798" s="4" t="str">
        <x:v>LW,RW</x:v>
      </x:c>
      <x:c r="AO798" s="4"/>
      <x:c r="AP798" s="4" t="str">
        <x:v>NYI</x:v>
      </x:c>
      <x:c r="AQ798" s="4"/>
      <x:c r="AR798" s="4" t="n">
        <x:v>14.99</x:v>
      </x:c>
      <x:c r="AS798" s="4"/>
      <x:c r="AT798" s="4" t="n">
        <x:v>1.54</x:v>
      </x:c>
      <x:c r="AU798" s="4"/>
      <x:c r="AV798" s="10"/>
      <x:c r="AW798" s="10"/>
      <x:c r="AX798" s="10"/>
      <x:c r="AY798" s="10"/>
      <x:c r="AZ798" s="10" t="n">
        <x:v>385</x:v>
      </x:c>
      <x:c r="BA798" s="10" t="n">
        <x:v>394</x:v>
      </x:c>
      <x:c r="BB798" s="4" t="n">
        <x:v>49.4</x:v>
      </x:c>
      <x:c r="BC798" s="4" t="n">
        <x:v>-1.5</x:v>
      </x:c>
      <x:c r="BD798" s="10" t="n">
        <x:v>284</x:v>
      </x:c>
      <x:c r="BE798" s="10" t="n">
        <x:v>276</x:v>
      </x:c>
      <x:c r="BF798" s="4" t="n">
        <x:v>50.7</x:v>
      </x:c>
      <x:c r="BG798" s="4" t="n">
        <x:v>-0.7</x:v>
      </x:c>
      <x:c r="BH798" s="4" t="n">
        <x:v>5.3</x:v>
      </x:c>
      <x:c r="BI798" s="4" t="n">
        <x:v>84.7</x:v>
      </x:c>
      <x:c r="BJ798" s="4" t="n">
        <x:v>89.9</x:v>
      </x:c>
      <x:c r="BK798" s="4" t="n">
        <x:v>54.4</x:v>
      </x:c>
      <x:c r="BL798" s="4" t="n">
        <x:v>45.6</x:v>
      </x:c>
      <x:c r="BM798" s="4" t="n">
        <x:v>9.116666666666667</x:v>
      </x:c>
      <x:c r="BN798" s="4" t="n">
        <x:v>9</x:v>
      </x:c>
      <x:c r="BO798" s="10" t="n">
        <x:v>8</x:v>
      </x:c>
      <x:c r="BP798" s="10" t="n">
        <x:v>28</x:v>
      </x:c>
      <x:c r="BQ798" s="4" t="n">
        <x:v>-5.1</x:v>
      </x:c>
      <x:c r="BR798" s="10" t="n">
        <x:v>91</x:v>
      </x:c>
      <x:c r="BS798" s="4" t="n">
        <x:v>46.2</x:v>
      </x:c>
      <x:c r="BT798" s="10" t="n">
        <x:v>49</x:v>
      </x:c>
      <x:c r="BU798" s="4" t="str">
        <x:v>TOT</x:v>
      </x:c>
      <x:c r="BV798" s="10" t="n">
        <x:v>285</x:v>
      </x:c>
      <x:c r="BW798" s="10"/>
      <x:c r="BX798" s="10" t="n">
        <x:v>1032</x:v>
      </x:c>
      <x:c r="BY798" s="4" t="str">
        <x:v>Maxim Tsyplakov</x:v>
      </x:c>
      <x:c r="BZ798" s="4"/>
      <x:c r="CA798" s="4" t="str">
        <x:v>Maxim Tsyplakov</x:v>
      </x:c>
      <x:c r="CB798" s="4" t="str">
        <x:v>tsyplma01</x:v>
      </x:c>
    </x:row>
    <x:row r="799" ht="22" customHeight="1">
      <x:c r="A799" s="4" t="str">
        <x:v>Maxwell Crozier</x:v>
      </x:c>
      <x:c r="B799" s="4" t="str">
        <x:v>maxwellcrozier</x:v>
      </x:c>
      <x:c r="C799" s="10" t="n">
        <x:v>1</x:v>
      </x:c>
      <x:c r="D799" s="10" t="n">
        <x:v>0</x:v>
      </x:c>
      <x:c r="E799" s="10" t="n">
        <x:v>1</x:v>
      </x:c>
      <x:c r="F799" s="4" t="n">
        <x:f>IF(COUNT(N799,Q799,T799,W799,Z799,AC799,AF799,AI799)=8,N799*Guide!$E$5+Q799*Guide!$E$6+T799*Guide!$E$7+W799*Guide!$E$8+Z799*Guide!$E$9+AC799*Guide!$E$10+AF799*Guide!$E$11+AI799*Guide!$E$12,"")</x:f>
        <x:v>89.25</x:v>
      </x:c>
      <x:c r="G799" s="4" t="str">
        <x:f>IF(COUNT(O799,R799,U799,X799,AA799,AD799,AG799,AJ799)=8,O799*Guide!$E$5+R799*Guide!$E$6+U799*Guide!$E$7+X799*Guide!$E$8+AA799*Guide!$E$9+AD799*Guide!$E$10+AG799*Guide!$E$11+AJ799*Guide!$E$12,"")</x:f>
      </x:c>
      <x:c r="H799" s="4" t="str">
        <x:f>IF(COUNT(G799,F799)=2,G799-F799,"")</x:f>
      </x:c>
      <x:c r="I799" s="4" t="n">
        <x:f>IF(AND(ISNUMBER(F799),K799&gt;0),F799/K799,"")</x:f>
        <x:v>1.75</x:v>
      </x:c>
      <x:c r="J799" s="4" t="str">
        <x:f>IF(AND(ISNUMBER(G799),L799&gt;0),G799/L799,"")</x:f>
      </x:c>
      <x:c r="K799" s="10" t="n">
        <x:v>51</x:v>
      </x:c>
      <x:c r="L799" s="10"/>
      <x:c r="M799" s="10" t="str">
        <x:f>IF(COUNT(L799,K799)=2,L799-K799,"")</x:f>
      </x:c>
      <x:c r="N799" s="10" t="n">
        <x:v>2</x:v>
      </x:c>
      <x:c r="O799" s="10"/>
      <x:c r="P799" s="10" t="str">
        <x:f>IF(COUNT(O799,N799)=2,O799-N799,"")</x:f>
      </x:c>
      <x:c r="Q799" s="10" t="n">
        <x:v>8</x:v>
      </x:c>
      <x:c r="R799" s="10"/>
      <x:c r="S799" s="10" t="str">
        <x:f>IF(COUNT(R799,Q799)=2,R799-Q799,"")</x:f>
      </x:c>
      <x:c r="T799" s="10" t="n">
        <x:v>0</x:v>
      </x:c>
      <x:c r="U799" s="10"/>
      <x:c r="V799" s="10" t="str">
        <x:f>IF(COUNT(U799,T799)=2,U799-T799,"")</x:f>
      </x:c>
      <x:c r="W799" s="10" t="n">
        <x:v>0</x:v>
      </x:c>
      <x:c r="X799" s="10" t="str">
        <x:f>IF(COUNT(AV799,AW799)=2,AV799+AW799,"")</x:f>
      </x:c>
      <x:c r="Y799" s="10" t="str">
        <x:f>IF(COUNT(X799,W799)=2,X799-W799,"")</x:f>
      </x:c>
      <x:c r="Z799" s="10" t="n">
        <x:v>0</x:v>
      </x:c>
      <x:c r="AA799" s="10" t="str">
        <x:f>IF(COUNT(AX799,AY799)=2,AX799+AY799,"")</x:f>
      </x:c>
      <x:c r="AB799" s="10" t="str">
        <x:f>IF(COUNT(AA799,Z799)=2,AA799-Z799,"")</x:f>
      </x:c>
      <x:c r="AC799" s="10" t="n">
        <x:v>48</x:v>
      </x:c>
      <x:c r="AD799" s="10"/>
      <x:c r="AE799" s="10" t="str">
        <x:f>IF(COUNT(AD799,AC799)=2,AD799-AC799,"")</x:f>
      </x:c>
      <x:c r="AF799" s="10" t="n">
        <x:v>40</x:v>
      </x:c>
      <x:c r="AG799" s="10"/>
      <x:c r="AH799" s="10" t="str">
        <x:f>IF(COUNT(AG799,AF799)=2,AG799-AF799,"")</x:f>
      </x:c>
      <x:c r="AI799" s="10" t="n">
        <x:v>47</x:v>
      </x:c>
      <x:c r="AJ799" s="10"/>
      <x:c r="AK799" s="10" t="str">
        <x:f>IF(COUNT(AJ799,AI799)=2,AJ799-AI799,"")</x:f>
      </x:c>
      <x:c r="AL799" s="10" t="n">
        <x:v>25</x:v>
      </x:c>
      <x:c r="AM799" s="10"/>
      <x:c r="AN799" s="4" t="str">
        <x:v>D</x:v>
      </x:c>
      <x:c r="AO799" s="4"/>
      <x:c r="AP799" s="4" t="str">
        <x:v>TB</x:v>
      </x:c>
      <x:c r="AQ799" s="4"/>
      <x:c r="AR799" s="4" t="n">
        <x:v>13.12</x:v>
      </x:c>
      <x:c r="AS799" s="4"/>
      <x:c r="AT799" s="4" t="n">
        <x:v>0</x:v>
      </x:c>
      <x:c r="AU799" s="4"/>
      <x:c r="AV799" s="10"/>
      <x:c r="AW799" s="10"/>
      <x:c r="AX799" s="10"/>
      <x:c r="AY799" s="10"/>
      <x:c r="AZ799" s="10" t="n">
        <x:v>484</x:v>
      </x:c>
      <x:c r="BA799" s="10" t="n">
        <x:v>407</x:v>
      </x:c>
      <x:c r="BB799" s="4" t="n">
        <x:v>54.3</x:v>
      </x:c>
      <x:c r="BC799" s="4" t="n">
        <x:v>0.8</x:v>
      </x:c>
      <x:c r="BD799" s="10" t="n">
        <x:v>357</x:v>
      </x:c>
      <x:c r="BE799" s="10" t="n">
        <x:v>302</x:v>
      </x:c>
      <x:c r="BF799" s="4" t="n">
        <x:v>54.2</x:v>
      </x:c>
      <x:c r="BG799" s="4" t="n">
        <x:v>1</x:v>
      </x:c>
      <x:c r="BH799" s="4" t="n">
        <x:v>9.9</x:v>
      </x:c>
      <x:c r="BI799" s="4" t="n">
        <x:v>91.7</x:v>
      </x:c>
      <x:c r="BJ799" s="4" t="n">
        <x:v>101.6</x:v>
      </x:c>
      <x:c r="BK799" s="4" t="n">
        <x:v>58.8</x:v>
      </x:c>
      <x:c r="BL799" s="4" t="n">
        <x:v>41.2</x:v>
      </x:c>
      <x:c r="BM799" s="4" t="n">
        <x:v>16.016666666666666</x:v>
      </x:c>
      <x:c r="BN799" s="4" t="n">
        <x:v>14.633333333333333</x:v>
      </x:c>
      <x:c r="BO799" s="10" t="n">
        <x:v>5</x:v>
      </x:c>
      <x:c r="BP799" s="10" t="n">
        <x:v>21</x:v>
      </x:c>
      <x:c r="BQ799" s="4" t="n">
        <x:v>3.1</x:v>
      </x:c>
      <x:c r="BR799" s="10" t="n">
        <x:v>101</x:v>
      </x:c>
      <x:c r="BS799" s="4" t="n">
        <x:v>45.5</x:v>
      </x:c>
      <x:c r="BT799" s="10" t="n">
        <x:v>35</x:v>
      </x:c>
      <x:c r="BU799" s="4" t="str">
        <x:v>TBL</x:v>
      </x:c>
      <x:c r="BV799" s="10" t="n">
        <x:v>728</x:v>
      </x:c>
      <x:c r="BW799" s="10"/>
      <x:c r="BX799" s="10" t="n">
        <x:v>186</x:v>
      </x:c>
      <x:c r="BY799" s="4" t="str">
        <x:v>Maxwell Crozier</x:v>
      </x:c>
      <x:c r="BZ799" s="4"/>
      <x:c r="CA799" s="4" t="str">
        <x:v>Maxwell Crozier</x:v>
      </x:c>
      <x:c r="CB799" s="4" t="str">
        <x:v>crozima01</x:v>
      </x:c>
    </x:row>
    <x:row r="800" ht="22" customHeight="1">
      <x:c r="A800" s="4" t="str">
        <x:v>Michael Benning</x:v>
      </x:c>
      <x:c r="B800" s="4" t="str">
        <x:v>michaelbenning</x:v>
      </x:c>
      <x:c r="C800" s="10" t="n">
        <x:v>0</x:v>
      </x:c>
      <x:c r="D800" s="10" t="n">
        <x:v>0</x:v>
      </x:c>
      <x:c r="E800" s="10" t="n">
        <x:v>1</x:v>
      </x:c>
      <x:c r="F800" s="4" t="str">
        <x:f>IF(COUNT(N800,Q800,T800,W800,Z800,AC800,AF800,AI800)=8,N800*Guide!$E$5+Q800*Guide!$E$6+T800*Guide!$E$7+W800*Guide!$E$8+Z800*Guide!$E$9+AC800*Guide!$E$10+AF800*Guide!$E$11+AI800*Guide!$E$12,"")</x:f>
      </x:c>
      <x:c r="G800" s="4" t="str">
        <x:f>IF(COUNT(O800,R800,U800,X800,AA800,AD800,AG800,AJ800)=8,O800*Guide!$E$5+R800*Guide!$E$6+U800*Guide!$E$7+X800*Guide!$E$8+AA800*Guide!$E$9+AD800*Guide!$E$10+AG800*Guide!$E$11+AJ800*Guide!$E$12,"")</x:f>
      </x:c>
      <x:c r="H800" s="4" t="str">
        <x:f>IF(COUNT(G800,F800)=2,G800-F800,"")</x:f>
      </x:c>
      <x:c r="I800" s="4" t="str">
        <x:f>IF(AND(ISNUMBER(F800),K800&gt;0),F800/K800,"")</x:f>
      </x:c>
      <x:c r="J800" s="4" t="str">
        <x:f>IF(AND(ISNUMBER(G800),L800&gt;0),G800/L800,"")</x:f>
      </x:c>
      <x:c r="K800" s="10"/>
      <x:c r="L800" s="10"/>
      <x:c r="M800" s="10" t="str">
        <x:f>IF(COUNT(L800,K800)=2,L800-K800,"")</x:f>
      </x:c>
      <x:c r="N800" s="10"/>
      <x:c r="O800" s="10"/>
      <x:c r="P800" s="10" t="str">
        <x:f>IF(COUNT(O800,N800)=2,O800-N800,"")</x:f>
      </x:c>
      <x:c r="Q800" s="10"/>
      <x:c r="R800" s="10"/>
      <x:c r="S800" s="10" t="str">
        <x:f>IF(COUNT(R800,Q800)=2,R800-Q800,"")</x:f>
      </x:c>
      <x:c r="T800" s="10"/>
      <x:c r="U800" s="10"/>
      <x:c r="V800" s="10" t="str">
        <x:f>IF(COUNT(U800,T800)=2,U800-T800,"")</x:f>
      </x:c>
      <x:c r="W800" s="10"/>
      <x:c r="X800" s="10" t="str">
        <x:f>IF(COUNT(AV800,AW800)=2,AV800+AW800,"")</x:f>
      </x:c>
      <x:c r="Y800" s="10" t="str">
        <x:f>IF(COUNT(X800,W800)=2,X800-W800,"")</x:f>
      </x:c>
      <x:c r="Z800" s="10"/>
      <x:c r="AA800" s="10" t="str">
        <x:f>IF(COUNT(AX800,AY800)=2,AX800+AY800,"")</x:f>
      </x:c>
      <x:c r="AB800" s="10" t="str">
        <x:f>IF(COUNT(AA800,Z800)=2,AA800-Z800,"")</x:f>
      </x:c>
      <x:c r="AC800" s="10"/>
      <x:c r="AD800" s="10"/>
      <x:c r="AE800" s="10" t="str">
        <x:f>IF(COUNT(AD800,AC800)=2,AD800-AC800,"")</x:f>
      </x:c>
      <x:c r="AF800" s="10"/>
      <x:c r="AG800" s="10"/>
      <x:c r="AH800" s="10" t="str">
        <x:f>IF(COUNT(AG800,AF800)=2,AG800-AF800,"")</x:f>
      </x:c>
      <x:c r="AI800" s="10"/>
      <x:c r="AJ800" s="10"/>
      <x:c r="AK800" s="10" t="str">
        <x:f>IF(COUNT(AJ800,AI800)=2,AJ800-AI800,"")</x:f>
      </x:c>
      <x:c r="AL800" s="10"/>
      <x:c r="AM800" s="10"/>
      <x:c r="AN800" s="4"/>
      <x:c r="AO800" s="4"/>
      <x:c r="AP800" s="4"/>
      <x:c r="AQ800" s="4"/>
      <x:c r="AR800" s="4"/>
      <x:c r="AS800" s="4"/>
      <x:c r="AT800" s="4"/>
      <x:c r="AU800" s="4"/>
      <x:c r="AV800" s="10"/>
      <x:c r="AW800" s="10"/>
      <x:c r="AX800" s="10"/>
      <x:c r="AY800" s="10"/>
      <x:c r="AZ800" s="10" t="n">
        <x:v>287</x:v>
      </x:c>
      <x:c r="BA800" s="10" t="n">
        <x:v>264</x:v>
      </x:c>
      <x:c r="BB800" s="4" t="n">
        <x:v>52.1</x:v>
      </x:c>
      <x:c r="BC800" s="4" t="n">
        <x:v>2.2</x:v>
      </x:c>
      <x:c r="BD800" s="10" t="n">
        <x:v>204</x:v>
      </x:c>
      <x:c r="BE800" s="10" t="n">
        <x:v>199</x:v>
      </x:c>
      <x:c r="BF800" s="4" t="n">
        <x:v>50.6</x:v>
      </x:c>
      <x:c r="BG800" s="4" t="n">
        <x:v>1.2</x:v>
      </x:c>
      <x:c r="BH800" s="4" t="n">
        <x:v>12.2</x:v>
      </x:c>
      <x:c r="BI800" s="4" t="n">
        <x:v>86.9</x:v>
      </x:c>
      <x:c r="BJ800" s="4" t="n">
        <x:v>99.1</x:v>
      </x:c>
      <x:c r="BK800" s="4" t="n">
        <x:v>51.9</x:v>
      </x:c>
      <x:c r="BL800" s="4" t="n">
        <x:v>48.1</x:v>
      </x:c>
      <x:c r="BM800" s="4" t="n">
        <x:v>16.9</x:v>
      </x:c>
      <x:c r="BN800" s="4" t="n">
        <x:v>15.816666666666666</x:v>
      </x:c>
      <x:c r="BO800" s="10" t="n">
        <x:v>5</x:v>
      </x:c>
      <x:c r="BP800" s="10" t="n">
        <x:v>18</x:v>
      </x:c>
      <x:c r="BQ800" s="4" t="n">
        <x:v>-0.3</x:v>
      </x:c>
      <x:c r="BR800" s="10" t="n">
        <x:v>51</x:v>
      </x:c>
      <x:c r="BS800" s="4" t="n">
        <x:v>29.4</x:v>
      </x:c>
      <x:c r="BT800" s="10" t="n">
        <x:v>18</x:v>
      </x:c>
      <x:c r="BU800" s="4" t="str">
        <x:v>FLA</x:v>
      </x:c>
      <x:c r="BV800" s="10"/>
      <x:c r="BW800" s="10"/>
      <x:c r="BX800" s="10" t="n">
        <x:v>48</x:v>
      </x:c>
      <x:c r="BY800" s="4"/>
      <x:c r="BZ800" s="4"/>
      <x:c r="CA800" s="4" t="str">
        <x:v>Michael Benning</x:v>
      </x:c>
      <x:c r="CB800" s="4" t="str">
        <x:v>bennimi01</x:v>
      </x:c>
    </x:row>
    <x:row r="801" ht="22" customHeight="1">
      <x:c r="A801" s="4" t="str">
        <x:v>Michael Brandsegg-Nygard</x:v>
      </x:c>
      <x:c r="B801" s="4" t="str">
        <x:v>michaelbrandseggnygard</x:v>
      </x:c>
      <x:c r="C801" s="10" t="n">
        <x:v>0</x:v>
      </x:c>
      <x:c r="D801" s="10" t="n">
        <x:v>0</x:v>
      </x:c>
      <x:c r="E801" s="10" t="n">
        <x:v>1</x:v>
      </x:c>
      <x:c r="F801" s="4" t="str">
        <x:f>IF(COUNT(N801,Q801,T801,W801,Z801,AC801,AF801,AI801)=8,N801*Guide!$E$5+Q801*Guide!$E$6+T801*Guide!$E$7+W801*Guide!$E$8+Z801*Guide!$E$9+AC801*Guide!$E$10+AF801*Guide!$E$11+AI801*Guide!$E$12,"")</x:f>
      </x:c>
      <x:c r="G801" s="4" t="str">
        <x:f>IF(COUNT(O801,R801,U801,X801,AA801,AD801,AG801,AJ801)=8,O801*Guide!$E$5+R801*Guide!$E$6+U801*Guide!$E$7+X801*Guide!$E$8+AA801*Guide!$E$9+AD801*Guide!$E$10+AG801*Guide!$E$11+AJ801*Guide!$E$12,"")</x:f>
      </x:c>
      <x:c r="H801" s="4" t="str">
        <x:f>IF(COUNT(G801,F801)=2,G801-F801,"")</x:f>
      </x:c>
      <x:c r="I801" s="4" t="str">
        <x:f>IF(AND(ISNUMBER(F801),K801&gt;0),F801/K801,"")</x:f>
      </x:c>
      <x:c r="J801" s="4" t="str">
        <x:f>IF(AND(ISNUMBER(G801),L801&gt;0),G801/L801,"")</x:f>
      </x:c>
      <x:c r="K801" s="10"/>
      <x:c r="L801" s="10"/>
      <x:c r="M801" s="10" t="str">
        <x:f>IF(COUNT(L801,K801)=2,L801-K801,"")</x:f>
      </x:c>
      <x:c r="N801" s="10"/>
      <x:c r="O801" s="10"/>
      <x:c r="P801" s="10" t="str">
        <x:f>IF(COUNT(O801,N801)=2,O801-N801,"")</x:f>
      </x:c>
      <x:c r="Q801" s="10"/>
      <x:c r="R801" s="10"/>
      <x:c r="S801" s="10" t="str">
        <x:f>IF(COUNT(R801,Q801)=2,R801-Q801,"")</x:f>
      </x:c>
      <x:c r="T801" s="10"/>
      <x:c r="U801" s="10"/>
      <x:c r="V801" s="10" t="str">
        <x:f>IF(COUNT(U801,T801)=2,U801-T801,"")</x:f>
      </x:c>
      <x:c r="W801" s="10"/>
      <x:c r="X801" s="10" t="str">
        <x:f>IF(COUNT(AV801,AW801)=2,AV801+AW801,"")</x:f>
      </x:c>
      <x:c r="Y801" s="10" t="str">
        <x:f>IF(COUNT(X801,W801)=2,X801-W801,"")</x:f>
      </x:c>
      <x:c r="Z801" s="10"/>
      <x:c r="AA801" s="10" t="str">
        <x:f>IF(COUNT(AX801,AY801)=2,AX801+AY801,"")</x:f>
      </x:c>
      <x:c r="AB801" s="10" t="str">
        <x:f>IF(COUNT(AA801,Z801)=2,AA801-Z801,"")</x:f>
      </x:c>
      <x:c r="AC801" s="10"/>
      <x:c r="AD801" s="10"/>
      <x:c r="AE801" s="10" t="str">
        <x:f>IF(COUNT(AD801,AC801)=2,AD801-AC801,"")</x:f>
      </x:c>
      <x:c r="AF801" s="10"/>
      <x:c r="AG801" s="10"/>
      <x:c r="AH801" s="10" t="str">
        <x:f>IF(COUNT(AG801,AF801)=2,AG801-AF801,"")</x:f>
      </x:c>
      <x:c r="AI801" s="10"/>
      <x:c r="AJ801" s="10"/>
      <x:c r="AK801" s="10" t="str">
        <x:f>IF(COUNT(AJ801,AI801)=2,AJ801-AI801,"")</x:f>
      </x:c>
      <x:c r="AL801" s="10"/>
      <x:c r="AM801" s="10"/>
      <x:c r="AN801" s="4"/>
      <x:c r="AO801" s="4"/>
      <x:c r="AP801" s="4"/>
      <x:c r="AQ801" s="4"/>
      <x:c r="AR801" s="4"/>
      <x:c r="AS801" s="4"/>
      <x:c r="AT801" s="4"/>
      <x:c r="AU801" s="4"/>
      <x:c r="AV801" s="10"/>
      <x:c r="AW801" s="10"/>
      <x:c r="AX801" s="10"/>
      <x:c r="AY801" s="10"/>
      <x:c r="AZ801" s="10" t="n">
        <x:v>184</x:v>
      </x:c>
      <x:c r="BA801" s="10" t="n">
        <x:v>131</x:v>
      </x:c>
      <x:c r="BB801" s="4" t="n">
        <x:v>58.4</x:v>
      </x:c>
      <x:c r="BC801" s="4" t="n">
        <x:v>9.4</x:v>
      </x:c>
      <x:c r="BD801" s="10" t="n">
        <x:v>123</x:v>
      </x:c>
      <x:c r="BE801" s="10" t="n">
        <x:v>82</x:v>
      </x:c>
      <x:c r="BF801" s="4" t="n">
        <x:v>60</x:v>
      </x:c>
      <x:c r="BG801" s="4" t="n">
        <x:v>10.8</x:v>
      </x:c>
      <x:c r="BH801" s="4" t="n">
        <x:v>3.8</x:v>
      </x:c>
      <x:c r="BI801" s="4" t="n">
        <x:v>84.4</x:v>
      </x:c>
      <x:c r="BJ801" s="4" t="n">
        <x:v>88.2</x:v>
      </x:c>
      <x:c r="BK801" s="4" t="n">
        <x:v>48</x:v>
      </x:c>
      <x:c r="BL801" s="4" t="n">
        <x:v>52</x:v>
      </x:c>
      <x:c r="BM801" s="4" t="n">
        <x:v>12.516666666666667</x:v>
      </x:c>
      <x:c r="BN801" s="4" t="n">
        <x:v>11.466666666666667</x:v>
      </x:c>
      <x:c r="BO801" s="10" t="n">
        <x:v>5</x:v>
      </x:c>
      <x:c r="BP801" s="10" t="n">
        <x:v>12</x:v>
      </x:c>
      <x:c r="BQ801" s="4" t="n">
        <x:v>0.6</x:v>
      </x:c>
      <x:c r="BR801" s="10" t="n">
        <x:v>46</x:v>
      </x:c>
      <x:c r="BS801" s="4" t="n">
        <x:v>43.5</x:v>
      </x:c>
      <x:c r="BT801" s="10" t="n">
        <x:v>14</x:v>
      </x:c>
      <x:c r="BU801" s="4" t="str">
        <x:v>DET</x:v>
      </x:c>
      <x:c r="BV801" s="10"/>
      <x:c r="BW801" s="10"/>
      <x:c r="BX801" s="10" t="n">
        <x:v>88</x:v>
      </x:c>
      <x:c r="BY801" s="4"/>
      <x:c r="BZ801" s="4"/>
      <x:c r="CA801" s="4" t="str">
        <x:v>Michael Brandsegg-Nygard</x:v>
      </x:c>
      <x:c r="CB801" s="4" t="str">
        <x:v>brandmi01</x:v>
      </x:c>
    </x:row>
    <x:row r="802" ht="22" customHeight="1">
      <x:c r="A802" s="4" t="str">
        <x:v>Michael Callahan</x:v>
      </x:c>
      <x:c r="B802" s="4" t="str">
        <x:v>michaelcallahan</x:v>
      </x:c>
      <x:c r="C802" s="10" t="n">
        <x:v>0</x:v>
      </x:c>
      <x:c r="D802" s="10" t="n">
        <x:v>0</x:v>
      </x:c>
      <x:c r="E802" s="10" t="n">
        <x:v>1</x:v>
      </x:c>
      <x:c r="F802" s="4" t="str">
        <x:f>IF(COUNT(N802,Q802,T802,W802,Z802,AC802,AF802,AI802)=8,N802*Guide!$E$5+Q802*Guide!$E$6+T802*Guide!$E$7+W802*Guide!$E$8+Z802*Guide!$E$9+AC802*Guide!$E$10+AF802*Guide!$E$11+AI802*Guide!$E$12,"")</x:f>
      </x:c>
      <x:c r="G802" s="4" t="str">
        <x:f>IF(COUNT(O802,R802,U802,X802,AA802,AD802,AG802,AJ802)=8,O802*Guide!$E$5+R802*Guide!$E$6+U802*Guide!$E$7+X802*Guide!$E$8+AA802*Guide!$E$9+AD802*Guide!$E$10+AG802*Guide!$E$11+AJ802*Guide!$E$12,"")</x:f>
      </x:c>
      <x:c r="H802" s="4" t="str">
        <x:f>IF(COUNT(G802,F802)=2,G802-F802,"")</x:f>
      </x:c>
      <x:c r="I802" s="4" t="str">
        <x:f>IF(AND(ISNUMBER(F802),K802&gt;0),F802/K802,"")</x:f>
      </x:c>
      <x:c r="J802" s="4" t="str">
        <x:f>IF(AND(ISNUMBER(G802),L802&gt;0),G802/L802,"")</x:f>
      </x:c>
      <x:c r="K802" s="10"/>
      <x:c r="L802" s="10"/>
      <x:c r="M802" s="10" t="str">
        <x:f>IF(COUNT(L802,K802)=2,L802-K802,"")</x:f>
      </x:c>
      <x:c r="N802" s="10"/>
      <x:c r="O802" s="10"/>
      <x:c r="P802" s="10" t="str">
        <x:f>IF(COUNT(O802,N802)=2,O802-N802,"")</x:f>
      </x:c>
      <x:c r="Q802" s="10"/>
      <x:c r="R802" s="10"/>
      <x:c r="S802" s="10" t="str">
        <x:f>IF(COUNT(R802,Q802)=2,R802-Q802,"")</x:f>
      </x:c>
      <x:c r="T802" s="10"/>
      <x:c r="U802" s="10"/>
      <x:c r="V802" s="10" t="str">
        <x:f>IF(COUNT(U802,T802)=2,U802-T802,"")</x:f>
      </x:c>
      <x:c r="W802" s="10"/>
      <x:c r="X802" s="10" t="str">
        <x:f>IF(COUNT(AV802,AW802)=2,AV802+AW802,"")</x:f>
      </x:c>
      <x:c r="Y802" s="10" t="str">
        <x:f>IF(COUNT(X802,W802)=2,X802-W802,"")</x:f>
      </x:c>
      <x:c r="Z802" s="10"/>
      <x:c r="AA802" s="10" t="str">
        <x:f>IF(COUNT(AX802,AY802)=2,AX802+AY802,"")</x:f>
      </x:c>
      <x:c r="AB802" s="10" t="str">
        <x:f>IF(COUNT(AA802,Z802)=2,AA802-Z802,"")</x:f>
      </x:c>
      <x:c r="AC802" s="10"/>
      <x:c r="AD802" s="10"/>
      <x:c r="AE802" s="10" t="str">
        <x:f>IF(COUNT(AD802,AC802)=2,AD802-AC802,"")</x:f>
      </x:c>
      <x:c r="AF802" s="10"/>
      <x:c r="AG802" s="10"/>
      <x:c r="AH802" s="10" t="str">
        <x:f>IF(COUNT(AG802,AF802)=2,AG802-AF802,"")</x:f>
      </x:c>
      <x:c r="AI802" s="10"/>
      <x:c r="AJ802" s="10"/>
      <x:c r="AK802" s="10" t="str">
        <x:f>IF(COUNT(AJ802,AI802)=2,AJ802-AI802,"")</x:f>
      </x:c>
      <x:c r="AL802" s="10"/>
      <x:c r="AM802" s="10"/>
      <x:c r="AN802" s="4"/>
      <x:c r="AO802" s="4"/>
      <x:c r="AP802" s="4"/>
      <x:c r="AQ802" s="4"/>
      <x:c r="AR802" s="4"/>
      <x:c r="AS802" s="4"/>
      <x:c r="AT802" s="4"/>
      <x:c r="AU802" s="4"/>
      <x:c r="AV802" s="10"/>
      <x:c r="AW802" s="10"/>
      <x:c r="AX802" s="10"/>
      <x:c r="AY802" s="10"/>
      <x:c r="AZ802" s="10" t="n">
        <x:v>57</x:v>
      </x:c>
      <x:c r="BA802" s="10" t="n">
        <x:v>42</x:v>
      </x:c>
      <x:c r="BB802" s="4" t="n">
        <x:v>57.6</x:v>
      </x:c>
      <x:c r="BC802" s="4" t="n">
        <x:v>9.3</x:v>
      </x:c>
      <x:c r="BD802" s="10" t="n">
        <x:v>44</x:v>
      </x:c>
      <x:c r="BE802" s="10" t="n">
        <x:v>25</x:v>
      </x:c>
      <x:c r="BF802" s="4" t="n">
        <x:v>63.8</x:v>
      </x:c>
      <x:c r="BG802" s="4" t="n">
        <x:v>15.2</x:v>
      </x:c>
      <x:c r="BH802" s="4" t="n">
        <x:v>8.8</x:v>
      </x:c>
      <x:c r="BI802" s="4" t="n">
        <x:v>77.8</x:v>
      </x:c>
      <x:c r="BJ802" s="4" t="n">
        <x:v>86.6</x:v>
      </x:c>
      <x:c r="BK802" s="4" t="n">
        <x:v>48.3</x:v>
      </x:c>
      <x:c r="BL802" s="4" t="n">
        <x:v>51.7</x:v>
      </x:c>
      <x:c r="BM802" s="4" t="n">
        <x:v>12.983333333333333</x:v>
      </x:c>
      <x:c r="BN802" s="4" t="n">
        <x:v>11.733333333333333</x:v>
      </x:c>
      <x:c r="BO802" s="10" t="n">
        <x:v>2</x:v>
      </x:c>
      <x:c r="BP802" s="10" t="n">
        <x:v>3</x:v>
      </x:c>
      <x:c r="BQ802" s="4" t="n">
        <x:v>0.8</x:v>
      </x:c>
      <x:c r="BR802" s="10" t="n">
        <x:v>4</x:v>
      </x:c>
      <x:c r="BS802" s="4" t="n">
        <x:v>75</x:v>
      </x:c>
      <x:c r="BT802" s="10" t="n">
        <x:v>5</x:v>
      </x:c>
      <x:c r="BU802" s="4" t="str">
        <x:v>BOS</x:v>
      </x:c>
      <x:c r="BV802" s="10"/>
      <x:c r="BW802" s="10"/>
      <x:c r="BX802" s="10" t="n">
        <x:v>121</x:v>
      </x:c>
      <x:c r="BY802" s="4"/>
      <x:c r="BZ802" s="4"/>
      <x:c r="CA802" s="4" t="str">
        <x:v>Michael Callahan</x:v>
      </x:c>
      <x:c r="CB802" s="4" t="str">
        <x:v>callami02</x:v>
      </x:c>
    </x:row>
    <x:row r="803" ht="22" customHeight="1">
      <x:c r="A803" s="4" t="str">
        <x:v>Michael Kesselring</x:v>
      </x:c>
      <x:c r="B803" s="4" t="str">
        <x:v>michaelkesselring</x:v>
      </x:c>
      <x:c r="C803" s="10" t="n">
        <x:v>1</x:v>
      </x:c>
      <x:c r="D803" s="10" t="n">
        <x:v>0</x:v>
      </x:c>
      <x:c r="E803" s="10" t="n">
        <x:v>1</x:v>
      </x:c>
      <x:c r="F803" s="4" t="n">
        <x:f>IF(COUNT(N803,Q803,T803,W803,Z803,AC803,AF803,AI803)=8,N803*Guide!$E$5+Q803*Guide!$E$6+T803*Guide!$E$7+W803*Guide!$E$8+Z803*Guide!$E$9+AC803*Guide!$E$10+AF803*Guide!$E$11+AI803*Guide!$E$12,"")</x:f>
        <x:v>235</x:v>
      </x:c>
      <x:c r="G803" s="4" t="str">
        <x:f>IF(COUNT(O803,R803,U803,X803,AA803,AD803,AG803,AJ803)=8,O803*Guide!$E$5+R803*Guide!$E$6+U803*Guide!$E$7+X803*Guide!$E$8+AA803*Guide!$E$9+AD803*Guide!$E$10+AG803*Guide!$E$11+AJ803*Guide!$E$12,"")</x:f>
      </x:c>
      <x:c r="H803" s="4" t="str">
        <x:f>IF(COUNT(G803,F803)=2,G803-F803,"")</x:f>
      </x:c>
      <x:c r="I803" s="4" t="n">
        <x:f>IF(AND(ISNUMBER(F803),K803&gt;0),F803/K803,"")</x:f>
        <x:v>2.9375</x:v>
      </x:c>
      <x:c r="J803" s="4" t="str">
        <x:f>IF(AND(ISNUMBER(G803),L803&gt;0),G803/L803,"")</x:f>
      </x:c>
      <x:c r="K803" s="10" t="n">
        <x:v>80</x:v>
      </x:c>
      <x:c r="L803" s="10"/>
      <x:c r="M803" s="10" t="str">
        <x:f>IF(COUNT(L803,K803)=2,L803-K803,"")</x:f>
      </x:c>
      <x:c r="N803" s="10" t="n">
        <x:v>8</x:v>
      </x:c>
      <x:c r="O803" s="10"/>
      <x:c r="P803" s="10" t="str">
        <x:f>IF(COUNT(O803,N803)=2,O803-N803,"")</x:f>
      </x:c>
      <x:c r="Q803" s="10" t="n">
        <x:v>24</x:v>
      </x:c>
      <x:c r="R803" s="10"/>
      <x:c r="S803" s="10" t="str">
        <x:f>IF(COUNT(R803,Q803)=2,R803-Q803,"")</x:f>
      </x:c>
      <x:c r="T803" s="10" t="n">
        <x:v>4</x:v>
      </x:c>
      <x:c r="U803" s="10"/>
      <x:c r="V803" s="10" t="str">
        <x:f>IF(COUNT(U803,T803)=2,U803-T803,"")</x:f>
      </x:c>
      <x:c r="W803" s="10" t="n">
        <x:v>4</x:v>
      </x:c>
      <x:c r="X803" s="10" t="str">
        <x:f>IF(COUNT(AV803,AW803)=2,AV803+AW803,"")</x:f>
      </x:c>
      <x:c r="Y803" s="10" t="str">
        <x:f>IF(COUNT(X803,W803)=2,X803-W803,"")</x:f>
      </x:c>
      <x:c r="Z803" s="10" t="n">
        <x:v>0</x:v>
      </x:c>
      <x:c r="AA803" s="10" t="str">
        <x:f>IF(COUNT(AX803,AY803)=2,AX803+AY803,"")</x:f>
      </x:c>
      <x:c r="AB803" s="10" t="str">
        <x:f>IF(COUNT(AA803,Z803)=2,AA803-Z803,"")</x:f>
      </x:c>
      <x:c r="AC803" s="10" t="n">
        <x:v>144</x:v>
      </x:c>
      <x:c r="AD803" s="10"/>
      <x:c r="AE803" s="10" t="str">
        <x:f>IF(COUNT(AD803,AC803)=2,AD803-AC803,"")</x:f>
      </x:c>
      <x:c r="AF803" s="10" t="n">
        <x:v>99</x:v>
      </x:c>
      <x:c r="AG803" s="10"/>
      <x:c r="AH803" s="10" t="str">
        <x:f>IF(COUNT(AG803,AF803)=2,AG803-AF803,"")</x:f>
      </x:c>
      <x:c r="AI803" s="10" t="n">
        <x:v>83</x:v>
      </x:c>
      <x:c r="AJ803" s="10"/>
      <x:c r="AK803" s="10" t="str">
        <x:f>IF(COUNT(AJ803,AI803)=2,AJ803-AI803,"")</x:f>
      </x:c>
      <x:c r="AL803" s="10" t="n">
        <x:v>26</x:v>
      </x:c>
      <x:c r="AM803" s="10"/>
      <x:c r="AN803" s="4" t="str">
        <x:v>D</x:v>
      </x:c>
      <x:c r="AO803" s="4"/>
      <x:c r="AP803" s="4" t="str">
        <x:v>BUF</x:v>
      </x:c>
      <x:c r="AQ803" s="4"/>
      <x:c r="AR803" s="4" t="n">
        <x:v>19.49</x:v>
      </x:c>
      <x:c r="AS803" s="4"/>
      <x:c r="AT803" s="4" t="n">
        <x:v>0.74</x:v>
      </x:c>
      <x:c r="AU803" s="4"/>
      <x:c r="AV803" s="10"/>
      <x:c r="AW803" s="10"/>
      <x:c r="AX803" s="10"/>
      <x:c r="AY803" s="10"/>
      <x:c r="AZ803" s="10" t="n">
        <x:v>413</x:v>
      </x:c>
      <x:c r="BA803" s="10" t="n">
        <x:v>445</x:v>
      </x:c>
      <x:c r="BB803" s="4" t="n">
        <x:v>48.1</x:v>
      </x:c>
      <x:c r="BC803" s="4" t="n">
        <x:v>0.6</x:v>
      </x:c>
      <x:c r="BD803" s="10" t="n">
        <x:v>313</x:v>
      </x:c>
      <x:c r="BE803" s="10" t="n">
        <x:v>314</x:v>
      </x:c>
      <x:c r="BF803" s="4" t="n">
        <x:v>49.9</x:v>
      </x:c>
      <x:c r="BG803" s="4" t="n">
        <x:v>1.6</x:v>
      </x:c>
      <x:c r="BH803" s="4" t="n">
        <x:v>9.4</x:v>
      </x:c>
      <x:c r="BI803" s="4" t="n">
        <x:v>91.3</x:v>
      </x:c>
      <x:c r="BJ803" s="4" t="n">
        <x:v>100.7</x:v>
      </x:c>
      <x:c r="BK803" s="4" t="n">
        <x:v>51.1</x:v>
      </x:c>
      <x:c r="BL803" s="4" t="n">
        <x:v>48.9</x:v>
      </x:c>
      <x:c r="BM803" s="4" t="n">
        <x:v>13.4</x:v>
      </x:c>
      <x:c r="BN803" s="4" t="n">
        <x:v>12.566666666666666</x:v>
      </x:c>
      <x:c r="BO803" s="10" t="n">
        <x:v>7</x:v>
      </x:c>
      <x:c r="BP803" s="10" t="n">
        <x:v>38</x:v>
      </x:c>
      <x:c r="BQ803" s="4" t="n">
        <x:v>-2.8</x:v>
      </x:c>
      <x:c r="BR803" s="10" t="n">
        <x:v>102</x:v>
      </x:c>
      <x:c r="BS803" s="4" t="n">
        <x:v>45.1</x:v>
      </x:c>
      <x:c r="BT803" s="10" t="n">
        <x:v>34</x:v>
      </x:c>
      <x:c r="BU803" s="4" t="str">
        <x:v>BUF</x:v>
      </x:c>
      <x:c r="BV803" s="10" t="n">
        <x:v>339</x:v>
      </x:c>
      <x:c r="BW803" s="10"/>
      <x:c r="BX803" s="10" t="n">
        <x:v>516</x:v>
      </x:c>
      <x:c r="BY803" s="4" t="str">
        <x:v>Michael Kesselring</x:v>
      </x:c>
      <x:c r="BZ803" s="4"/>
      <x:c r="CA803" s="4" t="str">
        <x:v>Michael Kesselring</x:v>
      </x:c>
      <x:c r="CB803" s="4" t="str">
        <x:v>kessemi01</x:v>
      </x:c>
    </x:row>
    <x:row r="804" ht="22" customHeight="1">
      <x:c r="A804" s="4" t="str">
        <x:v>Michael McCarron</x:v>
      </x:c>
      <x:c r="B804" s="4" t="str">
        <x:v>michaelmccarron</x:v>
      </x:c>
      <x:c r="C804" s="10" t="n">
        <x:v>1</x:v>
      </x:c>
      <x:c r="D804" s="10" t="n">
        <x:v>0</x:v>
      </x:c>
      <x:c r="E804" s="10" t="n">
        <x:v>1</x:v>
      </x:c>
      <x:c r="F804" s="4" t="n">
        <x:f>IF(COUNT(N804,Q804,T804,W804,Z804,AC804,AF804,AI804)=8,N804*Guide!$E$5+Q804*Guide!$E$6+T804*Guide!$E$7+W804*Guide!$E$8+Z804*Guide!$E$9+AC804*Guide!$E$10+AF804*Guide!$E$11+AI804*Guide!$E$12,"")</x:f>
        <x:v>173.75</x:v>
      </x:c>
      <x:c r="G804" s="4" t="str">
        <x:f>IF(COUNT(O804,R804,U804,X804,AA804,AD804,AG804,AJ804)=8,O804*Guide!$E$5+R804*Guide!$E$6+U804*Guide!$E$7+X804*Guide!$E$8+AA804*Guide!$E$9+AD804*Guide!$E$10+AG804*Guide!$E$11+AJ804*Guide!$E$12,"")</x:f>
      </x:c>
      <x:c r="H804" s="4" t="str">
        <x:f>IF(COUNT(G804,F804)=2,G804-F804,"")</x:f>
      </x:c>
      <x:c r="I804" s="4" t="n">
        <x:f>IF(AND(ISNUMBER(F804),K804&gt;0),F804/K804,"")</x:f>
        <x:v>2.286184210526316</x:v>
      </x:c>
      <x:c r="J804" s="4" t="str">
        <x:f>IF(AND(ISNUMBER(G804),L804&gt;0),G804/L804,"")</x:f>
      </x:c>
      <x:c r="K804" s="10" t="n">
        <x:v>76</x:v>
      </x:c>
      <x:c r="L804" s="10"/>
      <x:c r="M804" s="10" t="str">
        <x:f>IF(COUNT(L804,K804)=2,L804-K804,"")</x:f>
      </x:c>
      <x:c r="N804" s="10" t="n">
        <x:v>9</x:v>
      </x:c>
      <x:c r="O804" s="10"/>
      <x:c r="P804" s="10" t="str">
        <x:f>IF(COUNT(O804,N804)=2,O804-N804,"")</x:f>
      </x:c>
      <x:c r="Q804" s="10" t="n">
        <x:v>11</x:v>
      </x:c>
      <x:c r="R804" s="10"/>
      <x:c r="S804" s="10" t="str">
        <x:f>IF(COUNT(R804,Q804)=2,R804-Q804,"")</x:f>
      </x:c>
      <x:c r="T804" s="10" t="n">
        <x:v>-4</x:v>
      </x:c>
      <x:c r="U804" s="10"/>
      <x:c r="V804" s="10" t="str">
        <x:f>IF(COUNT(U804,T804)=2,U804-T804,"")</x:f>
      </x:c>
      <x:c r="W804" s="10" t="n">
        <x:v>0</x:v>
      </x:c>
      <x:c r="X804" s="10" t="str">
        <x:f>IF(COUNT(AV804,AW804)=2,AV804+AW804,"")</x:f>
      </x:c>
      <x:c r="Y804" s="10" t="str">
        <x:f>IF(COUNT(X804,W804)=2,X804-W804,"")</x:f>
      </x:c>
      <x:c r="Z804" s="10" t="n">
        <x:v>1</x:v>
      </x:c>
      <x:c r="AA804" s="10" t="str">
        <x:f>IF(COUNT(AX804,AY804)=2,AX804+AY804,"")</x:f>
      </x:c>
      <x:c r="AB804" s="10" t="str">
        <x:f>IF(COUNT(AA804,Z804)=2,AA804-Z804,"")</x:f>
      </x:c>
      <x:c r="AC804" s="10" t="n">
        <x:v>89</x:v>
      </x:c>
      <x:c r="AD804" s="10"/>
      <x:c r="AE804" s="10" t="str">
        <x:f>IF(COUNT(AD804,AC804)=2,AD804-AC804,"")</x:f>
      </x:c>
      <x:c r="AF804" s="10" t="n">
        <x:v>154</x:v>
      </x:c>
      <x:c r="AG804" s="10"/>
      <x:c r="AH804" s="10" t="str">
        <x:f>IF(COUNT(AG804,AF804)=2,AG804-AF804,"")</x:f>
      </x:c>
      <x:c r="AI804" s="10" t="n">
        <x:v>60</x:v>
      </x:c>
      <x:c r="AJ804" s="10"/>
      <x:c r="AK804" s="10" t="str">
        <x:f>IF(COUNT(AJ804,AI804)=2,AJ804-AI804,"")</x:f>
      </x:c>
      <x:c r="AL804" s="10" t="n">
        <x:v>30</x:v>
      </x:c>
      <x:c r="AM804" s="10"/>
      <x:c r="AN804" s="4" t="str">
        <x:v>C</x:v>
      </x:c>
      <x:c r="AO804" s="4"/>
      <x:c r="AP804" s="4" t="str">
        <x:v>NSH</x:v>
      </x:c>
      <x:c r="AQ804" s="4"/>
      <x:c r="AR804" s="4" t="n">
        <x:v>13.16</x:v>
      </x:c>
      <x:c r="AS804" s="4"/>
      <x:c r="AT804" s="4" t="n">
        <x:v>0.14</x:v>
      </x:c>
      <x:c r="AU804" s="4"/>
      <x:c r="AV804" s="10"/>
      <x:c r="AW804" s="10"/>
      <x:c r="AX804" s="10"/>
      <x:c r="AY804" s="10"/>
      <x:c r="AZ804" s="10" t="n">
        <x:v>801</x:v>
      </x:c>
      <x:c r="BA804" s="10" t="n">
        <x:v>873</x:v>
      </x:c>
      <x:c r="BB804" s="4" t="n">
        <x:v>47.8</x:v>
      </x:c>
      <x:c r="BC804" s="4" t="n">
        <x:v>-4.7</x:v>
      </x:c>
      <x:c r="BD804" s="10" t="n">
        <x:v>595</x:v>
      </x:c>
      <x:c r="BE804" s="10" t="n">
        <x:v>615</x:v>
      </x:c>
      <x:c r="BF804" s="4" t="n">
        <x:v>49.2</x:v>
      </x:c>
      <x:c r="BG804" s="4" t="n">
        <x:v>-2.1</x:v>
      </x:c>
      <x:c r="BH804" s="4" t="n">
        <x:v>6.6</x:v>
      </x:c>
      <x:c r="BI804" s="4" t="n">
        <x:v>89.2</x:v>
      </x:c>
      <x:c r="BJ804" s="4" t="n">
        <x:v>95.7</x:v>
      </x:c>
      <x:c r="BK804" s="4" t="n">
        <x:v>28.8</x:v>
      </x:c>
      <x:c r="BL804" s="4" t="n">
        <x:v>71.2</x:v>
      </x:c>
      <x:c r="BM804" s="4" t="n">
        <x:v>14.033333333333333</x:v>
      </x:c>
      <x:c r="BN804" s="4" t="n">
        <x:v>11.633333333333333</x:v>
      </x:c>
      <x:c r="BO804" s="10" t="n">
        <x:v>24</x:v>
      </x:c>
      <x:c r="BP804" s="10" t="n">
        <x:v>38</x:v>
      </x:c>
      <x:c r="BQ804" s="4" t="n">
        <x:v>-6</x:v>
      </x:c>
      <x:c r="BR804" s="10" t="n">
        <x:v>203</x:v>
      </x:c>
      <x:c r="BS804" s="4" t="n">
        <x:v>53.7</x:v>
      </x:c>
      <x:c r="BT804" s="10" t="n">
        <x:v>79</x:v>
      </x:c>
      <x:c r="BU804" s="4" t="str">
        <x:v>TOT</x:v>
      </x:c>
      <x:c r="BV804" s="10" t="n">
        <x:v>518</x:v>
      </x:c>
      <x:c r="BW804" s="10"/>
      <x:c r="BX804" s="10" t="n">
        <x:v>666</x:v>
      </x:c>
      <x:c r="BY804" s="4" t="str">
        <x:v>Michael McCarron</x:v>
      </x:c>
      <x:c r="BZ804" s="4"/>
      <x:c r="CA804" s="4" t="str">
        <x:v>Michael McCarron</x:v>
      </x:c>
      <x:c r="CB804" s="4" t="str">
        <x:v>mccarmi01</x:v>
      </x:c>
    </x:row>
    <x:row r="805" ht="22" customHeight="1">
      <x:c r="A805" s="4" t="str">
        <x:v>Michael Pezzetta</x:v>
      </x:c>
      <x:c r="B805" s="4" t="str">
        <x:v>michaelpezzetta</x:v>
      </x:c>
      <x:c r="C805" s="10" t="n">
        <x:v>1</x:v>
      </x:c>
      <x:c r="D805" s="10" t="n">
        <x:v>0</x:v>
      </x:c>
      <x:c r="E805" s="10" t="n">
        <x:v>1</x:v>
      </x:c>
      <x:c r="F805" s="4" t="n">
        <x:f>IF(COUNT(N805,Q805,T805,W805,Z805,AC805,AF805,AI805)=8,N805*Guide!$E$5+Q805*Guide!$E$6+T805*Guide!$E$7+W805*Guide!$E$8+Z805*Guide!$E$9+AC805*Guide!$E$10+AF805*Guide!$E$11+AI805*Guide!$E$12,"")</x:f>
        <x:v>98.25</x:v>
      </x:c>
      <x:c r="G805" s="4" t="str">
        <x:f>IF(COUNT(O805,R805,U805,X805,AA805,AD805,AG805,AJ805)=8,O805*Guide!$E$5+R805*Guide!$E$6+U805*Guide!$E$7+X805*Guide!$E$8+AA805*Guide!$E$9+AD805*Guide!$E$10+AG805*Guide!$E$11+AJ805*Guide!$E$12,"")</x:f>
      </x:c>
      <x:c r="H805" s="4" t="str">
        <x:f>IF(COUNT(G805,F805)=2,G805-F805,"")</x:f>
      </x:c>
      <x:c r="I805" s="4" t="n">
        <x:f>IF(AND(ISNUMBER(F805),K805&gt;0),F805/K805,"")</x:f>
        <x:v>2.2329545454545454</x:v>
      </x:c>
      <x:c r="J805" s="4" t="str">
        <x:f>IF(AND(ISNUMBER(G805),L805&gt;0),G805/L805,"")</x:f>
      </x:c>
      <x:c r="K805" s="10" t="n">
        <x:v>44</x:v>
      </x:c>
      <x:c r="L805" s="10"/>
      <x:c r="M805" s="10" t="str">
        <x:f>IF(COUNT(L805,K805)=2,L805-K805,"")</x:f>
      </x:c>
      <x:c r="N805" s="10" t="n">
        <x:v>4</x:v>
      </x:c>
      <x:c r="O805" s="10"/>
      <x:c r="P805" s="10" t="str">
        <x:f>IF(COUNT(O805,N805)=2,O805-N805,"")</x:f>
      </x:c>
      <x:c r="Q805" s="10" t="n">
        <x:v>5</x:v>
      </x:c>
      <x:c r="R805" s="10"/>
      <x:c r="S805" s="10" t="str">
        <x:f>IF(COUNT(R805,Q805)=2,R805-Q805,"")</x:f>
      </x:c>
      <x:c r="T805" s="10" t="n">
        <x:v>-1</x:v>
      </x:c>
      <x:c r="U805" s="10"/>
      <x:c r="V805" s="10" t="str">
        <x:f>IF(COUNT(U805,T805)=2,U805-T805,"")</x:f>
      </x:c>
      <x:c r="W805" s="10" t="n">
        <x:v>0</x:v>
      </x:c>
      <x:c r="X805" s="10" t="str">
        <x:f>IF(COUNT(AV805,AW805)=2,AV805+AW805,"")</x:f>
      </x:c>
      <x:c r="Y805" s="10" t="str">
        <x:f>IF(COUNT(X805,W805)=2,X805-W805,"")</x:f>
      </x:c>
      <x:c r="Z805" s="10" t="n">
        <x:v>0</x:v>
      </x:c>
      <x:c r="AA805" s="10" t="str">
        <x:f>IF(COUNT(AX805,AY805)=2,AX805+AY805,"")</x:f>
      </x:c>
      <x:c r="AB805" s="10" t="str">
        <x:f>IF(COUNT(AA805,Z805)=2,AA805-Z805,"")</x:f>
      </x:c>
      <x:c r="AC805" s="10" t="n">
        <x:v>34</x:v>
      </x:c>
      <x:c r="AD805" s="10"/>
      <x:c r="AE805" s="10" t="str">
        <x:f>IF(COUNT(AD805,AC805)=2,AD805-AC805,"")</x:f>
      </x:c>
      <x:c r="AF805" s="10" t="n">
        <x:v>179</x:v>
      </x:c>
      <x:c r="AG805" s="10"/>
      <x:c r="AH805" s="10" t="str">
        <x:f>IF(COUNT(AG805,AF805)=2,AG805-AF805,"")</x:f>
      </x:c>
      <x:c r="AI805" s="10" t="n">
        <x:v>20</x:v>
      </x:c>
      <x:c r="AJ805" s="10"/>
      <x:c r="AK805" s="10" t="str">
        <x:f>IF(COUNT(AJ805,AI805)=2,AJ805-AI805,"")</x:f>
      </x:c>
      <x:c r="AL805" s="10" t="n">
        <x:v>27</x:v>
      </x:c>
      <x:c r="AM805" s="10"/>
      <x:c r="AN805" s="4" t="str">
        <x:v>LW</x:v>
      </x:c>
      <x:c r="AO805" s="4"/>
      <x:c r="AP805" s="4" t="str">
        <x:v>TOR</x:v>
      </x:c>
      <x:c r="AQ805" s="4"/>
      <x:c r="AR805" s="4" t="n">
        <x:v>8.23</x:v>
      </x:c>
      <x:c r="AS805" s="4"/>
      <x:c r="AT805" s="4" t="n">
        <x:v>0.01</x:v>
      </x:c>
      <x:c r="AU805" s="4"/>
      <x:c r="AV805" s="10"/>
      <x:c r="AW805" s="10"/>
      <x:c r="AX805" s="10"/>
      <x:c r="AY805" s="10"/>
      <x:c r="AZ805" s="10" t="n">
        <x:v>38</x:v>
      </x:c>
      <x:c r="BA805" s="10" t="n">
        <x:v>55</x:v>
      </x:c>
      <x:c r="BB805" s="4" t="n">
        <x:v>40.9</x:v>
      </x:c>
      <x:c r="BC805" s="4" t="n">
        <x:v>0.4</x:v>
      </x:c>
      <x:c r="BD805" s="10" t="n">
        <x:v>31</x:v>
      </x:c>
      <x:c r="BE805" s="10" t="n">
        <x:v>40</x:v>
      </x:c>
      <x:c r="BF805" s="4" t="n">
        <x:v>43.7</x:v>
      </x:c>
      <x:c r="BG805" s="4" t="n">
        <x:v>2.9</x:v>
      </x:c>
      <x:c r="BH805" s="4" t="n">
        <x:v>0</x:v>
      </x:c>
      <x:c r="BI805" s="4" t="n">
        <x:v>82.6</x:v>
      </x:c>
      <x:c r="BJ805" s="4" t="n">
        <x:v>82.6</x:v>
      </x:c>
      <x:c r="BK805" s="4" t="n">
        <x:v>35.3</x:v>
      </x:c>
      <x:c r="BL805" s="4" t="n">
        <x:v>64.7</x:v>
      </x:c>
      <x:c r="BM805" s="4" t="n">
        <x:v>6.466666666666667</x:v>
      </x:c>
      <x:c r="BN805" s="4" t="n">
        <x:v>6.416666666666667</x:v>
      </x:c>
      <x:c r="BO805" s="10" t="n">
        <x:v>0</x:v>
      </x:c>
      <x:c r="BP805" s="10" t="n">
        <x:v>3</x:v>
      </x:c>
      <x:c r="BQ805" s="4" t="n">
        <x:v>-0.4</x:v>
      </x:c>
      <x:c r="BR805" s="10" t="n">
        <x:v>4</x:v>
      </x:c>
      <x:c r="BS805" s="4" t="n">
        <x:v>50</x:v>
      </x:c>
      <x:c r="BT805" s="10" t="n">
        <x:v>9</x:v>
      </x:c>
      <x:c r="BU805" s="4" t="str">
        <x:v>TOR</x:v>
      </x:c>
      <x:c r="BV805" s="10" t="n">
        <x:v>735</x:v>
      </x:c>
      <x:c r="BW805" s="10"/>
      <x:c r="BX805" s="10" t="n">
        <x:v>813</x:v>
      </x:c>
      <x:c r="BY805" s="4" t="str">
        <x:v>Michael Pezzetta</x:v>
      </x:c>
      <x:c r="BZ805" s="4"/>
      <x:c r="CA805" s="4" t="str">
        <x:v>Michael Pezzetta</x:v>
      </x:c>
      <x:c r="CB805" s="4" t="str">
        <x:v>pezzemi01</x:v>
      </x:c>
    </x:row>
    <x:row r="806" ht="22" customHeight="1">
      <x:c r="A806" s="4" t="str">
        <x:v>Michael Rasmussen</x:v>
      </x:c>
      <x:c r="B806" s="4" t="str">
        <x:v>michaelrasmussen</x:v>
      </x:c>
      <x:c r="C806" s="10" t="n">
        <x:v>1</x:v>
      </x:c>
      <x:c r="D806" s="10" t="n">
        <x:v>0</x:v>
      </x:c>
      <x:c r="E806" s="10" t="n">
        <x:v>1</x:v>
      </x:c>
      <x:c r="F806" s="4" t="n">
        <x:f>IF(COUNT(N806,Q806,T806,W806,Z806,AC806,AF806,AI806)=8,N806*Guide!$E$5+Q806*Guide!$E$6+T806*Guide!$E$7+W806*Guide!$E$8+Z806*Guide!$E$9+AC806*Guide!$E$10+AF806*Guide!$E$11+AI806*Guide!$E$12,"")</x:f>
        <x:v>223.5</x:v>
      </x:c>
      <x:c r="G806" s="4" t="str">
        <x:f>IF(COUNT(O806,R806,U806,X806,AA806,AD806,AG806,AJ806)=8,O806*Guide!$E$5+R806*Guide!$E$6+U806*Guide!$E$7+X806*Guide!$E$8+AA806*Guide!$E$9+AD806*Guide!$E$10+AG806*Guide!$E$11+AJ806*Guide!$E$12,"")</x:f>
      </x:c>
      <x:c r="H806" s="4" t="str">
        <x:f>IF(COUNT(G806,F806)=2,G806-F806,"")</x:f>
      </x:c>
      <x:c r="I806" s="4" t="n">
        <x:f>IF(AND(ISNUMBER(F806),K806&gt;0),F806/K806,"")</x:f>
        <x:v>2.9025974025974026</x:v>
      </x:c>
      <x:c r="J806" s="4" t="str">
        <x:f>IF(AND(ISNUMBER(G806),L806&gt;0),G806/L806,"")</x:f>
      </x:c>
      <x:c r="K806" s="10" t="n">
        <x:v>77</x:v>
      </x:c>
      <x:c r="L806" s="10"/>
      <x:c r="M806" s="10" t="str">
        <x:f>IF(COUNT(L806,K806)=2,L806-K806,"")</x:f>
      </x:c>
      <x:c r="N806" s="10" t="n">
        <x:v>15</x:v>
      </x:c>
      <x:c r="O806" s="10"/>
      <x:c r="P806" s="10" t="str">
        <x:f>IF(COUNT(O806,N806)=2,O806-N806,"")</x:f>
      </x:c>
      <x:c r="Q806" s="10" t="n">
        <x:v>17</x:v>
      </x:c>
      <x:c r="R806" s="10"/>
      <x:c r="S806" s="10" t="str">
        <x:f>IF(COUNT(R806,Q806)=2,R806-Q806,"")</x:f>
      </x:c>
      <x:c r="T806" s="10" t="n">
        <x:v>-3</x:v>
      </x:c>
      <x:c r="U806" s="10"/>
      <x:c r="V806" s="10" t="str">
        <x:f>IF(COUNT(U806,T806)=2,U806-T806,"")</x:f>
      </x:c>
      <x:c r="W806" s="10" t="n">
        <x:v>5</x:v>
      </x:c>
      <x:c r="X806" s="10" t="str">
        <x:f>IF(COUNT(AV806,AW806)=2,AV806+AW806,"")</x:f>
      </x:c>
      <x:c r="Y806" s="10" t="str">
        <x:f>IF(COUNT(X806,W806)=2,X806-W806,"")</x:f>
      </x:c>
      <x:c r="Z806" s="10" t="n">
        <x:v>1</x:v>
      </x:c>
      <x:c r="AA806" s="10" t="str">
        <x:f>IF(COUNT(AX806,AY806)=2,AX806+AY806,"")</x:f>
      </x:c>
      <x:c r="AB806" s="10" t="str">
        <x:f>IF(COUNT(AA806,Z806)=2,AA806-Z806,"")</x:f>
      </x:c>
      <x:c r="AC806" s="10" t="n">
        <x:v>103</x:v>
      </x:c>
      <x:c r="AD806" s="10"/>
      <x:c r="AE806" s="10" t="str">
        <x:f>IF(COUNT(AD806,AC806)=2,AD806-AC806,"")</x:f>
      </x:c>
      <x:c r="AF806" s="10" t="n">
        <x:v>141</x:v>
      </x:c>
      <x:c r="AG806" s="10"/>
      <x:c r="AH806" s="10" t="str">
        <x:f>IF(COUNT(AG806,AF806)=2,AG806-AF806,"")</x:f>
      </x:c>
      <x:c r="AI806" s="10" t="n">
        <x:v>62</x:v>
      </x:c>
      <x:c r="AJ806" s="10"/>
      <x:c r="AK806" s="10" t="str">
        <x:f>IF(COUNT(AJ806,AI806)=2,AJ806-AI806,"")</x:f>
      </x:c>
      <x:c r="AL806" s="10" t="n">
        <x:v>26</x:v>
      </x:c>
      <x:c r="AM806" s="10"/>
      <x:c r="AN806" s="4" t="str">
        <x:v>C,LW</x:v>
      </x:c>
      <x:c r="AO806" s="4"/>
      <x:c r="AP806" s="4" t="str">
        <x:v>DET</x:v>
      </x:c>
      <x:c r="AQ806" s="4"/>
      <x:c r="AR806" s="4" t="n">
        <x:v>14.05</x:v>
      </x:c>
      <x:c r="AS806" s="4"/>
      <x:c r="AT806" s="4" t="n">
        <x:v>1.06</x:v>
      </x:c>
      <x:c r="AU806" s="4"/>
      <x:c r="AV806" s="10"/>
      <x:c r="AW806" s="10"/>
      <x:c r="AX806" s="10"/>
      <x:c r="AY806" s="10"/>
      <x:c r="AZ806" s="10" t="n">
        <x:v>602</x:v>
      </x:c>
      <x:c r="BA806" s="10" t="n">
        <x:v>743</x:v>
      </x:c>
      <x:c r="BB806" s="4" t="n">
        <x:v>44.8</x:v>
      </x:c>
      <x:c r="BC806" s="4" t="n">
        <x:v>-5</x:v>
      </x:c>
      <x:c r="BD806" s="10" t="n">
        <x:v>420</x:v>
      </x:c>
      <x:c r="BE806" s="10" t="n">
        <x:v>495</x:v>
      </x:c>
      <x:c r="BF806" s="4" t="n">
        <x:v>45.9</x:v>
      </x:c>
      <x:c r="BG806" s="4" t="n">
        <x:v>-4.7</x:v>
      </x:c>
      <x:c r="BH806" s="4" t="n">
        <x:v>7.5</x:v>
      </x:c>
      <x:c r="BI806" s="4" t="n">
        <x:v>90.9</x:v>
      </x:c>
      <x:c r="BJ806" s="4" t="n">
        <x:v>98.3</x:v>
      </x:c>
      <x:c r="BK806" s="4" t="n">
        <x:v>44</x:v>
      </x:c>
      <x:c r="BL806" s="4" t="n">
        <x:v>56</x:v>
      </x:c>
      <x:c r="BM806" s="4" t="n">
        <x:v>12.65</x:v>
      </x:c>
      <x:c r="BN806" s="4" t="n">
        <x:v>11.066666666666666</x:v>
      </x:c>
      <x:c r="BO806" s="10" t="n">
        <x:v>10</x:v>
      </x:c>
      <x:c r="BP806" s="10" t="n">
        <x:v>28</x:v>
      </x:c>
      <x:c r="BQ806" s="4" t="n">
        <x:v>-2.1</x:v>
      </x:c>
      <x:c r="BR806" s="10" t="n">
        <x:v>133</x:v>
      </x:c>
      <x:c r="BS806" s="4" t="n">
        <x:v>48.9</x:v>
      </x:c>
      <x:c r="BT806" s="10" t="n">
        <x:v>64</x:v>
      </x:c>
      <x:c r="BU806" s="4" t="str">
        <x:v>DET</x:v>
      </x:c>
      <x:c r="BV806" s="10" t="n">
        <x:v>342</x:v>
      </x:c>
      <x:c r="BW806" s="10"/>
      <x:c r="BX806" s="10" t="n">
        <x:v>842</x:v>
      </x:c>
      <x:c r="BY806" s="4" t="str">
        <x:v>Michael Rasmussen</x:v>
      </x:c>
      <x:c r="BZ806" s="4"/>
      <x:c r="CA806" s="4" t="str">
        <x:v>Michael Rasmussen</x:v>
      </x:c>
      <x:c r="CB806" s="4" t="str">
        <x:v>rasmumi01</x:v>
      </x:c>
    </x:row>
    <x:row r="807" ht="22" customHeight="1">
      <x:c r="A807" s="4" t="str">
        <x:v>Mikael Pyyhtia</x:v>
      </x:c>
      <x:c r="B807" s="4" t="str">
        <x:v>mikaelpyyhtia</x:v>
      </x:c>
      <x:c r="C807" s="10" t="n">
        <x:v>1</x:v>
      </x:c>
      <x:c r="D807" s="10" t="n">
        <x:v>0</x:v>
      </x:c>
      <x:c r="E807" s="10" t="n">
        <x:v>1</x:v>
      </x:c>
      <x:c r="F807" s="4" t="n">
        <x:f>IF(COUNT(N807,Q807,T807,W807,Z807,AC807,AF807,AI807)=8,N807*Guide!$E$5+Q807*Guide!$E$6+T807*Guide!$E$7+W807*Guide!$E$8+Z807*Guide!$E$9+AC807*Guide!$E$10+AF807*Guide!$E$11+AI807*Guide!$E$12,"")</x:f>
        <x:v>97.25</x:v>
      </x:c>
      <x:c r="G807" s="4" t="str">
        <x:f>IF(COUNT(O807,R807,U807,X807,AA807,AD807,AG807,AJ807)=8,O807*Guide!$E$5+R807*Guide!$E$6+U807*Guide!$E$7+X807*Guide!$E$8+AA807*Guide!$E$9+AD807*Guide!$E$10+AG807*Guide!$E$11+AJ807*Guide!$E$12,"")</x:f>
      </x:c>
      <x:c r="H807" s="4" t="str">
        <x:f>IF(COUNT(G807,F807)=2,G807-F807,"")</x:f>
      </x:c>
      <x:c r="I807" s="4" t="n">
        <x:f>IF(AND(ISNUMBER(F807),K807&gt;0),F807/K807,"")</x:f>
        <x:v>1.8009259259259258</x:v>
      </x:c>
      <x:c r="J807" s="4" t="str">
        <x:f>IF(AND(ISNUMBER(G807),L807&gt;0),G807/L807,"")</x:f>
      </x:c>
      <x:c r="K807" s="10" t="n">
        <x:v>54</x:v>
      </x:c>
      <x:c r="L807" s="10"/>
      <x:c r="M807" s="10" t="str">
        <x:f>IF(COUNT(L807,K807)=2,L807-K807,"")</x:f>
      </x:c>
      <x:c r="N807" s="10" t="n">
        <x:v>6</x:v>
      </x:c>
      <x:c r="O807" s="10"/>
      <x:c r="P807" s="10" t="str">
        <x:f>IF(COUNT(O807,N807)=2,O807-N807,"")</x:f>
      </x:c>
      <x:c r="Q807" s="10" t="n">
        <x:v>8</x:v>
      </x:c>
      <x:c r="R807" s="10"/>
      <x:c r="S807" s="10" t="str">
        <x:f>IF(COUNT(R807,Q807)=2,R807-Q807,"")</x:f>
      </x:c>
      <x:c r="T807" s="10" t="n">
        <x:v>-6</x:v>
      </x:c>
      <x:c r="U807" s="10"/>
      <x:c r="V807" s="10" t="str">
        <x:f>IF(COUNT(U807,T807)=2,U807-T807,"")</x:f>
      </x:c>
      <x:c r="W807" s="10" t="n">
        <x:v>0</x:v>
      </x:c>
      <x:c r="X807" s="10" t="str">
        <x:f>IF(COUNT(AV807,AW807)=2,AV807+AW807,"")</x:f>
      </x:c>
      <x:c r="Y807" s="10" t="str">
        <x:f>IF(COUNT(X807,W807)=2,X807-W807,"")</x:f>
      </x:c>
      <x:c r="Z807" s="10" t="n">
        <x:v>1</x:v>
      </x:c>
      <x:c r="AA807" s="10" t="str">
        <x:f>IF(COUNT(AX807,AY807)=2,AX807+AY807,"")</x:f>
      </x:c>
      <x:c r="AB807" s="10" t="str">
        <x:f>IF(COUNT(AA807,Z807)=2,AA807-Z807,"")</x:f>
      </x:c>
      <x:c r="AC807" s="10" t="n">
        <x:v>52</x:v>
      </x:c>
      <x:c r="AD807" s="10"/>
      <x:c r="AE807" s="10" t="str">
        <x:f>IF(COUNT(AD807,AC807)=2,AD807-AC807,"")</x:f>
      </x:c>
      <x:c r="AF807" s="10" t="n">
        <x:v>28</x:v>
      </x:c>
      <x:c r="AG807" s="10"/>
      <x:c r="AH807" s="10" t="str">
        <x:f>IF(COUNT(AG807,AF807)=2,AG807-AF807,"")</x:f>
      </x:c>
      <x:c r="AI807" s="10" t="n">
        <x:v>43</x:v>
      </x:c>
      <x:c r="AJ807" s="10"/>
      <x:c r="AK807" s="10" t="str">
        <x:f>IF(COUNT(AJ807,AI807)=2,AJ807-AI807,"")</x:f>
      </x:c>
      <x:c r="AL807" s="10" t="n">
        <x:v>24</x:v>
      </x:c>
      <x:c r="AM807" s="10"/>
      <x:c r="AN807" s="4" t="str">
        <x:v>LW</x:v>
      </x:c>
      <x:c r="AO807" s="4"/>
      <x:c r="AP807" s="4" t="str">
        <x:v>CBJ</x:v>
      </x:c>
      <x:c r="AQ807" s="4"/>
      <x:c r="AR807" s="4" t="n">
        <x:v>12.620000000000001</x:v>
      </x:c>
      <x:c r="AS807" s="4"/>
      <x:c r="AT807" s="4" t="n">
        <x:v>0.16</x:v>
      </x:c>
      <x:c r="AU807" s="4"/>
      <x:c r="AV807" s="10"/>
      <x:c r="AW807" s="10"/>
      <x:c r="AX807" s="10"/>
      <x:c r="AY807" s="10"/>
      <x:c r="AZ807" s="10" t="n">
        <x:v>61</x:v>
      </x:c>
      <x:c r="BA807" s="10" t="n">
        <x:v>41</x:v>
      </x:c>
      <x:c r="BB807" s="4" t="n">
        <x:v>59.8</x:v>
      </x:c>
      <x:c r="BC807" s="4" t="n">
        <x:v>6.2</x:v>
      </x:c>
      <x:c r="BD807" s="10" t="n">
        <x:v>43</x:v>
      </x:c>
      <x:c r="BE807" s="10" t="n">
        <x:v>29</x:v>
      </x:c>
      <x:c r="BF807" s="4" t="n">
        <x:v>59.7</x:v>
      </x:c>
      <x:c r="BG807" s="4" t="n">
        <x:v>3.5</x:v>
      </x:c>
      <x:c r="BH807" s="4" t="n">
        <x:v>5</x:v>
      </x:c>
      <x:c r="BI807" s="4" t="n">
        <x:v>87.5</x:v>
      </x:c>
      <x:c r="BJ807" s="4" t="n">
        <x:v>92.5</x:v>
      </x:c>
      <x:c r="BK807" s="4" t="n">
        <x:v>40.6</x:v>
      </x:c>
      <x:c r="BL807" s="4" t="n">
        <x:v>59.4</x:v>
      </x:c>
      <x:c r="BM807" s="4" t="n">
        <x:v>10.266666666666667</x:v>
      </x:c>
      <x:c r="BN807" s="4" t="n">
        <x:v>9.883333333333333</x:v>
      </x:c>
      <x:c r="BO807" s="10" t="n">
        <x:v>1</x:v>
      </x:c>
      <x:c r="BP807" s="10" t="n">
        <x:v>1</x:v>
      </x:c>
      <x:c r="BQ807" s="4" t="n">
        <x:v>0.7</x:v>
      </x:c>
      <x:c r="BR807" s="10" t="n">
        <x:v>15</x:v>
      </x:c>
      <x:c r="BS807" s="4" t="n">
        <x:v>40</x:v>
      </x:c>
      <x:c r="BT807" s="10" t="n">
        <x:v>5</x:v>
      </x:c>
      <x:c r="BU807" s="4" t="str">
        <x:v>CBJ</x:v>
      </x:c>
      <x:c r="BV807" s="10" t="n">
        <x:v>655</x:v>
      </x:c>
      <x:c r="BW807" s="10"/>
      <x:c r="BX807" s="10" t="n">
        <x:v>835</x:v>
      </x:c>
      <x:c r="BY807" s="4" t="str">
        <x:v>Mikael Pyyhtia</x:v>
      </x:c>
      <x:c r="BZ807" s="4"/>
      <x:c r="CA807" s="4" t="str">
        <x:v>Mikael Pyyhtia</x:v>
      </x:c>
      <x:c r="CB807" s="4" t="str">
        <x:v>pyyhtmi01</x:v>
      </x:c>
    </x:row>
    <x:row r="808" ht="22" customHeight="1">
      <x:c r="A808" s="4" t="str">
        <x:v>Mike Reilly</x:v>
      </x:c>
      <x:c r="B808" s="4" t="str">
        <x:v>mikereilly</x:v>
      </x:c>
      <x:c r="C808" s="10" t="n">
        <x:v>1</x:v>
      </x:c>
      <x:c r="D808" s="10" t="n">
        <x:v>0</x:v>
      </x:c>
      <x:c r="E808" s="10" t="n">
        <x:v>1</x:v>
      </x:c>
      <x:c r="F808" s="4" t="n">
        <x:f>IF(COUNT(N808,Q808,T808,W808,Z808,AC808,AF808,AI808)=8,N808*Guide!$E$5+Q808*Guide!$E$6+T808*Guide!$E$7+W808*Guide!$E$8+Z808*Guide!$E$9+AC808*Guide!$E$10+AF808*Guide!$E$11+AI808*Guide!$E$12,"")</x:f>
        <x:v>155.75</x:v>
      </x:c>
      <x:c r="G808" s="4" t="str">
        <x:f>IF(COUNT(O808,R808,U808,X808,AA808,AD808,AG808,AJ808)=8,O808*Guide!$E$5+R808*Guide!$E$6+U808*Guide!$E$7+X808*Guide!$E$8+AA808*Guide!$E$9+AD808*Guide!$E$10+AG808*Guide!$E$11+AJ808*Guide!$E$12,"")</x:f>
      </x:c>
      <x:c r="H808" s="4" t="str">
        <x:f>IF(COUNT(G808,F808)=2,G808-F808,"")</x:f>
      </x:c>
      <x:c r="I808" s="4" t="n">
        <x:f>IF(AND(ISNUMBER(F808),K808&gt;0),F808/K808,"")</x:f>
        <x:v>2.2904411764705883</x:v>
      </x:c>
      <x:c r="J808" s="4" t="str">
        <x:f>IF(AND(ISNUMBER(G808),L808&gt;0),G808/L808,"")</x:f>
      </x:c>
      <x:c r="K808" s="10" t="n">
        <x:v>68</x:v>
      </x:c>
      <x:c r="L808" s="10"/>
      <x:c r="M808" s="10" t="str">
        <x:f>IF(COUNT(L808,K808)=2,L808-K808,"")</x:f>
      </x:c>
      <x:c r="N808" s="10" t="n">
        <x:v>4</x:v>
      </x:c>
      <x:c r="O808" s="10"/>
      <x:c r="P808" s="10" t="str">
        <x:f>IF(COUNT(O808,N808)=2,O808-N808,"")</x:f>
      </x:c>
      <x:c r="Q808" s="10" t="n">
        <x:v>17</x:v>
      </x:c>
      <x:c r="R808" s="10"/>
      <x:c r="S808" s="10" t="str">
        <x:f>IF(COUNT(R808,Q808)=2,R808-Q808,"")</x:f>
      </x:c>
      <x:c r="T808" s="10" t="n">
        <x:v>2</x:v>
      </x:c>
      <x:c r="U808" s="10"/>
      <x:c r="V808" s="10" t="str">
        <x:f>IF(COUNT(U808,T808)=2,U808-T808,"")</x:f>
      </x:c>
      <x:c r="W808" s="10" t="n">
        <x:v>7</x:v>
      </x:c>
      <x:c r="X808" s="10" t="str">
        <x:f>IF(COUNT(AV808,AW808)=2,AV808+AW808,"")</x:f>
      </x:c>
      <x:c r="Y808" s="10" t="str">
        <x:f>IF(COUNT(X808,W808)=2,X808-W808,"")</x:f>
      </x:c>
      <x:c r="Z808" s="10" t="n">
        <x:v>0</x:v>
      </x:c>
      <x:c r="AA808" s="10" t="str">
        <x:f>IF(COUNT(AX808,AY808)=2,AX808+AY808,"")</x:f>
      </x:c>
      <x:c r="AB808" s="10" t="str">
        <x:f>IF(COUNT(AA808,Z808)=2,AA808-Z808,"")</x:f>
      </x:c>
      <x:c r="AC808" s="10" t="n">
        <x:v>106</x:v>
      </x:c>
      <x:c r="AD808" s="10"/>
      <x:c r="AE808" s="10" t="str">
        <x:f>IF(COUNT(AD808,AC808)=2,AD808-AC808,"")</x:f>
      </x:c>
      <x:c r="AF808" s="10" t="n">
        <x:v>24</x:v>
      </x:c>
      <x:c r="AG808" s="10"/>
      <x:c r="AH808" s="10" t="str">
        <x:f>IF(COUNT(AG808,AF808)=2,AG808-AF808,"")</x:f>
      </x:c>
      <x:c r="AI808" s="10" t="n">
        <x:v>63</x:v>
      </x:c>
      <x:c r="AJ808" s="10"/>
      <x:c r="AK808" s="10" t="str">
        <x:f>IF(COUNT(AJ808,AI808)=2,AJ808-AI808,"")</x:f>
      </x:c>
      <x:c r="AL808" s="10" t="n">
        <x:v>32</x:v>
      </x:c>
      <x:c r="AM808" s="10"/>
      <x:c r="AN808" s="4" t="str">
        <x:v>D</x:v>
      </x:c>
      <x:c r="AO808" s="4"/>
      <x:c r="AP808" s="4" t="str">
        <x:v>CAR</x:v>
      </x:c>
      <x:c r="AQ808" s="4"/>
      <x:c r="AR808" s="4" t="n">
        <x:v>15.48</x:v>
      </x:c>
      <x:c r="AS808" s="4"/>
      <x:c r="AT808" s="4" t="n">
        <x:v>1.68</x:v>
      </x:c>
      <x:c r="AU808" s="4"/>
      <x:c r="AV808" s="10"/>
      <x:c r="AW808" s="10"/>
      <x:c r="AX808" s="10"/>
      <x:c r="AY808" s="10"/>
      <x:c r="AZ808" s="10" t="n">
        <x:v>682</x:v>
      </x:c>
      <x:c r="BA808" s="10" t="n">
        <x:v>457</x:v>
      </x:c>
      <x:c r="BB808" s="4" t="n">
        <x:v>59.9</x:v>
      </x:c>
      <x:c r="BC808" s="4" t="n">
        <x:v>0.3</x:v>
      </x:c>
      <x:c r="BD808" s="10" t="n">
        <x:v>483</x:v>
      </x:c>
      <x:c r="BE808" s="10" t="n">
        <x:v>340</x:v>
      </x:c>
      <x:c r="BF808" s="4" t="n">
        <x:v>58.7</x:v>
      </x:c>
      <x:c r="BG808" s="4" t="n">
        <x:v>0</x:v>
      </x:c>
      <x:c r="BH808" s="4" t="n">
        <x:v>8.9</x:v>
      </x:c>
      <x:c r="BI808" s="4" t="n">
        <x:v>92.1</x:v>
      </x:c>
      <x:c r="BJ808" s="4" t="n">
        <x:v>101.1</x:v>
      </x:c>
      <x:c r="BK808" s="4" t="n">
        <x:v>64.9</x:v>
      </x:c>
      <x:c r="BL808" s="4" t="n">
        <x:v>35.1</x:v>
      </x:c>
      <x:c r="BM808" s="4" t="n">
        <x:v>14.966666666666667</x:v>
      </x:c>
      <x:c r="BN808" s="4" t="n">
        <x:v>13.883333333333333</x:v>
      </x:c>
      <x:c r="BO808" s="10" t="n">
        <x:v>7</x:v>
      </x:c>
      <x:c r="BP808" s="10" t="n">
        <x:v>23</x:v>
      </x:c>
      <x:c r="BQ808" s="4" t="n">
        <x:v>4.8</x:v>
      </x:c>
      <x:c r="BR808" s="10" t="n">
        <x:v>152</x:v>
      </x:c>
      <x:c r="BS808" s="4" t="n">
        <x:v>41.4</x:v>
      </x:c>
      <x:c r="BT808" s="10" t="n">
        <x:v>42</x:v>
      </x:c>
      <x:c r="BU808" s="4" t="str">
        <x:v>CAR</x:v>
      </x:c>
      <x:c r="BV808" s="10" t="n">
        <x:v>505</x:v>
      </x:c>
      <x:c r="BW808" s="10"/>
      <x:c r="BX808" s="10" t="n">
        <x:v>852</x:v>
      </x:c>
      <x:c r="BY808" s="4" t="str">
        <x:v>Mike Reilly</x:v>
      </x:c>
      <x:c r="BZ808" s="4"/>
      <x:c r="CA808" s="4" t="str">
        <x:v>Mike Reilly</x:v>
      </x:c>
      <x:c r="CB808" s="4" t="str">
        <x:v>reillmi01</x:v>
      </x:c>
    </x:row>
    <x:row r="809" ht="22" customHeight="1">
      <x:c r="A809" s="4" t="str">
        <x:v>Mikulas Hovorka</x:v>
      </x:c>
      <x:c r="B809" s="4" t="str">
        <x:v>mikulashovorka</x:v>
      </x:c>
      <x:c r="C809" s="10" t="n">
        <x:v>0</x:v>
      </x:c>
      <x:c r="D809" s="10" t="n">
        <x:v>0</x:v>
      </x:c>
      <x:c r="E809" s="10" t="n">
        <x:v>1</x:v>
      </x:c>
      <x:c r="F809" s="4" t="str">
        <x:f>IF(COUNT(N809,Q809,T809,W809,Z809,AC809,AF809,AI809)=8,N809*Guide!$E$5+Q809*Guide!$E$6+T809*Guide!$E$7+W809*Guide!$E$8+Z809*Guide!$E$9+AC809*Guide!$E$10+AF809*Guide!$E$11+AI809*Guide!$E$12,"")</x:f>
      </x:c>
      <x:c r="G809" s="4" t="str">
        <x:f>IF(COUNT(O809,R809,U809,X809,AA809,AD809,AG809,AJ809)=8,O809*Guide!$E$5+R809*Guide!$E$6+U809*Guide!$E$7+X809*Guide!$E$8+AA809*Guide!$E$9+AD809*Guide!$E$10+AG809*Guide!$E$11+AJ809*Guide!$E$12,"")</x:f>
      </x:c>
      <x:c r="H809" s="4" t="str">
        <x:f>IF(COUNT(G809,F809)=2,G809-F809,"")</x:f>
      </x:c>
      <x:c r="I809" s="4" t="str">
        <x:f>IF(AND(ISNUMBER(F809),K809&gt;0),F809/K809,"")</x:f>
      </x:c>
      <x:c r="J809" s="4" t="str">
        <x:f>IF(AND(ISNUMBER(G809),L809&gt;0),G809/L809,"")</x:f>
      </x:c>
      <x:c r="K809" s="10"/>
      <x:c r="L809" s="10"/>
      <x:c r="M809" s="10" t="str">
        <x:f>IF(COUNT(L809,K809)=2,L809-K809,"")</x:f>
      </x:c>
      <x:c r="N809" s="10"/>
      <x:c r="O809" s="10"/>
      <x:c r="P809" s="10" t="str">
        <x:f>IF(COUNT(O809,N809)=2,O809-N809,"")</x:f>
      </x:c>
      <x:c r="Q809" s="10"/>
      <x:c r="R809" s="10"/>
      <x:c r="S809" s="10" t="str">
        <x:f>IF(COUNT(R809,Q809)=2,R809-Q809,"")</x:f>
      </x:c>
      <x:c r="T809" s="10"/>
      <x:c r="U809" s="10"/>
      <x:c r="V809" s="10" t="str">
        <x:f>IF(COUNT(U809,T809)=2,U809-T809,"")</x:f>
      </x:c>
      <x:c r="W809" s="10"/>
      <x:c r="X809" s="10" t="str">
        <x:f>IF(COUNT(AV809,AW809)=2,AV809+AW809,"")</x:f>
      </x:c>
      <x:c r="Y809" s="10" t="str">
        <x:f>IF(COUNT(X809,W809)=2,X809-W809,"")</x:f>
      </x:c>
      <x:c r="Z809" s="10"/>
      <x:c r="AA809" s="10" t="str">
        <x:f>IF(COUNT(AX809,AY809)=2,AX809+AY809,"")</x:f>
      </x:c>
      <x:c r="AB809" s="10" t="str">
        <x:f>IF(COUNT(AA809,Z809)=2,AA809-Z809,"")</x:f>
      </x:c>
      <x:c r="AC809" s="10"/>
      <x:c r="AD809" s="10"/>
      <x:c r="AE809" s="10" t="str">
        <x:f>IF(COUNT(AD809,AC809)=2,AD809-AC809,"")</x:f>
      </x:c>
      <x:c r="AF809" s="10"/>
      <x:c r="AG809" s="10"/>
      <x:c r="AH809" s="10" t="str">
        <x:f>IF(COUNT(AG809,AF809)=2,AG809-AF809,"")</x:f>
      </x:c>
      <x:c r="AI809" s="10"/>
      <x:c r="AJ809" s="10"/>
      <x:c r="AK809" s="10" t="str">
        <x:f>IF(COUNT(AJ809,AI809)=2,AJ809-AI809,"")</x:f>
      </x:c>
      <x:c r="AL809" s="10"/>
      <x:c r="AM809" s="10"/>
      <x:c r="AN809" s="4"/>
      <x:c r="AO809" s="4"/>
      <x:c r="AP809" s="4"/>
      <x:c r="AQ809" s="4"/>
      <x:c r="AR809" s="4"/>
      <x:c r="AS809" s="4"/>
      <x:c r="AT809" s="4"/>
      <x:c r="AU809" s="4"/>
      <x:c r="AV809" s="10"/>
      <x:c r="AW809" s="10"/>
      <x:c r="AX809" s="10"/>
      <x:c r="AY809" s="10"/>
      <x:c r="AZ809" s="10" t="n">
        <x:v>43</x:v>
      </x:c>
      <x:c r="BA809" s="10" t="n">
        <x:v>51</x:v>
      </x:c>
      <x:c r="BB809" s="4" t="n">
        <x:v>45.7</x:v>
      </x:c>
      <x:c r="BC809" s="4" t="n">
        <x:v>-5.4</x:v>
      </x:c>
      <x:c r="BD809" s="10" t="n">
        <x:v>28</x:v>
      </x:c>
      <x:c r="BE809" s="10" t="n">
        <x:v>36</x:v>
      </x:c>
      <x:c r="BF809" s="4" t="n">
        <x:v>43.8</x:v>
      </x:c>
      <x:c r="BG809" s="4" t="n">
        <x:v>-8.1</x:v>
      </x:c>
      <x:c r="BH809" s="4" t="n">
        <x:v>15</x:v>
      </x:c>
      <x:c r="BI809" s="4" t="n">
        <x:v>81.8</x:v>
      </x:c>
      <x:c r="BJ809" s="4" t="n">
        <x:v>96.8</x:v>
      </x:c>
      <x:c r="BK809" s="4" t="n">
        <x:v>56</x:v>
      </x:c>
      <x:c r="BL809" s="4" t="n">
        <x:v>44</x:v>
      </x:c>
      <x:c r="BM809" s="4" t="n">
        <x:v>14.916666666666666</x:v>
      </x:c>
      <x:c r="BN809" s="4" t="n">
        <x:v>13.666666666666666</x:v>
      </x:c>
      <x:c r="BO809" s="10" t="n">
        <x:v>1</x:v>
      </x:c>
      <x:c r="BP809" s="10" t="n">
        <x:v>6</x:v>
      </x:c>
      <x:c r="BQ809" s="4" t="n">
        <x:v>-0.7</x:v>
      </x:c>
      <x:c r="BR809" s="10" t="n">
        <x:v>8</x:v>
      </x:c>
      <x:c r="BS809" s="4" t="n">
        <x:v>37.5</x:v>
      </x:c>
      <x:c r="BT809" s="10" t="n">
        <x:v>4</x:v>
      </x:c>
      <x:c r="BU809" s="4" t="str">
        <x:v>FLA</x:v>
      </x:c>
      <x:c r="BV809" s="10"/>
      <x:c r="BW809" s="10"/>
      <x:c r="BX809" s="10" t="n">
        <x:v>427</x:v>
      </x:c>
      <x:c r="BY809" s="4"/>
      <x:c r="BZ809" s="4"/>
      <x:c r="CA809" s="4" t="str">
        <x:v>Mikulas Hovorka</x:v>
      </x:c>
      <x:c r="CB809" s="4" t="str">
        <x:v>hovormi01</x:v>
      </x:c>
    </x:row>
    <x:row r="810" ht="22" customHeight="1">
      <x:c r="A810" s="4" t="str">
        <x:v>Miles Wood</x:v>
      </x:c>
      <x:c r="B810" s="4" t="str">
        <x:v>mileswood</x:v>
      </x:c>
      <x:c r="C810" s="10" t="n">
        <x:v>1</x:v>
      </x:c>
      <x:c r="D810" s="10" t="n">
        <x:v>0</x:v>
      </x:c>
      <x:c r="E810" s="10" t="n">
        <x:v>1</x:v>
      </x:c>
      <x:c r="F810" s="4" t="n">
        <x:f>IF(COUNT(N810,Q810,T810,W810,Z810,AC810,AF810,AI810)=8,N810*Guide!$E$5+Q810*Guide!$E$6+T810*Guide!$E$7+W810*Guide!$E$8+Z810*Guide!$E$9+AC810*Guide!$E$10+AF810*Guide!$E$11+AI810*Guide!$E$12,"")</x:f>
        <x:v>145.5</x:v>
      </x:c>
      <x:c r="G810" s="4" t="str">
        <x:f>IF(COUNT(O810,R810,U810,X810,AA810,AD810,AG810,AJ810)=8,O810*Guide!$E$5+R810*Guide!$E$6+U810*Guide!$E$7+X810*Guide!$E$8+AA810*Guide!$E$9+AD810*Guide!$E$10+AG810*Guide!$E$11+AJ810*Guide!$E$12,"")</x:f>
      </x:c>
      <x:c r="H810" s="4" t="str">
        <x:f>IF(COUNT(G810,F810)=2,G810-F810,"")</x:f>
      </x:c>
      <x:c r="I810" s="4" t="n">
        <x:f>IF(AND(ISNUMBER(F810),K810&gt;0),F810/K810,"")</x:f>
        <x:v>2.0785714285714287</x:v>
      </x:c>
      <x:c r="J810" s="4" t="str">
        <x:f>IF(AND(ISNUMBER(G810),L810&gt;0),G810/L810,"")</x:f>
      </x:c>
      <x:c r="K810" s="10" t="n">
        <x:v>70</x:v>
      </x:c>
      <x:c r="L810" s="10"/>
      <x:c r="M810" s="10" t="str">
        <x:f>IF(COUNT(L810,K810)=2,L810-K810,"")</x:f>
      </x:c>
      <x:c r="N810" s="10" t="n">
        <x:v>10</x:v>
      </x:c>
      <x:c r="O810" s="10"/>
      <x:c r="P810" s="10" t="str">
        <x:f>IF(COUNT(O810,N810)=2,O810-N810,"")</x:f>
      </x:c>
      <x:c r="Q810" s="10" t="n">
        <x:v>11</x:v>
      </x:c>
      <x:c r="R810" s="10"/>
      <x:c r="S810" s="10" t="str">
        <x:f>IF(COUNT(R810,Q810)=2,R810-Q810,"")</x:f>
      </x:c>
      <x:c r="T810" s="10" t="n">
        <x:v>-3</x:v>
      </x:c>
      <x:c r="U810" s="10"/>
      <x:c r="V810" s="10" t="str">
        <x:f>IF(COUNT(U810,T810)=2,U810-T810,"")</x:f>
      </x:c>
      <x:c r="W810" s="10" t="n">
        <x:v>0</x:v>
      </x:c>
      <x:c r="X810" s="10" t="str">
        <x:f>IF(COUNT(AV810,AW810)=2,AV810+AW810,"")</x:f>
      </x:c>
      <x:c r="Y810" s="10" t="str">
        <x:f>IF(COUNT(X810,W810)=2,X810-W810,"")</x:f>
      </x:c>
      <x:c r="Z810" s="10" t="n">
        <x:v>1</x:v>
      </x:c>
      <x:c r="AA810" s="10" t="str">
        <x:f>IF(COUNT(AX810,AY810)=2,AX810+AY810,"")</x:f>
      </x:c>
      <x:c r="AB810" s="10" t="str">
        <x:f>IF(COUNT(AA810,Z810)=2,AA810-Z810,"")</x:f>
      </x:c>
      <x:c r="AC810" s="10" t="n">
        <x:v>116</x:v>
      </x:c>
      <x:c r="AD810" s="10"/>
      <x:c r="AE810" s="10" t="str">
        <x:f>IF(COUNT(AD810,AC810)=2,AD810-AC810,"")</x:f>
      </x:c>
      <x:c r="AF810" s="10" t="n">
        <x:v>90</x:v>
      </x:c>
      <x:c r="AG810" s="10"/>
      <x:c r="AH810" s="10" t="str">
        <x:f>IF(COUNT(AG810,AF810)=2,AG810-AF810,"")</x:f>
      </x:c>
      <x:c r="AI810" s="10" t="n">
        <x:v>28</x:v>
      </x:c>
      <x:c r="AJ810" s="10"/>
      <x:c r="AK810" s="10" t="str">
        <x:f>IF(COUNT(AJ810,AI810)=2,AJ810-AI810,"")</x:f>
      </x:c>
      <x:c r="AL810" s="10" t="n">
        <x:v>30</x:v>
      </x:c>
      <x:c r="AM810" s="10"/>
      <x:c r="AN810" s="4" t="str">
        <x:v>LW</x:v>
      </x:c>
      <x:c r="AO810" s="4"/>
      <x:c r="AP810" s="4" t="str">
        <x:v>CBJ</x:v>
      </x:c>
      <x:c r="AQ810" s="4"/>
      <x:c r="AR810" s="4" t="n">
        <x:v>11.54</x:v>
      </x:c>
      <x:c r="AS810" s="4"/>
      <x:c r="AT810" s="4" t="n">
        <x:v>0.18</x:v>
      </x:c>
      <x:c r="AU810" s="4"/>
      <x:c r="AV810" s="10"/>
      <x:c r="AW810" s="10"/>
      <x:c r="AX810" s="10"/>
      <x:c r="AY810" s="10"/>
      <x:c r="AZ810" s="10" t="n">
        <x:v>558</x:v>
      </x:c>
      <x:c r="BA810" s="10" t="n">
        <x:v>667</x:v>
      </x:c>
      <x:c r="BB810" s="4" t="n">
        <x:v>45.6</x:v>
      </x:c>
      <x:c r="BC810" s="4" t="n">
        <x:v>-5.8</x:v>
      </x:c>
      <x:c r="BD810" s="10" t="n">
        <x:v>390</x:v>
      </x:c>
      <x:c r="BE810" s="10" t="n">
        <x:v>498</x:v>
      </x:c>
      <x:c r="BF810" s="4" t="n">
        <x:v>43.9</x:v>
      </x:c>
      <x:c r="BG810" s="4" t="n">
        <x:v>-7.1</x:v>
      </x:c>
      <x:c r="BH810" s="4" t="n">
        <x:v>8.4</x:v>
      </x:c>
      <x:c r="BI810" s="4" t="n">
        <x:v>89.2</x:v>
      </x:c>
      <x:c r="BJ810" s="4" t="n">
        <x:v>97.6</x:v>
      </x:c>
      <x:c r="BK810" s="4" t="n">
        <x:v>38.7</x:v>
      </x:c>
      <x:c r="BL810" s="4" t="n">
        <x:v>61.3</x:v>
      </x:c>
      <x:c r="BM810" s="4" t="n">
        <x:v>11.85</x:v>
      </x:c>
      <x:c r="BN810" s="4" t="n">
        <x:v>11.083333333333334</x:v>
      </x:c>
      <x:c r="BO810" s="10" t="n">
        <x:v>5</x:v>
      </x:c>
      <x:c r="BP810" s="10" t="n">
        <x:v>34</x:v>
      </x:c>
      <x:c r="BQ810" s="4" t="n">
        <x:v>-7</x:v>
      </x:c>
      <x:c r="BR810" s="10" t="n">
        <x:v>132</x:v>
      </x:c>
      <x:c r="BS810" s="4" t="n">
        <x:v>53.8</x:v>
      </x:c>
      <x:c r="BT810" s="10" t="n">
        <x:v>54</x:v>
      </x:c>
      <x:c r="BU810" s="4" t="str">
        <x:v>CBJ</x:v>
      </x:c>
      <x:c r="BV810" s="10" t="n">
        <x:v>507</x:v>
      </x:c>
      <x:c r="BW810" s="10"/>
      <x:c r="BX810" s="10" t="n">
        <x:v>1082</x:v>
      </x:c>
      <x:c r="BY810" s="4" t="str">
        <x:v>Miles Wood</x:v>
      </x:c>
      <x:c r="BZ810" s="4"/>
      <x:c r="CA810" s="4" t="str">
        <x:v>Miles Wood</x:v>
      </x:c>
      <x:c r="CB810" s="4" t="str">
        <x:v>woodmi01</x:v>
      </x:c>
    </x:row>
    <x:row r="811" ht="22" customHeight="1">
      <x:c r="A811" s="4" t="str">
        <x:v>Mitchell Chaffee</x:v>
      </x:c>
      <x:c r="B811" s="4" t="str">
        <x:v>mitchellchaffee</x:v>
      </x:c>
      <x:c r="C811" s="10" t="n">
        <x:v>1</x:v>
      </x:c>
      <x:c r="D811" s="10" t="n">
        <x:v>0</x:v>
      </x:c>
      <x:c r="E811" s="10" t="n">
        <x:v>1</x:v>
      </x:c>
      <x:c r="F811" s="4" t="n">
        <x:f>IF(COUNT(N811,Q811,T811,W811,Z811,AC811,AF811,AI811)=8,N811*Guide!$E$5+Q811*Guide!$E$6+T811*Guide!$E$7+W811*Guide!$E$8+Z811*Guide!$E$9+AC811*Guide!$E$10+AF811*Guide!$E$11+AI811*Guide!$E$12,"")</x:f>
        <x:v>149.5</x:v>
      </x:c>
      <x:c r="G811" s="4" t="str">
        <x:f>IF(COUNT(O811,R811,U811,X811,AA811,AD811,AG811,AJ811)=8,O811*Guide!$E$5+R811*Guide!$E$6+U811*Guide!$E$7+X811*Guide!$E$8+AA811*Guide!$E$9+AD811*Guide!$E$10+AG811*Guide!$E$11+AJ811*Guide!$E$12,"")</x:f>
      </x:c>
      <x:c r="H811" s="4" t="str">
        <x:f>IF(COUNT(G811,F811)=2,G811-F811,"")</x:f>
      </x:c>
      <x:c r="I811" s="4" t="n">
        <x:f>IF(AND(ISNUMBER(F811),K811&gt;0),F811/K811,"")</x:f>
        <x:v>2.265151515151515</x:v>
      </x:c>
      <x:c r="J811" s="4" t="str">
        <x:f>IF(AND(ISNUMBER(G811),L811&gt;0),G811/L811,"")</x:f>
      </x:c>
      <x:c r="K811" s="10" t="n">
        <x:v>66</x:v>
      </x:c>
      <x:c r="L811" s="10"/>
      <x:c r="M811" s="10" t="str">
        <x:f>IF(COUNT(L811,K811)=2,L811-K811,"")</x:f>
      </x:c>
      <x:c r="N811" s="10" t="n">
        <x:v>11</x:v>
      </x:c>
      <x:c r="O811" s="10"/>
      <x:c r="P811" s="10" t="str">
        <x:f>IF(COUNT(O811,N811)=2,O811-N811,"")</x:f>
      </x:c>
      <x:c r="Q811" s="10" t="n">
        <x:v>10</x:v>
      </x:c>
      <x:c r="R811" s="10"/>
      <x:c r="S811" s="10" t="str">
        <x:f>IF(COUNT(R811,Q811)=2,R811-Q811,"")</x:f>
      </x:c>
      <x:c r="T811" s="10" t="n">
        <x:v>-4</x:v>
      </x:c>
      <x:c r="U811" s="10"/>
      <x:c r="V811" s="10" t="str">
        <x:f>IF(COUNT(U811,T811)=2,U811-T811,"")</x:f>
      </x:c>
      <x:c r="W811" s="10" t="n">
        <x:v>5</x:v>
      </x:c>
      <x:c r="X811" s="10" t="str">
        <x:f>IF(COUNT(AV811,AW811)=2,AV811+AW811,"")</x:f>
      </x:c>
      <x:c r="Y811" s="10" t="str">
        <x:f>IF(COUNT(X811,W811)=2,X811-W811,"")</x:f>
      </x:c>
      <x:c r="Z811" s="10" t="n">
        <x:v>0</x:v>
      </x:c>
      <x:c r="AA811" s="10" t="str">
        <x:f>IF(COUNT(AX811,AY811)=2,AX811+AY811,"")</x:f>
      </x:c>
      <x:c r="AB811" s="10" t="str">
        <x:f>IF(COUNT(AA811,Z811)=2,AA811-Z811,"")</x:f>
      </x:c>
      <x:c r="AC811" s="10" t="n">
        <x:v>66</x:v>
      </x:c>
      <x:c r="AD811" s="10"/>
      <x:c r="AE811" s="10" t="str">
        <x:f>IF(COUNT(AD811,AC811)=2,AD811-AC811,"")</x:f>
      </x:c>
      <x:c r="AF811" s="10" t="n">
        <x:v>145</x:v>
      </x:c>
      <x:c r="AG811" s="10"/>
      <x:c r="AH811" s="10" t="str">
        <x:f>IF(COUNT(AG811,AF811)=2,AG811-AF811,"")</x:f>
      </x:c>
      <x:c r="AI811" s="10" t="n">
        <x:v>29</x:v>
      </x:c>
      <x:c r="AJ811" s="10"/>
      <x:c r="AK811" s="10" t="str">
        <x:f>IF(COUNT(AJ811,AI811)=2,AJ811-AI811,"")</x:f>
      </x:c>
      <x:c r="AL811" s="10" t="n">
        <x:v>28</x:v>
      </x:c>
      <x:c r="AM811" s="10"/>
      <x:c r="AN811" s="4" t="str">
        <x:v>RW</x:v>
      </x:c>
      <x:c r="AO811" s="4"/>
      <x:c r="AP811" s="4" t="str">
        <x:v>TB</x:v>
      </x:c>
      <x:c r="AQ811" s="4"/>
      <x:c r="AR811" s="4" t="n">
        <x:v>11.87</x:v>
      </x:c>
      <x:c r="AS811" s="4"/>
      <x:c r="AT811" s="4" t="n">
        <x:v>0.95</x:v>
      </x:c>
      <x:c r="AU811" s="4"/>
      <x:c r="AV811" s="10"/>
      <x:c r="AW811" s="10"/>
      <x:c r="AX811" s="10"/>
      <x:c r="AY811" s="10"/>
      <x:c r="AZ811" s="10" t="n">
        <x:v>89</x:v>
      </x:c>
      <x:c r="BA811" s="10" t="n">
        <x:v>82</x:v>
      </x:c>
      <x:c r="BB811" s="4" t="n">
        <x:v>52</x:v>
      </x:c>
      <x:c r="BC811" s="4" t="n">
        <x:v>0.9</x:v>
      </x:c>
      <x:c r="BD811" s="10" t="n">
        <x:v>63</x:v>
      </x:c>
      <x:c r="BE811" s="10" t="n">
        <x:v>61</x:v>
      </x:c>
      <x:c r="BF811" s="4" t="n">
        <x:v>50.8</x:v>
      </x:c>
      <x:c r="BG811" s="4" t="n">
        <x:v>1</x:v>
      </x:c>
      <x:c r="BH811" s="4" t="n">
        <x:v>2.5</x:v>
      </x:c>
      <x:c r="BI811" s="4" t="n">
        <x:v>91.7</x:v>
      </x:c>
      <x:c r="BJ811" s="4" t="n">
        <x:v>94.2</x:v>
      </x:c>
      <x:c r="BK811" s="4" t="n">
        <x:v>59.5</x:v>
      </x:c>
      <x:c r="BL811" s="4" t="n">
        <x:v>40.5</x:v>
      </x:c>
      <x:c r="BM811" s="4" t="n">
        <x:v>9.566666666666666</x:v>
      </x:c>
      <x:c r="BN811" s="4" t="n">
        <x:v>8.666666666666666</x:v>
      </x:c>
      <x:c r="BO811" s="10" t="n">
        <x:v>0</x:v>
      </x:c>
      <x:c r="BP811" s="10" t="n">
        <x:v>7</x:v>
      </x:c>
      <x:c r="BQ811" s="4" t="n">
        <x:v>1.4</x:v>
      </x:c>
      <x:c r="BR811" s="10" t="n">
        <x:v>12</x:v>
      </x:c>
      <x:c r="BS811" s="4" t="n">
        <x:v>75</x:v>
      </x:c>
      <x:c r="BT811" s="10" t="n">
        <x:v>11</x:v>
      </x:c>
      <x:c r="BU811" s="4" t="str">
        <x:v>TBL</x:v>
      </x:c>
      <x:c r="BV811" s="10" t="n">
        <x:v>509</x:v>
      </x:c>
      <x:c r="BW811" s="10"/>
      <x:c r="BX811" s="10" t="n">
        <x:v>144</x:v>
      </x:c>
      <x:c r="BY811" s="4" t="str">
        <x:v>Mitchell Chaffee</x:v>
      </x:c>
      <x:c r="BZ811" s="4"/>
      <x:c r="CA811" s="4" t="str">
        <x:v>Mitchell Chaffee</x:v>
      </x:c>
      <x:c r="CB811" s="4" t="str">
        <x:v>chaffmi01</x:v>
      </x:c>
    </x:row>
    <x:row r="812" ht="22" customHeight="1">
      <x:c r="A812" s="4" t="str">
        <x:v>Mitchell Stephens</x:v>
      </x:c>
      <x:c r="B812" s="4" t="str">
        <x:v>mitchellstephens</x:v>
      </x:c>
      <x:c r="C812" s="10" t="n">
        <x:v>1</x:v>
      </x:c>
      <x:c r="D812" s="10" t="n">
        <x:v>0</x:v>
      </x:c>
      <x:c r="E812" s="10" t="n">
        <x:v>0</x:v>
      </x:c>
      <x:c r="F812" s="4" t="n">
        <x:f>IF(COUNT(N812,Q812,T812,W812,Z812,AC812,AF812,AI812)=8,N812*Guide!$E$5+Q812*Guide!$E$6+T812*Guide!$E$7+W812*Guide!$E$8+Z812*Guide!$E$9+AC812*Guide!$E$10+AF812*Guide!$E$11+AI812*Guide!$E$12,"")</x:f>
        <x:v>56.25</x:v>
      </x:c>
      <x:c r="G812" s="4" t="str">
        <x:f>IF(COUNT(O812,R812,U812,X812,AA812,AD812,AG812,AJ812)=8,O812*Guide!$E$5+R812*Guide!$E$6+U812*Guide!$E$7+X812*Guide!$E$8+AA812*Guide!$E$9+AD812*Guide!$E$10+AG812*Guide!$E$11+AJ812*Guide!$E$12,"")</x:f>
      </x:c>
      <x:c r="H812" s="4" t="str">
        <x:f>IF(COUNT(G812,F812)=2,G812-F812,"")</x:f>
      </x:c>
      <x:c r="I812" s="4" t="n">
        <x:f>IF(AND(ISNUMBER(F812),K812&gt;0),F812/K812,"")</x:f>
        <x:v>1.308139534883721</x:v>
      </x:c>
      <x:c r="J812" s="4" t="str">
        <x:f>IF(AND(ISNUMBER(G812),L812&gt;0),G812/L812,"")</x:f>
      </x:c>
      <x:c r="K812" s="10" t="n">
        <x:v>43</x:v>
      </x:c>
      <x:c r="L812" s="10"/>
      <x:c r="M812" s="10" t="str">
        <x:f>IF(COUNT(L812,K812)=2,L812-K812,"")</x:f>
      </x:c>
      <x:c r="N812" s="10" t="n">
        <x:v>4</x:v>
      </x:c>
      <x:c r="O812" s="10"/>
      <x:c r="P812" s="10" t="str">
        <x:f>IF(COUNT(O812,N812)=2,O812-N812,"")</x:f>
      </x:c>
      <x:c r="Q812" s="10" t="n">
        <x:v>5</x:v>
      </x:c>
      <x:c r="R812" s="10"/>
      <x:c r="S812" s="10" t="str">
        <x:f>IF(COUNT(R812,Q812)=2,R812-Q812,"")</x:f>
      </x:c>
      <x:c r="T812" s="10" t="n">
        <x:v>-1</x:v>
      </x:c>
      <x:c r="U812" s="10"/>
      <x:c r="V812" s="10" t="str">
        <x:f>IF(COUNT(U812,T812)=2,U812-T812,"")</x:f>
      </x:c>
      <x:c r="W812" s="10" t="n">
        <x:v>0</x:v>
      </x:c>
      <x:c r="X812" s="10" t="str">
        <x:f>IF(COUNT(AV812,AW812)=2,AV812+AW812,"")</x:f>
      </x:c>
      <x:c r="Y812" s="10" t="str">
        <x:f>IF(COUNT(X812,W812)=2,X812-W812,"")</x:f>
      </x:c>
      <x:c r="Z812" s="10" t="n">
        <x:v>0</x:v>
      </x:c>
      <x:c r="AA812" s="10" t="str">
        <x:f>IF(COUNT(AX812,AY812)=2,AX812+AY812,"")</x:f>
      </x:c>
      <x:c r="AB812" s="10" t="str">
        <x:f>IF(COUNT(AA812,Z812)=2,AA812-Z812,"")</x:f>
      </x:c>
      <x:c r="AC812" s="10" t="n">
        <x:v>34</x:v>
      </x:c>
      <x:c r="AD812" s="10"/>
      <x:c r="AE812" s="10" t="str">
        <x:f>IF(COUNT(AD812,AC812)=2,AD812-AC812,"")</x:f>
      </x:c>
      <x:c r="AF812" s="10" t="n">
        <x:v>29</x:v>
      </x:c>
      <x:c r="AG812" s="10"/>
      <x:c r="AH812" s="10" t="str">
        <x:f>IF(COUNT(AG812,AF812)=2,AG812-AF812,"")</x:f>
      </x:c>
      <x:c r="AI812" s="10" t="n">
        <x:v>14</x:v>
      </x:c>
      <x:c r="AJ812" s="10"/>
      <x:c r="AK812" s="10" t="str">
        <x:f>IF(COUNT(AJ812,AI812)=2,AJ812-AI812,"")</x:f>
      </x:c>
      <x:c r="AL812" s="10" t="n">
        <x:v>28</x:v>
      </x:c>
      <x:c r="AM812" s="10"/>
      <x:c r="AN812" s="4" t="str">
        <x:v>C</x:v>
      </x:c>
      <x:c r="AO812" s="4"/>
      <x:c r="AP812" s="4" t="str">
        <x:v>SEA</x:v>
      </x:c>
      <x:c r="AQ812" s="4"/>
      <x:c r="AR812" s="4" t="n">
        <x:v>9.13</x:v>
      </x:c>
      <x:c r="AS812" s="4"/>
      <x:c r="AT812" s="4" t="n">
        <x:v>0.03</x:v>
      </x:c>
      <x:c r="AU812" s="4"/>
      <x:c r="AV812" s="10"/>
      <x:c r="AW812" s="10"/>
      <x:c r="AX812" s="10"/>
      <x:c r="AY812" s="10"/>
      <x:c r="AZ812" s="10"/>
      <x:c r="BA812" s="10"/>
      <x:c r="BB812" s="4"/>
      <x:c r="BC812" s="4"/>
      <x:c r="BD812" s="10"/>
      <x:c r="BE812" s="10"/>
      <x:c r="BF812" s="4"/>
      <x:c r="BG812" s="4"/>
      <x:c r="BH812" s="4"/>
      <x:c r="BI812" s="4"/>
      <x:c r="BJ812" s="4"/>
      <x:c r="BK812" s="4"/>
      <x:c r="BL812" s="4"/>
      <x:c r="BM812" s="4"/>
      <x:c r="BN812" s="4"/>
      <x:c r="BO812" s="10"/>
      <x:c r="BP812" s="10"/>
      <x:c r="BQ812" s="4"/>
      <x:c r="BR812" s="10"/>
      <x:c r="BS812" s="4"/>
      <x:c r="BT812" s="10"/>
      <x:c r="BU812" s="4"/>
      <x:c r="BV812" s="10" t="n">
        <x:v>743</x:v>
      </x:c>
      <x:c r="BW812" s="10"/>
      <x:c r="BX812" s="10"/>
      <x:c r="BY812" s="4" t="str">
        <x:v>Mitchell Stephens</x:v>
      </x:c>
      <x:c r="BZ812" s="4"/>
      <x:c r="CA812" s="4"/>
      <x:c r="CB812" s="4"/>
    </x:row>
    <x:row r="813" ht="22" customHeight="1">
      <x:c r="A813" s="4" t="str">
        <x:v>Nate Danielson</x:v>
      </x:c>
      <x:c r="B813" s="4" t="str">
        <x:v>natedanielson</x:v>
      </x:c>
      <x:c r="C813" s="10" t="n">
        <x:v>0</x:v>
      </x:c>
      <x:c r="D813" s="10" t="n">
        <x:v>0</x:v>
      </x:c>
      <x:c r="E813" s="10" t="n">
        <x:v>1</x:v>
      </x:c>
      <x:c r="F813" s="4" t="str">
        <x:f>IF(COUNT(N813,Q813,T813,W813,Z813,AC813,AF813,AI813)=8,N813*Guide!$E$5+Q813*Guide!$E$6+T813*Guide!$E$7+W813*Guide!$E$8+Z813*Guide!$E$9+AC813*Guide!$E$10+AF813*Guide!$E$11+AI813*Guide!$E$12,"")</x:f>
      </x:c>
      <x:c r="G813" s="4" t="str">
        <x:f>IF(COUNT(O813,R813,U813,X813,AA813,AD813,AG813,AJ813)=8,O813*Guide!$E$5+R813*Guide!$E$6+U813*Guide!$E$7+X813*Guide!$E$8+AA813*Guide!$E$9+AD813*Guide!$E$10+AG813*Guide!$E$11+AJ813*Guide!$E$12,"")</x:f>
      </x:c>
      <x:c r="H813" s="4" t="str">
        <x:f>IF(COUNT(G813,F813)=2,G813-F813,"")</x:f>
      </x:c>
      <x:c r="I813" s="4" t="str">
        <x:f>IF(AND(ISNUMBER(F813),K813&gt;0),F813/K813,"")</x:f>
      </x:c>
      <x:c r="J813" s="4" t="str">
        <x:f>IF(AND(ISNUMBER(G813),L813&gt;0),G813/L813,"")</x:f>
      </x:c>
      <x:c r="K813" s="10"/>
      <x:c r="L813" s="10"/>
      <x:c r="M813" s="10" t="str">
        <x:f>IF(COUNT(L813,K813)=2,L813-K813,"")</x:f>
      </x:c>
      <x:c r="N813" s="10"/>
      <x:c r="O813" s="10"/>
      <x:c r="P813" s="10" t="str">
        <x:f>IF(COUNT(O813,N813)=2,O813-N813,"")</x:f>
      </x:c>
      <x:c r="Q813" s="10"/>
      <x:c r="R813" s="10"/>
      <x:c r="S813" s="10" t="str">
        <x:f>IF(COUNT(R813,Q813)=2,R813-Q813,"")</x:f>
      </x:c>
      <x:c r="T813" s="10"/>
      <x:c r="U813" s="10"/>
      <x:c r="V813" s="10" t="str">
        <x:f>IF(COUNT(U813,T813)=2,U813-T813,"")</x:f>
      </x:c>
      <x:c r="W813" s="10"/>
      <x:c r="X813" s="10" t="str">
        <x:f>IF(COUNT(AV813,AW813)=2,AV813+AW813,"")</x:f>
      </x:c>
      <x:c r="Y813" s="10" t="str">
        <x:f>IF(COUNT(X813,W813)=2,X813-W813,"")</x:f>
      </x:c>
      <x:c r="Z813" s="10"/>
      <x:c r="AA813" s="10" t="str">
        <x:f>IF(COUNT(AX813,AY813)=2,AX813+AY813,"")</x:f>
      </x:c>
      <x:c r="AB813" s="10" t="str">
        <x:f>IF(COUNT(AA813,Z813)=2,AA813-Z813,"")</x:f>
      </x:c>
      <x:c r="AC813" s="10"/>
      <x:c r="AD813" s="10"/>
      <x:c r="AE813" s="10" t="str">
        <x:f>IF(COUNT(AD813,AC813)=2,AD813-AC813,"")</x:f>
      </x:c>
      <x:c r="AF813" s="10"/>
      <x:c r="AG813" s="10"/>
      <x:c r="AH813" s="10" t="str">
        <x:f>IF(COUNT(AG813,AF813)=2,AG813-AF813,"")</x:f>
      </x:c>
      <x:c r="AI813" s="10"/>
      <x:c r="AJ813" s="10"/>
      <x:c r="AK813" s="10" t="str">
        <x:f>IF(COUNT(AJ813,AI813)=2,AJ813-AI813,"")</x:f>
      </x:c>
      <x:c r="AL813" s="10"/>
      <x:c r="AM813" s="10"/>
      <x:c r="AN813" s="4"/>
      <x:c r="AO813" s="4"/>
      <x:c r="AP813" s="4"/>
      <x:c r="AQ813" s="4"/>
      <x:c r="AR813" s="4"/>
      <x:c r="AS813" s="4"/>
      <x:c r="AT813" s="4"/>
      <x:c r="AU813" s="4"/>
      <x:c r="AV813" s="10"/>
      <x:c r="AW813" s="10"/>
      <x:c r="AX813" s="10"/>
      <x:c r="AY813" s="10"/>
      <x:c r="AZ813" s="10" t="n">
        <x:v>243</x:v>
      </x:c>
      <x:c r="BA813" s="10" t="n">
        <x:v>269</x:v>
      </x:c>
      <x:c r="BB813" s="4" t="n">
        <x:v>47.5</x:v>
      </x:c>
      <x:c r="BC813" s="4" t="n">
        <x:v>-0.2</x:v>
      </x:c>
      <x:c r="BD813" s="10" t="n">
        <x:v>178</x:v>
      </x:c>
      <x:c r="BE813" s="10" t="n">
        <x:v>190</x:v>
      </x:c>
      <x:c r="BF813" s="4" t="n">
        <x:v>48.4</x:v>
      </x:c>
      <x:c r="BG813" s="4" t="n">
        <x:v>-0.9</x:v>
      </x:c>
      <x:c r="BH813" s="4" t="n">
        <x:v>5.3</x:v>
      </x:c>
      <x:c r="BI813" s="4" t="n">
        <x:v>89.8</x:v>
      </x:c>
      <x:c r="BJ813" s="4" t="n">
        <x:v>95.2</x:v>
      </x:c>
      <x:c r="BK813" s="4" t="n">
        <x:v>48.3</x:v>
      </x:c>
      <x:c r="BL813" s="4" t="n">
        <x:v>51.7</x:v>
      </x:c>
      <x:c r="BM813" s="4" t="n">
        <x:v>11.05</x:v>
      </x:c>
      <x:c r="BN813" s="4" t="n">
        <x:v>9.533333333333333</x:v>
      </x:c>
      <x:c r="BO813" s="10" t="n">
        <x:v>8</x:v>
      </x:c>
      <x:c r="BP813" s="10" t="n">
        <x:v>17</x:v>
      </x:c>
      <x:c r="BQ813" s="4" t="n">
        <x:v>-0.9</x:v>
      </x:c>
      <x:c r="BR813" s="10" t="n">
        <x:v>59</x:v>
      </x:c>
      <x:c r="BS813" s="4" t="n">
        <x:v>52.5</x:v>
      </x:c>
      <x:c r="BT813" s="10" t="n">
        <x:v>28</x:v>
      </x:c>
      <x:c r="BU813" s="4" t="str">
        <x:v>DET</x:v>
      </x:c>
      <x:c r="BV813" s="10"/>
      <x:c r="BW813" s="10"/>
      <x:c r="BX813" s="10" t="n">
        <x:v>199</x:v>
      </x:c>
      <x:c r="BY813" s="4"/>
      <x:c r="BZ813" s="4"/>
      <x:c r="CA813" s="4" t="str">
        <x:v>Nate Danielson</x:v>
      </x:c>
      <x:c r="CB813" s="4" t="str">
        <x:v>daniena01</x:v>
      </x:c>
    </x:row>
    <x:row r="814" ht="22" customHeight="1">
      <x:c r="A814" s="4" t="str">
        <x:v>Nathan Bastian</x:v>
      </x:c>
      <x:c r="B814" s="4" t="str">
        <x:v>nathanbastian</x:v>
      </x:c>
      <x:c r="C814" s="10" t="n">
        <x:v>1</x:v>
      </x:c>
      <x:c r="D814" s="10" t="n">
        <x:v>0</x:v>
      </x:c>
      <x:c r="E814" s="10" t="n">
        <x:v>1</x:v>
      </x:c>
      <x:c r="F814" s="4" t="n">
        <x:f>IF(COUNT(N814,Q814,T814,W814,Z814,AC814,AF814,AI814)=8,N814*Guide!$E$5+Q814*Guide!$E$6+T814*Guide!$E$7+W814*Guide!$E$8+Z814*Guide!$E$9+AC814*Guide!$E$10+AF814*Guide!$E$11+AI814*Guide!$E$12,"")</x:f>
        <x:v>157.25</x:v>
      </x:c>
      <x:c r="G814" s="4" t="str">
        <x:f>IF(COUNT(O814,R814,U814,X814,AA814,AD814,AG814,AJ814)=8,O814*Guide!$E$5+R814*Guide!$E$6+U814*Guide!$E$7+X814*Guide!$E$8+AA814*Guide!$E$9+AD814*Guide!$E$10+AG814*Guide!$E$11+AJ814*Guide!$E$12,"")</x:f>
      </x:c>
      <x:c r="H814" s="4" t="str">
        <x:f>IF(COUNT(G814,F814)=2,G814-F814,"")</x:f>
      </x:c>
      <x:c r="I814" s="4" t="n">
        <x:f>IF(AND(ISNUMBER(F814),K814&gt;0),F814/K814,"")</x:f>
        <x:v>2.0966666666666667</x:v>
      </x:c>
      <x:c r="J814" s="4" t="str">
        <x:f>IF(AND(ISNUMBER(G814),L814&gt;0),G814/L814,"")</x:f>
      </x:c>
      <x:c r="K814" s="10" t="n">
        <x:v>75</x:v>
      </x:c>
      <x:c r="L814" s="10"/>
      <x:c r="M814" s="10" t="str">
        <x:f>IF(COUNT(L814,K814)=2,L814-K814,"")</x:f>
      </x:c>
      <x:c r="N814" s="10" t="n">
        <x:v>8</x:v>
      </x:c>
      <x:c r="O814" s="10"/>
      <x:c r="P814" s="10" t="str">
        <x:f>IF(COUNT(O814,N814)=2,O814-N814,"")</x:f>
      </x:c>
      <x:c r="Q814" s="10" t="n">
        <x:v>11</x:v>
      </x:c>
      <x:c r="R814" s="10"/>
      <x:c r="S814" s="10" t="str">
        <x:f>IF(COUNT(R814,Q814)=2,R814-Q814,"")</x:f>
      </x:c>
      <x:c r="T814" s="10" t="n">
        <x:v>-3</x:v>
      </x:c>
      <x:c r="U814" s="10"/>
      <x:c r="V814" s="10" t="str">
        <x:f>IF(COUNT(U814,T814)=2,U814-T814,"")</x:f>
      </x:c>
      <x:c r="W814" s="10" t="n">
        <x:v>2</x:v>
      </x:c>
      <x:c r="X814" s="10" t="str">
        <x:f>IF(COUNT(AV814,AW814)=2,AV814+AW814,"")</x:f>
      </x:c>
      <x:c r="Y814" s="10" t="str">
        <x:f>IF(COUNT(X814,W814)=2,X814-W814,"")</x:f>
      </x:c>
      <x:c r="Z814" s="10" t="n">
        <x:v>1</x:v>
      </x:c>
      <x:c r="AA814" s="10" t="str">
        <x:f>IF(COUNT(AX814,AY814)=2,AX814+AY814,"")</x:f>
      </x:c>
      <x:c r="AB814" s="10" t="str">
        <x:f>IF(COUNT(AA814,Z814)=2,AA814-Z814,"")</x:f>
      </x:c>
      <x:c r="AC814" s="10" t="n">
        <x:v>69</x:v>
      </x:c>
      <x:c r="AD814" s="10"/>
      <x:c r="AE814" s="10" t="str">
        <x:f>IF(COUNT(AD814,AC814)=2,AD814-AC814,"")</x:f>
      </x:c>
      <x:c r="AF814" s="10" t="n">
        <x:v>175</x:v>
      </x:c>
      <x:c r="AG814" s="10"/>
      <x:c r="AH814" s="10" t="str">
        <x:f>IF(COUNT(AG814,AF814)=2,AG814-AF814,"")</x:f>
      </x:c>
      <x:c r="AI814" s="10" t="n">
        <x:v>39</x:v>
      </x:c>
      <x:c r="AJ814" s="10"/>
      <x:c r="AK814" s="10" t="str">
        <x:f>IF(COUNT(AJ814,AI814)=2,AJ814-AI814,"")</x:f>
      </x:c>
      <x:c r="AL814" s="10" t="n">
        <x:v>28</x:v>
      </x:c>
      <x:c r="AM814" s="10"/>
      <x:c r="AN814" s="4" t="str">
        <x:v>RW</x:v>
      </x:c>
      <x:c r="AO814" s="4"/>
      <x:c r="AP814" s="4" t="str">
        <x:v>DAL</x:v>
      </x:c>
      <x:c r="AQ814" s="4"/>
      <x:c r="AR814" s="4" t="n">
        <x:v>11.03</x:v>
      </x:c>
      <x:c r="AS814" s="4"/>
      <x:c r="AT814" s="4" t="n">
        <x:v>0.34</x:v>
      </x:c>
      <x:c r="AU814" s="4"/>
      <x:c r="AV814" s="10"/>
      <x:c r="AW814" s="10"/>
      <x:c r="AX814" s="10"/>
      <x:c r="AY814" s="10"/>
      <x:c r="AZ814" s="10" t="n">
        <x:v>231</x:v>
      </x:c>
      <x:c r="BA814" s="10" t="n">
        <x:v>268</x:v>
      </x:c>
      <x:c r="BB814" s="4" t="n">
        <x:v>46.3</x:v>
      </x:c>
      <x:c r="BC814" s="4" t="n">
        <x:v>-3.1</x:v>
      </x:c>
      <x:c r="BD814" s="10" t="n">
        <x:v>174</x:v>
      </x:c>
      <x:c r="BE814" s="10" t="n">
        <x:v>185</x:v>
      </x:c>
      <x:c r="BF814" s="4" t="n">
        <x:v>48.5</x:v>
      </x:c>
      <x:c r="BG814" s="4" t="n">
        <x:v>-1.3</x:v>
      </x:c>
      <x:c r="BH814" s="4" t="n">
        <x:v>10.6</x:v>
      </x:c>
      <x:c r="BI814" s="4" t="n">
        <x:v>93.5</x:v>
      </x:c>
      <x:c r="BJ814" s="4" t="n">
        <x:v>104.1</x:v>
      </x:c>
      <x:c r="BK814" s="4" t="n">
        <x:v>42.1</x:v>
      </x:c>
      <x:c r="BL814" s="4" t="n">
        <x:v>57.9</x:v>
      </x:c>
      <x:c r="BM814" s="4" t="n">
        <x:v>8.65</x:v>
      </x:c>
      <x:c r="BN814" s="4" t="n">
        <x:v>8.633333333333333</x:v>
      </x:c>
      <x:c r="BO814" s="10" t="n">
        <x:v>1</x:v>
      </x:c>
      <x:c r="BP814" s="10" t="n">
        <x:v>11</x:v>
      </x:c>
      <x:c r="BQ814" s="4" t="n">
        <x:v>-1.3</x:v>
      </x:c>
      <x:c r="BR814" s="10" t="n">
        <x:v>43</x:v>
      </x:c>
      <x:c r="BS814" s="4" t="n">
        <x:v>58.1</x:v>
      </x:c>
      <x:c r="BT814" s="10" t="n">
        <x:v>36</x:v>
      </x:c>
      <x:c r="BU814" s="4" t="str">
        <x:v>DAL</x:v>
      </x:c>
      <x:c r="BV814" s="10" t="n">
        <x:v>543</x:v>
      </x:c>
      <x:c r="BW814" s="10"/>
      <x:c r="BX814" s="10" t="n">
        <x:v>35</x:v>
      </x:c>
      <x:c r="BY814" s="4" t="str">
        <x:v>Nathan Bastian</x:v>
      </x:c>
      <x:c r="BZ814" s="4"/>
      <x:c r="CA814" s="4" t="str">
        <x:v>Nathan Bastian</x:v>
      </x:c>
      <x:c r="CB814" s="4" t="str">
        <x:v>bastina01</x:v>
      </x:c>
    </x:row>
    <x:row r="815" ht="22" customHeight="1">
      <x:c r="A815" s="4" t="str">
        <x:v>Nathan Gaucher</x:v>
      </x:c>
      <x:c r="B815" s="4" t="str">
        <x:v>nathangaucher</x:v>
      </x:c>
      <x:c r="C815" s="10" t="n">
        <x:v>0</x:v>
      </x:c>
      <x:c r="D815" s="10" t="n">
        <x:v>0</x:v>
      </x:c>
      <x:c r="E815" s="10" t="n">
        <x:v>1</x:v>
      </x:c>
      <x:c r="F815" s="4" t="str">
        <x:f>IF(COUNT(N815,Q815,T815,W815,Z815,AC815,AF815,AI815)=8,N815*Guide!$E$5+Q815*Guide!$E$6+T815*Guide!$E$7+W815*Guide!$E$8+Z815*Guide!$E$9+AC815*Guide!$E$10+AF815*Guide!$E$11+AI815*Guide!$E$12,"")</x:f>
      </x:c>
      <x:c r="G815" s="4" t="str">
        <x:f>IF(COUNT(O815,R815,U815,X815,AA815,AD815,AG815,AJ815)=8,O815*Guide!$E$5+R815*Guide!$E$6+U815*Guide!$E$7+X815*Guide!$E$8+AA815*Guide!$E$9+AD815*Guide!$E$10+AG815*Guide!$E$11+AJ815*Guide!$E$12,"")</x:f>
      </x:c>
      <x:c r="H815" s="4" t="str">
        <x:f>IF(COUNT(G815,F815)=2,G815-F815,"")</x:f>
      </x:c>
      <x:c r="I815" s="4" t="str">
        <x:f>IF(AND(ISNUMBER(F815),K815&gt;0),F815/K815,"")</x:f>
      </x:c>
      <x:c r="J815" s="4" t="str">
        <x:f>IF(AND(ISNUMBER(G815),L815&gt;0),G815/L815,"")</x:f>
      </x:c>
      <x:c r="K815" s="10"/>
      <x:c r="L815" s="10"/>
      <x:c r="M815" s="10" t="str">
        <x:f>IF(COUNT(L815,K815)=2,L815-K815,"")</x:f>
      </x:c>
      <x:c r="N815" s="10"/>
      <x:c r="O815" s="10"/>
      <x:c r="P815" s="10" t="str">
        <x:f>IF(COUNT(O815,N815)=2,O815-N815,"")</x:f>
      </x:c>
      <x:c r="Q815" s="10"/>
      <x:c r="R815" s="10"/>
      <x:c r="S815" s="10" t="str">
        <x:f>IF(COUNT(R815,Q815)=2,R815-Q815,"")</x:f>
      </x:c>
      <x:c r="T815" s="10"/>
      <x:c r="U815" s="10"/>
      <x:c r="V815" s="10" t="str">
        <x:f>IF(COUNT(U815,T815)=2,U815-T815,"")</x:f>
      </x:c>
      <x:c r="W815" s="10"/>
      <x:c r="X815" s="10" t="str">
        <x:f>IF(COUNT(AV815,AW815)=2,AV815+AW815,"")</x:f>
      </x:c>
      <x:c r="Y815" s="10" t="str">
        <x:f>IF(COUNT(X815,W815)=2,X815-W815,"")</x:f>
      </x:c>
      <x:c r="Z815" s="10"/>
      <x:c r="AA815" s="10" t="str">
        <x:f>IF(COUNT(AX815,AY815)=2,AX815+AY815,"")</x:f>
      </x:c>
      <x:c r="AB815" s="10" t="str">
        <x:f>IF(COUNT(AA815,Z815)=2,AA815-Z815,"")</x:f>
      </x:c>
      <x:c r="AC815" s="10"/>
      <x:c r="AD815" s="10"/>
      <x:c r="AE815" s="10" t="str">
        <x:f>IF(COUNT(AD815,AC815)=2,AD815-AC815,"")</x:f>
      </x:c>
      <x:c r="AF815" s="10"/>
      <x:c r="AG815" s="10"/>
      <x:c r="AH815" s="10" t="str">
        <x:f>IF(COUNT(AG815,AF815)=2,AG815-AF815,"")</x:f>
      </x:c>
      <x:c r="AI815" s="10"/>
      <x:c r="AJ815" s="10"/>
      <x:c r="AK815" s="10" t="str">
        <x:f>IF(COUNT(AJ815,AI815)=2,AJ815-AI815,"")</x:f>
      </x:c>
      <x:c r="AL815" s="10"/>
      <x:c r="AM815" s="10"/>
      <x:c r="AN815" s="4"/>
      <x:c r="AO815" s="4"/>
      <x:c r="AP815" s="4"/>
      <x:c r="AQ815" s="4"/>
      <x:c r="AR815" s="4"/>
      <x:c r="AS815" s="4"/>
      <x:c r="AT815" s="4"/>
      <x:c r="AU815" s="4"/>
      <x:c r="AV815" s="10"/>
      <x:c r="AW815" s="10"/>
      <x:c r="AX815" s="10"/>
      <x:c r="AY815" s="10"/>
      <x:c r="AZ815" s="10" t="n">
        <x:v>20</x:v>
      </x:c>
      <x:c r="BA815" s="10" t="n">
        <x:v>22</x:v>
      </x:c>
      <x:c r="BB815" s="4" t="n">
        <x:v>47.6</x:v>
      </x:c>
      <x:c r="BC815" s="4" t="n">
        <x:v>-10.3</x:v>
      </x:c>
      <x:c r="BD815" s="10" t="n">
        <x:v>18</x:v>
      </x:c>
      <x:c r="BE815" s="10" t="n">
        <x:v>16</x:v>
      </x:c>
      <x:c r="BF815" s="4" t="n">
        <x:v>52.9</x:v>
      </x:c>
      <x:c r="BG815" s="4" t="n">
        <x:v>-4.4</x:v>
      </x:c>
      <x:c r="BH815" s="4" t="n">
        <x:v>0</x:v>
      </x:c>
      <x:c r="BI815" s="4" t="n">
        <x:v>80</x:v>
      </x:c>
      <x:c r="BJ815" s="4" t="n">
        <x:v>80</x:v>
      </x:c>
      <x:c r="BK815" s="4" t="n">
        <x:v>56.3</x:v>
      </x:c>
      <x:c r="BL815" s="4" t="n">
        <x:v>43.8</x:v>
      </x:c>
      <x:c r="BM815" s="4" t="n">
        <x:v>8.016666666666667</x:v>
      </x:c>
      <x:c r="BN815" s="4" t="n">
        <x:v>7.733333333333333</x:v>
      </x:c>
      <x:c r="BO815" s="10" t="n">
        <x:v>1</x:v>
      </x:c>
      <x:c r="BP815" s="10" t="n">
        <x:v>1</x:v>
      </x:c>
      <x:c r="BQ815" s="4" t="n">
        <x:v>-0.4</x:v>
      </x:c>
      <x:c r="BR815" s="10" t="n">
        <x:v>2</x:v>
      </x:c>
      <x:c r="BS815" s="4" t="n">
        <x:v>100</x:v>
      </x:c>
      <x:c r="BT815" s="10" t="n">
        <x:v>3</x:v>
      </x:c>
      <x:c r="BU815" s="4" t="str">
        <x:v>ANA</x:v>
      </x:c>
      <x:c r="BV815" s="10"/>
      <x:c r="BW815" s="10"/>
      <x:c r="BX815" s="10" t="n">
        <x:v>325</x:v>
      </x:c>
      <x:c r="BY815" s="4"/>
      <x:c r="BZ815" s="4"/>
      <x:c r="CA815" s="4" t="str">
        <x:v>Nathan Gaucher</x:v>
      </x:c>
      <x:c r="CB815" s="4" t="str">
        <x:v>gauchna01</x:v>
      </x:c>
    </x:row>
    <x:row r="816" ht="22" customHeight="1">
      <x:c r="A816" s="4" t="str">
        <x:v>Nathan Legare</x:v>
      </x:c>
      <x:c r="B816" s="4" t="str">
        <x:v>nathanlegare</x:v>
      </x:c>
      <x:c r="C816" s="10" t="n">
        <x:v>0</x:v>
      </x:c>
      <x:c r="D816" s="10" t="n">
        <x:v>0</x:v>
      </x:c>
      <x:c r="E816" s="10" t="n">
        <x:v>1</x:v>
      </x:c>
      <x:c r="F816" s="4" t="str">
        <x:f>IF(COUNT(N816,Q816,T816,W816,Z816,AC816,AF816,AI816)=8,N816*Guide!$E$5+Q816*Guide!$E$6+T816*Guide!$E$7+W816*Guide!$E$8+Z816*Guide!$E$9+AC816*Guide!$E$10+AF816*Guide!$E$11+AI816*Guide!$E$12,"")</x:f>
      </x:c>
      <x:c r="G816" s="4" t="str">
        <x:f>IF(COUNT(O816,R816,U816,X816,AA816,AD816,AG816,AJ816)=8,O816*Guide!$E$5+R816*Guide!$E$6+U816*Guide!$E$7+X816*Guide!$E$8+AA816*Guide!$E$9+AD816*Guide!$E$10+AG816*Guide!$E$11+AJ816*Guide!$E$12,"")</x:f>
      </x:c>
      <x:c r="H816" s="4" t="str">
        <x:f>IF(COUNT(G816,F816)=2,G816-F816,"")</x:f>
      </x:c>
      <x:c r="I816" s="4" t="str">
        <x:f>IF(AND(ISNUMBER(F816),K816&gt;0),F816/K816,"")</x:f>
      </x:c>
      <x:c r="J816" s="4" t="str">
        <x:f>IF(AND(ISNUMBER(G816),L816&gt;0),G816/L816,"")</x:f>
      </x:c>
      <x:c r="K816" s="10"/>
      <x:c r="L816" s="10"/>
      <x:c r="M816" s="10" t="str">
        <x:f>IF(COUNT(L816,K816)=2,L816-K816,"")</x:f>
      </x:c>
      <x:c r="N816" s="10"/>
      <x:c r="O816" s="10"/>
      <x:c r="P816" s="10" t="str">
        <x:f>IF(COUNT(O816,N816)=2,O816-N816,"")</x:f>
      </x:c>
      <x:c r="Q816" s="10"/>
      <x:c r="R816" s="10"/>
      <x:c r="S816" s="10" t="str">
        <x:f>IF(COUNT(R816,Q816)=2,R816-Q816,"")</x:f>
      </x:c>
      <x:c r="T816" s="10"/>
      <x:c r="U816" s="10"/>
      <x:c r="V816" s="10" t="str">
        <x:f>IF(COUNT(U816,T816)=2,U816-T816,"")</x:f>
      </x:c>
      <x:c r="W816" s="10"/>
      <x:c r="X816" s="10" t="str">
        <x:f>IF(COUNT(AV816,AW816)=2,AV816+AW816,"")</x:f>
      </x:c>
      <x:c r="Y816" s="10" t="str">
        <x:f>IF(COUNT(X816,W816)=2,X816-W816,"")</x:f>
      </x:c>
      <x:c r="Z816" s="10"/>
      <x:c r="AA816" s="10" t="str">
        <x:f>IF(COUNT(AX816,AY816)=2,AX816+AY816,"")</x:f>
      </x:c>
      <x:c r="AB816" s="10" t="str">
        <x:f>IF(COUNT(AA816,Z816)=2,AA816-Z816,"")</x:f>
      </x:c>
      <x:c r="AC816" s="10"/>
      <x:c r="AD816" s="10"/>
      <x:c r="AE816" s="10" t="str">
        <x:f>IF(COUNT(AD816,AC816)=2,AD816-AC816,"")</x:f>
      </x:c>
      <x:c r="AF816" s="10"/>
      <x:c r="AG816" s="10"/>
      <x:c r="AH816" s="10" t="str">
        <x:f>IF(COUNT(AG816,AF816)=2,AG816-AF816,"")</x:f>
      </x:c>
      <x:c r="AI816" s="10"/>
      <x:c r="AJ816" s="10"/>
      <x:c r="AK816" s="10" t="str">
        <x:f>IF(COUNT(AJ816,AI816)=2,AJ816-AI816,"")</x:f>
      </x:c>
      <x:c r="AL816" s="10"/>
      <x:c r="AM816" s="10"/>
      <x:c r="AN816" s="4"/>
      <x:c r="AO816" s="4"/>
      <x:c r="AP816" s="4"/>
      <x:c r="AQ816" s="4"/>
      <x:c r="AR816" s="4"/>
      <x:c r="AS816" s="4"/>
      <x:c r="AT816" s="4"/>
      <x:c r="AU816" s="4"/>
      <x:c r="AV816" s="10"/>
      <x:c r="AW816" s="10"/>
      <x:c r="AX816" s="10"/>
      <x:c r="AY816" s="10"/>
      <x:c r="AZ816" s="10" t="n">
        <x:v>4</x:v>
      </x:c>
      <x:c r="BA816" s="10" t="n">
        <x:v>14</x:v>
      </x:c>
      <x:c r="BB816" s="4" t="n">
        <x:v>22.2</x:v>
      </x:c>
      <x:c r="BC816" s="4" t="n">
        <x:v>-26.3</x:v>
      </x:c>
      <x:c r="BD816" s="10" t="n">
        <x:v>2</x:v>
      </x:c>
      <x:c r="BE816" s="10" t="n">
        <x:v>7</x:v>
      </x:c>
      <x:c r="BF816" s="4" t="n">
        <x:v>22.2</x:v>
      </x:c>
      <x:c r="BG816" s="4" t="n">
        <x:v>-27.8</x:v>
      </x:c>
      <x:c r="BH816" s="4" t="n">
        <x:v>0</x:v>
      </x:c>
      <x:c r="BI816" s="4" t="n">
        <x:v>100</x:v>
      </x:c>
      <x:c r="BJ816" s="4" t="n">
        <x:v>100</x:v>
      </x:c>
      <x:c r="BK816" s="4" t="n">
        <x:v>75</x:v>
      </x:c>
      <x:c r="BL816" s="4" t="n">
        <x:v>25</x:v>
      </x:c>
      <x:c r="BM816" s="4" t="n">
        <x:v>8.25</x:v>
      </x:c>
      <x:c r="BN816" s="4" t="n">
        <x:v>8.25</x:v>
      </x:c>
      <x:c r="BO816" s="10" t="n">
        <x:v>0</x:v>
      </x:c>
      <x:c r="BP816" s="10" t="n">
        <x:v>0</x:v>
      </x:c>
      <x:c r="BQ816" s="4" t="n">
        <x:v>-0.5</x:v>
      </x:c>
      <x:c r="BR816" s="10" t="n">
        <x:v>0</x:v>
      </x:c>
      <x:c r="BS816" s="4"/>
      <x:c r="BT816" s="10" t="n">
        <x:v>1</x:v>
      </x:c>
      <x:c r="BU816" s="4" t="str">
        <x:v>NJD</x:v>
      </x:c>
      <x:c r="BV816" s="10"/>
      <x:c r="BW816" s="10"/>
      <x:c r="BX816" s="10" t="n">
        <x:v>587</x:v>
      </x:c>
      <x:c r="BY816" s="4"/>
      <x:c r="BZ816" s="4"/>
      <x:c r="CA816" s="4" t="str">
        <x:v>Nathan Legare</x:v>
      </x:c>
      <x:c r="CB816" s="4" t="str">
        <x:v>legarna01</x:v>
      </x:c>
    </x:row>
    <x:row r="817" ht="22" customHeight="1">
      <x:c r="A817" s="4" t="str">
        <x:v>Nathan Walker</x:v>
      </x:c>
      <x:c r="B817" s="4" t="str">
        <x:v>nathanwalker</x:v>
      </x:c>
      <x:c r="C817" s="10" t="n">
        <x:v>1</x:v>
      </x:c>
      <x:c r="D817" s="10" t="n">
        <x:v>0</x:v>
      </x:c>
      <x:c r="E817" s="10" t="n">
        <x:v>1</x:v>
      </x:c>
      <x:c r="F817" s="4" t="n">
        <x:f>IF(COUNT(N817,Q817,T817,W817,Z817,AC817,AF817,AI817)=8,N817*Guide!$E$5+Q817*Guide!$E$6+T817*Guide!$E$7+W817*Guide!$E$8+Z817*Guide!$E$9+AC817*Guide!$E$10+AF817*Guide!$E$11+AI817*Guide!$E$12,"")</x:f>
        <x:v>172.25</x:v>
      </x:c>
      <x:c r="G817" s="4" t="str">
        <x:f>IF(COUNT(O817,R817,U817,X817,AA817,AD817,AG817,AJ817)=8,O817*Guide!$E$5+R817*Guide!$E$6+U817*Guide!$E$7+X817*Guide!$E$8+AA817*Guide!$E$9+AD817*Guide!$E$10+AG817*Guide!$E$11+AJ817*Guide!$E$12,"")</x:f>
      </x:c>
      <x:c r="H817" s="4" t="str">
        <x:f>IF(COUNT(G817,F817)=2,G817-F817,"")</x:f>
      </x:c>
      <x:c r="I817" s="4" t="n">
        <x:f>IF(AND(ISNUMBER(F817),K817&gt;0),F817/K817,"")</x:f>
        <x:v>2.392361111111111</x:v>
      </x:c>
      <x:c r="J817" s="4" t="str">
        <x:f>IF(AND(ISNUMBER(G817),L817&gt;0),G817/L817,"")</x:f>
      </x:c>
      <x:c r="K817" s="10" t="n">
        <x:v>72</x:v>
      </x:c>
      <x:c r="L817" s="10"/>
      <x:c r="M817" s="10" t="str">
        <x:f>IF(COUNT(L817,K817)=2,L817-K817,"")</x:f>
      </x:c>
      <x:c r="N817" s="10" t="n">
        <x:v>8</x:v>
      </x:c>
      <x:c r="O817" s="10"/>
      <x:c r="P817" s="10" t="str">
        <x:f>IF(COUNT(O817,N817)=2,O817-N817,"")</x:f>
      </x:c>
      <x:c r="Q817" s="10" t="n">
        <x:v>9</x:v>
      </x:c>
      <x:c r="R817" s="10"/>
      <x:c r="S817" s="10" t="str">
        <x:f>IF(COUNT(R817,Q817)=2,R817-Q817,"")</x:f>
      </x:c>
      <x:c r="T817" s="10" t="n">
        <x:v>-3</x:v>
      </x:c>
      <x:c r="U817" s="10"/>
      <x:c r="V817" s="10" t="str">
        <x:f>IF(COUNT(U817,T817)=2,U817-T817,"")</x:f>
      </x:c>
      <x:c r="W817" s="10" t="n">
        <x:v>1</x:v>
      </x:c>
      <x:c r="X817" s="10" t="str">
        <x:f>IF(COUNT(AV817,AW817)=2,AV817+AW817,"")</x:f>
      </x:c>
      <x:c r="Y817" s="10" t="str">
        <x:f>IF(COUNT(X817,W817)=2,X817-W817,"")</x:f>
      </x:c>
      <x:c r="Z817" s="10" t="n">
        <x:v>1</x:v>
      </x:c>
      <x:c r="AA817" s="10" t="str">
        <x:f>IF(COUNT(AX817,AY817)=2,AX817+AY817,"")</x:f>
      </x:c>
      <x:c r="AB817" s="10" t="str">
        <x:f>IF(COUNT(AA817,Z817)=2,AA817-Z817,"")</x:f>
      </x:c>
      <x:c r="AC817" s="10" t="n">
        <x:v>63</x:v>
      </x:c>
      <x:c r="AD817" s="10"/>
      <x:c r="AE817" s="10" t="str">
        <x:f>IF(COUNT(AD817,AC817)=2,AD817-AC817,"")</x:f>
      </x:c>
      <x:c r="AF817" s="10" t="n">
        <x:v>224</x:v>
      </x:c>
      <x:c r="AG817" s="10"/>
      <x:c r="AH817" s="10" t="str">
        <x:f>IF(COUNT(AG817,AF817)=2,AG817-AF817,"")</x:f>
      </x:c>
      <x:c r="AI817" s="10" t="n">
        <x:v>54</x:v>
      </x:c>
      <x:c r="AJ817" s="10"/>
      <x:c r="AK817" s="10" t="str">
        <x:f>IF(COUNT(AJ817,AI817)=2,AJ817-AI817,"")</x:f>
      </x:c>
      <x:c r="AL817" s="10" t="n">
        <x:v>31</x:v>
      </x:c>
      <x:c r="AM817" s="10"/>
      <x:c r="AN817" s="4" t="str">
        <x:v>LW</x:v>
      </x:c>
      <x:c r="AO817" s="4"/>
      <x:c r="AP817" s="4" t="str">
        <x:v>STL</x:v>
      </x:c>
      <x:c r="AQ817" s="4"/>
      <x:c r="AR817" s="4" t="n">
        <x:v>11.62</x:v>
      </x:c>
      <x:c r="AS817" s="4"/>
      <x:c r="AT817" s="4" t="n">
        <x:v>0.18</x:v>
      </x:c>
      <x:c r="AU817" s="4"/>
      <x:c r="AV817" s="10"/>
      <x:c r="AW817" s="10"/>
      <x:c r="AX817" s="10"/>
      <x:c r="AY817" s="10"/>
      <x:c r="AZ817" s="10" t="n">
        <x:v>372</x:v>
      </x:c>
      <x:c r="BA817" s="10" t="n">
        <x:v>479</x:v>
      </x:c>
      <x:c r="BB817" s="4" t="n">
        <x:v>43.7</x:v>
      </x:c>
      <x:c r="BC817" s="4" t="n">
        <x:v>-5.5</x:v>
      </x:c>
      <x:c r="BD817" s="10" t="n">
        <x:v>277</x:v>
      </x:c>
      <x:c r="BE817" s="10" t="n">
        <x:v>326</x:v>
      </x:c>
      <x:c r="BF817" s="4" t="n">
        <x:v>45.9</x:v>
      </x:c>
      <x:c r="BG817" s="4" t="n">
        <x:v>-2.2</x:v>
      </x:c>
      <x:c r="BH817" s="4" t="n">
        <x:v>10.8</x:v>
      </x:c>
      <x:c r="BI817" s="4" t="n">
        <x:v>85.4</x:v>
      </x:c>
      <x:c r="BJ817" s="4" t="n">
        <x:v>96.2</x:v>
      </x:c>
      <x:c r="BK817" s="4" t="n">
        <x:v>33.7</x:v>
      </x:c>
      <x:c r="BL817" s="4" t="n">
        <x:v>66.3</x:v>
      </x:c>
      <x:c r="BM817" s="4" t="n">
        <x:v>11.983333333333333</x:v>
      </x:c>
      <x:c r="BN817" s="4" t="n">
        <x:v>10.933333333333334</x:v>
      </x:c>
      <x:c r="BO817" s="10" t="n">
        <x:v>3</x:v>
      </x:c>
      <x:c r="BP817" s="10" t="n">
        <x:v>26</x:v>
      </x:c>
      <x:c r="BQ817" s="4" t="n">
        <x:v>-2.7</x:v>
      </x:c>
      <x:c r="BR817" s="10" t="n">
        <x:v>72</x:v>
      </x:c>
      <x:c r="BS817" s="4" t="n">
        <x:v>54.2</x:v>
      </x:c>
      <x:c r="BT817" s="10" t="n">
        <x:v>46</x:v>
      </x:c>
      <x:c r="BU817" s="4" t="str">
        <x:v>STL</x:v>
      </x:c>
      <x:c r="BV817" s="10" t="n">
        <x:v>584</x:v>
      </x:c>
      <x:c r="BW817" s="10"/>
      <x:c r="BX817" s="10" t="n">
        <x:v>1059</x:v>
      </x:c>
      <x:c r="BY817" s="4" t="str">
        <x:v>Nathan Walker</x:v>
      </x:c>
      <x:c r="BZ817" s="4"/>
      <x:c r="CA817" s="4" t="str">
        <x:v>Nathan Walker</x:v>
      </x:c>
      <x:c r="CB817" s="4" t="str">
        <x:v>walkena01</x:v>
      </x:c>
    </x:row>
    <x:row r="818" ht="22" customHeight="1">
      <x:c r="A818" s="4" t="str">
        <x:v>Neal Pionk</x:v>
      </x:c>
      <x:c r="B818" s="4" t="str">
        <x:v>nealpionk</x:v>
      </x:c>
      <x:c r="C818" s="10" t="n">
        <x:v>1</x:v>
      </x:c>
      <x:c r="D818" s="10" t="n">
        <x:v>0</x:v>
      </x:c>
      <x:c r="E818" s="10" t="n">
        <x:v>1</x:v>
      </x:c>
      <x:c r="F818" s="4" t="n">
        <x:f>IF(COUNT(N818,Q818,T818,W818,Z818,AC818,AF818,AI818)=8,N818*Guide!$E$5+Q818*Guide!$E$6+T818*Guide!$E$7+W818*Guide!$E$8+Z818*Guide!$E$9+AC818*Guide!$E$10+AF818*Guide!$E$11+AI818*Guide!$E$12,"")</x:f>
        <x:v>290.75</x:v>
      </x:c>
      <x:c r="G818" s="4" t="str">
        <x:f>IF(COUNT(O818,R818,U818,X818,AA818,AD818,AG818,AJ818)=8,O818*Guide!$E$5+R818*Guide!$E$6+U818*Guide!$E$7+X818*Guide!$E$8+AA818*Guide!$E$9+AD818*Guide!$E$10+AG818*Guide!$E$11+AJ818*Guide!$E$12,"")</x:f>
      </x:c>
      <x:c r="H818" s="4" t="str">
        <x:f>IF(COUNT(G818,F818)=2,G818-F818,"")</x:f>
      </x:c>
      <x:c r="I818" s="4" t="n">
        <x:f>IF(AND(ISNUMBER(F818),K818&gt;0),F818/K818,"")</x:f>
        <x:v>3.634375</x:v>
      </x:c>
      <x:c r="J818" s="4" t="str">
        <x:f>IF(AND(ISNUMBER(G818),L818&gt;0),G818/L818,"")</x:f>
      </x:c>
      <x:c r="K818" s="10" t="n">
        <x:v>80</x:v>
      </x:c>
      <x:c r="L818" s="10"/>
      <x:c r="M818" s="10" t="str">
        <x:f>IF(COUNT(L818,K818)=2,L818-K818,"")</x:f>
      </x:c>
      <x:c r="N818" s="10" t="n">
        <x:v>8</x:v>
      </x:c>
      <x:c r="O818" s="10"/>
      <x:c r="P818" s="10" t="str">
        <x:f>IF(COUNT(O818,N818)=2,O818-N818,"")</x:f>
      </x:c>
      <x:c r="Q818" s="10" t="n">
        <x:v>29</x:v>
      </x:c>
      <x:c r="R818" s="10"/>
      <x:c r="S818" s="10" t="str">
        <x:f>IF(COUNT(R818,Q818)=2,R818-Q818,"")</x:f>
      </x:c>
      <x:c r="T818" s="10" t="n">
        <x:v>1</x:v>
      </x:c>
      <x:c r="U818" s="10"/>
      <x:c r="V818" s="10" t="str">
        <x:f>IF(COUNT(U818,T818)=2,U818-T818,"")</x:f>
      </x:c>
      <x:c r="W818" s="10" t="n">
        <x:v>9</x:v>
      </x:c>
      <x:c r="X818" s="10" t="str">
        <x:f>IF(COUNT(AV818,AW818)=2,AV818+AW818,"")</x:f>
      </x:c>
      <x:c r="Y818" s="10" t="str">
        <x:f>IF(COUNT(X818,W818)=2,X818-W818,"")</x:f>
      </x:c>
      <x:c r="Z818" s="10" t="n">
        <x:v>1</x:v>
      </x:c>
      <x:c r="AA818" s="10" t="str">
        <x:f>IF(COUNT(AX818,AY818)=2,AX818+AY818,"")</x:f>
      </x:c>
      <x:c r="AB818" s="10" t="str">
        <x:f>IF(COUNT(AA818,Z818)=2,AA818-Z818,"")</x:f>
      </x:c>
      <x:c r="AC818" s="10" t="n">
        <x:v>144</x:v>
      </x:c>
      <x:c r="AD818" s="10"/>
      <x:c r="AE818" s="10" t="str">
        <x:f>IF(COUNT(AD818,AC818)=2,AD818-AC818,"")</x:f>
      </x:c>
      <x:c r="AF818" s="10" t="n">
        <x:v>137</x:v>
      </x:c>
      <x:c r="AG818" s="10"/>
      <x:c r="AH818" s="10" t="str">
        <x:f>IF(COUNT(AG818,AF818)=2,AG818-AF818,"")</x:f>
      </x:c>
      <x:c r="AI818" s="10" t="n">
        <x:v>118</x:v>
      </x:c>
      <x:c r="AJ818" s="10"/>
      <x:c r="AK818" s="10" t="str">
        <x:f>IF(COUNT(AJ818,AI818)=2,AJ818-AI818,"")</x:f>
      </x:c>
      <x:c r="AL818" s="10" t="n">
        <x:v>30</x:v>
      </x:c>
      <x:c r="AM818" s="10"/>
      <x:c r="AN818" s="4" t="str">
        <x:v>D</x:v>
      </x:c>
      <x:c r="AO818" s="4"/>
      <x:c r="AP818" s="4" t="str">
        <x:v>WPG</x:v>
      </x:c>
      <x:c r="AQ818" s="4"/>
      <x:c r="AR818" s="4" t="n">
        <x:v>21.88</x:v>
      </x:c>
      <x:c r="AS818" s="4"/>
      <x:c r="AT818" s="4" t="n">
        <x:v>1.43</x:v>
      </x:c>
      <x:c r="AU818" s="4"/>
      <x:c r="AV818" s="10"/>
      <x:c r="AW818" s="10"/>
      <x:c r="AX818" s="10"/>
      <x:c r="AY818" s="10"/>
      <x:c r="AZ818" s="10" t="n">
        <x:v>926</x:v>
      </x:c>
      <x:c r="BA818" s="10" t="n">
        <x:v>934</x:v>
      </x:c>
      <x:c r="BB818" s="4" t="n">
        <x:v>49.8</x:v>
      </x:c>
      <x:c r="BC818" s="4" t="n">
        <x:v>0.5</x:v>
      </x:c>
      <x:c r="BD818" s="10" t="n">
        <x:v>674</x:v>
      </x:c>
      <x:c r="BE818" s="10" t="n">
        <x:v>670</x:v>
      </x:c>
      <x:c r="BF818" s="4" t="n">
        <x:v>50.1</x:v>
      </x:c>
      <x:c r="BG818" s="4" t="n">
        <x:v>0.8</x:v>
      </x:c>
      <x:c r="BH818" s="4" t="n">
        <x:v>9.5</x:v>
      </x:c>
      <x:c r="BI818" s="4" t="n">
        <x:v>90.6</x:v>
      </x:c>
      <x:c r="BJ818" s="4" t="n">
        <x:v>100.1</x:v>
      </x:c>
      <x:c r="BK818" s="4" t="n">
        <x:v>55.7</x:v>
      </x:c>
      <x:c r="BL818" s="4" t="n">
        <x:v>44.3</x:v>
      </x:c>
      <x:c r="BM818" s="4" t="n">
        <x:v>22.716666666666665</x:v>
      </x:c>
      <x:c r="BN818" s="4" t="n">
        <x:v>18.633333333333333</x:v>
      </x:c>
      <x:c r="BO818" s="10" t="n">
        <x:v>15</x:v>
      </x:c>
      <x:c r="BP818" s="10" t="n">
        <x:v>56</x:v>
      </x:c>
      <x:c r="BQ818" s="4" t="n">
        <x:v>-1.4</x:v>
      </x:c>
      <x:c r="BR818" s="10" t="n">
        <x:v>220</x:v>
      </x:c>
      <x:c r="BS818" s="4" t="n">
        <x:v>44.1</x:v>
      </x:c>
      <x:c r="BT818" s="10" t="n">
        <x:v>51</x:v>
      </x:c>
      <x:c r="BU818" s="4" t="str">
        <x:v>WPG</x:v>
      </x:c>
      <x:c r="BV818" s="10" t="n">
        <x:v>277</x:v>
      </x:c>
      <x:c r="BW818" s="10"/>
      <x:c r="BX818" s="10" t="n">
        <x:v>821</x:v>
      </x:c>
      <x:c r="BY818" s="4" t="str">
        <x:v>Neal Pionk</x:v>
      </x:c>
      <x:c r="BZ818" s="4"/>
      <x:c r="CA818" s="4" t="str">
        <x:v>Neal Pionk</x:v>
      </x:c>
      <x:c r="CB818" s="4" t="str">
        <x:v>pionkne01</x:v>
      </x:c>
    </x:row>
    <x:row r="819" ht="22" customHeight="1">
      <x:c r="A819" s="4" t="str">
        <x:v>Nick Bjugstad</x:v>
      </x:c>
      <x:c r="B819" s="4" t="str">
        <x:v>nickbjugstad</x:v>
      </x:c>
      <x:c r="C819" s="10" t="n">
        <x:v>1</x:v>
      </x:c>
      <x:c r="D819" s="10" t="n">
        <x:v>0</x:v>
      </x:c>
      <x:c r="E819" s="10" t="n">
        <x:v>1</x:v>
      </x:c>
      <x:c r="F819" s="4" t="n">
        <x:f>IF(COUNT(N819,Q819,T819,W819,Z819,AC819,AF819,AI819)=8,N819*Guide!$E$5+Q819*Guide!$E$6+T819*Guide!$E$7+W819*Guide!$E$8+Z819*Guide!$E$9+AC819*Guide!$E$10+AF819*Guide!$E$11+AI819*Guide!$E$12,"")</x:f>
        <x:v>192.75</x:v>
      </x:c>
      <x:c r="G819" s="4" t="str">
        <x:f>IF(COUNT(O819,R819,U819,X819,AA819,AD819,AG819,AJ819)=8,O819*Guide!$E$5+R819*Guide!$E$6+U819*Guide!$E$7+X819*Guide!$E$8+AA819*Guide!$E$9+AD819*Guide!$E$10+AG819*Guide!$E$11+AJ819*Guide!$E$12,"")</x:f>
      </x:c>
      <x:c r="H819" s="4" t="str">
        <x:f>IF(COUNT(G819,F819)=2,G819-F819,"")</x:f>
      </x:c>
      <x:c r="I819" s="4" t="n">
        <x:f>IF(AND(ISNUMBER(F819),K819&gt;0),F819/K819,"")</x:f>
        <x:v>2.536184210526316</x:v>
      </x:c>
      <x:c r="J819" s="4" t="str">
        <x:f>IF(AND(ISNUMBER(G819),L819&gt;0),G819/L819,"")</x:f>
      </x:c>
      <x:c r="K819" s="10" t="n">
        <x:v>76</x:v>
      </x:c>
      <x:c r="L819" s="10"/>
      <x:c r="M819" s="10" t="str">
        <x:f>IF(COUNT(L819,K819)=2,L819-K819,"")</x:f>
      </x:c>
      <x:c r="N819" s="10" t="n">
        <x:v>14</x:v>
      </x:c>
      <x:c r="O819" s="10"/>
      <x:c r="P819" s="10" t="str">
        <x:f>IF(COUNT(O819,N819)=2,O819-N819,"")</x:f>
      </x:c>
      <x:c r="Q819" s="10" t="n">
        <x:v>15</x:v>
      </x:c>
      <x:c r="R819" s="10"/>
      <x:c r="S819" s="10" t="str">
        <x:f>IF(COUNT(R819,Q819)=2,R819-Q819,"")</x:f>
      </x:c>
      <x:c r="T819" s="10" t="n">
        <x:v>0</x:v>
      </x:c>
      <x:c r="U819" s="10"/>
      <x:c r="V819" s="10" t="str">
        <x:f>IF(COUNT(U819,T819)=2,U819-T819,"")</x:f>
      </x:c>
      <x:c r="W819" s="10" t="n">
        <x:v>4</x:v>
      </x:c>
      <x:c r="X819" s="10" t="str">
        <x:f>IF(COUNT(AV819,AW819)=2,AV819+AW819,"")</x:f>
      </x:c>
      <x:c r="Y819" s="10" t="str">
        <x:f>IF(COUNT(X819,W819)=2,X819-W819,"")</x:f>
      </x:c>
      <x:c r="Z819" s="10" t="n">
        <x:v>0</x:v>
      </x:c>
      <x:c r="AA819" s="10" t="str">
        <x:f>IF(COUNT(AX819,AY819)=2,AX819+AY819,"")</x:f>
      </x:c>
      <x:c r="AB819" s="10" t="str">
        <x:f>IF(COUNT(AA819,Z819)=2,AA819-Z819,"")</x:f>
      </x:c>
      <x:c r="AC819" s="10" t="n">
        <x:v>121</x:v>
      </x:c>
      <x:c r="AD819" s="10"/>
      <x:c r="AE819" s="10" t="str">
        <x:f>IF(COUNT(AD819,AC819)=2,AD819-AC819,"")</x:f>
      </x:c>
      <x:c r="AF819" s="10" t="n">
        <x:v>119</x:v>
      </x:c>
      <x:c r="AG819" s="10"/>
      <x:c r="AH819" s="10" t="str">
        <x:f>IF(COUNT(AG819,AF819)=2,AG819-AF819,"")</x:f>
      </x:c>
      <x:c r="AI819" s="10" t="n">
        <x:v>37</x:v>
      </x:c>
      <x:c r="AJ819" s="10"/>
      <x:c r="AK819" s="10" t="str">
        <x:f>IF(COUNT(AJ819,AI819)=2,AJ819-AI819,"")</x:f>
      </x:c>
      <x:c r="AL819" s="10" t="n">
        <x:v>33</x:v>
      </x:c>
      <x:c r="AM819" s="10"/>
      <x:c r="AN819" s="4" t="str">
        <x:v>C</x:v>
      </x:c>
      <x:c r="AO819" s="4"/>
      <x:c r="AP819" s="4" t="str">
        <x:v>STL</x:v>
      </x:c>
      <x:c r="AQ819" s="4"/>
      <x:c r="AR819" s="4" t="n">
        <x:v>13.11</x:v>
      </x:c>
      <x:c r="AS819" s="4"/>
      <x:c r="AT819" s="4" t="n">
        <x:v>0.81</x:v>
      </x:c>
      <x:c r="AU819" s="4"/>
      <x:c r="AV819" s="10"/>
      <x:c r="AW819" s="10"/>
      <x:c r="AX819" s="10"/>
      <x:c r="AY819" s="10"/>
      <x:c r="AZ819" s="10" t="n">
        <x:v>495</x:v>
      </x:c>
      <x:c r="BA819" s="10" t="n">
        <x:v>613</x:v>
      </x:c>
      <x:c r="BB819" s="4" t="n">
        <x:v>44.7</x:v>
      </x:c>
      <x:c r="BC819" s="4" t="n">
        <x:v>-6.9</x:v>
      </x:c>
      <x:c r="BD819" s="10" t="n">
        <x:v>378</x:v>
      </x:c>
      <x:c r="BE819" s="10" t="n">
        <x:v>437</x:v>
      </x:c>
      <x:c r="BF819" s="4" t="n">
        <x:v>46.4</x:v>
      </x:c>
      <x:c r="BG819" s="4" t="n">
        <x:v>-4.9</x:v>
      </x:c>
      <x:c r="BH819" s="4" t="n">
        <x:v>7</x:v>
      </x:c>
      <x:c r="BI819" s="4" t="n">
        <x:v>89.4</x:v>
      </x:c>
      <x:c r="BJ819" s="4" t="n">
        <x:v>96.4</x:v>
      </x:c>
      <x:c r="BK819" s="4" t="n">
        <x:v>43.2</x:v>
      </x:c>
      <x:c r="BL819" s="4" t="n">
        <x:v>56.8</x:v>
      </x:c>
      <x:c r="BM819" s="4" t="n">
        <x:v>10.933333333333334</x:v>
      </x:c>
      <x:c r="BN819" s="4" t="n">
        <x:v>10.133333333333333</x:v>
      </x:c>
      <x:c r="BO819" s="10" t="n">
        <x:v>10</x:v>
      </x:c>
      <x:c r="BP819" s="10" t="n">
        <x:v>23</x:v>
      </x:c>
      <x:c r="BQ819" s="4" t="n">
        <x:v>-3.7</x:v>
      </x:c>
      <x:c r="BR819" s="10" t="n">
        <x:v>139</x:v>
      </x:c>
      <x:c r="BS819" s="4" t="n">
        <x:v>55.4</x:v>
      </x:c>
      <x:c r="BT819" s="10" t="n">
        <x:v>61</x:v>
      </x:c>
      <x:c r="BU819" s="4" t="str">
        <x:v>TOT</x:v>
      </x:c>
      <x:c r="BV819" s="10" t="n">
        <x:v>389</x:v>
      </x:c>
      <x:c r="BW819" s="10"/>
      <x:c r="BX819" s="10" t="n">
        <x:v>60</x:v>
      </x:c>
      <x:c r="BY819" s="4" t="str">
        <x:v>Nick Bjugstad</x:v>
      </x:c>
      <x:c r="BZ819" s="4"/>
      <x:c r="CA819" s="4" t="str">
        <x:v>Nick Bjugstad</x:v>
      </x:c>
      <x:c r="CB819" s="4" t="str">
        <x:v>bjugsni01</x:v>
      </x:c>
    </x:row>
    <x:row r="820" ht="22" customHeight="1">
      <x:c r="A820" s="4" t="str">
        <x:v>Nick DeSimone</x:v>
      </x:c>
      <x:c r="B820" s="4" t="str">
        <x:v>nickdesimone</x:v>
      </x:c>
      <x:c r="C820" s="10" t="n">
        <x:v>1</x:v>
      </x:c>
      <x:c r="D820" s="10" t="n">
        <x:v>0</x:v>
      </x:c>
      <x:c r="E820" s="10" t="n">
        <x:v>1</x:v>
      </x:c>
      <x:c r="F820" s="4" t="n">
        <x:f>IF(COUNT(N820,Q820,T820,W820,Z820,AC820,AF820,AI820)=8,N820*Guide!$E$5+Q820*Guide!$E$6+T820*Guide!$E$7+W820*Guide!$E$8+Z820*Guide!$E$9+AC820*Guide!$E$10+AF820*Guide!$E$11+AI820*Guide!$E$12,"")</x:f>
        <x:v>79.25</x:v>
      </x:c>
      <x:c r="G820" s="4" t="str">
        <x:f>IF(COUNT(O820,R820,U820,X820,AA820,AD820,AG820,AJ820)=8,O820*Guide!$E$5+R820*Guide!$E$6+U820*Guide!$E$7+X820*Guide!$E$8+AA820*Guide!$E$9+AD820*Guide!$E$10+AG820*Guide!$E$11+AJ820*Guide!$E$12,"")</x:f>
      </x:c>
      <x:c r="H820" s="4" t="str">
        <x:f>IF(COUNT(G820,F820)=2,G820-F820,"")</x:f>
      </x:c>
      <x:c r="I820" s="4" t="n">
        <x:f>IF(AND(ISNUMBER(F820),K820&gt;0),F820/K820,"")</x:f>
        <x:v>2.032051282051282</x:v>
      </x:c>
      <x:c r="J820" s="4" t="str">
        <x:f>IF(AND(ISNUMBER(G820),L820&gt;0),G820/L820,"")</x:f>
      </x:c>
      <x:c r="K820" s="10" t="n">
        <x:v>39</x:v>
      </x:c>
      <x:c r="L820" s="10"/>
      <x:c r="M820" s="10" t="str">
        <x:f>IF(COUNT(L820,K820)=2,L820-K820,"")</x:f>
      </x:c>
      <x:c r="N820" s="10" t="n">
        <x:v>2</x:v>
      </x:c>
      <x:c r="O820" s="10"/>
      <x:c r="P820" s="10" t="str">
        <x:f>IF(COUNT(O820,N820)=2,O820-N820,"")</x:f>
      </x:c>
      <x:c r="Q820" s="10" t="n">
        <x:v>8</x:v>
      </x:c>
      <x:c r="R820" s="10"/>
      <x:c r="S820" s="10" t="str">
        <x:f>IF(COUNT(R820,Q820)=2,R820-Q820,"")</x:f>
      </x:c>
      <x:c r="T820" s="10" t="n">
        <x:v>1</x:v>
      </x:c>
      <x:c r="U820" s="10"/>
      <x:c r="V820" s="10" t="str">
        <x:f>IF(COUNT(U820,T820)=2,U820-T820,"")</x:f>
      </x:c>
      <x:c r="W820" s="10" t="n">
        <x:v>0</x:v>
      </x:c>
      <x:c r="X820" s="10" t="str">
        <x:f>IF(COUNT(AV820,AW820)=2,AV820+AW820,"")</x:f>
      </x:c>
      <x:c r="Y820" s="10" t="str">
        <x:f>IF(COUNT(X820,W820)=2,X820-W820,"")</x:f>
      </x:c>
      <x:c r="Z820" s="10" t="n">
        <x:v>0</x:v>
      </x:c>
      <x:c r="AA820" s="10" t="str">
        <x:f>IF(COUNT(AX820,AY820)=2,AX820+AY820,"")</x:f>
      </x:c>
      <x:c r="AB820" s="10" t="str">
        <x:f>IF(COUNT(AA820,Z820)=2,AA820-Z820,"")</x:f>
      </x:c>
      <x:c r="AC820" s="10" t="n">
        <x:v>41</x:v>
      </x:c>
      <x:c r="AD820" s="10"/>
      <x:c r="AE820" s="10" t="str">
        <x:f>IF(COUNT(AD820,AC820)=2,AD820-AC820,"")</x:f>
      </x:c>
      <x:c r="AF820" s="10" t="n">
        <x:v>27</x:v>
      </x:c>
      <x:c r="AG820" s="10"/>
      <x:c r="AH820" s="10" t="str">
        <x:f>IF(COUNT(AG820,AF820)=2,AG820-AF820,"")</x:f>
      </x:c>
      <x:c r="AI820" s="10" t="n">
        <x:v>39</x:v>
      </x:c>
      <x:c r="AJ820" s="10"/>
      <x:c r="AK820" s="10" t="str">
        <x:f>IF(COUNT(AJ820,AI820)=2,AJ820-AI820,"")</x:f>
      </x:c>
      <x:c r="AL820" s="10" t="n">
        <x:v>31</x:v>
      </x:c>
      <x:c r="AM820" s="10"/>
      <x:c r="AN820" s="4" t="str">
        <x:v>D</x:v>
      </x:c>
      <x:c r="AO820" s="4"/>
      <x:c r="AP820" s="4" t="str">
        <x:v>UTA</x:v>
      </x:c>
      <x:c r="AQ820" s="4"/>
      <x:c r="AR820" s="4" t="n">
        <x:v>15.39</x:v>
      </x:c>
      <x:c r="AS820" s="4"/>
      <x:c r="AT820" s="4" t="n">
        <x:v>0.02</x:v>
      </x:c>
      <x:c r="AU820" s="4"/>
      <x:c r="AV820" s="10"/>
      <x:c r="AW820" s="10"/>
      <x:c r="AX820" s="10"/>
      <x:c r="AY820" s="10"/>
      <x:c r="AZ820" s="10" t="n">
        <x:v>550</x:v>
      </x:c>
      <x:c r="BA820" s="10" t="n">
        <x:v>474</x:v>
      </x:c>
      <x:c r="BB820" s="4" t="n">
        <x:v>53.7</x:v>
      </x:c>
      <x:c r="BC820" s="4" t="n">
        <x:v>0.8</x:v>
      </x:c>
      <x:c r="BD820" s="10" t="n">
        <x:v>384</x:v>
      </x:c>
      <x:c r="BE820" s="10" t="n">
        <x:v>328</x:v>
      </x:c>
      <x:c r="BF820" s="4" t="n">
        <x:v>53.9</x:v>
      </x:c>
      <x:c r="BG820" s="4" t="n">
        <x:v>1.4</x:v>
      </x:c>
      <x:c r="BH820" s="4" t="n">
        <x:v>10</x:v>
      </x:c>
      <x:c r="BI820" s="4" t="n">
        <x:v>90.5</x:v>
      </x:c>
      <x:c r="BJ820" s="4" t="n">
        <x:v>100.5</x:v>
      </x:c>
      <x:c r="BK820" s="4" t="n">
        <x:v>51.4</x:v>
      </x:c>
      <x:c r="BL820" s="4" t="n">
        <x:v>48.6</x:v>
      </x:c>
      <x:c r="BM820" s="4" t="n">
        <x:v>14.216666666666667</x:v>
      </x:c>
      <x:c r="BN820" s="4" t="n">
        <x:v>14.066666666666666</x:v>
      </x:c>
      <x:c r="BO820" s="10" t="n">
        <x:v>5</x:v>
      </x:c>
      <x:c r="BP820" s="10" t="n">
        <x:v>32</x:v>
      </x:c>
      <x:c r="BQ820" s="4" t="n">
        <x:v>3.1</x:v>
      </x:c>
      <x:c r="BR820" s="10" t="n">
        <x:v>81</x:v>
      </x:c>
      <x:c r="BS820" s="4" t="n">
        <x:v>43.2</x:v>
      </x:c>
      <x:c r="BT820" s="10" t="n">
        <x:v>40</x:v>
      </x:c>
      <x:c r="BU820" s="4" t="str">
        <x:v>UTA</x:v>
      </x:c>
      <x:c r="BV820" s="10" t="n">
        <x:v>731</x:v>
      </x:c>
      <x:c r="BW820" s="10"/>
      <x:c r="BX820" s="10" t="n">
        <x:v>210</x:v>
      </x:c>
      <x:c r="BY820" s="4" t="str">
        <x:v>Nick DeSimone</x:v>
      </x:c>
      <x:c r="BZ820" s="4"/>
      <x:c r="CA820" s="4" t="str">
        <x:v>Nick DeSimone</x:v>
      </x:c>
      <x:c r="CB820" s="4" t="str">
        <x:v>desimni01</x:v>
      </x:c>
    </x:row>
    <x:row r="821" ht="22" customHeight="1">
      <x:c r="A821" s="4" t="str">
        <x:v>Nick Foligno</x:v>
      </x:c>
      <x:c r="B821" s="4" t="str">
        <x:v>nickfoligno</x:v>
      </x:c>
      <x:c r="C821" s="10" t="n">
        <x:v>1</x:v>
      </x:c>
      <x:c r="D821" s="10" t="n">
        <x:v>0</x:v>
      </x:c>
      <x:c r="E821" s="10" t="n">
        <x:v>1</x:v>
      </x:c>
      <x:c r="F821" s="4" t="n">
        <x:f>IF(COUNT(N821,Q821,T821,W821,Z821,AC821,AF821,AI821)=8,N821*Guide!$E$5+Q821*Guide!$E$6+T821*Guide!$E$7+W821*Guide!$E$8+Z821*Guide!$E$9+AC821*Guide!$E$10+AF821*Guide!$E$11+AI821*Guide!$E$12,"")</x:f>
        <x:v>196.75</x:v>
      </x:c>
      <x:c r="G821" s="4" t="str">
        <x:f>IF(COUNT(O821,R821,U821,X821,AA821,AD821,AG821,AJ821)=8,O821*Guide!$E$5+R821*Guide!$E$6+U821*Guide!$E$7+X821*Guide!$E$8+AA821*Guide!$E$9+AD821*Guide!$E$10+AG821*Guide!$E$11+AJ821*Guide!$E$12,"")</x:f>
      </x:c>
      <x:c r="H821" s="4" t="str">
        <x:f>IF(COUNT(G821,F821)=2,G821-F821,"")</x:f>
      </x:c>
      <x:c r="I821" s="4" t="n">
        <x:f>IF(AND(ISNUMBER(F821),K821&gt;0),F821/K821,"")</x:f>
        <x:v>2.588815789473684</x:v>
      </x:c>
      <x:c r="J821" s="4" t="str">
        <x:f>IF(AND(ISNUMBER(G821),L821&gt;0),G821/L821,"")</x:f>
      </x:c>
      <x:c r="K821" s="10" t="n">
        <x:v>76</x:v>
      </x:c>
      <x:c r="L821" s="10"/>
      <x:c r="M821" s="10" t="str">
        <x:f>IF(COUNT(L821,K821)=2,L821-K821,"")</x:f>
      </x:c>
      <x:c r="N821" s="10" t="n">
        <x:v>13</x:v>
      </x:c>
      <x:c r="O821" s="10"/>
      <x:c r="P821" s="10" t="str">
        <x:f>IF(COUNT(O821,N821)=2,O821-N821,"")</x:f>
      </x:c>
      <x:c r="Q821" s="10" t="n">
        <x:v>17</x:v>
      </x:c>
      <x:c r="R821" s="10"/>
      <x:c r="S821" s="10" t="str">
        <x:f>IF(COUNT(R821,Q821)=2,R821-Q821,"")</x:f>
      </x:c>
      <x:c r="T821" s="10" t="n">
        <x:v>-14</x:v>
      </x:c>
      <x:c r="U821" s="10"/>
      <x:c r="V821" s="10" t="str">
        <x:f>IF(COUNT(U821,T821)=2,U821-T821,"")</x:f>
      </x:c>
      <x:c r="W821" s="10" t="n">
        <x:v>5</x:v>
      </x:c>
      <x:c r="X821" s="10" t="str">
        <x:f>IF(COUNT(AV821,AW821)=2,AV821+AW821,"")</x:f>
      </x:c>
      <x:c r="Y821" s="10" t="str">
        <x:f>IF(COUNT(X821,W821)=2,X821-W821,"")</x:f>
      </x:c>
      <x:c r="Z821" s="10" t="n">
        <x:v>1</x:v>
      </x:c>
      <x:c r="AA821" s="10" t="str">
        <x:f>IF(COUNT(AX821,AY821)=2,AX821+AY821,"")</x:f>
      </x:c>
      <x:c r="AB821" s="10" t="str">
        <x:f>IF(COUNT(AA821,Z821)=2,AA821-Z821,"")</x:f>
      </x:c>
      <x:c r="AC821" s="10" t="n">
        <x:v>96</x:v>
      </x:c>
      <x:c r="AD821" s="10"/>
      <x:c r="AE821" s="10" t="str">
        <x:f>IF(COUNT(AD821,AC821)=2,AD821-AC821,"")</x:f>
      </x:c>
      <x:c r="AF821" s="10" t="n">
        <x:v>189</x:v>
      </x:c>
      <x:c r="AG821" s="10"/>
      <x:c r="AH821" s="10" t="str">
        <x:f>IF(COUNT(AG821,AF821)=2,AG821-AF821,"")</x:f>
      </x:c>
      <x:c r="AI821" s="10" t="n">
        <x:v>38</x:v>
      </x:c>
      <x:c r="AJ821" s="10"/>
      <x:c r="AK821" s="10" t="str">
        <x:f>IF(COUNT(AJ821,AI821)=2,AJ821-AI821,"")</x:f>
      </x:c>
      <x:c r="AL821" s="10" t="n">
        <x:v>38</x:v>
      </x:c>
      <x:c r="AM821" s="10"/>
      <x:c r="AN821" s="4" t="str">
        <x:v>C,LW</x:v>
      </x:c>
      <x:c r="AO821" s="4"/>
      <x:c r="AP821" s="4" t="str">
        <x:v>CHI</x:v>
      </x:c>
      <x:c r="AQ821" s="4"/>
      <x:c r="AR821" s="4" t="n">
        <x:v>15.36</x:v>
      </x:c>
      <x:c r="AS821" s="4"/>
      <x:c r="AT821" s="4" t="n">
        <x:v>0.76</x:v>
      </x:c>
      <x:c r="AU821" s="4"/>
      <x:c r="AV821" s="10"/>
      <x:c r="AW821" s="10"/>
      <x:c r="AX821" s="10"/>
      <x:c r="AY821" s="10"/>
      <x:c r="AZ821" s="10" t="n">
        <x:v>457</x:v>
      </x:c>
      <x:c r="BA821" s="10" t="n">
        <x:v>485</x:v>
      </x:c>
      <x:c r="BB821" s="4" t="n">
        <x:v>48.5</x:v>
      </x:c>
      <x:c r="BC821" s="4" t="n">
        <x:v>1.2</x:v>
      </x:c>
      <x:c r="BD821" s="10" t="n">
        <x:v>331</x:v>
      </x:c>
      <x:c r="BE821" s="10" t="n">
        <x:v>339</x:v>
      </x:c>
      <x:c r="BF821" s="4" t="n">
        <x:v>49.4</x:v>
      </x:c>
      <x:c r="BG821" s="4" t="n">
        <x:v>2.1</x:v>
      </x:c>
      <x:c r="BH821" s="4" t="n">
        <x:v>10.3</x:v>
      </x:c>
      <x:c r="BI821" s="4" t="n">
        <x:v>88.9</x:v>
      </x:c>
      <x:c r="BJ821" s="4" t="n">
        <x:v>99.2</x:v>
      </x:c>
      <x:c r="BK821" s="4" t="n">
        <x:v>37.2</x:v>
      </x:c>
      <x:c r="BL821" s="4" t="n">
        <x:v>62.8</x:v>
      </x:c>
      <x:c r="BM821" s="4" t="n">
        <x:v>12.65</x:v>
      </x:c>
      <x:c r="BN821" s="4" t="n">
        <x:v>10.366666666666667</x:v>
      </x:c>
      <x:c r="BO821" s="10" t="n">
        <x:v>7</x:v>
      </x:c>
      <x:c r="BP821" s="10" t="n">
        <x:v>30</x:v>
      </x:c>
      <x:c r="BQ821" s="4" t="n">
        <x:v>-1.1</x:v>
      </x:c>
      <x:c r="BR821" s="10" t="n">
        <x:v>79</x:v>
      </x:c>
      <x:c r="BS821" s="4" t="n">
        <x:v>62</x:v>
      </x:c>
      <x:c r="BT821" s="10" t="n">
        <x:v>54</x:v>
      </x:c>
      <x:c r="BU821" s="4" t="str">
        <x:v>TOT</x:v>
      </x:c>
      <x:c r="BV821" s="10" t="n">
        <x:v>370</x:v>
      </x:c>
      <x:c r="BW821" s="10"/>
      <x:c r="BX821" s="10" t="n">
        <x:v>302</x:v>
      </x:c>
      <x:c r="BY821" s="4" t="str">
        <x:v>Nick Foligno</x:v>
      </x:c>
      <x:c r="BZ821" s="4"/>
      <x:c r="CA821" s="4" t="str">
        <x:v>Nick Foligno</x:v>
      </x:c>
      <x:c r="CB821" s="4" t="str">
        <x:v>foligni01</x:v>
      </x:c>
    </x:row>
    <x:row r="822" ht="22" customHeight="1">
      <x:c r="A822" s="4" t="str">
        <x:v>Nick Jensen</x:v>
      </x:c>
      <x:c r="B822" s="4" t="str">
        <x:v>nickjensen</x:v>
      </x:c>
      <x:c r="C822" s="10" t="n">
        <x:v>1</x:v>
      </x:c>
      <x:c r="D822" s="10" t="n">
        <x:v>0</x:v>
      </x:c>
      <x:c r="E822" s="10" t="n">
        <x:v>1</x:v>
      </x:c>
      <x:c r="F822" s="4" t="n">
        <x:f>IF(COUNT(N822,Q822,T822,W822,Z822,AC822,AF822,AI822)=8,N822*Guide!$E$5+Q822*Guide!$E$6+T822*Guide!$E$7+W822*Guide!$E$8+Z822*Guide!$E$9+AC822*Guide!$E$10+AF822*Guide!$E$11+AI822*Guide!$E$12,"")</x:f>
        <x:v>187</x:v>
      </x:c>
      <x:c r="G822" s="4" t="str">
        <x:f>IF(COUNT(O822,R822,U822,X822,AA822,AD822,AG822,AJ822)=8,O822*Guide!$E$5+R822*Guide!$E$6+U822*Guide!$E$7+X822*Guide!$E$8+AA822*Guide!$E$9+AD822*Guide!$E$10+AG822*Guide!$E$11+AJ822*Guide!$E$12,"")</x:f>
      </x:c>
      <x:c r="H822" s="4" t="str">
        <x:f>IF(COUNT(G822,F822)=2,G822-F822,"")</x:f>
      </x:c>
      <x:c r="I822" s="4" t="n">
        <x:f>IF(AND(ISNUMBER(F822),K822&gt;0),F822/K822,"")</x:f>
        <x:v>2.527027027027027</x:v>
      </x:c>
      <x:c r="J822" s="4" t="str">
        <x:f>IF(AND(ISNUMBER(G822),L822&gt;0),G822/L822,"")</x:f>
      </x:c>
      <x:c r="K822" s="10" t="n">
        <x:v>74</x:v>
      </x:c>
      <x:c r="L822" s="10"/>
      <x:c r="M822" s="10" t="str">
        <x:f>IF(COUNT(L822,K822)=2,L822-K822,"")</x:f>
      </x:c>
      <x:c r="N822" s="10" t="n">
        <x:v>3</x:v>
      </x:c>
      <x:c r="O822" s="10"/>
      <x:c r="P822" s="10" t="str">
        <x:f>IF(COUNT(O822,N822)=2,O822-N822,"")</x:f>
      </x:c>
      <x:c r="Q822" s="10" t="n">
        <x:v>19</x:v>
      </x:c>
      <x:c r="R822" s="10"/>
      <x:c r="S822" s="10" t="str">
        <x:f>IF(COUNT(R822,Q822)=2,R822-Q822,"")</x:f>
      </x:c>
      <x:c r="T822" s="10" t="n">
        <x:v>1</x:v>
      </x:c>
      <x:c r="U822" s="10"/>
      <x:c r="V822" s="10" t="str">
        <x:f>IF(COUNT(U822,T822)=2,U822-T822,"")</x:f>
      </x:c>
      <x:c r="W822" s="10" t="n">
        <x:v>1</x:v>
      </x:c>
      <x:c r="X822" s="10" t="str">
        <x:f>IF(COUNT(AV822,AW822)=2,AV822+AW822,"")</x:f>
      </x:c>
      <x:c r="Y822" s="10" t="str">
        <x:f>IF(COUNT(X822,W822)=2,X822-W822,"")</x:f>
      </x:c>
      <x:c r="Z822" s="10" t="n">
        <x:v>1</x:v>
      </x:c>
      <x:c r="AA822" s="10" t="str">
        <x:f>IF(COUNT(AX822,AY822)=2,AX822+AY822,"")</x:f>
      </x:c>
      <x:c r="AB822" s="10" t="str">
        <x:f>IF(COUNT(AA822,Z822)=2,AA822-Z822,"")</x:f>
      </x:c>
      <x:c r="AC822" s="10" t="n">
        <x:v>77</x:v>
      </x:c>
      <x:c r="AD822" s="10"/>
      <x:c r="AE822" s="10" t="str">
        <x:f>IF(COUNT(AD822,AC822)=2,AD822-AC822,"")</x:f>
      </x:c>
      <x:c r="AF822" s="10" t="n">
        <x:v>57</x:v>
      </x:c>
      <x:c r="AG822" s="10"/>
      <x:c r="AH822" s="10" t="str">
        <x:f>IF(COUNT(AG822,AF822)=2,AG822-AF822,"")</x:f>
      </x:c>
      <x:c r="AI822" s="10" t="n">
        <x:v>106</x:v>
      </x:c>
      <x:c r="AJ822" s="10"/>
      <x:c r="AK822" s="10" t="str">
        <x:f>IF(COUNT(AJ822,AI822)=2,AJ822-AI822,"")</x:f>
      </x:c>
      <x:c r="AL822" s="10" t="n">
        <x:v>35</x:v>
      </x:c>
      <x:c r="AM822" s="10"/>
      <x:c r="AN822" s="4" t="str">
        <x:v>D</x:v>
      </x:c>
      <x:c r="AO822" s="4"/>
      <x:c r="AP822" s="4" t="str">
        <x:v>OTT</x:v>
      </x:c>
      <x:c r="AQ822" s="4"/>
      <x:c r="AR822" s="4" t="n">
        <x:v>20.23</x:v>
      </x:c>
      <x:c r="AS822" s="4"/>
      <x:c r="AT822" s="4" t="n">
        <x:v>0.25</x:v>
      </x:c>
      <x:c r="AU822" s="4"/>
      <x:c r="AV822" s="10"/>
      <x:c r="AW822" s="10"/>
      <x:c r="AX822" s="10"/>
      <x:c r="AY822" s="10"/>
      <x:c r="AZ822" s="10" t="n">
        <x:v>872</x:v>
      </x:c>
      <x:c r="BA822" s="10" t="n">
        <x:v>937</x:v>
      </x:c>
      <x:c r="BB822" s="4" t="n">
        <x:v>48.2</x:v>
      </x:c>
      <x:c r="BC822" s="4" t="n">
        <x:v>-6.9</x:v>
      </x:c>
      <x:c r="BD822" s="10" t="n">
        <x:v>631</x:v>
      </x:c>
      <x:c r="BE822" s="10" t="n">
        <x:v>678</x:v>
      </x:c>
      <x:c r="BF822" s="4" t="n">
        <x:v>48.2</x:v>
      </x:c>
      <x:c r="BG822" s="4" t="n">
        <x:v>-8.1</x:v>
      </x:c>
      <x:c r="BH822" s="4" t="n">
        <x:v>11.9</x:v>
      </x:c>
      <x:c r="BI822" s="4" t="n">
        <x:v>87.1</x:v>
      </x:c>
      <x:c r="BJ822" s="4" t="n">
        <x:v>99</x:v>
      </x:c>
      <x:c r="BK822" s="4" t="n">
        <x:v>49.8</x:v>
      </x:c>
      <x:c r="BL822" s="4" t="n">
        <x:v>50.2</x:v>
      </x:c>
      <x:c r="BM822" s="4" t="n">
        <x:v>17.016666666666666</x:v>
      </x:c>
      <x:c r="BN822" s="4" t="n">
        <x:v>16.15</x:v>
      </x:c>
      <x:c r="BO822" s="10" t="n">
        <x:v>11</x:v>
      </x:c>
      <x:c r="BP822" s="10" t="n">
        <x:v>51</x:v>
      </x:c>
      <x:c r="BQ822" s="4" t="n">
        <x:v>6.9</x:v>
      </x:c>
      <x:c r="BR822" s="10" t="n">
        <x:v>121</x:v>
      </x:c>
      <x:c r="BS822" s="4" t="n">
        <x:v>29.8</x:v>
      </x:c>
      <x:c r="BT822" s="10" t="n">
        <x:v>61</x:v>
      </x:c>
      <x:c r="BU822" s="4" t="str">
        <x:v>OTT</x:v>
      </x:c>
      <x:c r="BV822" s="10" t="n">
        <x:v>483</x:v>
      </x:c>
      <x:c r="BW822" s="10"/>
      <x:c r="BX822" s="10" t="n">
        <x:v>462</x:v>
      </x:c>
      <x:c r="BY822" s="4" t="str">
        <x:v>Nick Jensen</x:v>
      </x:c>
      <x:c r="BZ822" s="4"/>
      <x:c r="CA822" s="4" t="str">
        <x:v>Nick Jensen</x:v>
      </x:c>
      <x:c r="CB822" s="4" t="str">
        <x:v>jenseni02</x:v>
      </x:c>
    </x:row>
    <x:row r="823" ht="22" customHeight="1">
      <x:c r="A823" s="4" t="str">
        <x:v>Nick Lardis</x:v>
      </x:c>
      <x:c r="B823" s="4" t="str">
        <x:v>nicklardis</x:v>
      </x:c>
      <x:c r="C823" s="10" t="n">
        <x:v>0</x:v>
      </x:c>
      <x:c r="D823" s="10" t="n">
        <x:v>0</x:v>
      </x:c>
      <x:c r="E823" s="10" t="n">
        <x:v>1</x:v>
      </x:c>
      <x:c r="F823" s="4" t="str">
        <x:f>IF(COUNT(N823,Q823,T823,W823,Z823,AC823,AF823,AI823)=8,N823*Guide!$E$5+Q823*Guide!$E$6+T823*Guide!$E$7+W823*Guide!$E$8+Z823*Guide!$E$9+AC823*Guide!$E$10+AF823*Guide!$E$11+AI823*Guide!$E$12,"")</x:f>
      </x:c>
      <x:c r="G823" s="4" t="str">
        <x:f>IF(COUNT(O823,R823,U823,X823,AA823,AD823,AG823,AJ823)=8,O823*Guide!$E$5+R823*Guide!$E$6+U823*Guide!$E$7+X823*Guide!$E$8+AA823*Guide!$E$9+AD823*Guide!$E$10+AG823*Guide!$E$11+AJ823*Guide!$E$12,"")</x:f>
      </x:c>
      <x:c r="H823" s="4" t="str">
        <x:f>IF(COUNT(G823,F823)=2,G823-F823,"")</x:f>
      </x:c>
      <x:c r="I823" s="4" t="str">
        <x:f>IF(AND(ISNUMBER(F823),K823&gt;0),F823/K823,"")</x:f>
      </x:c>
      <x:c r="J823" s="4" t="str">
        <x:f>IF(AND(ISNUMBER(G823),L823&gt;0),G823/L823,"")</x:f>
      </x:c>
      <x:c r="K823" s="10"/>
      <x:c r="L823" s="10"/>
      <x:c r="M823" s="10" t="str">
        <x:f>IF(COUNT(L823,K823)=2,L823-K823,"")</x:f>
      </x:c>
      <x:c r="N823" s="10"/>
      <x:c r="O823" s="10"/>
      <x:c r="P823" s="10" t="str">
        <x:f>IF(COUNT(O823,N823)=2,O823-N823,"")</x:f>
      </x:c>
      <x:c r="Q823" s="10"/>
      <x:c r="R823" s="10"/>
      <x:c r="S823" s="10" t="str">
        <x:f>IF(COUNT(R823,Q823)=2,R823-Q823,"")</x:f>
      </x:c>
      <x:c r="T823" s="10"/>
      <x:c r="U823" s="10"/>
      <x:c r="V823" s="10" t="str">
        <x:f>IF(COUNT(U823,T823)=2,U823-T823,"")</x:f>
      </x:c>
      <x:c r="W823" s="10"/>
      <x:c r="X823" s="10" t="str">
        <x:f>IF(COUNT(AV823,AW823)=2,AV823+AW823,"")</x:f>
      </x:c>
      <x:c r="Y823" s="10" t="str">
        <x:f>IF(COUNT(X823,W823)=2,X823-W823,"")</x:f>
      </x:c>
      <x:c r="Z823" s="10"/>
      <x:c r="AA823" s="10" t="str">
        <x:f>IF(COUNT(AX823,AY823)=2,AX823+AY823,"")</x:f>
      </x:c>
      <x:c r="AB823" s="10" t="str">
        <x:f>IF(COUNT(AA823,Z823)=2,AA823-Z823,"")</x:f>
      </x:c>
      <x:c r="AC823" s="10"/>
      <x:c r="AD823" s="10"/>
      <x:c r="AE823" s="10" t="str">
        <x:f>IF(COUNT(AD823,AC823)=2,AD823-AC823,"")</x:f>
      </x:c>
      <x:c r="AF823" s="10"/>
      <x:c r="AG823" s="10"/>
      <x:c r="AH823" s="10" t="str">
        <x:f>IF(COUNT(AG823,AF823)=2,AG823-AF823,"")</x:f>
      </x:c>
      <x:c r="AI823" s="10"/>
      <x:c r="AJ823" s="10"/>
      <x:c r="AK823" s="10" t="str">
        <x:f>IF(COUNT(AJ823,AI823)=2,AJ823-AI823,"")</x:f>
      </x:c>
      <x:c r="AL823" s="10"/>
      <x:c r="AM823" s="10"/>
      <x:c r="AN823" s="4"/>
      <x:c r="AO823" s="4"/>
      <x:c r="AP823" s="4"/>
      <x:c r="AQ823" s="4"/>
      <x:c r="AR823" s="4"/>
      <x:c r="AS823" s="4"/>
      <x:c r="AT823" s="4"/>
      <x:c r="AU823" s="4"/>
      <x:c r="AV823" s="10"/>
      <x:c r="AW823" s="10"/>
      <x:c r="AX823" s="10"/>
      <x:c r="AY823" s="10"/>
      <x:c r="AZ823" s="10" t="n">
        <x:v>375</x:v>
      </x:c>
      <x:c r="BA823" s="10" t="n">
        <x:v>432</x:v>
      </x:c>
      <x:c r="BB823" s="4" t="n">
        <x:v>46.5</x:v>
      </x:c>
      <x:c r="BC823" s="4" t="n">
        <x:v>0.8</x:v>
      </x:c>
      <x:c r="BD823" s="10" t="n">
        <x:v>278</x:v>
      </x:c>
      <x:c r="BE823" s="10" t="n">
        <x:v>322</x:v>
      </x:c>
      <x:c r="BF823" s="4" t="n">
        <x:v>46.3</x:v>
      </x:c>
      <x:c r="BG823" s="4" t="n">
        <x:v>1.4</x:v>
      </x:c>
      <x:c r="BH823" s="4" t="n">
        <x:v>8.4</x:v>
      </x:c>
      <x:c r="BI823" s="4" t="n">
        <x:v>83.9</x:v>
      </x:c>
      <x:c r="BJ823" s="4" t="n">
        <x:v>92.3</x:v>
      </x:c>
      <x:c r="BK823" s="4" t="n">
        <x:v>58.9</x:v>
      </x:c>
      <x:c r="BL823" s="4" t="n">
        <x:v>41.1</x:v>
      </x:c>
      <x:c r="BM823" s="4" t="n">
        <x:v>12.666666666666666</x:v>
      </x:c>
      <x:c r="BN823" s="4" t="n">
        <x:v>11.233333333333333</x:v>
      </x:c>
      <x:c r="BO823" s="10" t="n">
        <x:v>5</x:v>
      </x:c>
      <x:c r="BP823" s="10" t="n">
        <x:v>19</x:v>
      </x:c>
      <x:c r="BQ823" s="4" t="n">
        <x:v>-6.7</x:v>
      </x:c>
      <x:c r="BR823" s="10" t="n">
        <x:v>121</x:v>
      </x:c>
      <x:c r="BS823" s="4" t="n">
        <x:v>47.1</x:v>
      </x:c>
      <x:c r="BT823" s="10" t="n">
        <x:v>41</x:v>
      </x:c>
      <x:c r="BU823" s="4" t="str">
        <x:v>CHI</x:v>
      </x:c>
      <x:c r="BV823" s="10"/>
      <x:c r="BW823" s="10"/>
      <x:c r="BX823" s="10" t="n">
        <x:v>574</x:v>
      </x:c>
      <x:c r="BY823" s="4"/>
      <x:c r="BZ823" s="4"/>
      <x:c r="CA823" s="4" t="str">
        <x:v>Nick Lardis</x:v>
      </x:c>
      <x:c r="CB823" s="4" t="str">
        <x:v>lardini01</x:v>
      </x:c>
    </x:row>
    <x:row r="824" ht="22" customHeight="1">
      <x:c r="A824" s="4" t="str">
        <x:v>Nick Leddy</x:v>
      </x:c>
      <x:c r="B824" s="4" t="str">
        <x:v>nickleddy</x:v>
      </x:c>
      <x:c r="C824" s="10" t="n">
        <x:v>1</x:v>
      </x:c>
      <x:c r="D824" s="10" t="n">
        <x:v>0</x:v>
      </x:c>
      <x:c r="E824" s="10" t="n">
        <x:v>1</x:v>
      </x:c>
      <x:c r="F824" s="4" t="n">
        <x:f>IF(COUNT(N824,Q824,T824,W824,Z824,AC824,AF824,AI824)=8,N824*Guide!$E$5+Q824*Guide!$E$6+T824*Guide!$E$7+W824*Guide!$E$8+Z824*Guide!$E$9+AC824*Guide!$E$10+AF824*Guide!$E$11+AI824*Guide!$E$12,"")</x:f>
        <x:v>150.25</x:v>
      </x:c>
      <x:c r="G824" s="4" t="str">
        <x:f>IF(COUNT(O824,R824,U824,X824,AA824,AD824,AG824,AJ824)=8,O824*Guide!$E$5+R824*Guide!$E$6+U824*Guide!$E$7+X824*Guide!$E$8+AA824*Guide!$E$9+AD824*Guide!$E$10+AG824*Guide!$E$11+AJ824*Guide!$E$12,"")</x:f>
      </x:c>
      <x:c r="H824" s="4" t="str">
        <x:f>IF(COUNT(G824,F824)=2,G824-F824,"")</x:f>
      </x:c>
      <x:c r="I824" s="4" t="n">
        <x:f>IF(AND(ISNUMBER(F824),K824&gt;0),F824/K824,"")</x:f>
        <x:v>1.9262820512820513</x:v>
      </x:c>
      <x:c r="J824" s="4" t="str">
        <x:f>IF(AND(ISNUMBER(G824),L824&gt;0),G824/L824,"")</x:f>
      </x:c>
      <x:c r="K824" s="10" t="n">
        <x:v>78</x:v>
      </x:c>
      <x:c r="L824" s="10"/>
      <x:c r="M824" s="10" t="str">
        <x:f>IF(COUNT(L824,K824)=2,L824-K824,"")</x:f>
      </x:c>
      <x:c r="N824" s="10" t="n">
        <x:v>3</x:v>
      </x:c>
      <x:c r="O824" s="10"/>
      <x:c r="P824" s="10" t="str">
        <x:f>IF(COUNT(O824,N824)=2,O824-N824,"")</x:f>
      </x:c>
      <x:c r="Q824" s="10" t="n">
        <x:v>17</x:v>
      </x:c>
      <x:c r="R824" s="10"/>
      <x:c r="S824" s="10" t="str">
        <x:f>IF(COUNT(R824,Q824)=2,R824-Q824,"")</x:f>
      </x:c>
      <x:c r="T824" s="10" t="n">
        <x:v>2</x:v>
      </x:c>
      <x:c r="U824" s="10"/>
      <x:c r="V824" s="10" t="str">
        <x:f>IF(COUNT(U824,T824)=2,U824-T824,"")</x:f>
      </x:c>
      <x:c r="W824" s="10" t="n">
        <x:v>1</x:v>
      </x:c>
      <x:c r="X824" s="10" t="str">
        <x:f>IF(COUNT(AV824,AW824)=2,AV824+AW824,"")</x:f>
      </x:c>
      <x:c r="Y824" s="10" t="str">
        <x:f>IF(COUNT(X824,W824)=2,X824-W824,"")</x:f>
      </x:c>
      <x:c r="Z824" s="10" t="n">
        <x:v>0</x:v>
      </x:c>
      <x:c r="AA824" s="10" t="str">
        <x:f>IF(COUNT(AX824,AY824)=2,AX824+AY824,"")</x:f>
      </x:c>
      <x:c r="AB824" s="10" t="str">
        <x:f>IF(COUNT(AA824,Z824)=2,AA824-Z824,"")</x:f>
      </x:c>
      <x:c r="AC824" s="10" t="n">
        <x:v>56</x:v>
      </x:c>
      <x:c r="AD824" s="10"/>
      <x:c r="AE824" s="10" t="str">
        <x:f>IF(COUNT(AD824,AC824)=2,AD824-AC824,"")</x:f>
      </x:c>
      <x:c r="AF824" s="10" t="n">
        <x:v>20</x:v>
      </x:c>
      <x:c r="AG824" s="10"/>
      <x:c r="AH824" s="10" t="str">
        <x:f>IF(COUNT(AG824,AF824)=2,AG824-AF824,"")</x:f>
      </x:c>
      <x:c r="AI824" s="10" t="n">
        <x:v>87</x:v>
      </x:c>
      <x:c r="AJ824" s="10"/>
      <x:c r="AK824" s="10" t="str">
        <x:f>IF(COUNT(AJ824,AI824)=2,AJ824-AI824,"")</x:f>
      </x:c>
      <x:c r="AL824" s="10" t="n">
        <x:v>34</x:v>
      </x:c>
      <x:c r="AM824" s="10"/>
      <x:c r="AN824" s="4" t="str">
        <x:v>D</x:v>
      </x:c>
      <x:c r="AO824" s="4"/>
      <x:c r="AP824" s="4" t="str">
        <x:v>SJ</x:v>
      </x:c>
      <x:c r="AQ824" s="4"/>
      <x:c r="AR824" s="4" t="n">
        <x:v>19.35</x:v>
      </x:c>
      <x:c r="AS824" s="4"/>
      <x:c r="AT824" s="4" t="n">
        <x:v>0.1</x:v>
      </x:c>
      <x:c r="AU824" s="4"/>
      <x:c r="AV824" s="10"/>
      <x:c r="AW824" s="10"/>
      <x:c r="AX824" s="10"/>
      <x:c r="AY824" s="10"/>
      <x:c r="AZ824" s="10" t="n">
        <x:v>429</x:v>
      </x:c>
      <x:c r="BA824" s="10" t="n">
        <x:v>513</x:v>
      </x:c>
      <x:c r="BB824" s="4" t="n">
        <x:v>45.5</x:v>
      </x:c>
      <x:c r="BC824" s="4" t="n">
        <x:v>-3.3</x:v>
      </x:c>
      <x:c r="BD824" s="10" t="n">
        <x:v>301</x:v>
      </x:c>
      <x:c r="BE824" s="10" t="n">
        <x:v>377</x:v>
      </x:c>
      <x:c r="BF824" s="4" t="n">
        <x:v>44.4</x:v>
      </x:c>
      <x:c r="BG824" s="4" t="n">
        <x:v>-3.3</x:v>
      </x:c>
      <x:c r="BH824" s="4" t="n">
        <x:v>10</x:v>
      </x:c>
      <x:c r="BI824" s="4" t="n">
        <x:v>87.8</x:v>
      </x:c>
      <x:c r="BJ824" s="4" t="n">
        <x:v>97.7</x:v>
      </x:c>
      <x:c r="BK824" s="4" t="n">
        <x:v>54.9</x:v>
      </x:c>
      <x:c r="BL824" s="4" t="n">
        <x:v>45.1</x:v>
      </x:c>
      <x:c r="BM824" s="4" t="n">
        <x:v>17.866666666666667</x:v>
      </x:c>
      <x:c r="BN824" s="4" t="n">
        <x:v>16.566666666666666</x:v>
      </x:c>
      <x:c r="BO824" s="10" t="n">
        <x:v>5</x:v>
      </x:c>
      <x:c r="BP824" s="10" t="n">
        <x:v>21</x:v>
      </x:c>
      <x:c r="BQ824" s="4" t="n">
        <x:v>-5</x:v>
      </x:c>
      <x:c r="BR824" s="10" t="n">
        <x:v>51</x:v>
      </x:c>
      <x:c r="BS824" s="4" t="n">
        <x:v>31.4</x:v>
      </x:c>
      <x:c r="BT824" s="10" t="n">
        <x:v>32</x:v>
      </x:c>
      <x:c r="BU824" s="4" t="str">
        <x:v>SJS</x:v>
      </x:c>
      <x:c r="BV824" s="10" t="n">
        <x:v>526</x:v>
      </x:c>
      <x:c r="BW824" s="10"/>
      <x:c r="BX824" s="10" t="n">
        <x:v>584</x:v>
      </x:c>
      <x:c r="BY824" s="4" t="str">
        <x:v>Nick Leddy</x:v>
      </x:c>
      <x:c r="BZ824" s="4"/>
      <x:c r="CA824" s="4" t="str">
        <x:v>Nick Leddy</x:v>
      </x:c>
      <x:c r="CB824" s="4" t="str">
        <x:v>leddyni01</x:v>
      </x:c>
    </x:row>
    <x:row r="825" ht="22" customHeight="1">
      <x:c r="A825" s="4" t="str">
        <x:v>Nick Paul</x:v>
      </x:c>
      <x:c r="B825" s="4" t="str">
        <x:v>nickpaul</x:v>
      </x:c>
      <x:c r="C825" s="10" t="n">
        <x:v>1</x:v>
      </x:c>
      <x:c r="D825" s="10" t="n">
        <x:v>0</x:v>
      </x:c>
      <x:c r="E825" s="10" t="n">
        <x:v>1</x:v>
      </x:c>
      <x:c r="F825" s="4" t="n">
        <x:f>IF(COUNT(N825,Q825,T825,W825,Z825,AC825,AF825,AI825)=8,N825*Guide!$E$5+Q825*Guide!$E$6+T825*Guide!$E$7+W825*Guide!$E$8+Z825*Guide!$E$9+AC825*Guide!$E$10+AF825*Guide!$E$11+AI825*Guide!$E$12,"")</x:f>
        <x:v>225.75</x:v>
      </x:c>
      <x:c r="G825" s="4" t="str">
        <x:f>IF(COUNT(O825,R825,U825,X825,AA825,AD825,AG825,AJ825)=8,O825*Guide!$E$5+R825*Guide!$E$6+U825*Guide!$E$7+X825*Guide!$E$8+AA825*Guide!$E$9+AD825*Guide!$E$10+AG825*Guide!$E$11+AJ825*Guide!$E$12,"")</x:f>
      </x:c>
      <x:c r="H825" s="4" t="str">
        <x:f>IF(COUNT(G825,F825)=2,G825-F825,"")</x:f>
      </x:c>
      <x:c r="I825" s="4" t="n">
        <x:f>IF(AND(ISNUMBER(F825),K825&gt;0),F825/K825,"")</x:f>
        <x:v>2.821875</x:v>
      </x:c>
      <x:c r="J825" s="4" t="str">
        <x:f>IF(AND(ISNUMBER(G825),L825&gt;0),G825/L825,"")</x:f>
      </x:c>
      <x:c r="K825" s="10" t="n">
        <x:v>80</x:v>
      </x:c>
      <x:c r="L825" s="10"/>
      <x:c r="M825" s="10" t="str">
        <x:f>IF(COUNT(L825,K825)=2,L825-K825,"")</x:f>
      </x:c>
      <x:c r="N825" s="10" t="n">
        <x:v>20</x:v>
      </x:c>
      <x:c r="O825" s="10"/>
      <x:c r="P825" s="10" t="str">
        <x:f>IF(COUNT(O825,N825)=2,O825-N825,"")</x:f>
      </x:c>
      <x:c r="Q825" s="10" t="n">
        <x:v>18</x:v>
      </x:c>
      <x:c r="R825" s="10"/>
      <x:c r="S825" s="10" t="str">
        <x:f>IF(COUNT(R825,Q825)=2,R825-Q825,"")</x:f>
      </x:c>
      <x:c r="T825" s="10" t="n">
        <x:v>1</x:v>
      </x:c>
      <x:c r="U825" s="10"/>
      <x:c r="V825" s="10" t="str">
        <x:f>IF(COUNT(U825,T825)=2,U825-T825,"")</x:f>
      </x:c>
      <x:c r="W825" s="10" t="n">
        <x:v>5</x:v>
      </x:c>
      <x:c r="X825" s="10" t="str">
        <x:f>IF(COUNT(AV825,AW825)=2,AV825+AW825,"")</x:f>
      </x:c>
      <x:c r="Y825" s="10" t="str">
        <x:f>IF(COUNT(X825,W825)=2,X825-W825,"")</x:f>
      </x:c>
      <x:c r="Z825" s="10" t="n">
        <x:v>1</x:v>
      </x:c>
      <x:c r="AA825" s="10" t="str">
        <x:f>IF(COUNT(AX825,AY825)=2,AX825+AY825,"")</x:f>
      </x:c>
      <x:c r="AB825" s="10" t="str">
        <x:f>IF(COUNT(AA825,Z825)=2,AA825-Z825,"")</x:f>
      </x:c>
      <x:c r="AC825" s="10" t="n">
        <x:v>130</x:v>
      </x:c>
      <x:c r="AD825" s="10"/>
      <x:c r="AE825" s="10" t="str">
        <x:f>IF(COUNT(AD825,AC825)=2,AD825-AC825,"")</x:f>
      </x:c>
      <x:c r="AF825" s="10" t="n">
        <x:v>81</x:v>
      </x:c>
      <x:c r="AG825" s="10"/>
      <x:c r="AH825" s="10" t="str">
        <x:f>IF(COUNT(AG825,AF825)=2,AG825-AF825,"")</x:f>
      </x:c>
      <x:c r="AI825" s="10" t="n">
        <x:v>40</x:v>
      </x:c>
      <x:c r="AJ825" s="10"/>
      <x:c r="AK825" s="10" t="str">
        <x:f>IF(COUNT(AJ825,AI825)=2,AJ825-AI825,"")</x:f>
      </x:c>
      <x:c r="AL825" s="10" t="n">
        <x:v>30</x:v>
      </x:c>
      <x:c r="AM825" s="10"/>
      <x:c r="AN825" s="4" t="str">
        <x:v>C,LW</x:v>
      </x:c>
      <x:c r="AO825" s="4"/>
      <x:c r="AP825" s="4" t="str">
        <x:v>TB</x:v>
      </x:c>
      <x:c r="AQ825" s="4"/>
      <x:c r="AR825" s="4" t="n">
        <x:v>16.400000000000002</x:v>
      </x:c>
      <x:c r="AS825" s="4"/>
      <x:c r="AT825" s="4" t="n">
        <x:v>1.37</x:v>
      </x:c>
      <x:c r="AU825" s="4"/>
      <x:c r="AV825" s="10"/>
      <x:c r="AW825" s="10"/>
      <x:c r="AX825" s="10"/>
      <x:c r="AY825" s="10"/>
      <x:c r="AZ825" s="10" t="n">
        <x:v>552</x:v>
      </x:c>
      <x:c r="BA825" s="10" t="n">
        <x:v>524</x:v>
      </x:c>
      <x:c r="BB825" s="4" t="n">
        <x:v>51.3</x:v>
      </x:c>
      <x:c r="BC825" s="4" t="n">
        <x:v>-3.2</x:v>
      </x:c>
      <x:c r="BD825" s="10" t="n">
        <x:v>372</x:v>
      </x:c>
      <x:c r="BE825" s="10" t="n">
        <x:v>384</x:v>
      </x:c>
      <x:c r="BF825" s="4" t="n">
        <x:v>49.2</x:v>
      </x:c>
      <x:c r="BG825" s="4" t="n">
        <x:v>-4.6</x:v>
      </x:c>
      <x:c r="BH825" s="4" t="n">
        <x:v>7.4</x:v>
      </x:c>
      <x:c r="BI825" s="4" t="n">
        <x:v>87.5</x:v>
      </x:c>
      <x:c r="BJ825" s="4" t="n">
        <x:v>94.9</x:v>
      </x:c>
      <x:c r="BK825" s="4" t="n">
        <x:v>48.4</x:v>
      </x:c>
      <x:c r="BL825" s="4" t="n">
        <x:v>51.6</x:v>
      </x:c>
      <x:c r="BM825" s="4" t="n">
        <x:v>13.683333333333334</x:v>
      </x:c>
      <x:c r="BN825" s="4" t="n">
        <x:v>12.066666666666666</x:v>
      </x:c>
      <x:c r="BO825" s="10" t="n">
        <x:v>9</x:v>
      </x:c>
      <x:c r="BP825" s="10" t="n">
        <x:v>31</x:v>
      </x:c>
      <x:c r="BQ825" s="4" t="n">
        <x:v>-2.4</x:v>
      </x:c>
      <x:c r="BR825" s="10" t="n">
        <x:v>143</x:v>
      </x:c>
      <x:c r="BS825" s="4" t="n">
        <x:v>47.6</x:v>
      </x:c>
      <x:c r="BT825" s="10" t="n">
        <x:v>51</x:v>
      </x:c>
      <x:c r="BU825" s="4" t="str">
        <x:v>TBL</x:v>
      </x:c>
      <x:c r="BV825" s="10" t="n">
        <x:v>275</x:v>
      </x:c>
      <x:c r="BW825" s="10"/>
      <x:c r="BX825" s="10" t="n">
        <x:v>787</x:v>
      </x:c>
      <x:c r="BY825" s="4" t="str">
        <x:v>Nick Paul</x:v>
      </x:c>
      <x:c r="BZ825" s="4"/>
      <x:c r="CA825" s="4" t="str">
        <x:v>Nick Paul</x:v>
      </x:c>
      <x:c r="CB825" s="4" t="str">
        <x:v>paulni01</x:v>
      </x:c>
    </x:row>
    <x:row r="826" ht="22" customHeight="1">
      <x:c r="A826" s="4" t="str">
        <x:v>Nick Perbix</x:v>
      </x:c>
      <x:c r="B826" s="4" t="str">
        <x:v>nickperbix</x:v>
      </x:c>
      <x:c r="C826" s="10" t="n">
        <x:v>1</x:v>
      </x:c>
      <x:c r="D826" s="10" t="n">
        <x:v>0</x:v>
      </x:c>
      <x:c r="E826" s="10" t="n">
        <x:v>0</x:v>
      </x:c>
      <x:c r="F826" s="4" t="n">
        <x:f>IF(COUNT(N826,Q826,T826,W826,Z826,AC826,AF826,AI826)=8,N826*Guide!$E$5+Q826*Guide!$E$6+T826*Guide!$E$7+W826*Guide!$E$8+Z826*Guide!$E$9+AC826*Guide!$E$10+AF826*Guide!$E$11+AI826*Guide!$E$12,"")</x:f>
        <x:v>155.75</x:v>
      </x:c>
      <x:c r="G826" s="4" t="str">
        <x:f>IF(COUNT(O826,R826,U826,X826,AA826,AD826,AG826,AJ826)=8,O826*Guide!$E$5+R826*Guide!$E$6+U826*Guide!$E$7+X826*Guide!$E$8+AA826*Guide!$E$9+AD826*Guide!$E$10+AG826*Guide!$E$11+AJ826*Guide!$E$12,"")</x:f>
      </x:c>
      <x:c r="H826" s="4" t="str">
        <x:f>IF(COUNT(G826,F826)=2,G826-F826,"")</x:f>
      </x:c>
      <x:c r="I826" s="4" t="n">
        <x:f>IF(AND(ISNUMBER(F826),K826&gt;0),F826/K826,"")</x:f>
        <x:v>2.049342105263158</x:v>
      </x:c>
      <x:c r="J826" s="4" t="str">
        <x:f>IF(AND(ISNUMBER(G826),L826&gt;0),G826/L826,"")</x:f>
      </x:c>
      <x:c r="K826" s="10" t="n">
        <x:v>76</x:v>
      </x:c>
      <x:c r="L826" s="10"/>
      <x:c r="M826" s="10" t="str">
        <x:f>IF(COUNT(L826,K826)=2,L826-K826,"")</x:f>
      </x:c>
      <x:c r="N826" s="10" t="n">
        <x:v>4</x:v>
      </x:c>
      <x:c r="O826" s="10"/>
      <x:c r="P826" s="10" t="str">
        <x:f>IF(COUNT(O826,N826)=2,O826-N826,"")</x:f>
      </x:c>
      <x:c r="Q826" s="10" t="n">
        <x:v>15</x:v>
      </x:c>
      <x:c r="R826" s="10"/>
      <x:c r="S826" s="10" t="str">
        <x:f>IF(COUNT(R826,Q826)=2,R826-Q826,"")</x:f>
      </x:c>
      <x:c r="T826" s="10" t="n">
        <x:v>7</x:v>
      </x:c>
      <x:c r="U826" s="10"/>
      <x:c r="V826" s="10" t="str">
        <x:f>IF(COUNT(U826,T826)=2,U826-T826,"")</x:f>
      </x:c>
      <x:c r="W826" s="10" t="n">
        <x:v>0</x:v>
      </x:c>
      <x:c r="X826" s="10" t="str">
        <x:f>IF(COUNT(AV826,AW826)=2,AV826+AW826,"")</x:f>
      </x:c>
      <x:c r="Y826" s="10" t="str">
        <x:f>IF(COUNT(X826,W826)=2,X826-W826,"")</x:f>
      </x:c>
      <x:c r="Z826" s="10" t="n">
        <x:v>0</x:v>
      </x:c>
      <x:c r="AA826" s="10" t="str">
        <x:f>IF(COUNT(AX826,AY826)=2,AX826+AY826,"")</x:f>
      </x:c>
      <x:c r="AB826" s="10" t="str">
        <x:f>IF(COUNT(AA826,Z826)=2,AA826-Z826,"")</x:f>
      </x:c>
      <x:c r="AC826" s="10" t="n">
        <x:v>70</x:v>
      </x:c>
      <x:c r="AD826" s="10"/>
      <x:c r="AE826" s="10" t="str">
        <x:f>IF(COUNT(AD826,AC826)=2,AD826-AC826,"")</x:f>
      </x:c>
      <x:c r="AF826" s="10" t="n">
        <x:v>53</x:v>
      </x:c>
      <x:c r="AG826" s="10"/>
      <x:c r="AH826" s="10" t="str">
        <x:f>IF(COUNT(AG826,AF826)=2,AG826-AF826,"")</x:f>
      </x:c>
      <x:c r="AI826" s="10" t="n">
        <x:v>76</x:v>
      </x:c>
      <x:c r="AJ826" s="10"/>
      <x:c r="AK826" s="10" t="str">
        <x:f>IF(COUNT(AJ826,AI826)=2,AJ826-AI826,"")</x:f>
      </x:c>
      <x:c r="AL826" s="10" t="n">
        <x:v>27</x:v>
      </x:c>
      <x:c r="AM826" s="10"/>
      <x:c r="AN826" s="4" t="str">
        <x:v>D</x:v>
      </x:c>
      <x:c r="AO826" s="4"/>
      <x:c r="AP826" s="4" t="str">
        <x:v>NSH</x:v>
      </x:c>
      <x:c r="AQ826" s="4"/>
      <x:c r="AR826" s="4" t="n">
        <x:v>15.05</x:v>
      </x:c>
      <x:c r="AS826" s="4"/>
      <x:c r="AT826" s="4" t="n">
        <x:v>0.04</x:v>
      </x:c>
      <x:c r="AU826" s="4"/>
      <x:c r="AV826" s="10"/>
      <x:c r="AW826" s="10"/>
      <x:c r="AX826" s="10"/>
      <x:c r="AY826" s="10"/>
      <x:c r="AZ826" s="10"/>
      <x:c r="BA826" s="10"/>
      <x:c r="BB826" s="4"/>
      <x:c r="BC826" s="4"/>
      <x:c r="BD826" s="10"/>
      <x:c r="BE826" s="10"/>
      <x:c r="BF826" s="4"/>
      <x:c r="BG826" s="4"/>
      <x:c r="BH826" s="4"/>
      <x:c r="BI826" s="4"/>
      <x:c r="BJ826" s="4"/>
      <x:c r="BK826" s="4"/>
      <x:c r="BL826" s="4"/>
      <x:c r="BM826" s="4"/>
      <x:c r="BN826" s="4"/>
      <x:c r="BO826" s="10"/>
      <x:c r="BP826" s="10"/>
      <x:c r="BQ826" s="4"/>
      <x:c r="BR826" s="10"/>
      <x:c r="BS826" s="4"/>
      <x:c r="BT826" s="10"/>
      <x:c r="BU826" s="4"/>
      <x:c r="BV826" s="10" t="n">
        <x:v>545</x:v>
      </x:c>
      <x:c r="BW826" s="10"/>
      <x:c r="BX826" s="10"/>
      <x:c r="BY826" s="4" t="str">
        <x:v>Nick Perbix</x:v>
      </x:c>
      <x:c r="BZ826" s="4"/>
      <x:c r="CA826" s="4"/>
      <x:c r="CB826" s="4"/>
    </x:row>
    <x:row r="827" ht="22" customHeight="1">
      <x:c r="A827" s="4" t="str">
        <x:v>Nick Seeler</x:v>
      </x:c>
      <x:c r="B827" s="4" t="str">
        <x:v>nickseeler</x:v>
      </x:c>
      <x:c r="C827" s="10" t="n">
        <x:v>1</x:v>
      </x:c>
      <x:c r="D827" s="10" t="n">
        <x:v>0</x:v>
      </x:c>
      <x:c r="E827" s="10" t="n">
        <x:v>1</x:v>
      </x:c>
      <x:c r="F827" s="4" t="n">
        <x:f>IF(COUNT(N827,Q827,T827,W827,Z827,AC827,AF827,AI827)=8,N827*Guide!$E$5+Q827*Guide!$E$6+T827*Guide!$E$7+W827*Guide!$E$8+Z827*Guide!$E$9+AC827*Guide!$E$10+AF827*Guide!$E$11+AI827*Guide!$E$12,"")</x:f>
        <x:v>260.25</x:v>
      </x:c>
      <x:c r="G827" s="4" t="str">
        <x:f>IF(COUNT(O827,R827,U827,X827,AA827,AD827,AG827,AJ827)=8,O827*Guide!$E$5+R827*Guide!$E$6+U827*Guide!$E$7+X827*Guide!$E$8+AA827*Guide!$E$9+AD827*Guide!$E$10+AG827*Guide!$E$11+AJ827*Guide!$E$12,"")</x:f>
      </x:c>
      <x:c r="H827" s="4" t="str">
        <x:f>IF(COUNT(G827,F827)=2,G827-F827,"")</x:f>
      </x:c>
      <x:c r="I827" s="4" t="n">
        <x:f>IF(AND(ISNUMBER(F827),K827&gt;0),F827/K827,"")</x:f>
        <x:v>3.3365384615384617</x:v>
      </x:c>
      <x:c r="J827" s="4" t="str">
        <x:f>IF(AND(ISNUMBER(G827),L827&gt;0),G827/L827,"")</x:f>
      </x:c>
      <x:c r="K827" s="10" t="n">
        <x:v>78</x:v>
      </x:c>
      <x:c r="L827" s="10"/>
      <x:c r="M827" s="10" t="str">
        <x:f>IF(COUNT(L827,K827)=2,L827-K827,"")</x:f>
      </x:c>
      <x:c r="N827" s="10" t="n">
        <x:v>3</x:v>
      </x:c>
      <x:c r="O827" s="10"/>
      <x:c r="P827" s="10" t="str">
        <x:f>IF(COUNT(O827,N827)=2,O827-N827,"")</x:f>
      </x:c>
      <x:c r="Q827" s="10" t="n">
        <x:v>14</x:v>
      </x:c>
      <x:c r="R827" s="10"/>
      <x:c r="S827" s="10" t="str">
        <x:f>IF(COUNT(R827,Q827)=2,R827-Q827,"")</x:f>
      </x:c>
      <x:c r="T827" s="10" t="n">
        <x:v>6</x:v>
      </x:c>
      <x:c r="U827" s="10"/>
      <x:c r="V827" s="10" t="str">
        <x:f>IF(COUNT(U827,T827)=2,U827-T827,"")</x:f>
      </x:c>
      <x:c r="W827" s="10" t="n">
        <x:v>0</x:v>
      </x:c>
      <x:c r="X827" s="10" t="str">
        <x:f>IF(COUNT(AV827,AW827)=2,AV827+AW827,"")</x:f>
      </x:c>
      <x:c r="Y827" s="10" t="str">
        <x:f>IF(COUNT(X827,W827)=2,X827-W827,"")</x:f>
      </x:c>
      <x:c r="Z827" s="10" t="n">
        <x:v>1</x:v>
      </x:c>
      <x:c r="AA827" s="10" t="str">
        <x:f>IF(COUNT(AX827,AY827)=2,AX827+AY827,"")</x:f>
      </x:c>
      <x:c r="AB827" s="10" t="str">
        <x:f>IF(COUNT(AA827,Z827)=2,AA827-Z827,"")</x:f>
      </x:c>
      <x:c r="AC827" s="10" t="n">
        <x:v>93</x:v>
      </x:c>
      <x:c r="AD827" s="10"/>
      <x:c r="AE827" s="10" t="str">
        <x:f>IF(COUNT(AD827,AC827)=2,AD827-AC827,"")</x:f>
      </x:c>
      <x:c r="AF827" s="10" t="n">
        <x:v>120</x:v>
      </x:c>
      <x:c r="AG827" s="10"/>
      <x:c r="AH827" s="10" t="str">
        <x:f>IF(COUNT(AG827,AF827)=2,AG827-AF827,"")</x:f>
      </x:c>
      <x:c r="AI827" s="10" t="n">
        <x:v>192</x:v>
      </x:c>
      <x:c r="AJ827" s="10"/>
      <x:c r="AK827" s="10" t="str">
        <x:f>IF(COUNT(AJ827,AI827)=2,AJ827-AI827,"")</x:f>
      </x:c>
      <x:c r="AL827" s="10" t="n">
        <x:v>32</x:v>
      </x:c>
      <x:c r="AM827" s="10"/>
      <x:c r="AN827" s="4" t="str">
        <x:v>D</x:v>
      </x:c>
      <x:c r="AO827" s="4"/>
      <x:c r="AP827" s="4" t="str">
        <x:v>PHI</x:v>
      </x:c>
      <x:c r="AQ827" s="4"/>
      <x:c r="AR827" s="4" t="n">
        <x:v>17.23</x:v>
      </x:c>
      <x:c r="AS827" s="4"/>
      <x:c r="AT827" s="4" t="n">
        <x:v>0.05</x:v>
      </x:c>
      <x:c r="AU827" s="4"/>
      <x:c r="AV827" s="10"/>
      <x:c r="AW827" s="10"/>
      <x:c r="AX827" s="10"/>
      <x:c r="AY827" s="10"/>
      <x:c r="AZ827" s="10" t="n">
        <x:v>1132</x:v>
      </x:c>
      <x:c r="BA827" s="10" t="n">
        <x:v>1186</x:v>
      </x:c>
      <x:c r="BB827" s="4" t="n">
        <x:v>48.8</x:v>
      </x:c>
      <x:c r="BC827" s="4" t="n">
        <x:v>1.3</x:v>
      </x:c>
      <x:c r="BD827" s="10" t="n">
        <x:v>824</x:v>
      </x:c>
      <x:c r="BE827" s="10" t="n">
        <x:v>808</x:v>
      </x:c>
      <x:c r="BF827" s="4" t="n">
        <x:v>50.5</x:v>
      </x:c>
      <x:c r="BG827" s="4" t="n">
        <x:v>2.5</x:v>
      </x:c>
      <x:c r="BH827" s="4" t="n">
        <x:v>8.4</x:v>
      </x:c>
      <x:c r="BI827" s="4" t="n">
        <x:v>90.3</x:v>
      </x:c>
      <x:c r="BJ827" s="4" t="n">
        <x:v>98.7</x:v>
      </x:c>
      <x:c r="BK827" s="4" t="n">
        <x:v>50.5</x:v>
      </x:c>
      <x:c r="BL827" s="4" t="n">
        <x:v>49.5</x:v>
      </x:c>
      <x:c r="BM827" s="4" t="n">
        <x:v>17.683333333333334</x:v>
      </x:c>
      <x:c r="BN827" s="4" t="n">
        <x:v>15.666666666666666</x:v>
      </x:c>
      <x:c r="BO827" s="10" t="n">
        <x:v>13</x:v>
      </x:c>
      <x:c r="BP827" s="10" t="n">
        <x:v>58</x:v>
      </x:c>
      <x:c r="BQ827" s="4" t="n">
        <x:v>6.8</x:v>
      </x:c>
      <x:c r="BR827" s="10" t="n">
        <x:v>251</x:v>
      </x:c>
      <x:c r="BS827" s="4" t="n">
        <x:v>37.5</x:v>
      </x:c>
      <x:c r="BT827" s="10" t="n">
        <x:v>80</x:v>
      </x:c>
      <x:c r="BU827" s="4" t="str">
        <x:v>PHI</x:v>
      </x:c>
      <x:c r="BV827" s="10" t="n">
        <x:v>581</x:v>
      </x:c>
      <x:c r="BW827" s="10"/>
      <x:c r="BX827" s="10" t="n">
        <x:v>918</x:v>
      </x:c>
      <x:c r="BY827" s="4" t="str">
        <x:v>Nick Seeler</x:v>
      </x:c>
      <x:c r="BZ827" s="4"/>
      <x:c r="CA827" s="4" t="str">
        <x:v>Nick Seeler</x:v>
      </x:c>
      <x:c r="CB827" s="4" t="str">
        <x:v>seeleni01</x:v>
      </x:c>
    </x:row>
    <x:row r="828" ht="22" customHeight="1">
      <x:c r="A828" s="4" t="str">
        <x:v>Nicklaus Perbix</x:v>
      </x:c>
      <x:c r="B828" s="4" t="str">
        <x:v>nicklausperbix</x:v>
      </x:c>
      <x:c r="C828" s="10" t="n">
        <x:v>0</x:v>
      </x:c>
      <x:c r="D828" s="10" t="n">
        <x:v>0</x:v>
      </x:c>
      <x:c r="E828" s="10" t="n">
        <x:v>1</x:v>
      </x:c>
      <x:c r="F828" s="4" t="str">
        <x:f>IF(COUNT(N828,Q828,T828,W828,Z828,AC828,AF828,AI828)=8,N828*Guide!$E$5+Q828*Guide!$E$6+T828*Guide!$E$7+W828*Guide!$E$8+Z828*Guide!$E$9+AC828*Guide!$E$10+AF828*Guide!$E$11+AI828*Guide!$E$12,"")</x:f>
      </x:c>
      <x:c r="G828" s="4" t="str">
        <x:f>IF(COUNT(O828,R828,U828,X828,AA828,AD828,AG828,AJ828)=8,O828*Guide!$E$5+R828*Guide!$E$6+U828*Guide!$E$7+X828*Guide!$E$8+AA828*Guide!$E$9+AD828*Guide!$E$10+AG828*Guide!$E$11+AJ828*Guide!$E$12,"")</x:f>
      </x:c>
      <x:c r="H828" s="4" t="str">
        <x:f>IF(COUNT(G828,F828)=2,G828-F828,"")</x:f>
      </x:c>
      <x:c r="I828" s="4" t="str">
        <x:f>IF(AND(ISNUMBER(F828),K828&gt;0),F828/K828,"")</x:f>
      </x:c>
      <x:c r="J828" s="4" t="str">
        <x:f>IF(AND(ISNUMBER(G828),L828&gt;0),G828/L828,"")</x:f>
      </x:c>
      <x:c r="K828" s="10"/>
      <x:c r="L828" s="10"/>
      <x:c r="M828" s="10" t="str">
        <x:f>IF(COUNT(L828,K828)=2,L828-K828,"")</x:f>
      </x:c>
      <x:c r="N828" s="10"/>
      <x:c r="O828" s="10"/>
      <x:c r="P828" s="10" t="str">
        <x:f>IF(COUNT(O828,N828)=2,O828-N828,"")</x:f>
      </x:c>
      <x:c r="Q828" s="10"/>
      <x:c r="R828" s="10"/>
      <x:c r="S828" s="10" t="str">
        <x:f>IF(COUNT(R828,Q828)=2,R828-Q828,"")</x:f>
      </x:c>
      <x:c r="T828" s="10"/>
      <x:c r="U828" s="10"/>
      <x:c r="V828" s="10" t="str">
        <x:f>IF(COUNT(U828,T828)=2,U828-T828,"")</x:f>
      </x:c>
      <x:c r="W828" s="10"/>
      <x:c r="X828" s="10" t="str">
        <x:f>IF(COUNT(AV828,AW828)=2,AV828+AW828,"")</x:f>
      </x:c>
      <x:c r="Y828" s="10" t="str">
        <x:f>IF(COUNT(X828,W828)=2,X828-W828,"")</x:f>
      </x:c>
      <x:c r="Z828" s="10"/>
      <x:c r="AA828" s="10" t="str">
        <x:f>IF(COUNT(AX828,AY828)=2,AX828+AY828,"")</x:f>
      </x:c>
      <x:c r="AB828" s="10" t="str">
        <x:f>IF(COUNT(AA828,Z828)=2,AA828-Z828,"")</x:f>
      </x:c>
      <x:c r="AC828" s="10"/>
      <x:c r="AD828" s="10"/>
      <x:c r="AE828" s="10" t="str">
        <x:f>IF(COUNT(AD828,AC828)=2,AD828-AC828,"")</x:f>
      </x:c>
      <x:c r="AF828" s="10"/>
      <x:c r="AG828" s="10"/>
      <x:c r="AH828" s="10" t="str">
        <x:f>IF(COUNT(AG828,AF828)=2,AG828-AF828,"")</x:f>
      </x:c>
      <x:c r="AI828" s="10"/>
      <x:c r="AJ828" s="10"/>
      <x:c r="AK828" s="10" t="str">
        <x:f>IF(COUNT(AJ828,AI828)=2,AJ828-AI828,"")</x:f>
      </x:c>
      <x:c r="AL828" s="10"/>
      <x:c r="AM828" s="10"/>
      <x:c r="AN828" s="4"/>
      <x:c r="AO828" s="4"/>
      <x:c r="AP828" s="4"/>
      <x:c r="AQ828" s="4"/>
      <x:c r="AR828" s="4"/>
      <x:c r="AS828" s="4"/>
      <x:c r="AT828" s="4"/>
      <x:c r="AU828" s="4"/>
      <x:c r="AV828" s="10"/>
      <x:c r="AW828" s="10"/>
      <x:c r="AX828" s="10"/>
      <x:c r="AY828" s="10"/>
      <x:c r="AZ828" s="10" t="n">
        <x:v>1178</x:v>
      </x:c>
      <x:c r="BA828" s="10" t="n">
        <x:v>1321</x:v>
      </x:c>
      <x:c r="BB828" s="4" t="n">
        <x:v>47.1</x:v>
      </x:c>
      <x:c r="BC828" s="4" t="n">
        <x:v>-4.2</x:v>
      </x:c>
      <x:c r="BD828" s="10" t="n">
        <x:v>819</x:v>
      </x:c>
      <x:c r="BE828" s="10" t="n">
        <x:v>1011</x:v>
      </x:c>
      <x:c r="BF828" s="4" t="n">
        <x:v>44.8</x:v>
      </x:c>
      <x:c r="BG828" s="4" t="n">
        <x:v>-5.3</x:v>
      </x:c>
      <x:c r="BH828" s="4" t="n">
        <x:v>9.1</x:v>
      </x:c>
      <x:c r="BI828" s="4" t="n">
        <x:v>90</x:v>
      </x:c>
      <x:c r="BJ828" s="4" t="n">
        <x:v>99</x:v>
      </x:c>
      <x:c r="BK828" s="4" t="n">
        <x:v>45.7</x:v>
      </x:c>
      <x:c r="BL828" s="4" t="n">
        <x:v>54.3</x:v>
      </x:c>
      <x:c r="BM828" s="4" t="n">
        <x:v>19.116666666666667</x:v>
      </x:c>
      <x:c r="BN828" s="4" t="n">
        <x:v>16.15</x:v>
      </x:c>
      <x:c r="BO828" s="10" t="n">
        <x:v>23</x:v>
      </x:c>
      <x:c r="BP828" s="10" t="n">
        <x:v>96</x:v>
      </x:c>
      <x:c r="BQ828" s="4" t="n">
        <x:v>-12.4</x:v>
      </x:c>
      <x:c r="BR828" s="10" t="n">
        <x:v>182</x:v>
      </x:c>
      <x:c r="BS828" s="4" t="n">
        <x:v>44</x:v>
      </x:c>
      <x:c r="BT828" s="10" t="n">
        <x:v>79</x:v>
      </x:c>
      <x:c r="BU828" s="4" t="str">
        <x:v>NSH</x:v>
      </x:c>
      <x:c r="BV828" s="10"/>
      <x:c r="BW828" s="10"/>
      <x:c r="BX828" s="10" t="n">
        <x:v>795</x:v>
      </x:c>
      <x:c r="BY828" s="4"/>
      <x:c r="BZ828" s="4"/>
      <x:c r="CA828" s="4" t="str">
        <x:v>Nicklaus Perbix</x:v>
      </x:c>
      <x:c r="CB828" s="4" t="str">
        <x:v>perbini01</x:v>
      </x:c>
    </x:row>
    <x:row r="829" ht="22" customHeight="1">
      <x:c r="A829" s="4" t="str">
        <x:v>Nico Sturm</x:v>
      </x:c>
      <x:c r="B829" s="4" t="str">
        <x:v>nicosturm</x:v>
      </x:c>
      <x:c r="C829" s="10" t="n">
        <x:v>1</x:v>
      </x:c>
      <x:c r="D829" s="10" t="n">
        <x:v>0</x:v>
      </x:c>
      <x:c r="E829" s="10" t="n">
        <x:v>1</x:v>
      </x:c>
      <x:c r="F829" s="4" t="n">
        <x:f>IF(COUNT(N829,Q829,T829,W829,Z829,AC829,AF829,AI829)=8,N829*Guide!$E$5+Q829*Guide!$E$6+T829*Guide!$E$7+W829*Guide!$E$8+Z829*Guide!$E$9+AC829*Guide!$E$10+AF829*Guide!$E$11+AI829*Guide!$E$12,"")</x:f>
        <x:v>127.75</x:v>
      </x:c>
      <x:c r="G829" s="4" t="str">
        <x:f>IF(COUNT(O829,R829,U829,X829,AA829,AD829,AG829,AJ829)=8,O829*Guide!$E$5+R829*Guide!$E$6+U829*Guide!$E$7+X829*Guide!$E$8+AA829*Guide!$E$9+AD829*Guide!$E$10+AG829*Guide!$E$11+AJ829*Guide!$E$12,"")</x:f>
      </x:c>
      <x:c r="H829" s="4" t="str">
        <x:f>IF(COUNT(G829,F829)=2,G829-F829,"")</x:f>
      </x:c>
      <x:c r="I829" s="4" t="n">
        <x:f>IF(AND(ISNUMBER(F829),K829&gt;0),F829/K829,"")</x:f>
        <x:v>1.7743055555555556</x:v>
      </x:c>
      <x:c r="J829" s="4" t="str">
        <x:f>IF(AND(ISNUMBER(G829),L829&gt;0),G829/L829,"")</x:f>
      </x:c>
      <x:c r="K829" s="10" t="n">
        <x:v>72</x:v>
      </x:c>
      <x:c r="L829" s="10"/>
      <x:c r="M829" s="10" t="str">
        <x:f>IF(COUNT(L829,K829)=2,L829-K829,"")</x:f>
      </x:c>
      <x:c r="N829" s="10" t="n">
        <x:v>8</x:v>
      </x:c>
      <x:c r="O829" s="10"/>
      <x:c r="P829" s="10" t="str">
        <x:f>IF(COUNT(O829,N829)=2,O829-N829,"")</x:f>
      </x:c>
      <x:c r="Q829" s="10" t="n">
        <x:v>9</x:v>
      </x:c>
      <x:c r="R829" s="10"/>
      <x:c r="S829" s="10" t="str">
        <x:f>IF(COUNT(R829,Q829)=2,R829-Q829,"")</x:f>
      </x:c>
      <x:c r="T829" s="10" t="n">
        <x:v>-8</x:v>
      </x:c>
      <x:c r="U829" s="10"/>
      <x:c r="V829" s="10" t="str">
        <x:f>IF(COUNT(U829,T829)=2,U829-T829,"")</x:f>
      </x:c>
      <x:c r="W829" s="10" t="n">
        <x:v>0</x:v>
      </x:c>
      <x:c r="X829" s="10" t="str">
        <x:f>IF(COUNT(AV829,AW829)=2,AV829+AW829,"")</x:f>
      </x:c>
      <x:c r="Y829" s="10" t="str">
        <x:f>IF(COUNT(X829,W829)=2,X829-W829,"")</x:f>
      </x:c>
      <x:c r="Z829" s="10" t="n">
        <x:v>1</x:v>
      </x:c>
      <x:c r="AA829" s="10" t="str">
        <x:f>IF(COUNT(AX829,AY829)=2,AX829+AY829,"")</x:f>
      </x:c>
      <x:c r="AB829" s="10" t="str">
        <x:f>IF(COUNT(AA829,Z829)=2,AA829-Z829,"")</x:f>
      </x:c>
      <x:c r="AC829" s="10" t="n">
        <x:v>70</x:v>
      </x:c>
      <x:c r="AD829" s="10"/>
      <x:c r="AE829" s="10" t="str">
        <x:f>IF(COUNT(AD829,AC829)=2,AD829-AC829,"")</x:f>
      </x:c>
      <x:c r="AF829" s="10" t="n">
        <x:v>111</x:v>
      </x:c>
      <x:c r="AG829" s="10"/>
      <x:c r="AH829" s="10" t="str">
        <x:f>IF(COUNT(AG829,AF829)=2,AG829-AF829,"")</x:f>
      </x:c>
      <x:c r="AI829" s="10" t="n">
        <x:v>38</x:v>
      </x:c>
      <x:c r="AJ829" s="10"/>
      <x:c r="AK829" s="10" t="str">
        <x:f>IF(COUNT(AJ829,AI829)=2,AJ829-AI829,"")</x:f>
      </x:c>
      <x:c r="AL829" s="10" t="n">
        <x:v>30</x:v>
      </x:c>
      <x:c r="AM829" s="10"/>
      <x:c r="AN829" s="4" t="str">
        <x:v>C</x:v>
      </x:c>
      <x:c r="AO829" s="4"/>
      <x:c r="AP829" s="4" t="str">
        <x:v>MIN</x:v>
      </x:c>
      <x:c r="AQ829" s="4"/>
      <x:c r="AR829" s="4" t="n">
        <x:v>11.13</x:v>
      </x:c>
      <x:c r="AS829" s="4"/>
      <x:c r="AT829" s="4" t="n">
        <x:v>0.17</x:v>
      </x:c>
      <x:c r="AU829" s="4"/>
      <x:c r="AV829" s="10"/>
      <x:c r="AW829" s="10"/>
      <x:c r="AX829" s="10"/>
      <x:c r="AY829" s="10"/>
      <x:c r="AZ829" s="10" t="n">
        <x:v>378</x:v>
      </x:c>
      <x:c r="BA829" s="10" t="n">
        <x:v>483</x:v>
      </x:c>
      <x:c r="BB829" s="4" t="n">
        <x:v>43.9</x:v>
      </x:c>
      <x:c r="BC829" s="4" t="n">
        <x:v>-5.9</x:v>
      </x:c>
      <x:c r="BD829" s="10" t="n">
        <x:v>288</x:v>
      </x:c>
      <x:c r="BE829" s="10" t="n">
        <x:v>329</x:v>
      </x:c>
      <x:c r="BF829" s="4" t="n">
        <x:v>46.7</x:v>
      </x:c>
      <x:c r="BG829" s="4" t="n">
        <x:v>-3.7</x:v>
      </x:c>
      <x:c r="BH829" s="4" t="n">
        <x:v>8.4</x:v>
      </x:c>
      <x:c r="BI829" s="4" t="n">
        <x:v>91.8</x:v>
      </x:c>
      <x:c r="BJ829" s="4" t="n">
        <x:v>100.2</x:v>
      </x:c>
      <x:c r="BK829" s="4" t="n">
        <x:v>31.9</x:v>
      </x:c>
      <x:c r="BL829" s="4" t="n">
        <x:v>68.1</x:v>
      </x:c>
      <x:c r="BM829" s="4" t="n">
        <x:v>10.95</x:v>
      </x:c>
      <x:c r="BN829" s="4" t="n">
        <x:v>9.15</x:v>
      </x:c>
      <x:c r="BO829" s="10" t="n">
        <x:v>10</x:v>
      </x:c>
      <x:c r="BP829" s="10" t="n">
        <x:v>20</x:v>
      </x:c>
      <x:c r="BQ829" s="4" t="n">
        <x:v>-0.1</x:v>
      </x:c>
      <x:c r="BR829" s="10" t="n">
        <x:v>73</x:v>
      </x:c>
      <x:c r="BS829" s="4" t="n">
        <x:v>52.1</x:v>
      </x:c>
      <x:c r="BT829" s="10" t="n">
        <x:v>49</x:v>
      </x:c>
      <x:c r="BU829" s="4" t="str">
        <x:v>MIN</x:v>
      </x:c>
      <x:c r="BV829" s="10" t="n">
        <x:v>593</x:v>
      </x:c>
      <x:c r="BW829" s="10"/>
      <x:c r="BX829" s="10" t="n">
        <x:v>993</x:v>
      </x:c>
      <x:c r="BY829" s="4" t="str">
        <x:v>Nico Sturm</x:v>
      </x:c>
      <x:c r="BZ829" s="4"/>
      <x:c r="CA829" s="4" t="str">
        <x:v>Nico Sturm</x:v>
      </x:c>
      <x:c r="CB829" s="4" t="str">
        <x:v>sturmni01</x:v>
      </x:c>
    </x:row>
    <x:row r="830" ht="22" customHeight="1">
      <x:c r="A830" s="4" t="str">
        <x:v>Nicolas Aube-Kubel</x:v>
      </x:c>
      <x:c r="B830" s="4" t="str">
        <x:v>nicolasaubekubel</x:v>
      </x:c>
      <x:c r="C830" s="10" t="n">
        <x:v>1</x:v>
      </x:c>
      <x:c r="D830" s="10" t="n">
        <x:v>0</x:v>
      </x:c>
      <x:c r="E830" s="10" t="n">
        <x:v>1</x:v>
      </x:c>
      <x:c r="F830" s="4" t="n">
        <x:f>IF(COUNT(N830,Q830,T830,W830,Z830,AC830,AF830,AI830)=8,N830*Guide!$E$5+Q830*Guide!$E$6+T830*Guide!$E$7+W830*Guide!$E$8+Z830*Guide!$E$9+AC830*Guide!$E$10+AF830*Guide!$E$11+AI830*Guide!$E$12,"")</x:f>
        <x:v>71.25</x:v>
      </x:c>
      <x:c r="G830" s="4" t="str">
        <x:f>IF(COUNT(O830,R830,U830,X830,AA830,AD830,AG830,AJ830)=8,O830*Guide!$E$5+R830*Guide!$E$6+U830*Guide!$E$7+X830*Guide!$E$8+AA830*Guide!$E$9+AD830*Guide!$E$10+AG830*Guide!$E$11+AJ830*Guide!$E$12,"")</x:f>
      </x:c>
      <x:c r="H830" s="4" t="str">
        <x:f>IF(COUNT(G830,F830)=2,G830-F830,"")</x:f>
      </x:c>
      <x:c r="I830" s="4" t="n">
        <x:f>IF(AND(ISNUMBER(F830),K830&gt;0),F830/K830,"")</x:f>
        <x:v>1.6569767441860466</x:v>
      </x:c>
      <x:c r="J830" s="4" t="str">
        <x:f>IF(AND(ISNUMBER(G830),L830&gt;0),G830/L830,"")</x:f>
      </x:c>
      <x:c r="K830" s="10" t="n">
        <x:v>43</x:v>
      </x:c>
      <x:c r="L830" s="10"/>
      <x:c r="M830" s="10" t="str">
        <x:f>IF(COUNT(L830,K830)=2,L830-K830,"")</x:f>
      </x:c>
      <x:c r="N830" s="10" t="n">
        <x:v>4</x:v>
      </x:c>
      <x:c r="O830" s="10"/>
      <x:c r="P830" s="10" t="str">
        <x:f>IF(COUNT(O830,N830)=2,O830-N830,"")</x:f>
      </x:c>
      <x:c r="Q830" s="10" t="n">
        <x:v>6</x:v>
      </x:c>
      <x:c r="R830" s="10"/>
      <x:c r="S830" s="10" t="str">
        <x:f>IF(COUNT(R830,Q830)=2,R830-Q830,"")</x:f>
      </x:c>
      <x:c r="T830" s="10" t="n">
        <x:v>-1</x:v>
      </x:c>
      <x:c r="U830" s="10"/>
      <x:c r="V830" s="10" t="str">
        <x:f>IF(COUNT(U830,T830)=2,U830-T830,"")</x:f>
      </x:c>
      <x:c r="W830" s="10" t="n">
        <x:v>0</x:v>
      </x:c>
      <x:c r="X830" s="10" t="str">
        <x:f>IF(COUNT(AV830,AW830)=2,AV830+AW830,"")</x:f>
      </x:c>
      <x:c r="Y830" s="10" t="str">
        <x:f>IF(COUNT(X830,W830)=2,X830-W830,"")</x:f>
      </x:c>
      <x:c r="Z830" s="10" t="n">
        <x:v>0</x:v>
      </x:c>
      <x:c r="AA830" s="10" t="str">
        <x:f>IF(COUNT(AX830,AY830)=2,AX830+AY830,"")</x:f>
      </x:c>
      <x:c r="AB830" s="10" t="str">
        <x:f>IF(COUNT(AA830,Z830)=2,AA830-Z830,"")</x:f>
      </x:c>
      <x:c r="AC830" s="10" t="n">
        <x:v>40</x:v>
      </x:c>
      <x:c r="AD830" s="10"/>
      <x:c r="AE830" s="10" t="str">
        <x:f>IF(COUNT(AD830,AC830)=2,AD830-AC830,"")</x:f>
      </x:c>
      <x:c r="AF830" s="10" t="n">
        <x:v>77</x:v>
      </x:c>
      <x:c r="AG830" s="10"/>
      <x:c r="AH830" s="10" t="str">
        <x:f>IF(COUNT(AG830,AF830)=2,AG830-AF830,"")</x:f>
      </x:c>
      <x:c r="AI830" s="10" t="n">
        <x:v>12</x:v>
      </x:c>
      <x:c r="AJ830" s="10"/>
      <x:c r="AK830" s="10" t="str">
        <x:f>IF(COUNT(AJ830,AI830)=2,AJ830-AI830,"")</x:f>
      </x:c>
      <x:c r="AL830" s="10" t="n">
        <x:v>29</x:v>
      </x:c>
      <x:c r="AM830" s="10"/>
      <x:c r="AN830" s="4" t="str">
        <x:v>RW</x:v>
      </x:c>
      <x:c r="AO830" s="4"/>
      <x:c r="AP830" s="4" t="str">
        <x:v>MIN</x:v>
      </x:c>
      <x:c r="AQ830" s="4"/>
      <x:c r="AR830" s="4" t="n">
        <x:v>10.02</x:v>
      </x:c>
      <x:c r="AS830" s="4"/>
      <x:c r="AT830" s="4" t="n">
        <x:v>0.15</x:v>
      </x:c>
      <x:c r="AU830" s="4"/>
      <x:c r="AV830" s="10"/>
      <x:c r="AW830" s="10"/>
      <x:c r="AX830" s="10"/>
      <x:c r="AY830" s="10"/>
      <x:c r="AZ830" s="10" t="n">
        <x:v>66</x:v>
      </x:c>
      <x:c r="BA830" s="10" t="n">
        <x:v>85</x:v>
      </x:c>
      <x:c r="BB830" s="4" t="n">
        <x:v>43.7</x:v>
      </x:c>
      <x:c r="BC830" s="4" t="n">
        <x:v>-1.1</x:v>
      </x:c>
      <x:c r="BD830" s="10" t="n">
        <x:v>49</x:v>
      </x:c>
      <x:c r="BE830" s="10" t="n">
        <x:v>61</x:v>
      </x:c>
      <x:c r="BF830" s="4" t="n">
        <x:v>44.5</x:v>
      </x:c>
      <x:c r="BG830" s="4" t="n">
        <x:v>-3.7</x:v>
      </x:c>
      <x:c r="BH830" s="4" t="n">
        <x:v>8.6</x:v>
      </x:c>
      <x:c r="BI830" s="4" t="n">
        <x:v>95.2</x:v>
      </x:c>
      <x:c r="BJ830" s="4" t="n">
        <x:v>103.8</x:v>
      </x:c>
      <x:c r="BK830" s="4" t="n">
        <x:v>56.8</x:v>
      </x:c>
      <x:c r="BL830" s="4" t="n">
        <x:v>43.2</x:v>
      </x:c>
      <x:c r="BM830" s="4" t="n">
        <x:v>11.616666666666667</x:v>
      </x:c>
      <x:c r="BN830" s="4" t="n">
        <x:v>11.433333333333334</x:v>
      </x:c>
      <x:c r="BO830" s="10" t="n">
        <x:v>2</x:v>
      </x:c>
      <x:c r="BP830" s="10" t="n">
        <x:v>1</x:v>
      </x:c>
      <x:c r="BQ830" s="4" t="n">
        <x:v>0.2</x:v>
      </x:c>
      <x:c r="BR830" s="10" t="n">
        <x:v>13</x:v>
      </x:c>
      <x:c r="BS830" s="4" t="n">
        <x:v>38.5</x:v>
      </x:c>
      <x:c r="BT830" s="10" t="n">
        <x:v>6</x:v>
      </x:c>
      <x:c r="BU830" s="4" t="str">
        <x:v>MIN</x:v>
      </x:c>
      <x:c r="BV830" s="10" t="n">
        <x:v>732</x:v>
      </x:c>
      <x:c r="BW830" s="10"/>
      <x:c r="BX830" s="10" t="n">
        <x:v>22</x:v>
      </x:c>
      <x:c r="BY830" s="4" t="str">
        <x:v>Nicolas Aube-Kubel</x:v>
      </x:c>
      <x:c r="BZ830" s="4"/>
      <x:c r="CA830" s="4" t="str">
        <x:v>Nicolas Aubé-Kubel</x:v>
      </x:c>
      <x:c r="CB830" s="4" t="str">
        <x:v>aubekni01</x:v>
      </x:c>
    </x:row>
    <x:row r="831" ht="22" customHeight="1">
      <x:c r="A831" s="4" t="str">
        <x:v>Nicolas Deslauriers</x:v>
      </x:c>
      <x:c r="B831" s="4" t="str">
        <x:v>nicolasdeslauriers</x:v>
      </x:c>
      <x:c r="C831" s="10" t="n">
        <x:v>1</x:v>
      </x:c>
      <x:c r="D831" s="10" t="n">
        <x:v>0</x:v>
      </x:c>
      <x:c r="E831" s="10" t="n">
        <x:v>1</x:v>
      </x:c>
      <x:c r="F831" s="4" t="n">
        <x:f>IF(COUNT(N831,Q831,T831,W831,Z831,AC831,AF831,AI831)=8,N831*Guide!$E$5+Q831*Guide!$E$6+T831*Guide!$E$7+W831*Guide!$E$8+Z831*Guide!$E$9+AC831*Guide!$E$10+AF831*Guide!$E$11+AI831*Guide!$E$12,"")</x:f>
        <x:v>110.25</x:v>
      </x:c>
      <x:c r="G831" s="4" t="str">
        <x:f>IF(COUNT(O831,R831,U831,X831,AA831,AD831,AG831,AJ831)=8,O831*Guide!$E$5+R831*Guide!$E$6+U831*Guide!$E$7+X831*Guide!$E$8+AA831*Guide!$E$9+AD831*Guide!$E$10+AG831*Guide!$E$11+AJ831*Guide!$E$12,"")</x:f>
      </x:c>
      <x:c r="H831" s="4" t="str">
        <x:f>IF(COUNT(G831,F831)=2,G831-F831,"")</x:f>
      </x:c>
      <x:c r="I831" s="4" t="n">
        <x:f>IF(AND(ISNUMBER(F831),K831&gt;0),F831/K831,"")</x:f>
        <x:v>1.575</x:v>
      </x:c>
      <x:c r="J831" s="4" t="str">
        <x:f>IF(AND(ISNUMBER(G831),L831&gt;0),G831/L831,"")</x:f>
      </x:c>
      <x:c r="K831" s="10" t="n">
        <x:v>70</x:v>
      </x:c>
      <x:c r="L831" s="10"/>
      <x:c r="M831" s="10" t="str">
        <x:f>IF(COUNT(L831,K831)=2,L831-K831,"")</x:f>
      </x:c>
      <x:c r="N831" s="10" t="n">
        <x:v>5</x:v>
      </x:c>
      <x:c r="O831" s="10"/>
      <x:c r="P831" s="10" t="str">
        <x:f>IF(COUNT(O831,N831)=2,O831-N831,"")</x:f>
      </x:c>
      <x:c r="Q831" s="10" t="n">
        <x:v>6</x:v>
      </x:c>
      <x:c r="R831" s="10"/>
      <x:c r="S831" s="10" t="str">
        <x:f>IF(COUNT(R831,Q831)=2,R831-Q831,"")</x:f>
      </x:c>
      <x:c r="T831" s="10" t="n">
        <x:v>-3</x:v>
      </x:c>
      <x:c r="U831" s="10"/>
      <x:c r="V831" s="10" t="str">
        <x:f>IF(COUNT(U831,T831)=2,U831-T831,"")</x:f>
      </x:c>
      <x:c r="W831" s="10" t="n">
        <x:v>0</x:v>
      </x:c>
      <x:c r="X831" s="10" t="str">
        <x:f>IF(COUNT(AV831,AW831)=2,AV831+AW831,"")</x:f>
      </x:c>
      <x:c r="Y831" s="10" t="str">
        <x:f>IF(COUNT(X831,W831)=2,X831-W831,"")</x:f>
      </x:c>
      <x:c r="Z831" s="10" t="n">
        <x:v>0</x:v>
      </x:c>
      <x:c r="AA831" s="10" t="str">
        <x:f>IF(COUNT(AX831,AY831)=2,AX831+AY831,"")</x:f>
      </x:c>
      <x:c r="AB831" s="10" t="str">
        <x:f>IF(COUNT(AA831,Z831)=2,AA831-Z831,"")</x:f>
      </x:c>
      <x:c r="AC831" s="10" t="n">
        <x:v>53</x:v>
      </x:c>
      <x:c r="AD831" s="10"/>
      <x:c r="AE831" s="10" t="str">
        <x:f>IF(COUNT(AD831,AC831)=2,AD831-AC831,"")</x:f>
      </x:c>
      <x:c r="AF831" s="10" t="n">
        <x:v>185</x:v>
      </x:c>
      <x:c r="AG831" s="10"/>
      <x:c r="AH831" s="10" t="str">
        <x:f>IF(COUNT(AG831,AF831)=2,AG831-AF831,"")</x:f>
      </x:c>
      <x:c r="AI831" s="10" t="n">
        <x:v>21</x:v>
      </x:c>
      <x:c r="AJ831" s="10"/>
      <x:c r="AK831" s="10" t="str">
        <x:f>IF(COUNT(AJ831,AI831)=2,AJ831-AI831,"")</x:f>
      </x:c>
      <x:c r="AL831" s="10" t="n">
        <x:v>34</x:v>
      </x:c>
      <x:c r="AM831" s="10"/>
      <x:c r="AN831" s="4" t="str">
        <x:v>LW</x:v>
      </x:c>
      <x:c r="AO831" s="4"/>
      <x:c r="AP831" s="4" t="str">
        <x:v>PHI</x:v>
      </x:c>
      <x:c r="AQ831" s="4"/>
      <x:c r="AR831" s="4" t="n">
        <x:v>7.77</x:v>
      </x:c>
      <x:c r="AS831" s="4"/>
      <x:c r="AT831" s="4" t="n">
        <x:v>0.09</x:v>
      </x:c>
      <x:c r="AU831" s="4"/>
      <x:c r="AV831" s="10"/>
      <x:c r="AW831" s="10"/>
      <x:c r="AX831" s="10"/>
      <x:c r="AY831" s="10"/>
      <x:c r="AZ831" s="10" t="n">
        <x:v>201</x:v>
      </x:c>
      <x:c r="BA831" s="10" t="n">
        <x:v>212</x:v>
      </x:c>
      <x:c r="BB831" s="4" t="n">
        <x:v>48.7</x:v>
      </x:c>
      <x:c r="BC831" s="4" t="n">
        <x:v>-0.2</x:v>
      </x:c>
      <x:c r="BD831" s="10" t="n">
        <x:v>140</x:v>
      </x:c>
      <x:c r="BE831" s="10" t="n">
        <x:v>141</x:v>
      </x:c>
      <x:c r="BF831" s="4" t="n">
        <x:v>49.8</x:v>
      </x:c>
      <x:c r="BG831" s="4" t="n">
        <x:v>0.2</x:v>
      </x:c>
      <x:c r="BH831" s="4" t="n">
        <x:v>4.7</x:v>
      </x:c>
      <x:c r="BI831" s="4" t="n">
        <x:v>92.3</x:v>
      </x:c>
      <x:c r="BJ831" s="4" t="n">
        <x:v>97</x:v>
      </x:c>
      <x:c r="BK831" s="4" t="n">
        <x:v>49.6</x:v>
      </x:c>
      <x:c r="BL831" s="4" t="n">
        <x:v>50.4</x:v>
      </x:c>
      <x:c r="BM831" s="4" t="n">
        <x:v>8.55</x:v>
      </x:c>
      <x:c r="BN831" s="4" t="n">
        <x:v>8.5</x:v>
      </x:c>
      <x:c r="BO831" s="10" t="n">
        <x:v>3</x:v>
      </x:c>
      <x:c r="BP831" s="10" t="n">
        <x:v>10</x:v>
      </x:c>
      <x:c r="BQ831" s="4" t="n">
        <x:v>-0.5</x:v>
      </x:c>
      <x:c r="BR831" s="10" t="n">
        <x:v>36</x:v>
      </x:c>
      <x:c r="BS831" s="4" t="n">
        <x:v>50</x:v>
      </x:c>
      <x:c r="BT831" s="10" t="n">
        <x:v>31</x:v>
      </x:c>
      <x:c r="BU831" s="4" t="str">
        <x:v>TOT</x:v>
      </x:c>
      <x:c r="BV831" s="10" t="n">
        <x:v>705</x:v>
      </x:c>
      <x:c r="BW831" s="10"/>
      <x:c r="BX831" s="10" t="n">
        <x:v>211</x:v>
      </x:c>
      <x:c r="BY831" s="4" t="str">
        <x:v>Nicolas Deslauriers</x:v>
      </x:c>
      <x:c r="BZ831" s="4"/>
      <x:c r="CA831" s="4" t="str">
        <x:v>Nicolas Deslauriers</x:v>
      </x:c>
      <x:c r="CB831" s="4" t="str">
        <x:v>deslani01</x:v>
      </x:c>
    </x:row>
    <x:row r="832" ht="22" customHeight="1">
      <x:c r="A832" s="4" t="str">
        <x:v>Nicolas Hague</x:v>
      </x:c>
      <x:c r="B832" s="4" t="str">
        <x:v>nicolashague</x:v>
      </x:c>
      <x:c r="C832" s="10" t="n">
        <x:v>1</x:v>
      </x:c>
      <x:c r="D832" s="10" t="n">
        <x:v>0</x:v>
      </x:c>
      <x:c r="E832" s="10" t="n">
        <x:v>1</x:v>
      </x:c>
      <x:c r="F832" s="4" t="n">
        <x:f>IF(COUNT(N832,Q832,T832,W832,Z832,AC832,AF832,AI832)=8,N832*Guide!$E$5+Q832*Guide!$E$6+T832*Guide!$E$7+W832*Guide!$E$8+Z832*Guide!$E$9+AC832*Guide!$E$10+AF832*Guide!$E$11+AI832*Guide!$E$12,"")</x:f>
        <x:v>176.5</x:v>
      </x:c>
      <x:c r="G832" s="4" t="str">
        <x:f>IF(COUNT(O832,R832,U832,X832,AA832,AD832,AG832,AJ832)=8,O832*Guide!$E$5+R832*Guide!$E$6+U832*Guide!$E$7+X832*Guide!$E$8+AA832*Guide!$E$9+AD832*Guide!$E$10+AG832*Guide!$E$11+AJ832*Guide!$E$12,"")</x:f>
      </x:c>
      <x:c r="H832" s="4" t="str">
        <x:f>IF(COUNT(G832,F832)=2,G832-F832,"")</x:f>
      </x:c>
      <x:c r="I832" s="4" t="n">
        <x:f>IF(AND(ISNUMBER(F832),K832&gt;0),F832/K832,"")</x:f>
        <x:v>2.385135135135135</x:v>
      </x:c>
      <x:c r="J832" s="4" t="str">
        <x:f>IF(AND(ISNUMBER(G832),L832&gt;0),G832/L832,"")</x:f>
      </x:c>
      <x:c r="K832" s="10" t="n">
        <x:v>74</x:v>
      </x:c>
      <x:c r="L832" s="10"/>
      <x:c r="M832" s="10" t="str">
        <x:f>IF(COUNT(L832,K832)=2,L832-K832,"")</x:f>
      </x:c>
      <x:c r="N832" s="10" t="n">
        <x:v>4</x:v>
      </x:c>
      <x:c r="O832" s="10"/>
      <x:c r="P832" s="10" t="str">
        <x:f>IF(COUNT(O832,N832)=2,O832-N832,"")</x:f>
      </x:c>
      <x:c r="Q832" s="10" t="n">
        <x:v>12</x:v>
      </x:c>
      <x:c r="R832" s="10"/>
      <x:c r="S832" s="10" t="str">
        <x:f>IF(COUNT(R832,Q832)=2,R832-Q832,"")</x:f>
      </x:c>
      <x:c r="T832" s="10" t="n">
        <x:v>-2</x:v>
      </x:c>
      <x:c r="U832" s="10"/>
      <x:c r="V832" s="10" t="str">
        <x:f>IF(COUNT(U832,T832)=2,U832-T832,"")</x:f>
      </x:c>
      <x:c r="W832" s="10" t="n">
        <x:v>0</x:v>
      </x:c>
      <x:c r="X832" s="10" t="str">
        <x:f>IF(COUNT(AV832,AW832)=2,AV832+AW832,"")</x:f>
      </x:c>
      <x:c r="Y832" s="10" t="str">
        <x:f>IF(COUNT(X832,W832)=2,X832-W832,"")</x:f>
      </x:c>
      <x:c r="Z832" s="10" t="n">
        <x:v>0</x:v>
      </x:c>
      <x:c r="AA832" s="10" t="str">
        <x:f>IF(COUNT(AX832,AY832)=2,AX832+AY832,"")</x:f>
      </x:c>
      <x:c r="AB832" s="10" t="str">
        <x:f>IF(COUNT(AA832,Z832)=2,AA832-Z832,"")</x:f>
      </x:c>
      <x:c r="AC832" s="10" t="n">
        <x:v>93</x:v>
      </x:c>
      <x:c r="AD832" s="10"/>
      <x:c r="AE832" s="10" t="str">
        <x:f>IF(COUNT(AD832,AC832)=2,AD832-AC832,"")</x:f>
      </x:c>
      <x:c r="AF832" s="10" t="n">
        <x:v>101</x:v>
      </x:c>
      <x:c r="AG832" s="10"/>
      <x:c r="AH832" s="10" t="str">
        <x:f>IF(COUNT(AG832,AF832)=2,AG832-AF832,"")</x:f>
      </x:c>
      <x:c r="AI832" s="10" t="n">
        <x:v>104</x:v>
      </x:c>
      <x:c r="AJ832" s="10"/>
      <x:c r="AK832" s="10" t="str">
        <x:f>IF(COUNT(AJ832,AI832)=2,AJ832-AI832,"")</x:f>
      </x:c>
      <x:c r="AL832" s="10" t="n">
        <x:v>27</x:v>
      </x:c>
      <x:c r="AM832" s="10"/>
      <x:c r="AN832" s="4" t="str">
        <x:v>D</x:v>
      </x:c>
      <x:c r="AO832" s="4"/>
      <x:c r="AP832" s="4" t="str">
        <x:v>NSH</x:v>
      </x:c>
      <x:c r="AQ832" s="4"/>
      <x:c r="AR832" s="4" t="n">
        <x:v>19.2</x:v>
      </x:c>
      <x:c r="AS832" s="4"/>
      <x:c r="AT832" s="4" t="n">
        <x:v>0.04</x:v>
      </x:c>
      <x:c r="AU832" s="4"/>
      <x:c r="AV832" s="10"/>
      <x:c r="AW832" s="10"/>
      <x:c r="AX832" s="10"/>
      <x:c r="AY832" s="10"/>
      <x:c r="AZ832" s="10" t="n">
        <x:v>1045</x:v>
      </x:c>
      <x:c r="BA832" s="10" t="n">
        <x:v>1041</x:v>
      </x:c>
      <x:c r="BB832" s="4" t="n">
        <x:v>50.1</x:v>
      </x:c>
      <x:c r="BC832" s="4" t="n">
        <x:v>0.3</x:v>
      </x:c>
      <x:c r="BD832" s="10" t="n">
        <x:v>731</x:v>
      </x:c>
      <x:c r="BE832" s="10" t="n">
        <x:v>794</x:v>
      </x:c>
      <x:c r="BF832" s="4" t="n">
        <x:v>47.9</x:v>
      </x:c>
      <x:c r="BG832" s="4" t="n">
        <x:v>-0.7</x:v>
      </x:c>
      <x:c r="BH832" s="4" t="n">
        <x:v>8.8</x:v>
      </x:c>
      <x:c r="BI832" s="4" t="n">
        <x:v>90</x:v>
      </x:c>
      <x:c r="BJ832" s="4" t="n">
        <x:v>98.8</x:v>
      </x:c>
      <x:c r="BK832" s="4" t="n">
        <x:v>45.5</x:v>
      </x:c>
      <x:c r="BL832" s="4" t="n">
        <x:v>54.5</x:v>
      </x:c>
      <x:c r="BM832" s="4" t="n">
        <x:v>19.633333333333333</x:v>
      </x:c>
      <x:c r="BN832" s="4" t="n">
        <x:v>17.483333333333334</x:v>
      </x:c>
      <x:c r="BO832" s="10" t="n">
        <x:v>15</x:v>
      </x:c>
      <x:c r="BP832" s="10" t="n">
        <x:v>45</x:v>
      </x:c>
      <x:c r="BQ832" s="4" t="n">
        <x:v>-6.3</x:v>
      </x:c>
      <x:c r="BR832" s="10" t="n">
        <x:v>166</x:v>
      </x:c>
      <x:c r="BS832" s="4" t="n">
        <x:v>33.7</x:v>
      </x:c>
      <x:c r="BT832" s="10" t="n">
        <x:v>62</x:v>
      </x:c>
      <x:c r="BU832" s="4" t="str">
        <x:v>NSH</x:v>
      </x:c>
      <x:c r="BV832" s="10" t="n">
        <x:v>600</x:v>
      </x:c>
      <x:c r="BW832" s="10"/>
      <x:c r="BX832" s="10" t="n">
        <x:v>377</x:v>
      </x:c>
      <x:c r="BY832" s="4" t="str">
        <x:v>Nicolas Hague</x:v>
      </x:c>
      <x:c r="BZ832" s="4"/>
      <x:c r="CA832" s="4" t="str">
        <x:v>Nicolas Hague</x:v>
      </x:c>
      <x:c r="CB832" s="4" t="str">
        <x:v>hagueni01</x:v>
      </x:c>
    </x:row>
    <x:row r="833" ht="22" customHeight="1">
      <x:c r="A833" s="4" t="str">
        <x:v>Nikita Alexandrov</x:v>
      </x:c>
      <x:c r="B833" s="4" t="str">
        <x:v>nikitaalexandrov</x:v>
      </x:c>
      <x:c r="C833" s="10" t="n">
        <x:v>1</x:v>
      </x:c>
      <x:c r="D833" s="10" t="n">
        <x:v>0</x:v>
      </x:c>
      <x:c r="E833" s="10" t="n">
        <x:v>0</x:v>
      </x:c>
      <x:c r="F833" s="4" t="n">
        <x:f>IF(COUNT(N833,Q833,T833,W833,Z833,AC833,AF833,AI833)=8,N833*Guide!$E$5+Q833*Guide!$E$6+T833*Guide!$E$7+W833*Guide!$E$8+Z833*Guide!$E$9+AC833*Guide!$E$10+AF833*Guide!$E$11+AI833*Guide!$E$12,"")</x:f>
        <x:v>87.25</x:v>
      </x:c>
      <x:c r="G833" s="4" t="str">
        <x:f>IF(COUNT(O833,R833,U833,X833,AA833,AD833,AG833,AJ833)=8,O833*Guide!$E$5+R833*Guide!$E$6+U833*Guide!$E$7+X833*Guide!$E$8+AA833*Guide!$E$9+AD833*Guide!$E$10+AG833*Guide!$E$11+AJ833*Guide!$E$12,"")</x:f>
      </x:c>
      <x:c r="H833" s="4" t="str">
        <x:f>IF(COUNT(G833,F833)=2,G833-F833,"")</x:f>
      </x:c>
      <x:c r="I833" s="4" t="n">
        <x:f>IF(AND(ISNUMBER(F833),K833&gt;0),F833/K833,"")</x:f>
        <x:v>1.5043103448275863</x:v>
      </x:c>
      <x:c r="J833" s="4" t="str">
        <x:f>IF(AND(ISNUMBER(G833),L833&gt;0),G833/L833,"")</x:f>
      </x:c>
      <x:c r="K833" s="10" t="n">
        <x:v>58</x:v>
      </x:c>
      <x:c r="L833" s="10"/>
      <x:c r="M833" s="10" t="str">
        <x:f>IF(COUNT(L833,K833)=2,L833-K833,"")</x:f>
      </x:c>
      <x:c r="N833" s="10" t="n">
        <x:v>5</x:v>
      </x:c>
      <x:c r="O833" s="10"/>
      <x:c r="P833" s="10" t="str">
        <x:f>IF(COUNT(O833,N833)=2,O833-N833,"")</x:f>
      </x:c>
      <x:c r="Q833" s="10" t="n">
        <x:v>8</x:v>
      </x:c>
      <x:c r="R833" s="10"/>
      <x:c r="S833" s="10" t="str">
        <x:f>IF(COUNT(R833,Q833)=2,R833-Q833,"")</x:f>
      </x:c>
      <x:c r="T833" s="10" t="n">
        <x:v>-2</x:v>
      </x:c>
      <x:c r="U833" s="10"/>
      <x:c r="V833" s="10" t="str">
        <x:f>IF(COUNT(U833,T833)=2,U833-T833,"")</x:f>
      </x:c>
      <x:c r="W833" s="10" t="n">
        <x:v>0</x:v>
      </x:c>
      <x:c r="X833" s="10" t="str">
        <x:f>IF(COUNT(AV833,AW833)=2,AV833+AW833,"")</x:f>
      </x:c>
      <x:c r="Y833" s="10" t="str">
        <x:f>IF(COUNT(X833,W833)=2,X833-W833,"")</x:f>
      </x:c>
      <x:c r="Z833" s="10" t="n">
        <x:v>0</x:v>
      </x:c>
      <x:c r="AA833" s="10" t="str">
        <x:f>IF(COUNT(AX833,AY833)=2,AX833+AY833,"")</x:f>
      </x:c>
      <x:c r="AB833" s="10" t="str">
        <x:f>IF(COUNT(AA833,Z833)=2,AA833-Z833,"")</x:f>
      </x:c>
      <x:c r="AC833" s="10" t="n">
        <x:v>47</x:v>
      </x:c>
      <x:c r="AD833" s="10"/>
      <x:c r="AE833" s="10" t="str">
        <x:f>IF(COUNT(AD833,AC833)=2,AD833-AC833,"")</x:f>
      </x:c>
      <x:c r="AF833" s="10" t="n">
        <x:v>68</x:v>
      </x:c>
      <x:c r="AG833" s="10"/>
      <x:c r="AH833" s="10" t="str">
        <x:f>IF(COUNT(AG833,AF833)=2,AG833-AF833,"")</x:f>
      </x:c>
      <x:c r="AI833" s="10" t="n">
        <x:v>22</x:v>
      </x:c>
      <x:c r="AJ833" s="10"/>
      <x:c r="AK833" s="10" t="str">
        <x:f>IF(COUNT(AJ833,AI833)=2,AJ833-AI833,"")</x:f>
      </x:c>
      <x:c r="AL833" s="10" t="n">
        <x:v>25</x:v>
      </x:c>
      <x:c r="AM833" s="10"/>
      <x:c r="AN833" s="4" t="str">
        <x:v>C</x:v>
      </x:c>
      <x:c r="AO833" s="4"/>
      <x:c r="AP833" s="4" t="str">
        <x:v>STL</x:v>
      </x:c>
      <x:c r="AQ833" s="4"/>
      <x:c r="AR833" s="4" t="n">
        <x:v>9.290000000000001</x:v>
      </x:c>
      <x:c r="AS833" s="4"/>
      <x:c r="AT833" s="4" t="n">
        <x:v>0.07</x:v>
      </x:c>
      <x:c r="AU833" s="4"/>
      <x:c r="AV833" s="10"/>
      <x:c r="AW833" s="10"/>
      <x:c r="AX833" s="10"/>
      <x:c r="AY833" s="10"/>
      <x:c r="AZ833" s="10"/>
      <x:c r="BA833" s="10"/>
      <x:c r="BB833" s="4"/>
      <x:c r="BC833" s="4"/>
      <x:c r="BD833" s="10"/>
      <x:c r="BE833" s="10"/>
      <x:c r="BF833" s="4"/>
      <x:c r="BG833" s="4"/>
      <x:c r="BH833" s="4"/>
      <x:c r="BI833" s="4"/>
      <x:c r="BJ833" s="4"/>
      <x:c r="BK833" s="4"/>
      <x:c r="BL833" s="4"/>
      <x:c r="BM833" s="4"/>
      <x:c r="BN833" s="4"/>
      <x:c r="BO833" s="10"/>
      <x:c r="BP833" s="10"/>
      <x:c r="BQ833" s="4"/>
      <x:c r="BR833" s="10"/>
      <x:c r="BS833" s="4"/>
      <x:c r="BT833" s="10"/>
      <x:c r="BU833" s="4"/>
      <x:c r="BV833" s="10" t="n">
        <x:v>680</x:v>
      </x:c>
      <x:c r="BW833" s="10"/>
      <x:c r="BX833" s="10"/>
      <x:c r="BY833" s="4" t="str">
        <x:v>Nikita Alexandrov</x:v>
      </x:c>
      <x:c r="BZ833" s="4"/>
      <x:c r="CA833" s="4"/>
      <x:c r="CB833" s="4"/>
    </x:row>
    <x:row r="834" ht="22" customHeight="1">
      <x:c r="A834" s="4" t="str">
        <x:v>Nikita Chibrikov</x:v>
      </x:c>
      <x:c r="B834" s="4" t="str">
        <x:v>nikitachibrikov</x:v>
      </x:c>
      <x:c r="C834" s="10" t="n">
        <x:v>0</x:v>
      </x:c>
      <x:c r="D834" s="10" t="n">
        <x:v>0</x:v>
      </x:c>
      <x:c r="E834" s="10" t="n">
        <x:v>1</x:v>
      </x:c>
      <x:c r="F834" s="4" t="str">
        <x:f>IF(COUNT(N834,Q834,T834,W834,Z834,AC834,AF834,AI834)=8,N834*Guide!$E$5+Q834*Guide!$E$6+T834*Guide!$E$7+W834*Guide!$E$8+Z834*Guide!$E$9+AC834*Guide!$E$10+AF834*Guide!$E$11+AI834*Guide!$E$12,"")</x:f>
      </x:c>
      <x:c r="G834" s="4" t="str">
        <x:f>IF(COUNT(O834,R834,U834,X834,AA834,AD834,AG834,AJ834)=8,O834*Guide!$E$5+R834*Guide!$E$6+U834*Guide!$E$7+X834*Guide!$E$8+AA834*Guide!$E$9+AD834*Guide!$E$10+AG834*Guide!$E$11+AJ834*Guide!$E$12,"")</x:f>
      </x:c>
      <x:c r="H834" s="4" t="str">
        <x:f>IF(COUNT(G834,F834)=2,G834-F834,"")</x:f>
      </x:c>
      <x:c r="I834" s="4" t="str">
        <x:f>IF(AND(ISNUMBER(F834),K834&gt;0),F834/K834,"")</x:f>
      </x:c>
      <x:c r="J834" s="4" t="str">
        <x:f>IF(AND(ISNUMBER(G834),L834&gt;0),G834/L834,"")</x:f>
      </x:c>
      <x:c r="K834" s="10"/>
      <x:c r="L834" s="10"/>
      <x:c r="M834" s="10" t="str">
        <x:f>IF(COUNT(L834,K834)=2,L834-K834,"")</x:f>
      </x:c>
      <x:c r="N834" s="10"/>
      <x:c r="O834" s="10"/>
      <x:c r="P834" s="10" t="str">
        <x:f>IF(COUNT(O834,N834)=2,O834-N834,"")</x:f>
      </x:c>
      <x:c r="Q834" s="10"/>
      <x:c r="R834" s="10"/>
      <x:c r="S834" s="10" t="str">
        <x:f>IF(COUNT(R834,Q834)=2,R834-Q834,"")</x:f>
      </x:c>
      <x:c r="T834" s="10"/>
      <x:c r="U834" s="10"/>
      <x:c r="V834" s="10" t="str">
        <x:f>IF(COUNT(U834,T834)=2,U834-T834,"")</x:f>
      </x:c>
      <x:c r="W834" s="10"/>
      <x:c r="X834" s="10" t="str">
        <x:f>IF(COUNT(AV834,AW834)=2,AV834+AW834,"")</x:f>
      </x:c>
      <x:c r="Y834" s="10" t="str">
        <x:f>IF(COUNT(X834,W834)=2,X834-W834,"")</x:f>
      </x:c>
      <x:c r="Z834" s="10"/>
      <x:c r="AA834" s="10" t="str">
        <x:f>IF(COUNT(AX834,AY834)=2,AX834+AY834,"")</x:f>
      </x:c>
      <x:c r="AB834" s="10" t="str">
        <x:f>IF(COUNT(AA834,Z834)=2,AA834-Z834,"")</x:f>
      </x:c>
      <x:c r="AC834" s="10"/>
      <x:c r="AD834" s="10"/>
      <x:c r="AE834" s="10" t="str">
        <x:f>IF(COUNT(AD834,AC834)=2,AD834-AC834,"")</x:f>
      </x:c>
      <x:c r="AF834" s="10"/>
      <x:c r="AG834" s="10"/>
      <x:c r="AH834" s="10" t="str">
        <x:f>IF(COUNT(AG834,AF834)=2,AG834-AF834,"")</x:f>
      </x:c>
      <x:c r="AI834" s="10"/>
      <x:c r="AJ834" s="10"/>
      <x:c r="AK834" s="10" t="str">
        <x:f>IF(COUNT(AJ834,AI834)=2,AJ834-AI834,"")</x:f>
      </x:c>
      <x:c r="AL834" s="10"/>
      <x:c r="AM834" s="10"/>
      <x:c r="AN834" s="4"/>
      <x:c r="AO834" s="4"/>
      <x:c r="AP834" s="4"/>
      <x:c r="AQ834" s="4"/>
      <x:c r="AR834" s="4"/>
      <x:c r="AS834" s="4"/>
      <x:c r="AT834" s="4"/>
      <x:c r="AU834" s="4"/>
      <x:c r="AV834" s="10"/>
      <x:c r="AW834" s="10"/>
      <x:c r="AX834" s="10"/>
      <x:c r="AY834" s="10"/>
      <x:c r="AZ834" s="10" t="n">
        <x:v>80</x:v>
      </x:c>
      <x:c r="BA834" s="10" t="n">
        <x:v>84</x:v>
      </x:c>
      <x:c r="BB834" s="4" t="n">
        <x:v>48.8</x:v>
      </x:c>
      <x:c r="BC834" s="4" t="n">
        <x:v>5.4</x:v>
      </x:c>
      <x:c r="BD834" s="10" t="n">
        <x:v>54</x:v>
      </x:c>
      <x:c r="BE834" s="10" t="n">
        <x:v>57</x:v>
      </x:c>
      <x:c r="BF834" s="4" t="n">
        <x:v>48.6</x:v>
      </x:c>
      <x:c r="BG834" s="4" t="n">
        <x:v>5.2</x:v>
      </x:c>
      <x:c r="BH834" s="4" t="n">
        <x:v>15.4</x:v>
      </x:c>
      <x:c r="BI834" s="4" t="n">
        <x:v>88.9</x:v>
      </x:c>
      <x:c r="BJ834" s="4" t="n">
        <x:v>104.3</x:v>
      </x:c>
      <x:c r="BK834" s="4" t="n">
        <x:v>65.2</x:v>
      </x:c>
      <x:c r="BL834" s="4" t="n">
        <x:v>34.8</x:v>
      </x:c>
      <x:c r="BM834" s="4" t="n">
        <x:v>9.183333333333334</x:v>
      </x:c>
      <x:c r="BN834" s="4" t="n">
        <x:v>9.033333333333333</x:v>
      </x:c>
      <x:c r="BO834" s="10" t="n">
        <x:v>2</x:v>
      </x:c>
      <x:c r="BP834" s="10" t="n">
        <x:v>8</x:v>
      </x:c>
      <x:c r="BQ834" s="4" t="n">
        <x:v>-0.4</x:v>
      </x:c>
      <x:c r="BR834" s="10" t="n">
        <x:v>24</x:v>
      </x:c>
      <x:c r="BS834" s="4" t="n">
        <x:v>37.5</x:v>
      </x:c>
      <x:c r="BT834" s="10" t="n">
        <x:v>11</x:v>
      </x:c>
      <x:c r="BU834" s="4" t="str">
        <x:v>WPG</x:v>
      </x:c>
      <x:c r="BV834" s="10"/>
      <x:c r="BW834" s="10"/>
      <x:c r="BX834" s="10" t="n">
        <x:v>148</x:v>
      </x:c>
      <x:c r="BY834" s="4"/>
      <x:c r="BZ834" s="4"/>
      <x:c r="CA834" s="4" t="str">
        <x:v>Nikita Chibrikov</x:v>
      </x:c>
      <x:c r="CB834" s="4" t="str">
        <x:v>chibrni01</x:v>
      </x:c>
    </x:row>
    <x:row r="835" ht="22" customHeight="1">
      <x:c r="A835" s="4" t="str">
        <x:v>Nikita Grebenkin</x:v>
      </x:c>
      <x:c r="B835" s="4" t="str">
        <x:v>nikitagrebenkin</x:v>
      </x:c>
      <x:c r="C835" s="10" t="n">
        <x:v>0</x:v>
      </x:c>
      <x:c r="D835" s="10" t="n">
        <x:v>0</x:v>
      </x:c>
      <x:c r="E835" s="10" t="n">
        <x:v>1</x:v>
      </x:c>
      <x:c r="F835" s="4" t="str">
        <x:f>IF(COUNT(N835,Q835,T835,W835,Z835,AC835,AF835,AI835)=8,N835*Guide!$E$5+Q835*Guide!$E$6+T835*Guide!$E$7+W835*Guide!$E$8+Z835*Guide!$E$9+AC835*Guide!$E$10+AF835*Guide!$E$11+AI835*Guide!$E$12,"")</x:f>
      </x:c>
      <x:c r="G835" s="4" t="str">
        <x:f>IF(COUNT(O835,R835,U835,X835,AA835,AD835,AG835,AJ835)=8,O835*Guide!$E$5+R835*Guide!$E$6+U835*Guide!$E$7+X835*Guide!$E$8+AA835*Guide!$E$9+AD835*Guide!$E$10+AG835*Guide!$E$11+AJ835*Guide!$E$12,"")</x:f>
      </x:c>
      <x:c r="H835" s="4" t="str">
        <x:f>IF(COUNT(G835,F835)=2,G835-F835,"")</x:f>
      </x:c>
      <x:c r="I835" s="4" t="str">
        <x:f>IF(AND(ISNUMBER(F835),K835&gt;0),F835/K835,"")</x:f>
      </x:c>
      <x:c r="J835" s="4" t="str">
        <x:f>IF(AND(ISNUMBER(G835),L835&gt;0),G835/L835,"")</x:f>
      </x:c>
      <x:c r="K835" s="10"/>
      <x:c r="L835" s="10"/>
      <x:c r="M835" s="10" t="str">
        <x:f>IF(COUNT(L835,K835)=2,L835-K835,"")</x:f>
      </x:c>
      <x:c r="N835" s="10"/>
      <x:c r="O835" s="10"/>
      <x:c r="P835" s="10" t="str">
        <x:f>IF(COUNT(O835,N835)=2,O835-N835,"")</x:f>
      </x:c>
      <x:c r="Q835" s="10"/>
      <x:c r="R835" s="10"/>
      <x:c r="S835" s="10" t="str">
        <x:f>IF(COUNT(R835,Q835)=2,R835-Q835,"")</x:f>
      </x:c>
      <x:c r="T835" s="10"/>
      <x:c r="U835" s="10"/>
      <x:c r="V835" s="10" t="str">
        <x:f>IF(COUNT(U835,T835)=2,U835-T835,"")</x:f>
      </x:c>
      <x:c r="W835" s="10"/>
      <x:c r="X835" s="10" t="str">
        <x:f>IF(COUNT(AV835,AW835)=2,AV835+AW835,"")</x:f>
      </x:c>
      <x:c r="Y835" s="10" t="str">
        <x:f>IF(COUNT(X835,W835)=2,X835-W835,"")</x:f>
      </x:c>
      <x:c r="Z835" s="10"/>
      <x:c r="AA835" s="10" t="str">
        <x:f>IF(COUNT(AX835,AY835)=2,AX835+AY835,"")</x:f>
      </x:c>
      <x:c r="AB835" s="10" t="str">
        <x:f>IF(COUNT(AA835,Z835)=2,AA835-Z835,"")</x:f>
      </x:c>
      <x:c r="AC835" s="10"/>
      <x:c r="AD835" s="10"/>
      <x:c r="AE835" s="10" t="str">
        <x:f>IF(COUNT(AD835,AC835)=2,AD835-AC835,"")</x:f>
      </x:c>
      <x:c r="AF835" s="10"/>
      <x:c r="AG835" s="10"/>
      <x:c r="AH835" s="10" t="str">
        <x:f>IF(COUNT(AG835,AF835)=2,AG835-AF835,"")</x:f>
      </x:c>
      <x:c r="AI835" s="10"/>
      <x:c r="AJ835" s="10"/>
      <x:c r="AK835" s="10" t="str">
        <x:f>IF(COUNT(AJ835,AI835)=2,AJ835-AI835,"")</x:f>
      </x:c>
      <x:c r="AL835" s="10"/>
      <x:c r="AM835" s="10"/>
      <x:c r="AN835" s="4"/>
      <x:c r="AO835" s="4"/>
      <x:c r="AP835" s="4"/>
      <x:c r="AQ835" s="4"/>
      <x:c r="AR835" s="4"/>
      <x:c r="AS835" s="4"/>
      <x:c r="AT835" s="4"/>
      <x:c r="AU835" s="4"/>
      <x:c r="AV835" s="10"/>
      <x:c r="AW835" s="10"/>
      <x:c r="AX835" s="10"/>
      <x:c r="AY835" s="10"/>
      <x:c r="AZ835" s="10" t="n">
        <x:v>501</x:v>
      </x:c>
      <x:c r="BA835" s="10" t="n">
        <x:v>537</x:v>
      </x:c>
      <x:c r="BB835" s="4" t="n">
        <x:v>48.3</x:v>
      </x:c>
      <x:c r="BC835" s="4" t="n">
        <x:v>1.1</x:v>
      </x:c>
      <x:c r="BD835" s="10" t="n">
        <x:v>342</x:v>
      </x:c>
      <x:c r="BE835" s="10" t="n">
        <x:v>379</x:v>
      </x:c>
      <x:c r="BF835" s="4" t="n">
        <x:v>47.4</x:v>
      </x:c>
      <x:c r="BG835" s="4" t="n">
        <x:v>-0.3</x:v>
      </x:c>
      <x:c r="BH835" s="4" t="n">
        <x:v>8.7</x:v>
      </x:c>
      <x:c r="BI835" s="4" t="n">
        <x:v>88.6</x:v>
      </x:c>
      <x:c r="BJ835" s="4" t="n">
        <x:v>97.3</x:v>
      </x:c>
      <x:c r="BK835" s="4" t="n">
        <x:v>43.3</x:v>
      </x:c>
      <x:c r="BL835" s="4" t="n">
        <x:v>56.7</x:v>
      </x:c>
      <x:c r="BM835" s="4" t="n">
        <x:v>11.283333333333333</x:v>
      </x:c>
      <x:c r="BN835" s="4" t="n">
        <x:v>11.083333333333334</x:v>
      </x:c>
      <x:c r="BO835" s="10" t="n">
        <x:v>13</x:v>
      </x:c>
      <x:c r="BP835" s="10" t="n">
        <x:v>35</x:v>
      </x:c>
      <x:c r="BQ835" s="4" t="n">
        <x:v>0.1</x:v>
      </x:c>
      <x:c r="BR835" s="10" t="n">
        <x:v>73</x:v>
      </x:c>
      <x:c r="BS835" s="4" t="n">
        <x:v>43.8</x:v>
      </x:c>
      <x:c r="BT835" s="10" t="n">
        <x:v>55</x:v>
      </x:c>
      <x:c r="BU835" s="4" t="str">
        <x:v>PHI</x:v>
      </x:c>
      <x:c r="BV835" s="10"/>
      <x:c r="BW835" s="10"/>
      <x:c r="BX835" s="10" t="n">
        <x:v>355</x:v>
      </x:c>
      <x:c r="BY835" s="4"/>
      <x:c r="BZ835" s="4"/>
      <x:c r="CA835" s="4" t="str">
        <x:v>Nikita Grebenkin</x:v>
      </x:c>
      <x:c r="CB835" s="4" t="str">
        <x:v>grebeni01</x:v>
      </x:c>
    </x:row>
    <x:row r="836" ht="22" customHeight="1">
      <x:c r="A836" s="4" t="str">
        <x:v>Nikita Nesterenko</x:v>
      </x:c>
      <x:c r="B836" s="4" t="str">
        <x:v>nikitanesterenko</x:v>
      </x:c>
      <x:c r="C836" s="10" t="n">
        <x:v>1</x:v>
      </x:c>
      <x:c r="D836" s="10" t="n">
        <x:v>0</x:v>
      </x:c>
      <x:c r="E836" s="10" t="n">
        <x:v>1</x:v>
      </x:c>
      <x:c r="F836" s="4" t="n">
        <x:f>IF(COUNT(N836,Q836,T836,W836,Z836,AC836,AF836,AI836)=8,N836*Guide!$E$5+Q836*Guide!$E$6+T836*Guide!$E$7+W836*Guide!$E$8+Z836*Guide!$E$9+AC836*Guide!$E$10+AF836*Guide!$E$11+AI836*Guide!$E$12,"")</x:f>
        <x:v>85.75</x:v>
      </x:c>
      <x:c r="G836" s="4" t="str">
        <x:f>IF(COUNT(O836,R836,U836,X836,AA836,AD836,AG836,AJ836)=8,O836*Guide!$E$5+R836*Guide!$E$6+U836*Guide!$E$7+X836*Guide!$E$8+AA836*Guide!$E$9+AD836*Guide!$E$10+AG836*Guide!$E$11+AJ836*Guide!$E$12,"")</x:f>
      </x:c>
      <x:c r="H836" s="4" t="str">
        <x:f>IF(COUNT(G836,F836)=2,G836-F836,"")</x:f>
      </x:c>
      <x:c r="I836" s="4" t="n">
        <x:f>IF(AND(ISNUMBER(F836),K836&gt;0),F836/K836,"")</x:f>
        <x:v>2.2565789473684212</x:v>
      </x:c>
      <x:c r="J836" s="4" t="str">
        <x:f>IF(AND(ISNUMBER(G836),L836&gt;0),G836/L836,"")</x:f>
      </x:c>
      <x:c r="K836" s="10" t="n">
        <x:v>38</x:v>
      </x:c>
      <x:c r="L836" s="10"/>
      <x:c r="M836" s="10" t="str">
        <x:f>IF(COUNT(L836,K836)=2,L836-K836,"")</x:f>
      </x:c>
      <x:c r="N836" s="10" t="n">
        <x:v>7</x:v>
      </x:c>
      <x:c r="O836" s="10"/>
      <x:c r="P836" s="10" t="str">
        <x:f>IF(COUNT(O836,N836)=2,O836-N836,"")</x:f>
      </x:c>
      <x:c r="Q836" s="10" t="n">
        <x:v>6</x:v>
      </x:c>
      <x:c r="R836" s="10"/>
      <x:c r="S836" s="10" t="str">
        <x:f>IF(COUNT(R836,Q836)=2,R836-Q836,"")</x:f>
      </x:c>
      <x:c r="T836" s="10" t="n">
        <x:v>-1</x:v>
      </x:c>
      <x:c r="U836" s="10"/>
      <x:c r="V836" s="10" t="str">
        <x:f>IF(COUNT(U836,T836)=2,U836-T836,"")</x:f>
      </x:c>
      <x:c r="W836" s="10" t="n">
        <x:v>0</x:v>
      </x:c>
      <x:c r="X836" s="10" t="str">
        <x:f>IF(COUNT(AV836,AW836)=2,AV836+AW836,"")</x:f>
      </x:c>
      <x:c r="Y836" s="10" t="str">
        <x:f>IF(COUNT(X836,W836)=2,X836-W836,"")</x:f>
      </x:c>
      <x:c r="Z836" s="10" t="n">
        <x:v>0</x:v>
      </x:c>
      <x:c r="AA836" s="10" t="str">
        <x:f>IF(COUNT(AX836,AY836)=2,AX836+AY836,"")</x:f>
      </x:c>
      <x:c r="AB836" s="10" t="str">
        <x:f>IF(COUNT(AA836,Z836)=2,AA836-Z836,"")</x:f>
      </x:c>
      <x:c r="AC836" s="10" t="n">
        <x:v>42</x:v>
      </x:c>
      <x:c r="AD836" s="10"/>
      <x:c r="AE836" s="10" t="str">
        <x:f>IF(COUNT(AD836,AC836)=2,AD836-AC836,"")</x:f>
      </x:c>
      <x:c r="AF836" s="10" t="n">
        <x:v>79</x:v>
      </x:c>
      <x:c r="AG836" s="10"/>
      <x:c r="AH836" s="10" t="str">
        <x:f>IF(COUNT(AG836,AF836)=2,AG836-AF836,"")</x:f>
      </x:c>
      <x:c r="AI836" s="10" t="n">
        <x:v>14</x:v>
      </x:c>
      <x:c r="AJ836" s="10"/>
      <x:c r="AK836" s="10" t="str">
        <x:f>IF(COUNT(AJ836,AI836)=2,AJ836-AI836,"")</x:f>
      </x:c>
      <x:c r="AL836" s="10" t="n">
        <x:v>24</x:v>
      </x:c>
      <x:c r="AM836" s="10"/>
      <x:c r="AN836" s="4" t="str">
        <x:v>C</x:v>
      </x:c>
      <x:c r="AO836" s="4"/>
      <x:c r="AP836" s="4" t="str">
        <x:v>ANA</x:v>
      </x:c>
      <x:c r="AQ836" s="4"/>
      <x:c r="AR836" s="4" t="n">
        <x:v>10.66</x:v>
      </x:c>
      <x:c r="AS836" s="4"/>
      <x:c r="AT836" s="4" t="n">
        <x:v>0.13</x:v>
      </x:c>
      <x:c r="AU836" s="4"/>
      <x:c r="AV836" s="10"/>
      <x:c r="AW836" s="10"/>
      <x:c r="AX836" s="10"/>
      <x:c r="AY836" s="10"/>
      <x:c r="AZ836" s="10" t="n">
        <x:v>310</x:v>
      </x:c>
      <x:c r="BA836" s="10" t="n">
        <x:v>328</x:v>
      </x:c>
      <x:c r="BB836" s="4" t="n">
        <x:v>48.6</x:v>
      </x:c>
      <x:c r="BC836" s="4" t="n">
        <x:v>-5.3</x:v>
      </x:c>
      <x:c r="BD836" s="10" t="n">
        <x:v>227</x:v>
      </x:c>
      <x:c r="BE836" s="10" t="n">
        <x:v>220</x:v>
      </x:c>
      <x:c r="BF836" s="4" t="n">
        <x:v>50.8</x:v>
      </x:c>
      <x:c r="BG836" s="4" t="n">
        <x:v>-2.2</x:v>
      </x:c>
      <x:c r="BH836" s="4" t="n">
        <x:v>8.7</x:v>
      </x:c>
      <x:c r="BI836" s="4" t="n">
        <x:v>90.8</x:v>
      </x:c>
      <x:c r="BJ836" s="4" t="n">
        <x:v>99.5</x:v>
      </x:c>
      <x:c r="BK836" s="4" t="n">
        <x:v>44.6</x:v>
      </x:c>
      <x:c r="BL836" s="4" t="n">
        <x:v>55.4</x:v>
      </x:c>
      <x:c r="BM836" s="4" t="n">
        <x:v>12.25</x:v>
      </x:c>
      <x:c r="BN836" s="4" t="n">
        <x:v>11.333333333333334</x:v>
      </x:c>
      <x:c r="BO836" s="10" t="n">
        <x:v>1</x:v>
      </x:c>
      <x:c r="BP836" s="10" t="n">
        <x:v>14</x:v>
      </x:c>
      <x:c r="BQ836" s="4" t="n">
        <x:v>-2.2</x:v>
      </x:c>
      <x:c r="BR836" s="10" t="n">
        <x:v>69</x:v>
      </x:c>
      <x:c r="BS836" s="4" t="n">
        <x:v>44.9</x:v>
      </x:c>
      <x:c r="BT836" s="10" t="n">
        <x:v>29</x:v>
      </x:c>
      <x:c r="BU836" s="4" t="str">
        <x:v>ANA</x:v>
      </x:c>
      <x:c r="BV836" s="10" t="n">
        <x:v>682</x:v>
      </x:c>
      <x:c r="BW836" s="10"/>
      <x:c r="BX836" s="10" t="n">
        <x:v>736</x:v>
      </x:c>
      <x:c r="BY836" s="4" t="str">
        <x:v>Nikita Nesterenko</x:v>
      </x:c>
      <x:c r="BZ836" s="4"/>
      <x:c r="CA836" s="4" t="str">
        <x:v>Nikita Nesterenko</x:v>
      </x:c>
      <x:c r="CB836" s="4" t="str">
        <x:v>nesteni02</x:v>
      </x:c>
    </x:row>
    <x:row r="837" ht="22" customHeight="1">
      <x:c r="A837" s="4" t="str">
        <x:v>Niko Mikkola</x:v>
      </x:c>
      <x:c r="B837" s="4" t="str">
        <x:v>nikomikkola</x:v>
      </x:c>
      <x:c r="C837" s="10" t="n">
        <x:v>1</x:v>
      </x:c>
      <x:c r="D837" s="10" t="n">
        <x:v>0</x:v>
      </x:c>
      <x:c r="E837" s="10" t="n">
        <x:v>1</x:v>
      </x:c>
      <x:c r="F837" s="4" t="n">
        <x:f>IF(COUNT(N837,Q837,T837,W837,Z837,AC837,AF837,AI837)=8,N837*Guide!$E$5+Q837*Guide!$E$6+T837*Guide!$E$7+W837*Guide!$E$8+Z837*Guide!$E$9+AC837*Guide!$E$10+AF837*Guide!$E$11+AI837*Guide!$E$12,"")</x:f>
        <x:v>212.25</x:v>
      </x:c>
      <x:c r="G837" s="4" t="str">
        <x:f>IF(COUNT(O837,R837,U837,X837,AA837,AD837,AG837,AJ837)=8,O837*Guide!$E$5+R837*Guide!$E$6+U837*Guide!$E$7+X837*Guide!$E$8+AA837*Guide!$E$9+AD837*Guide!$E$10+AG837*Guide!$E$11+AJ837*Guide!$E$12,"")</x:f>
      </x:c>
      <x:c r="H837" s="4" t="str">
        <x:f>IF(COUNT(G837,F837)=2,G837-F837,"")</x:f>
      </x:c>
      <x:c r="I837" s="4" t="n">
        <x:f>IF(AND(ISNUMBER(F837),K837&gt;0),F837/K837,"")</x:f>
        <x:v>2.7211538461538463</x:v>
      </x:c>
      <x:c r="J837" s="4" t="str">
        <x:f>IF(AND(ISNUMBER(G837),L837&gt;0),G837/L837,"")</x:f>
      </x:c>
      <x:c r="K837" s="10" t="n">
        <x:v>78</x:v>
      </x:c>
      <x:c r="L837" s="10"/>
      <x:c r="M837" s="10" t="str">
        <x:f>IF(COUNT(L837,K837)=2,L837-K837,"")</x:f>
      </x:c>
      <x:c r="N837" s="10" t="n">
        <x:v>5</x:v>
      </x:c>
      <x:c r="O837" s="10"/>
      <x:c r="P837" s="10" t="str">
        <x:f>IF(COUNT(O837,N837)=2,O837-N837,"")</x:f>
      </x:c>
      <x:c r="Q837" s="10" t="n">
        <x:v>13</x:v>
      </x:c>
      <x:c r="R837" s="10"/>
      <x:c r="S837" s="10" t="str">
        <x:f>IF(COUNT(R837,Q837)=2,R837-Q837,"")</x:f>
      </x:c>
      <x:c r="T837" s="10" t="n">
        <x:v>14</x:v>
      </x:c>
      <x:c r="U837" s="10"/>
      <x:c r="V837" s="10" t="str">
        <x:f>IF(COUNT(U837,T837)=2,U837-T837,"")</x:f>
      </x:c>
      <x:c r="W837" s="10" t="n">
        <x:v>1</x:v>
      </x:c>
      <x:c r="X837" s="10" t="str">
        <x:f>IF(COUNT(AV837,AW837)=2,AV837+AW837,"")</x:f>
      </x:c>
      <x:c r="Y837" s="10" t="str">
        <x:f>IF(COUNT(X837,W837)=2,X837-W837,"")</x:f>
      </x:c>
      <x:c r="Z837" s="10" t="n">
        <x:v>1</x:v>
      </x:c>
      <x:c r="AA837" s="10" t="str">
        <x:f>IF(COUNT(AX837,AY837)=2,AX837+AY837,"")</x:f>
      </x:c>
      <x:c r="AB837" s="10" t="str">
        <x:f>IF(COUNT(AA837,Z837)=2,AA837-Z837,"")</x:f>
      </x:c>
      <x:c r="AC837" s="10" t="n">
        <x:v>103</x:v>
      </x:c>
      <x:c r="AD837" s="10"/>
      <x:c r="AE837" s="10" t="str">
        <x:f>IF(COUNT(AD837,AC837)=2,AD837-AC837,"")</x:f>
      </x:c>
      <x:c r="AF837" s="10" t="n">
        <x:v>135</x:v>
      </x:c>
      <x:c r="AG837" s="10"/>
      <x:c r="AH837" s="10" t="str">
        <x:f>IF(COUNT(AG837,AF837)=2,AG837-AF837,"")</x:f>
      </x:c>
      <x:c r="AI837" s="10" t="n">
        <x:v>101</x:v>
      </x:c>
      <x:c r="AJ837" s="10"/>
      <x:c r="AK837" s="10" t="str">
        <x:f>IF(COUNT(AJ837,AI837)=2,AJ837-AI837,"")</x:f>
      </x:c>
      <x:c r="AL837" s="10" t="n">
        <x:v>29</x:v>
      </x:c>
      <x:c r="AM837" s="10"/>
      <x:c r="AN837" s="4" t="str">
        <x:v>D</x:v>
      </x:c>
      <x:c r="AO837" s="4"/>
      <x:c r="AP837" s="4" t="str">
        <x:v>FLA</x:v>
      </x:c>
      <x:c r="AQ837" s="4"/>
      <x:c r="AR837" s="4" t="n">
        <x:v>20.229999999999997</x:v>
      </x:c>
      <x:c r="AS837" s="4"/>
      <x:c r="AT837" s="4" t="n">
        <x:v>0.13</x:v>
      </x:c>
      <x:c r="AU837" s="4"/>
      <x:c r="AV837" s="10"/>
      <x:c r="AW837" s="10"/>
      <x:c r="AX837" s="10"/>
      <x:c r="AY837" s="10"/>
      <x:c r="AZ837" s="10" t="n">
        <x:v>1156</x:v>
      </x:c>
      <x:c r="BA837" s="10" t="n">
        <x:v>1080</x:v>
      </x:c>
      <x:c r="BB837" s="4" t="n">
        <x:v>51.7</x:v>
      </x:c>
      <x:c r="BC837" s="4" t="n">
        <x:v>-1.2</x:v>
      </x:c>
      <x:c r="BD837" s="10" t="n">
        <x:v>857</x:v>
      </x:c>
      <x:c r="BE837" s="10" t="n">
        <x:v>814</x:v>
      </x:c>
      <x:c r="BF837" s="4" t="n">
        <x:v>51.3</x:v>
      </x:c>
      <x:c r="BG837" s="4" t="n">
        <x:v>-0.7</x:v>
      </x:c>
      <x:c r="BH837" s="4" t="n">
        <x:v>8.5</x:v>
      </x:c>
      <x:c r="BI837" s="4" t="n">
        <x:v>90.3</x:v>
      </x:c>
      <x:c r="BJ837" s="4" t="n">
        <x:v>98.8</x:v>
      </x:c>
      <x:c r="BK837" s="4" t="n">
        <x:v>49.9</x:v>
      </x:c>
      <x:c r="BL837" s="4" t="n">
        <x:v>50.1</x:v>
      </x:c>
      <x:c r="BM837" s="4" t="n">
        <x:v>20.35</x:v>
      </x:c>
      <x:c r="BN837" s="4" t="n">
        <x:v>17.866666666666667</x:v>
      </x:c>
      <x:c r="BO837" s="10" t="n">
        <x:v>16</x:v>
      </x:c>
      <x:c r="BP837" s="10" t="n">
        <x:v>73</x:v>
      </x:c>
      <x:c r="BQ837" s="4" t="n">
        <x:v>2.5</x:v>
      </x:c>
      <x:c r="BR837" s="10" t="n">
        <x:v>173</x:v>
      </x:c>
      <x:c r="BS837" s="4" t="n">
        <x:v>39.3</x:v>
      </x:c>
      <x:c r="BT837" s="10" t="n">
        <x:v>68</x:v>
      </x:c>
      <x:c r="BU837" s="4" t="str">
        <x:v>FLA</x:v>
      </x:c>
      <x:c r="BV837" s="10" t="n">
        <x:v>559</x:v>
      </x:c>
      <x:c r="BW837" s="10"/>
      <x:c r="BX837" s="10" t="n">
        <x:v>696</x:v>
      </x:c>
      <x:c r="BY837" s="4" t="str">
        <x:v>Niko Mikkola</x:v>
      </x:c>
      <x:c r="BZ837" s="4"/>
      <x:c r="CA837" s="4" t="str">
        <x:v>Niko Mikkola</x:v>
      </x:c>
      <x:c r="CB837" s="4" t="str">
        <x:v>mikkoni01</x:v>
      </x:c>
    </x:row>
    <x:row r="838" ht="22" customHeight="1">
      <x:c r="A838" s="4" t="str">
        <x:v>Nikolas Matinpalo</x:v>
      </x:c>
      <x:c r="B838" s="4" t="str">
        <x:v>nikolasmatinpalo</x:v>
      </x:c>
      <x:c r="C838" s="10" t="n">
        <x:v>1</x:v>
      </x:c>
      <x:c r="D838" s="10" t="n">
        <x:v>0</x:v>
      </x:c>
      <x:c r="E838" s="10" t="n">
        <x:v>1</x:v>
      </x:c>
      <x:c r="F838" s="4" t="n">
        <x:f>IF(COUNT(N838,Q838,T838,W838,Z838,AC838,AF838,AI838)=8,N838*Guide!$E$5+Q838*Guide!$E$6+T838*Guide!$E$7+W838*Guide!$E$8+Z838*Guide!$E$9+AC838*Guide!$E$10+AF838*Guide!$E$11+AI838*Guide!$E$12,"")</x:f>
        <x:v>77.75</x:v>
      </x:c>
      <x:c r="G838" s="4" t="str">
        <x:f>IF(COUNT(O838,R838,U838,X838,AA838,AD838,AG838,AJ838)=8,O838*Guide!$E$5+R838*Guide!$E$6+U838*Guide!$E$7+X838*Guide!$E$8+AA838*Guide!$E$9+AD838*Guide!$E$10+AG838*Guide!$E$11+AJ838*Guide!$E$12,"")</x:f>
      </x:c>
      <x:c r="H838" s="4" t="str">
        <x:f>IF(COUNT(G838,F838)=2,G838-F838,"")</x:f>
      </x:c>
      <x:c r="I838" s="4" t="n">
        <x:f>IF(AND(ISNUMBER(F838),K838&gt;0),F838/K838,"")</x:f>
        <x:v>1.4398148148148149</x:v>
      </x:c>
      <x:c r="J838" s="4" t="str">
        <x:f>IF(AND(ISNUMBER(G838),L838&gt;0),G838/L838,"")</x:f>
      </x:c>
      <x:c r="K838" s="10" t="n">
        <x:v>54</x:v>
      </x:c>
      <x:c r="L838" s="10"/>
      <x:c r="M838" s="10" t="str">
        <x:f>IF(COUNT(L838,K838)=2,L838-K838,"")</x:f>
      </x:c>
      <x:c r="N838" s="10" t="n">
        <x:v>2</x:v>
      </x:c>
      <x:c r="O838" s="10"/>
      <x:c r="P838" s="10" t="str">
        <x:f>IF(COUNT(O838,N838)=2,O838-N838,"")</x:f>
      </x:c>
      <x:c r="Q838" s="10" t="n">
        <x:v>6</x:v>
      </x:c>
      <x:c r="R838" s="10"/>
      <x:c r="S838" s="10" t="str">
        <x:f>IF(COUNT(R838,Q838)=2,R838-Q838,"")</x:f>
      </x:c>
      <x:c r="T838" s="10" t="n">
        <x:v>-1</x:v>
      </x:c>
      <x:c r="U838" s="10"/>
      <x:c r="V838" s="10" t="str">
        <x:f>IF(COUNT(U838,T838)=2,U838-T838,"")</x:f>
      </x:c>
      <x:c r="W838" s="10" t="n">
        <x:v>0</x:v>
      </x:c>
      <x:c r="X838" s="10" t="str">
        <x:f>IF(COUNT(AV838,AW838)=2,AV838+AW838,"")</x:f>
      </x:c>
      <x:c r="Y838" s="10" t="str">
        <x:f>IF(COUNT(X838,W838)=2,X838-W838,"")</x:f>
      </x:c>
      <x:c r="Z838" s="10" t="n">
        <x:v>0</x:v>
      </x:c>
      <x:c r="AA838" s="10" t="str">
        <x:f>IF(COUNT(AX838,AY838)=2,AX838+AY838,"")</x:f>
      </x:c>
      <x:c r="AB838" s="10" t="str">
        <x:f>IF(COUNT(AA838,Z838)=2,AA838-Z838,"")</x:f>
      </x:c>
      <x:c r="AC838" s="10" t="n">
        <x:v>53</x:v>
      </x:c>
      <x:c r="AD838" s="10"/>
      <x:c r="AE838" s="10" t="str">
        <x:f>IF(COUNT(AD838,AC838)=2,AD838-AC838,"")</x:f>
      </x:c>
      <x:c r="AF838" s="10" t="n">
        <x:v>32</x:v>
      </x:c>
      <x:c r="AG838" s="10"/>
      <x:c r="AH838" s="10" t="str">
        <x:f>IF(COUNT(AG838,AF838)=2,AG838-AF838,"")</x:f>
      </x:c>
      <x:c r="AI838" s="10" t="n">
        <x:v>42</x:v>
      </x:c>
      <x:c r="AJ838" s="10"/>
      <x:c r="AK838" s="10" t="str">
        <x:f>IF(COUNT(AJ838,AI838)=2,AJ838-AI838,"")</x:f>
      </x:c>
      <x:c r="AL838" s="10" t="n">
        <x:v>27</x:v>
      </x:c>
      <x:c r="AM838" s="10"/>
      <x:c r="AN838" s="4" t="str">
        <x:v>D</x:v>
      </x:c>
      <x:c r="AO838" s="4"/>
      <x:c r="AP838" s="4" t="str">
        <x:v>OTT</x:v>
      </x:c>
      <x:c r="AQ838" s="4"/>
      <x:c r="AR838" s="4" t="n">
        <x:v>12.61</x:v>
      </x:c>
      <x:c r="AS838" s="4"/>
      <x:c r="AT838" s="4" t="n">
        <x:v>0</x:v>
      </x:c>
      <x:c r="AU838" s="4"/>
      <x:c r="AV838" s="10"/>
      <x:c r="AW838" s="10"/>
      <x:c r="AX838" s="10"/>
      <x:c r="AY838" s="10"/>
      <x:c r="AZ838" s="10" t="n">
        <x:v>587</x:v>
      </x:c>
      <x:c r="BA838" s="10" t="n">
        <x:v>682</x:v>
      </x:c>
      <x:c r="BB838" s="4" t="n">
        <x:v>46.3</x:v>
      </x:c>
      <x:c r="BC838" s="4" t="n">
        <x:v>-8.4</x:v>
      </x:c>
      <x:c r="BD838" s="10" t="n">
        <x:v>425</x:v>
      </x:c>
      <x:c r="BE838" s="10" t="n">
        <x:v>492</x:v>
      </x:c>
      <x:c r="BF838" s="4" t="n">
        <x:v>46.3</x:v>
      </x:c>
      <x:c r="BG838" s="4" t="n">
        <x:v>-8.8</x:v>
      </x:c>
      <x:c r="BH838" s="4" t="n">
        <x:v>8.5</x:v>
      </x:c>
      <x:c r="BI838" s="4" t="n">
        <x:v>90.8</x:v>
      </x:c>
      <x:c r="BJ838" s="4" t="n">
        <x:v>99.3</x:v>
      </x:c>
      <x:c r="BK838" s="4" t="n">
        <x:v>42.4</x:v>
      </x:c>
      <x:c r="BL838" s="4" t="n">
        <x:v>57.6</x:v>
      </x:c>
      <x:c r="BM838" s="4" t="n">
        <x:v>15.633333333333333</x:v>
      </x:c>
      <x:c r="BN838" s="4" t="n">
        <x:v>14.083333333333334</x:v>
      </x:c>
      <x:c r="BO838" s="10" t="n">
        <x:v>11</x:v>
      </x:c>
      <x:c r="BP838" s="10" t="n">
        <x:v>38</x:v>
      </x:c>
      <x:c r="BQ838" s="4" t="n">
        <x:v>1.7</x:v>
      </x:c>
      <x:c r="BR838" s="10" t="n">
        <x:v>100</x:v>
      </x:c>
      <x:c r="BS838" s="4" t="n">
        <x:v>37</x:v>
      </x:c>
      <x:c r="BT838" s="10" t="n">
        <x:v>50</x:v>
      </x:c>
      <x:c r="BU838" s="4" t="str">
        <x:v>OTT</x:v>
      </x:c>
      <x:c r="BV838" s="10" t="n">
        <x:v>747</x:v>
      </x:c>
      <x:c r="BW838" s="10"/>
      <x:c r="BX838" s="10" t="n">
        <x:v>657</x:v>
      </x:c>
      <x:c r="BY838" s="4" t="str">
        <x:v>Nikolas Matinpalo</x:v>
      </x:c>
      <x:c r="BZ838" s="4"/>
      <x:c r="CA838" s="4" t="str">
        <x:v>Nikolas Matinpalo</x:v>
      </x:c>
      <x:c r="CB838" s="4" t="str">
        <x:v>matinni01</x:v>
      </x:c>
    </x:row>
    <x:row r="839" ht="22" customHeight="1">
      <x:c r="A839" s="4" t="str">
        <x:v>Nils Aman</x:v>
      </x:c>
      <x:c r="B839" s="4" t="str">
        <x:v>nilsaman</x:v>
      </x:c>
      <x:c r="C839" s="10" t="n">
        <x:v>1</x:v>
      </x:c>
      <x:c r="D839" s="10" t="n">
        <x:v>0</x:v>
      </x:c>
      <x:c r="E839" s="10" t="n">
        <x:v>1</x:v>
      </x:c>
      <x:c r="F839" s="4" t="n">
        <x:f>IF(COUNT(N839,Q839,T839,W839,Z839,AC839,AF839,AI839)=8,N839*Guide!$E$5+Q839*Guide!$E$6+T839*Guide!$E$7+W839*Guide!$E$8+Z839*Guide!$E$9+AC839*Guide!$E$10+AF839*Guide!$E$11+AI839*Guide!$E$12,"")</x:f>
        <x:v>63.75</x:v>
      </x:c>
      <x:c r="G839" s="4" t="str">
        <x:f>IF(COUNT(O839,R839,U839,X839,AA839,AD839,AG839,AJ839)=8,O839*Guide!$E$5+R839*Guide!$E$6+U839*Guide!$E$7+X839*Guide!$E$8+AA839*Guide!$E$9+AD839*Guide!$E$10+AG839*Guide!$E$11+AJ839*Guide!$E$12,"")</x:f>
      </x:c>
      <x:c r="H839" s="4" t="str">
        <x:f>IF(COUNT(G839,F839)=2,G839-F839,"")</x:f>
      </x:c>
      <x:c r="I839" s="4" t="n">
        <x:f>IF(AND(ISNUMBER(F839),K839&gt;0),F839/K839,"")</x:f>
        <x:v>1.59375</x:v>
      </x:c>
      <x:c r="J839" s="4" t="str">
        <x:f>IF(AND(ISNUMBER(G839),L839&gt;0),G839/L839,"")</x:f>
      </x:c>
      <x:c r="K839" s="10" t="n">
        <x:v>40</x:v>
      </x:c>
      <x:c r="L839" s="10"/>
      <x:c r="M839" s="10" t="str">
        <x:f>IF(COUNT(L839,K839)=2,L839-K839,"")</x:f>
      </x:c>
      <x:c r="N839" s="10" t="n">
        <x:v>4</x:v>
      </x:c>
      <x:c r="O839" s="10"/>
      <x:c r="P839" s="10" t="str">
        <x:f>IF(COUNT(O839,N839)=2,O839-N839,"")</x:f>
      </x:c>
      <x:c r="Q839" s="10" t="n">
        <x:v>7</x:v>
      </x:c>
      <x:c r="R839" s="10"/>
      <x:c r="S839" s="10" t="str">
        <x:f>IF(COUNT(R839,Q839)=2,R839-Q839,"")</x:f>
      </x:c>
      <x:c r="T839" s="10" t="n">
        <x:v>-2</x:v>
      </x:c>
      <x:c r="U839" s="10"/>
      <x:c r="V839" s="10" t="str">
        <x:f>IF(COUNT(U839,T839)=2,U839-T839,"")</x:f>
      </x:c>
      <x:c r="W839" s="10" t="n">
        <x:v>0</x:v>
      </x:c>
      <x:c r="X839" s="10" t="str">
        <x:f>IF(COUNT(AV839,AW839)=2,AV839+AW839,"")</x:f>
      </x:c>
      <x:c r="Y839" s="10" t="str">
        <x:f>IF(COUNT(X839,W839)=2,X839-W839,"")</x:f>
      </x:c>
      <x:c r="Z839" s="10" t="n">
        <x:v>0</x:v>
      </x:c>
      <x:c r="AA839" s="10" t="str">
        <x:f>IF(COUNT(AX839,AY839)=2,AX839+AY839,"")</x:f>
      </x:c>
      <x:c r="AB839" s="10" t="str">
        <x:f>IF(COUNT(AA839,Z839)=2,AA839-Z839,"")</x:f>
      </x:c>
      <x:c r="AC839" s="10" t="n">
        <x:v>29</x:v>
      </x:c>
      <x:c r="AD839" s="10"/>
      <x:c r="AE839" s="10" t="str">
        <x:f>IF(COUNT(AD839,AC839)=2,AD839-AC839,"")</x:f>
      </x:c>
      <x:c r="AF839" s="10" t="n">
        <x:v>38</x:v>
      </x:c>
      <x:c r="AG839" s="10"/>
      <x:c r="AH839" s="10" t="str">
        <x:f>IF(COUNT(AG839,AF839)=2,AG839-AF839,"")</x:f>
      </x:c>
      <x:c r="AI839" s="10" t="n">
        <x:v>16</x:v>
      </x:c>
      <x:c r="AJ839" s="10"/>
      <x:c r="AK839" s="10" t="str">
        <x:f>IF(COUNT(AJ839,AI839)=2,AJ839-AI839,"")</x:f>
      </x:c>
      <x:c r="AL839" s="10" t="n">
        <x:v>25</x:v>
      </x:c>
      <x:c r="AM839" s="10"/>
      <x:c r="AN839" s="4" t="str">
        <x:v>C</x:v>
      </x:c>
      <x:c r="AO839" s="4"/>
      <x:c r="AP839" s="4" t="str">
        <x:v>VAN</x:v>
      </x:c>
      <x:c r="AQ839" s="4"/>
      <x:c r="AR839" s="4" t="n">
        <x:v>11.160000000000002</x:v>
      </x:c>
      <x:c r="AS839" s="4"/>
      <x:c r="AT839" s="4" t="n">
        <x:v>0.22</x:v>
      </x:c>
      <x:c r="AU839" s="4"/>
      <x:c r="AV839" s="10"/>
      <x:c r="AW839" s="10"/>
      <x:c r="AX839" s="10"/>
      <x:c r="AY839" s="10"/>
      <x:c r="AZ839" s="10" t="n">
        <x:v>15</x:v>
      </x:c>
      <x:c r="BA839" s="10" t="n">
        <x:v>22</x:v>
      </x:c>
      <x:c r="BB839" s="4" t="n">
        <x:v>40.5</x:v>
      </x:c>
      <x:c r="BC839" s="4" t="n">
        <x:v>-8.2</x:v>
      </x:c>
      <x:c r="BD839" s="10" t="n">
        <x:v>12</x:v>
      </x:c>
      <x:c r="BE839" s="10" t="n">
        <x:v>7</x:v>
      </x:c>
      <x:c r="BF839" s="4" t="n">
        <x:v>63.2</x:v>
      </x:c>
      <x:c r="BG839" s="4" t="n">
        <x:v>17.6</x:v>
      </x:c>
      <x:c r="BH839" s="4" t="n">
        <x:v>16.7</x:v>
      </x:c>
      <x:c r="BI839" s="4" t="n">
        <x:v>75</x:v>
      </x:c>
      <x:c r="BJ839" s="4" t="n">
        <x:v>91.7</x:v>
      </x:c>
      <x:c r="BK839" s="4" t="n">
        <x:v>50</x:v>
      </x:c>
      <x:c r="BL839" s="4" t="n">
        <x:v>50</x:v>
      </x:c>
      <x:c r="BM839" s="4" t="n">
        <x:v>8.666666666666666</x:v>
      </x:c>
      <x:c r="BN839" s="4" t="n">
        <x:v>8.666666666666666</x:v>
      </x:c>
      <x:c r="BO839" s="10" t="n">
        <x:v>0</x:v>
      </x:c>
      <x:c r="BP839" s="10" t="n">
        <x:v>1</x:v>
      </x:c>
      <x:c r="BQ839" s="4" t="n">
        <x:v>0.1</x:v>
      </x:c>
      <x:c r="BR839" s="10" t="n">
        <x:v>3</x:v>
      </x:c>
      <x:c r="BS839" s="4" t="n">
        <x:v>33.3</x:v>
      </x:c>
      <x:c r="BT839" s="10" t="n">
        <x:v>2</x:v>
      </x:c>
      <x:c r="BU839" s="4" t="str">
        <x:v>VAN</x:v>
      </x:c>
      <x:c r="BV839" s="10" t="n">
        <x:v>723</x:v>
      </x:c>
      <x:c r="BW839" s="10"/>
      <x:c r="BX839" s="10" t="n">
        <x:v>10</x:v>
      </x:c>
      <x:c r="BY839" s="4" t="str">
        <x:v>Nils Aman</x:v>
      </x:c>
      <x:c r="BZ839" s="4"/>
      <x:c r="CA839" s="4" t="str">
        <x:v>Nils Åman</x:v>
      </x:c>
      <x:c r="CB839" s="4" t="str">
        <x:v>amanni01</x:v>
      </x:c>
    </x:row>
    <x:row r="840" ht="22" customHeight="1">
      <x:c r="A840" s="4" t="str">
        <x:v>Nils Hoglander</x:v>
      </x:c>
      <x:c r="B840" s="4" t="str">
        <x:v>nilshoglander</x:v>
      </x:c>
      <x:c r="C840" s="10" t="n">
        <x:v>1</x:v>
      </x:c>
      <x:c r="D840" s="10" t="n">
        <x:v>0</x:v>
      </x:c>
      <x:c r="E840" s="10" t="n">
        <x:v>1</x:v>
      </x:c>
      <x:c r="F840" s="4" t="n">
        <x:f>IF(COUNT(N840,Q840,T840,W840,Z840,AC840,AF840,AI840)=8,N840*Guide!$E$5+Q840*Guide!$E$6+T840*Guide!$E$7+W840*Guide!$E$8+Z840*Guide!$E$9+AC840*Guide!$E$10+AF840*Guide!$E$11+AI840*Guide!$E$12,"")</x:f>
        <x:v>182.25</x:v>
      </x:c>
      <x:c r="G840" s="4" t="str">
        <x:f>IF(COUNT(O840,R840,U840,X840,AA840,AD840,AG840,AJ840)=8,O840*Guide!$E$5+R840*Guide!$E$6+U840*Guide!$E$7+X840*Guide!$E$8+AA840*Guide!$E$9+AD840*Guide!$E$10+AG840*Guide!$E$11+AJ840*Guide!$E$12,"")</x:f>
      </x:c>
      <x:c r="H840" s="4" t="str">
        <x:f>IF(COUNT(G840,F840)=2,G840-F840,"")</x:f>
      </x:c>
      <x:c r="I840" s="4" t="n">
        <x:f>IF(AND(ISNUMBER(F840),K840&gt;0),F840/K840,"")</x:f>
        <x:v>2.3365384615384617</x:v>
      </x:c>
      <x:c r="J840" s="4" t="str">
        <x:f>IF(AND(ISNUMBER(G840),L840&gt;0),G840/L840,"")</x:f>
      </x:c>
      <x:c r="K840" s="10" t="n">
        <x:v>78</x:v>
      </x:c>
      <x:c r="L840" s="10"/>
      <x:c r="M840" s="10" t="str">
        <x:f>IF(COUNT(L840,K840)=2,L840-K840,"")</x:f>
      </x:c>
      <x:c r="N840" s="10" t="n">
        <x:v>15</x:v>
      </x:c>
      <x:c r="O840" s="10"/>
      <x:c r="P840" s="10" t="str">
        <x:f>IF(COUNT(O840,N840)=2,O840-N840,"")</x:f>
      </x:c>
      <x:c r="Q840" s="10" t="n">
        <x:v>17</x:v>
      </x:c>
      <x:c r="R840" s="10"/>
      <x:c r="S840" s="10" t="str">
        <x:f>IF(COUNT(R840,Q840)=2,R840-Q840,"")</x:f>
      </x:c>
      <x:c r="T840" s="10" t="n">
        <x:v>5</x:v>
      </x:c>
      <x:c r="U840" s="10"/>
      <x:c r="V840" s="10" t="str">
        <x:f>IF(COUNT(U840,T840)=2,U840-T840,"")</x:f>
      </x:c>
      <x:c r="W840" s="10" t="n">
        <x:v>3</x:v>
      </x:c>
      <x:c r="X840" s="10" t="str">
        <x:f>IF(COUNT(AV840,AW840)=2,AV840+AW840,"")</x:f>
      </x:c>
      <x:c r="Y840" s="10" t="str">
        <x:f>IF(COUNT(X840,W840)=2,X840-W840,"")</x:f>
      </x:c>
      <x:c r="Z840" s="10" t="n">
        <x:v>0</x:v>
      </x:c>
      <x:c r="AA840" s="10" t="str">
        <x:f>IF(COUNT(AX840,AY840)=2,AX840+AY840,"")</x:f>
      </x:c>
      <x:c r="AB840" s="10" t="str">
        <x:f>IF(COUNT(AA840,Z840)=2,AA840-Z840,"")</x:f>
      </x:c>
      <x:c r="AC840" s="10" t="n">
        <x:v>97</x:v>
      </x:c>
      <x:c r="AD840" s="10"/>
      <x:c r="AE840" s="10" t="str">
        <x:f>IF(COUNT(AD840,AC840)=2,AD840-AC840,"")</x:f>
      </x:c>
      <x:c r="AF840" s="10" t="n">
        <x:v>84</x:v>
      </x:c>
      <x:c r="AG840" s="10"/>
      <x:c r="AH840" s="10" t="str">
        <x:f>IF(COUNT(AG840,AF840)=2,AG840-AF840,"")</x:f>
      </x:c>
      <x:c r="AI840" s="10" t="n">
        <x:v>24</x:v>
      </x:c>
      <x:c r="AJ840" s="10"/>
      <x:c r="AK840" s="10" t="str">
        <x:f>IF(COUNT(AJ840,AI840)=2,AJ840-AI840,"")</x:f>
      </x:c>
      <x:c r="AL840" s="10" t="n">
        <x:v>25</x:v>
      </x:c>
      <x:c r="AM840" s="10"/>
      <x:c r="AN840" s="4" t="str">
        <x:v>LW</x:v>
      </x:c>
      <x:c r="AO840" s="4"/>
      <x:c r="AP840" s="4" t="str">
        <x:v>VAN</x:v>
      </x:c>
      <x:c r="AQ840" s="4"/>
      <x:c r="AR840" s="4" t="n">
        <x:v>12.5</x:v>
      </x:c>
      <x:c r="AS840" s="4"/>
      <x:c r="AT840" s="4" t="n">
        <x:v>0.81</x:v>
      </x:c>
      <x:c r="AU840" s="4"/>
      <x:c r="AV840" s="10"/>
      <x:c r="AW840" s="10"/>
      <x:c r="AX840" s="10"/>
      <x:c r="AY840" s="10"/>
      <x:c r="AZ840" s="10" t="n">
        <x:v>387</x:v>
      </x:c>
      <x:c r="BA840" s="10" t="n">
        <x:v>379</x:v>
      </x:c>
      <x:c r="BB840" s="4" t="n">
        <x:v>50.5</x:v>
      </x:c>
      <x:c r="BC840" s="4" t="n">
        <x:v>5.1</x:v>
      </x:c>
      <x:c r="BD840" s="10" t="n">
        <x:v>266</x:v>
      </x:c>
      <x:c r="BE840" s="10" t="n">
        <x:v>290</x:v>
      </x:c>
      <x:c r="BF840" s="4" t="n">
        <x:v>47.8</x:v>
      </x:c>
      <x:c r="BG840" s="4" t="n">
        <x:v>3</x:v>
      </x:c>
      <x:c r="BH840" s="4" t="n">
        <x:v>6</x:v>
      </x:c>
      <x:c r="BI840" s="4" t="n">
        <x:v>92.3</x:v>
      </x:c>
      <x:c r="BJ840" s="4" t="n">
        <x:v>98.3</x:v>
      </x:c>
      <x:c r="BK840" s="4" t="n">
        <x:v>58.2</x:v>
      </x:c>
      <x:c r="BL840" s="4" t="n">
        <x:v>41.8</x:v>
      </x:c>
      <x:c r="BM840" s="4" t="n">
        <x:v>11.516666666666667</x:v>
      </x:c>
      <x:c r="BN840" s="4" t="n">
        <x:v>11.316666666666666</x:v>
      </x:c>
      <x:c r="BO840" s="10" t="n">
        <x:v>5</x:v>
      </x:c>
      <x:c r="BP840" s="10" t="n">
        <x:v>26</x:v>
      </x:c>
      <x:c r="BQ840" s="4" t="n">
        <x:v>-3.4</x:v>
      </x:c>
      <x:c r="BR840" s="10" t="n">
        <x:v>89</x:v>
      </x:c>
      <x:c r="BS840" s="4" t="n">
        <x:v>39.3</x:v>
      </x:c>
      <x:c r="BT840" s="10" t="n">
        <x:v>38</x:v>
      </x:c>
      <x:c r="BU840" s="4" t="str">
        <x:v>VAN</x:v>
      </x:c>
      <x:c r="BV840" s="10" t="n">
        <x:v>350</x:v>
      </x:c>
      <x:c r="BW840" s="10"/>
      <x:c r="BX840" s="10" t="n">
        <x:v>419</x:v>
      </x:c>
      <x:c r="BY840" s="4" t="str">
        <x:v>Nils Hoglander</x:v>
      </x:c>
      <x:c r="BZ840" s="4"/>
      <x:c r="CA840" s="4" t="str">
        <x:v>Nils Höglander</x:v>
      </x:c>
      <x:c r="CB840" s="4" t="str">
        <x:v>hoglani01</x:v>
      </x:c>
    </x:row>
    <x:row r="841" ht="22" customHeight="1">
      <x:c r="A841" s="4" t="str">
        <x:v>Nils Lundkvist</x:v>
      </x:c>
      <x:c r="B841" s="4" t="str">
        <x:v>nilslundkvist</x:v>
      </x:c>
      <x:c r="C841" s="10" t="n">
        <x:v>1</x:v>
      </x:c>
      <x:c r="D841" s="10" t="n">
        <x:v>0</x:v>
      </x:c>
      <x:c r="E841" s="10" t="n">
        <x:v>1</x:v>
      </x:c>
      <x:c r="F841" s="4" t="n">
        <x:f>IF(COUNT(N841,Q841,T841,W841,Z841,AC841,AF841,AI841)=8,N841*Guide!$E$5+Q841*Guide!$E$6+T841*Guide!$E$7+W841*Guide!$E$8+Z841*Guide!$E$9+AC841*Guide!$E$10+AF841*Guide!$E$11+AI841*Guide!$E$12,"")</x:f>
        <x:v>164</x:v>
      </x:c>
      <x:c r="G841" s="4" t="str">
        <x:f>IF(COUNT(O841,R841,U841,X841,AA841,AD841,AG841,AJ841)=8,O841*Guide!$E$5+R841*Guide!$E$6+U841*Guide!$E$7+X841*Guide!$E$8+AA841*Guide!$E$9+AD841*Guide!$E$10+AG841*Guide!$E$11+AJ841*Guide!$E$12,"")</x:f>
      </x:c>
      <x:c r="H841" s="4" t="str">
        <x:f>IF(COUNT(G841,F841)=2,G841-F841,"")</x:f>
      </x:c>
      <x:c r="I841" s="4" t="n">
        <x:f>IF(AND(ISNUMBER(F841),K841&gt;0),F841/K841,"")</x:f>
        <x:v>2.3098591549295775</x:v>
      </x:c>
      <x:c r="J841" s="4" t="str">
        <x:f>IF(AND(ISNUMBER(G841),L841&gt;0),G841/L841,"")</x:f>
      </x:c>
      <x:c r="K841" s="10" t="n">
        <x:v>71</x:v>
      </x:c>
      <x:c r="L841" s="10"/>
      <x:c r="M841" s="10" t="str">
        <x:f>IF(COUNT(L841,K841)=2,L841-K841,"")</x:f>
      </x:c>
      <x:c r="N841" s="10" t="n">
        <x:v>4</x:v>
      </x:c>
      <x:c r="O841" s="10"/>
      <x:c r="P841" s="10" t="str">
        <x:f>IF(COUNT(O841,N841)=2,O841-N841,"")</x:f>
      </x:c>
      <x:c r="Q841" s="10" t="n">
        <x:v>16</x:v>
      </x:c>
      <x:c r="R841" s="10"/>
      <x:c r="S841" s="10" t="str">
        <x:f>IF(COUNT(R841,Q841)=2,R841-Q841,"")</x:f>
      </x:c>
      <x:c r="T841" s="10" t="n">
        <x:v>4</x:v>
      </x:c>
      <x:c r="U841" s="10"/>
      <x:c r="V841" s="10" t="str">
        <x:f>IF(COUNT(U841,T841)=2,U841-T841,"")</x:f>
      </x:c>
      <x:c r="W841" s="10" t="n">
        <x:v>2</x:v>
      </x:c>
      <x:c r="X841" s="10" t="str">
        <x:f>IF(COUNT(AV841,AW841)=2,AV841+AW841,"")</x:f>
      </x:c>
      <x:c r="Y841" s="10" t="str">
        <x:f>IF(COUNT(X841,W841)=2,X841-W841,"")</x:f>
      </x:c>
      <x:c r="Z841" s="10" t="n">
        <x:v>0</x:v>
      </x:c>
      <x:c r="AA841" s="10" t="str">
        <x:f>IF(COUNT(AX841,AY841)=2,AX841+AY841,"")</x:f>
      </x:c>
      <x:c r="AB841" s="10" t="str">
        <x:f>IF(COUNT(AA841,Z841)=2,AA841-Z841,"")</x:f>
      </x:c>
      <x:c r="AC841" s="10" t="n">
        <x:v>106</x:v>
      </x:c>
      <x:c r="AD841" s="10"/>
      <x:c r="AE841" s="10" t="str">
        <x:f>IF(COUNT(AD841,AC841)=2,AD841-AC841,"")</x:f>
      </x:c>
      <x:c r="AF841" s="10" t="n">
        <x:v>48</x:v>
      </x:c>
      <x:c r="AG841" s="10"/>
      <x:c r="AH841" s="10" t="str">
        <x:f>IF(COUNT(AG841,AF841)=2,AG841-AF841,"")</x:f>
      </x:c>
      <x:c r="AI841" s="10" t="n">
        <x:v>74</x:v>
      </x:c>
      <x:c r="AJ841" s="10"/>
      <x:c r="AK841" s="10" t="str">
        <x:f>IF(COUNT(AJ841,AI841)=2,AJ841-AI841,"")</x:f>
      </x:c>
      <x:c r="AL841" s="10" t="n">
        <x:v>25</x:v>
      </x:c>
      <x:c r="AM841" s="10"/>
      <x:c r="AN841" s="4" t="str">
        <x:v>D</x:v>
      </x:c>
      <x:c r="AO841" s="4"/>
      <x:c r="AP841" s="4" t="str">
        <x:v>DAL</x:v>
      </x:c>
      <x:c r="AQ841" s="4"/>
      <x:c r="AR841" s="4" t="n">
        <x:v>17.14</x:v>
      </x:c>
      <x:c r="AS841" s="4"/>
      <x:c r="AT841" s="4" t="n">
        <x:v>0.34</x:v>
      </x:c>
      <x:c r="AU841" s="4"/>
      <x:c r="AV841" s="10"/>
      <x:c r="AW841" s="10"/>
      <x:c r="AX841" s="10"/>
      <x:c r="AY841" s="10"/>
      <x:c r="AZ841" s="10" t="n">
        <x:v>710</x:v>
      </x:c>
      <x:c r="BA841" s="10" t="n">
        <x:v>754</x:v>
      </x:c>
      <x:c r="BB841" s="4" t="n">
        <x:v>48.5</x:v>
      </x:c>
      <x:c r="BC841" s="4" t="n">
        <x:v>-0.4</x:v>
      </x:c>
      <x:c r="BD841" s="10" t="n">
        <x:v>507</x:v>
      </x:c>
      <x:c r="BE841" s="10" t="n">
        <x:v>528</x:v>
      </x:c>
      <x:c r="BF841" s="4" t="n">
        <x:v>49</x:v>
      </x:c>
      <x:c r="BG841" s="4" t="n">
        <x:v>-0.8</x:v>
      </x:c>
      <x:c r="BH841" s="4" t="n">
        <x:v>11.4</x:v>
      </x:c>
      <x:c r="BI841" s="4" t="n">
        <x:v>92.4</x:v>
      </x:c>
      <x:c r="BJ841" s="4" t="n">
        <x:v>103.8</x:v>
      </x:c>
      <x:c r="BK841" s="4" t="n">
        <x:v>44.4</x:v>
      </x:c>
      <x:c r="BL841" s="4" t="n">
        <x:v>55.6</x:v>
      </x:c>
      <x:c r="BM841" s="4" t="n">
        <x:v>16.483333333333334</x:v>
      </x:c>
      <x:c r="BN841" s="4" t="n">
        <x:v>16.283333333333335</x:v>
      </x:c>
      <x:c r="BO841" s="10" t="n">
        <x:v>8</x:v>
      </x:c>
      <x:c r="BP841" s="10" t="n">
        <x:v>49</x:v>
      </x:c>
      <x:c r="BQ841" s="4" t="n">
        <x:v>5.3</x:v>
      </x:c>
      <x:c r="BR841" s="10" t="n">
        <x:v>128</x:v>
      </x:c>
      <x:c r="BS841" s="4" t="n">
        <x:v>35.9</x:v>
      </x:c>
      <x:c r="BT841" s="10" t="n">
        <x:v>52</x:v>
      </x:c>
      <x:c r="BU841" s="4" t="str">
        <x:v>DAL</x:v>
      </x:c>
      <x:c r="BV841" s="10" t="n">
        <x:v>519</x:v>
      </x:c>
      <x:c r="BW841" s="10"/>
      <x:c r="BX841" s="10" t="n">
        <x:v>613</x:v>
      </x:c>
      <x:c r="BY841" s="4" t="str">
        <x:v>Nils Lundkvist</x:v>
      </x:c>
      <x:c r="BZ841" s="4"/>
      <x:c r="CA841" s="4" t="str">
        <x:v>Nils Lundkvist</x:v>
      </x:c>
      <x:c r="CB841" s="4" t="str">
        <x:v>lundkni01</x:v>
      </x:c>
    </x:row>
    <x:row r="842" ht="22" customHeight="1">
      <x:c r="A842" s="4" t="str">
        <x:v>Noah Gregor</x:v>
      </x:c>
      <x:c r="B842" s="4" t="str">
        <x:v>noahgregor</x:v>
      </x:c>
      <x:c r="C842" s="10" t="n">
        <x:v>1</x:v>
      </x:c>
      <x:c r="D842" s="10" t="n">
        <x:v>0</x:v>
      </x:c>
      <x:c r="E842" s="10" t="n">
        <x:v>1</x:v>
      </x:c>
      <x:c r="F842" s="4" t="n">
        <x:f>IF(COUNT(N842,Q842,T842,W842,Z842,AC842,AF842,AI842)=8,N842*Guide!$E$5+Q842*Guide!$E$6+T842*Guide!$E$7+W842*Guide!$E$8+Z842*Guide!$E$9+AC842*Guide!$E$10+AF842*Guide!$E$11+AI842*Guide!$E$12,"")</x:f>
        <x:v>138.25</x:v>
      </x:c>
      <x:c r="G842" s="4" t="str">
        <x:f>IF(COUNT(O842,R842,U842,X842,AA842,AD842,AG842,AJ842)=8,O842*Guide!$E$5+R842*Guide!$E$6+U842*Guide!$E$7+X842*Guide!$E$8+AA842*Guide!$E$9+AD842*Guide!$E$10+AG842*Guide!$E$11+AJ842*Guide!$E$12,"")</x:f>
      </x:c>
      <x:c r="H842" s="4" t="str">
        <x:f>IF(COUNT(G842,F842)=2,G842-F842,"")</x:f>
      </x:c>
      <x:c r="I842" s="4" t="n">
        <x:f>IF(AND(ISNUMBER(F842),K842&gt;0),F842/K842,"")</x:f>
        <x:v>1.975</x:v>
      </x:c>
      <x:c r="J842" s="4" t="str">
        <x:f>IF(AND(ISNUMBER(G842),L842&gt;0),G842/L842,"")</x:f>
      </x:c>
      <x:c r="K842" s="10" t="n">
        <x:v>70</x:v>
      </x:c>
      <x:c r="L842" s="10"/>
      <x:c r="M842" s="10" t="str">
        <x:f>IF(COUNT(L842,K842)=2,L842-K842,"")</x:f>
      </x:c>
      <x:c r="N842" s="10" t="n">
        <x:v>8</x:v>
      </x:c>
      <x:c r="O842" s="10"/>
      <x:c r="P842" s="10" t="str">
        <x:f>IF(COUNT(O842,N842)=2,O842-N842,"")</x:f>
      </x:c>
      <x:c r="Q842" s="10" t="n">
        <x:v>8</x:v>
      </x:c>
      <x:c r="R842" s="10"/>
      <x:c r="S842" s="10" t="str">
        <x:f>IF(COUNT(R842,Q842)=2,R842-Q842,"")</x:f>
      </x:c>
      <x:c r="T842" s="10" t="n">
        <x:v>-9</x:v>
      </x:c>
      <x:c r="U842" s="10"/>
      <x:c r="V842" s="10" t="str">
        <x:f>IF(COUNT(U842,T842)=2,U842-T842,"")</x:f>
      </x:c>
      <x:c r="W842" s="10" t="n">
        <x:v>2</x:v>
      </x:c>
      <x:c r="X842" s="10" t="str">
        <x:f>IF(COUNT(AV842,AW842)=2,AV842+AW842,"")</x:f>
      </x:c>
      <x:c r="Y842" s="10" t="str">
        <x:f>IF(COUNT(X842,W842)=2,X842-W842,"")</x:f>
      </x:c>
      <x:c r="Z842" s="10" t="n">
        <x:v>1</x:v>
      </x:c>
      <x:c r="AA842" s="10" t="str">
        <x:f>IF(COUNT(AX842,AY842)=2,AX842+AY842,"")</x:f>
      </x:c>
      <x:c r="AB842" s="10" t="str">
        <x:f>IF(COUNT(AA842,Z842)=2,AA842-Z842,"")</x:f>
      </x:c>
      <x:c r="AC842" s="10" t="n">
        <x:v>100</x:v>
      </x:c>
      <x:c r="AD842" s="10"/>
      <x:c r="AE842" s="10" t="str">
        <x:f>IF(COUNT(AD842,AC842)=2,AD842-AC842,"")</x:f>
      </x:c>
      <x:c r="AF842" s="10" t="n">
        <x:v>128</x:v>
      </x:c>
      <x:c r="AG842" s="10"/>
      <x:c r="AH842" s="10" t="str">
        <x:f>IF(COUNT(AG842,AF842)=2,AG842-AF842,"")</x:f>
      </x:c>
      <x:c r="AI842" s="10" t="n">
        <x:v>39</x:v>
      </x:c>
      <x:c r="AJ842" s="10"/>
      <x:c r="AK842" s="10" t="str">
        <x:f>IF(COUNT(AJ842,AI842)=2,AJ842-AI842,"")</x:f>
      </x:c>
      <x:c r="AL842" s="10" t="n">
        <x:v>27</x:v>
      </x:c>
      <x:c r="AM842" s="10"/>
      <x:c r="AN842" s="4" t="str">
        <x:v>C</x:v>
      </x:c>
      <x:c r="AO842" s="4"/>
      <x:c r="AP842" s="4" t="str">
        <x:v>SJ</x:v>
      </x:c>
      <x:c r="AQ842" s="4"/>
      <x:c r="AR842" s="4" t="n">
        <x:v>11.500000000000002</x:v>
      </x:c>
      <x:c r="AS842" s="4"/>
      <x:c r="AT842" s="4" t="n">
        <x:v>0.23</x:v>
      </x:c>
      <x:c r="AU842" s="4"/>
      <x:c r="AV842" s="10"/>
      <x:c r="AW842" s="10"/>
      <x:c r="AX842" s="10"/>
      <x:c r="AY842" s="10"/>
      <x:c r="AZ842" s="10" t="n">
        <x:v>269</x:v>
      </x:c>
      <x:c r="BA842" s="10" t="n">
        <x:v>323</x:v>
      </x:c>
      <x:c r="BB842" s="4" t="n">
        <x:v>45.4</x:v>
      </x:c>
      <x:c r="BC842" s="4" t="n">
        <x:v>-6.9</x:v>
      </x:c>
      <x:c r="BD842" s="10" t="n">
        <x:v>183</x:v>
      </x:c>
      <x:c r="BE842" s="10" t="n">
        <x:v>222</x:v>
      </x:c>
      <x:c r="BF842" s="4" t="n">
        <x:v>45.2</x:v>
      </x:c>
      <x:c r="BG842" s="4" t="n">
        <x:v>-6.7</x:v>
      </x:c>
      <x:c r="BH842" s="4" t="n">
        <x:v>9.3</x:v>
      </x:c>
      <x:c r="BI842" s="4" t="n">
        <x:v>86.4</x:v>
      </x:c>
      <x:c r="BJ842" s="4" t="n">
        <x:v>95.7</x:v>
      </x:c>
      <x:c r="BK842" s="4" t="n">
        <x:v>53.7</x:v>
      </x:c>
      <x:c r="BL842" s="4" t="n">
        <x:v>46.3</x:v>
      </x:c>
      <x:c r="BM842" s="4" t="n">
        <x:v>9.566666666666666</x:v>
      </x:c>
      <x:c r="BN842" s="4" t="n">
        <x:v>9.05</x:v>
      </x:c>
      <x:c r="BO842" s="10" t="n">
        <x:v>5</x:v>
      </x:c>
      <x:c r="BP842" s="10" t="n">
        <x:v>11</x:v>
      </x:c>
      <x:c r="BQ842" s="4" t="n">
        <x:v>-2.3</x:v>
      </x:c>
      <x:c r="BR842" s="10" t="n">
        <x:v>90</x:v>
      </x:c>
      <x:c r="BS842" s="4" t="n">
        <x:v>46.7</x:v>
      </x:c>
      <x:c r="BT842" s="10" t="n">
        <x:v>37</x:v>
      </x:c>
      <x:c r="BU842" s="4" t="str">
        <x:v>FLA</x:v>
      </x:c>
      <x:c r="BV842" s="10" t="n">
        <x:v>609</x:v>
      </x:c>
      <x:c r="BW842" s="10"/>
      <x:c r="BX842" s="10" t="n">
        <x:v>359</x:v>
      </x:c>
      <x:c r="BY842" s="4" t="str">
        <x:v>Noah Gregor</x:v>
      </x:c>
      <x:c r="BZ842" s="4"/>
      <x:c r="CA842" s="4" t="str">
        <x:v>Noah Gregor</x:v>
      </x:c>
      <x:c r="CB842" s="4" t="str">
        <x:v>gregono01</x:v>
      </x:c>
    </x:row>
    <x:row r="843" ht="22" customHeight="1">
      <x:c r="A843" s="4" t="str">
        <x:v>Noah Juulsen</x:v>
      </x:c>
      <x:c r="B843" s="4" t="str">
        <x:v>noahjuulsen</x:v>
      </x:c>
      <x:c r="C843" s="10" t="n">
        <x:v>1</x:v>
      </x:c>
      <x:c r="D843" s="10" t="n">
        <x:v>0</x:v>
      </x:c>
      <x:c r="E843" s="10" t="n">
        <x:v>1</x:v>
      </x:c>
      <x:c r="F843" s="4" t="n">
        <x:f>IF(COUNT(N843,Q843,T843,W843,Z843,AC843,AF843,AI843)=8,N843*Guide!$E$5+Q843*Guide!$E$6+T843*Guide!$E$7+W843*Guide!$E$8+Z843*Guide!$E$9+AC843*Guide!$E$10+AF843*Guide!$E$11+AI843*Guide!$E$12,"")</x:f>
        <x:v>152.75</x:v>
      </x:c>
      <x:c r="G843" s="4" t="str">
        <x:f>IF(COUNT(O843,R843,U843,X843,AA843,AD843,AG843,AJ843)=8,O843*Guide!$E$5+R843*Guide!$E$6+U843*Guide!$E$7+X843*Guide!$E$8+AA843*Guide!$E$9+AD843*Guide!$E$10+AG843*Guide!$E$11+AJ843*Guide!$E$12,"")</x:f>
      </x:c>
      <x:c r="H843" s="4" t="str">
        <x:f>IF(COUNT(G843,F843)=2,G843-F843,"")</x:f>
      </x:c>
      <x:c r="I843" s="4" t="n">
        <x:f>IF(AND(ISNUMBER(F843),K843&gt;0),F843/K843,"")</x:f>
        <x:v>2.279850746268657</x:v>
      </x:c>
      <x:c r="J843" s="4" t="str">
        <x:f>IF(AND(ISNUMBER(G843),L843&gt;0),G843/L843,"")</x:f>
      </x:c>
      <x:c r="K843" s="10" t="n">
        <x:v>67</x:v>
      </x:c>
      <x:c r="L843" s="10"/>
      <x:c r="M843" s="10" t="str">
        <x:f>IF(COUNT(L843,K843)=2,L843-K843,"")</x:f>
      </x:c>
      <x:c r="N843" s="10" t="n">
        <x:v>2</x:v>
      </x:c>
      <x:c r="O843" s="10"/>
      <x:c r="P843" s="10" t="str">
        <x:f>IF(COUNT(O843,N843)=2,O843-N843,"")</x:f>
      </x:c>
      <x:c r="Q843" s="10" t="n">
        <x:v>7</x:v>
      </x:c>
      <x:c r="R843" s="10"/>
      <x:c r="S843" s="10" t="str">
        <x:f>IF(COUNT(R843,Q843)=2,R843-Q843,"")</x:f>
      </x:c>
      <x:c r="T843" s="10" t="n">
        <x:v>-6</x:v>
      </x:c>
      <x:c r="U843" s="10"/>
      <x:c r="V843" s="10" t="str">
        <x:f>IF(COUNT(U843,T843)=2,U843-T843,"")</x:f>
      </x:c>
      <x:c r="W843" s="10" t="n">
        <x:v>0</x:v>
      </x:c>
      <x:c r="X843" s="10" t="str">
        <x:f>IF(COUNT(AV843,AW843)=2,AV843+AW843,"")</x:f>
      </x:c>
      <x:c r="Y843" s="10" t="str">
        <x:f>IF(COUNT(X843,W843)=2,X843-W843,"")</x:f>
      </x:c>
      <x:c r="Z843" s="10" t="n">
        <x:v>0</x:v>
      </x:c>
      <x:c r="AA843" s="10" t="str">
        <x:f>IF(COUNT(AX843,AY843)=2,AX843+AY843,"")</x:f>
      </x:c>
      <x:c r="AB843" s="10" t="str">
        <x:f>IF(COUNT(AA843,Z843)=2,AA843-Z843,"")</x:f>
      </x:c>
      <x:c r="AC843" s="10" t="n">
        <x:v>45</x:v>
      </x:c>
      <x:c r="AD843" s="10"/>
      <x:c r="AE843" s="10" t="str">
        <x:f>IF(COUNT(AD843,AC843)=2,AD843-AC843,"")</x:f>
      </x:c>
      <x:c r="AF843" s="10" t="n">
        <x:v>174</x:v>
      </x:c>
      <x:c r="AG843" s="10"/>
      <x:c r="AH843" s="10" t="str">
        <x:f>IF(COUNT(AG843,AF843)=2,AG843-AF843,"")</x:f>
      </x:c>
      <x:c r="AI843" s="10" t="n">
        <x:v>100</x:v>
      </x:c>
      <x:c r="AJ843" s="10"/>
      <x:c r="AK843" s="10" t="str">
        <x:f>IF(COUNT(AJ843,AI843)=2,AJ843-AI843,"")</x:f>
      </x:c>
      <x:c r="AL843" s="10" t="n">
        <x:v>28</x:v>
      </x:c>
      <x:c r="AM843" s="10"/>
      <x:c r="AN843" s="4" t="str">
        <x:v>D</x:v>
      </x:c>
      <x:c r="AO843" s="4"/>
      <x:c r="AP843" s="4" t="str">
        <x:v>PHI</x:v>
      </x:c>
      <x:c r="AQ843" s="4"/>
      <x:c r="AR843" s="4" t="n">
        <x:v>16.03</x:v>
      </x:c>
      <x:c r="AS843" s="4"/>
      <x:c r="AT843" s="4" t="n">
        <x:v>0.05</x:v>
      </x:c>
      <x:c r="AU843" s="4"/>
      <x:c r="AV843" s="10"/>
      <x:c r="AW843" s="10"/>
      <x:c r="AX843" s="10"/>
      <x:c r="AY843" s="10"/>
      <x:c r="AZ843" s="10" t="n">
        <x:v>495</x:v>
      </x:c>
      <x:c r="BA843" s="10" t="n">
        <x:v>579</x:v>
      </x:c>
      <x:c r="BB843" s="4" t="n">
        <x:v>46.1</x:v>
      </x:c>
      <x:c r="BC843" s="4" t="n">
        <x:v>-1.6</x:v>
      </x:c>
      <x:c r="BD843" s="10" t="n">
        <x:v>354</x:v>
      </x:c>
      <x:c r="BE843" s="10" t="n">
        <x:v>409</x:v>
      </x:c>
      <x:c r="BF843" s="4" t="n">
        <x:v>46.4</x:v>
      </x:c>
      <x:c r="BG843" s="4" t="n">
        <x:v>-2.3</x:v>
      </x:c>
      <x:c r="BH843" s="4" t="n">
        <x:v>12.3</x:v>
      </x:c>
      <x:c r="BI843" s="4" t="n">
        <x:v>89.3</x:v>
      </x:c>
      <x:c r="BJ843" s="4" t="n">
        <x:v>101.6</x:v>
      </x:c>
      <x:c r="BK843" s="4" t="n">
        <x:v>57.2</x:v>
      </x:c>
      <x:c r="BL843" s="4" t="n">
        <x:v>42.8</x:v>
      </x:c>
      <x:c r="BM843" s="4" t="n">
        <x:v>13.816666666666666</x:v>
      </x:c>
      <x:c r="BN843" s="4" t="n">
        <x:v>12.333333333333334</x:v>
      </x:c>
      <x:c r="BO843" s="10" t="n">
        <x:v>10</x:v>
      </x:c>
      <x:c r="BP843" s="10" t="n">
        <x:v>53</x:v>
      </x:c>
      <x:c r="BQ843" s="4" t="n">
        <x:v>0.9</x:v>
      </x:c>
      <x:c r="BR843" s="10" t="n">
        <x:v>84</x:v>
      </x:c>
      <x:c r="BS843" s="4" t="n">
        <x:v>31</x:v>
      </x:c>
      <x:c r="BT843" s="10" t="n">
        <x:v>52</x:v>
      </x:c>
      <x:c r="BU843" s="4" t="str">
        <x:v>PHI</x:v>
      </x:c>
      <x:c r="BV843" s="10" t="n">
        <x:v>733</x:v>
      </x:c>
      <x:c r="BW843" s="10"/>
      <x:c r="BX843" s="10" t="n">
        <x:v>484</x:v>
      </x:c>
      <x:c r="BY843" s="4" t="str">
        <x:v>Noah Juulsen</x:v>
      </x:c>
      <x:c r="BZ843" s="4"/>
      <x:c r="CA843" s="4" t="str">
        <x:v>Noah Juulsen</x:v>
      </x:c>
      <x:c r="CB843" s="4" t="str">
        <x:v>juulsno01</x:v>
      </x:c>
    </x:row>
    <x:row r="844" ht="22" customHeight="1">
      <x:c r="A844" s="4" t="str">
        <x:v>Noah Laba</x:v>
      </x:c>
      <x:c r="B844" s="4" t="str">
        <x:v>noahlaba</x:v>
      </x:c>
      <x:c r="C844" s="10" t="n">
        <x:v>0</x:v>
      </x:c>
      <x:c r="D844" s="10" t="n">
        <x:v>1</x:v>
      </x:c>
      <x:c r="E844" s="10" t="n">
        <x:v>1</x:v>
      </x:c>
      <x:c r="F844" s="4" t="str">
        <x:f>IF(COUNT(N844,Q844,T844,W844,Z844,AC844,AF844,AI844)=8,N844*Guide!$E$5+Q844*Guide!$E$6+T844*Guide!$E$7+W844*Guide!$E$8+Z844*Guide!$E$9+AC844*Guide!$E$10+AF844*Guide!$E$11+AI844*Guide!$E$12,"")</x:f>
      </x:c>
      <x:c r="G844" s="4" t="n">
        <x:f>IF(COUNT(O844,R844,U844,X844,AA844,AD844,AG844,AJ844)=8,O844*Guide!$E$5+R844*Guide!$E$6+U844*Guide!$E$7+X844*Guide!$E$8+AA844*Guide!$E$9+AD844*Guide!$E$10+AG844*Guide!$E$11+AJ844*Guide!$E$12,"")</x:f>
        <x:v>166</x:v>
      </x:c>
      <x:c r="H844" s="4" t="str">
        <x:f>IF(COUNT(G844,F844)=2,G844-F844,"")</x:f>
      </x:c>
      <x:c r="I844" s="4" t="str">
        <x:f>IF(AND(ISNUMBER(F844),K844&gt;0),F844/K844,"")</x:f>
      </x:c>
      <x:c r="J844" s="4" t="n">
        <x:f>IF(AND(ISNUMBER(G844),L844&gt;0),G844/L844,"")</x:f>
        <x:v>2.2432432432432434</x:v>
      </x:c>
      <x:c r="K844" s="10"/>
      <x:c r="L844" s="10" t="n">
        <x:v>74</x:v>
      </x:c>
      <x:c r="M844" s="10" t="str">
        <x:f>IF(COUNT(L844,K844)=2,L844-K844,"")</x:f>
      </x:c>
      <x:c r="N844" s="10"/>
      <x:c r="O844" s="10" t="n">
        <x:v>9</x:v>
      </x:c>
      <x:c r="P844" s="10" t="str">
        <x:f>IF(COUNT(O844,N844)=2,O844-N844,"")</x:f>
      </x:c>
      <x:c r="Q844" s="10"/>
      <x:c r="R844" s="10" t="n">
        <x:v>15</x:v>
      </x:c>
      <x:c r="S844" s="10" t="str">
        <x:f>IF(COUNT(R844,Q844)=2,R844-Q844,"")</x:f>
      </x:c>
      <x:c r="T844" s="10"/>
      <x:c r="U844" s="10" t="n">
        <x:v>2</x:v>
      </x:c>
      <x:c r="V844" s="10" t="str">
        <x:f>IF(COUNT(U844,T844)=2,U844-T844,"")</x:f>
      </x:c>
      <x:c r="W844" s="10"/>
      <x:c r="X844" s="10" t="n">
        <x:f>IF(COUNT(AV844,AW844)=2,AV844+AW844,"")</x:f>
        <x:v>5</x:v>
      </x:c>
      <x:c r="Y844" s="10" t="str">
        <x:f>IF(COUNT(X844,W844)=2,X844-W844,"")</x:f>
      </x:c>
      <x:c r="Z844" s="10"/>
      <x:c r="AA844" s="10" t="n">
        <x:f>IF(COUNT(AX844,AY844)=2,AX844+AY844,"")</x:f>
        <x:v>0</x:v>
      </x:c>
      <x:c r="AB844" s="10" t="str">
        <x:f>IF(COUNT(AA844,Z844)=2,AA844-Z844,"")</x:f>
      </x:c>
      <x:c r="AC844" s="10"/>
      <x:c r="AD844" s="10" t="n">
        <x:v>73</x:v>
      </x:c>
      <x:c r="AE844" s="10" t="str">
        <x:f>IF(COUNT(AD844,AC844)=2,AD844-AC844,"")</x:f>
      </x:c>
      <x:c r="AF844" s="10"/>
      <x:c r="AG844" s="10" t="n">
        <x:v>110</x:v>
      </x:c>
      <x:c r="AH844" s="10" t="str">
        <x:f>IF(COUNT(AG844,AF844)=2,AG844-AF844,"")</x:f>
      </x:c>
      <x:c r="AI844" s="10"/>
      <x:c r="AJ844" s="10" t="n">
        <x:v>43</x:v>
      </x:c>
      <x:c r="AK844" s="10" t="str">
        <x:f>IF(COUNT(AJ844,AI844)=2,AJ844-AI844,"")</x:f>
      </x:c>
      <x:c r="AL844" s="10"/>
      <x:c r="AM844" s="10" t="n">
        <x:v>22</x:v>
      </x:c>
      <x:c r="AN844" s="4"/>
      <x:c r="AO844" s="4" t="str">
        <x:v>C</x:v>
      </x:c>
      <x:c r="AP844" s="4"/>
      <x:c r="AQ844" s="4" t="str">
        <x:v>NYR</x:v>
      </x:c>
      <x:c r="AR844" s="4"/>
      <x:c r="AS844" s="4" t="n">
        <x:v>13.466666666666667</x:v>
      </x:c>
      <x:c r="AT844" s="4"/>
      <x:c r="AU844" s="4" t="n">
        <x:v>12.3</x:v>
      </x:c>
      <x:c r="AV844" s="10" t="n">
        <x:v>3</x:v>
      </x:c>
      <x:c r="AW844" s="10" t="n">
        <x:v>2</x:v>
      </x:c>
      <x:c r="AX844" s="10" t="n">
        <x:v>0</x:v>
      </x:c>
      <x:c r="AY844" s="10" t="n">
        <x:v>0</x:v>
      </x:c>
      <x:c r="AZ844" s="10" t="n">
        <x:v>722</x:v>
      </x:c>
      <x:c r="BA844" s="10" t="n">
        <x:v>857</x:v>
      </x:c>
      <x:c r="BB844" s="4" t="n">
        <x:v>45.7</x:v>
      </x:c>
      <x:c r="BC844" s="4" t="n">
        <x:v>-4.3</x:v>
      </x:c>
      <x:c r="BD844" s="10" t="n">
        <x:v>493</x:v>
      </x:c>
      <x:c r="BE844" s="10" t="n">
        <x:v>579</x:v>
      </x:c>
      <x:c r="BF844" s="4" t="n">
        <x:v>46</x:v>
      </x:c>
      <x:c r="BG844" s="4" t="n">
        <x:v>-2.6</x:v>
      </x:c>
      <x:c r="BH844" s="4" t="n">
        <x:v>9.9</x:v>
      </x:c>
      <x:c r="BI844" s="4" t="n">
        <x:v>92.6</x:v>
      </x:c>
      <x:c r="BJ844" s="4" t="n">
        <x:v>102.5</x:v>
      </x:c>
      <x:c r="BK844" s="4" t="n">
        <x:v>43.7</x:v>
      </x:c>
      <x:c r="BL844" s="4" t="n">
        <x:v>56.3</x:v>
      </x:c>
      <x:c r="BM844" s="4" t="n">
        <x:v>13.466666666666667</x:v>
      </x:c>
      <x:c r="BN844" s="4" t="n">
        <x:v>11.733333333333333</x:v>
      </x:c>
      <x:c r="BO844" s="10" t="n">
        <x:v>12</x:v>
      </x:c>
      <x:c r="BP844" s="10" t="n">
        <x:v>39</x:v>
      </x:c>
      <x:c r="BQ844" s="4" t="n">
        <x:v>-3.3</x:v>
      </x:c>
      <x:c r="BR844" s="10" t="n">
        <x:v>142</x:v>
      </x:c>
      <x:c r="BS844" s="4" t="n">
        <x:v>51.4</x:v>
      </x:c>
      <x:c r="BT844" s="10" t="n">
        <x:v>74</x:v>
      </x:c>
      <x:c r="BU844" s="4" t="str">
        <x:v>NYR</x:v>
      </x:c>
      <x:c r="BV844" s="10"/>
      <x:c r="BW844" s="10" t="n">
        <x:v>409</x:v>
      </x:c>
      <x:c r="BX844" s="10" t="n">
        <x:v>559</x:v>
      </x:c>
      <x:c r="BY844" s="4"/>
      <x:c r="BZ844" s="4" t="str">
        <x:v>Noah Laba</x:v>
      </x:c>
      <x:c r="CA844" s="4" t="str">
        <x:v>Noah Laba</x:v>
      </x:c>
      <x:c r="CB844" s="4" t="str">
        <x:v>labano01</x:v>
      </x:c>
    </x:row>
    <x:row r="845" ht="22" customHeight="1">
      <x:c r="A845" s="4" t="str">
        <x:v>Noah Ostlund</x:v>
      </x:c>
      <x:c r="B845" s="4" t="str">
        <x:v>noahostlund</x:v>
      </x:c>
      <x:c r="C845" s="10" t="n">
        <x:v>0</x:v>
      </x:c>
      <x:c r="D845" s="10" t="n">
        <x:v>1</x:v>
      </x:c>
      <x:c r="E845" s="10" t="n">
        <x:v>1</x:v>
      </x:c>
      <x:c r="F845" s="4" t="str">
        <x:f>IF(COUNT(N845,Q845,T845,W845,Z845,AC845,AF845,AI845)=8,N845*Guide!$E$5+Q845*Guide!$E$6+T845*Guide!$E$7+W845*Guide!$E$8+Z845*Guide!$E$9+AC845*Guide!$E$10+AF845*Guide!$E$11+AI845*Guide!$E$12,"")</x:f>
      </x:c>
      <x:c r="G845" s="4" t="n">
        <x:f>IF(COUNT(O845,R845,U845,X845,AA845,AD845,AG845,AJ845)=8,O845*Guide!$E$5+R845*Guide!$E$6+U845*Guide!$E$7+X845*Guide!$E$8+AA845*Guide!$E$9+AD845*Guide!$E$10+AG845*Guide!$E$11+AJ845*Guide!$E$12,"")</x:f>
        <x:v>147.75</x:v>
      </x:c>
      <x:c r="H845" s="4" t="str">
        <x:f>IF(COUNT(G845,F845)=2,G845-F845,"")</x:f>
      </x:c>
      <x:c r="I845" s="4" t="str">
        <x:f>IF(AND(ISNUMBER(F845),K845&gt;0),F845/K845,"")</x:f>
      </x:c>
      <x:c r="J845" s="4" t="n">
        <x:f>IF(AND(ISNUMBER(G845),L845&gt;0),G845/L845,"")</x:f>
        <x:v>2.4625</x:v>
      </x:c>
      <x:c r="K845" s="10"/>
      <x:c r="L845" s="10" t="n">
        <x:v>60</x:v>
      </x:c>
      <x:c r="M845" s="10" t="str">
        <x:f>IF(COUNT(L845,K845)=2,L845-K845,"")</x:f>
      </x:c>
      <x:c r="N845" s="10"/>
      <x:c r="O845" s="10" t="n">
        <x:v>11</x:v>
      </x:c>
      <x:c r="P845" s="10" t="str">
        <x:f>IF(COUNT(O845,N845)=2,O845-N845,"")</x:f>
      </x:c>
      <x:c r="Q845" s="10"/>
      <x:c r="R845" s="10" t="n">
        <x:v>16</x:v>
      </x:c>
      <x:c r="S845" s="10" t="str">
        <x:f>IF(COUNT(R845,Q845)=2,R845-Q845,"")</x:f>
      </x:c>
      <x:c r="T845" s="10"/>
      <x:c r="U845" s="10" t="n">
        <x:v>11</x:v>
      </x:c>
      <x:c r="V845" s="10" t="str">
        <x:f>IF(COUNT(U845,T845)=2,U845-T845,"")</x:f>
      </x:c>
      <x:c r="W845" s="10"/>
      <x:c r="X845" s="10" t="n">
        <x:f>IF(COUNT(AV845,AW845)=2,AV845+AW845,"")</x:f>
        <x:v>6</x:v>
      </x:c>
      <x:c r="Y845" s="10" t="str">
        <x:f>IF(COUNT(X845,W845)=2,X845-W845,"")</x:f>
      </x:c>
      <x:c r="Z845" s="10"/>
      <x:c r="AA845" s="10" t="n">
        <x:f>IF(COUNT(AX845,AY845)=2,AX845+AY845,"")</x:f>
        <x:v>0</x:v>
      </x:c>
      <x:c r="AB845" s="10" t="str">
        <x:f>IF(COUNT(AA845,Z845)=2,AA845-Z845,"")</x:f>
      </x:c>
      <x:c r="AC845" s="10"/>
      <x:c r="AD845" s="10" t="n">
        <x:v>60</x:v>
      </x:c>
      <x:c r="AE845" s="10" t="str">
        <x:f>IF(COUNT(AD845,AC845)=2,AD845-AC845,"")</x:f>
      </x:c>
      <x:c r="AF845" s="10"/>
      <x:c r="AG845" s="10" t="n">
        <x:v>5</x:v>
      </x:c>
      <x:c r="AH845" s="10" t="str">
        <x:f>IF(COUNT(AG845,AF845)=2,AG845-AF845,"")</x:f>
      </x:c>
      <x:c r="AI845" s="10"/>
      <x:c r="AJ845" s="10" t="n">
        <x:v>30</x:v>
      </x:c>
      <x:c r="AK845" s="10" t="str">
        <x:f>IF(COUNT(AJ845,AI845)=2,AJ845-AI845,"")</x:f>
      </x:c>
      <x:c r="AL845" s="10"/>
      <x:c r="AM845" s="10" t="n">
        <x:v>21</x:v>
      </x:c>
      <x:c r="AN845" s="4"/>
      <x:c r="AO845" s="4" t="str">
        <x:v>C</x:v>
      </x:c>
      <x:c r="AP845" s="4"/>
      <x:c r="AQ845" s="4" t="str">
        <x:v>BUF</x:v>
      </x:c>
      <x:c r="AR845" s="4"/>
      <x:c r="AS845" s="4" t="n">
        <x:v>13.966666666666667</x:v>
      </x:c>
      <x:c r="AT845" s="4"/>
      <x:c r="AU845" s="4" t="n">
        <x:v>18.3</x:v>
      </x:c>
      <x:c r="AV845" s="10" t="n">
        <x:v>2</x:v>
      </x:c>
      <x:c r="AW845" s="10" t="n">
        <x:v>4</x:v>
      </x:c>
      <x:c r="AX845" s="10" t="n">
        <x:v>0</x:v>
      </x:c>
      <x:c r="AY845" s="10" t="n">
        <x:v>0</x:v>
      </x:c>
      <x:c r="AZ845" s="10" t="n">
        <x:v>706</x:v>
      </x:c>
      <x:c r="BA845" s="10" t="n">
        <x:v>683</x:v>
      </x:c>
      <x:c r="BB845" s="4" t="n">
        <x:v>50.8</x:v>
      </x:c>
      <x:c r="BC845" s="4" t="n">
        <x:v>2.8</x:v>
      </x:c>
      <x:c r="BD845" s="10" t="n">
        <x:v>524</x:v>
      </x:c>
      <x:c r="BE845" s="10" t="n">
        <x:v>489</x:v>
      </x:c>
      <x:c r="BF845" s="4" t="n">
        <x:v>51.7</x:v>
      </x:c>
      <x:c r="BG845" s="4" t="n">
        <x:v>3.3</x:v>
      </x:c>
      <x:c r="BH845" s="4" t="n">
        <x:v>10.3</x:v>
      </x:c>
      <x:c r="BI845" s="4" t="n">
        <x:v>91.8</x:v>
      </x:c>
      <x:c r="BJ845" s="4" t="n">
        <x:v>102.1</x:v>
      </x:c>
      <x:c r="BK845" s="4" t="n">
        <x:v>58.1</x:v>
      </x:c>
      <x:c r="BL845" s="4" t="n">
        <x:v>41.9</x:v>
      </x:c>
      <x:c r="BM845" s="4" t="n">
        <x:v>13.966666666666667</x:v>
      </x:c>
      <x:c r="BN845" s="4" t="n">
        <x:v>12.583333333333334</x:v>
      </x:c>
      <x:c r="BO845" s="10" t="n">
        <x:v>17</x:v>
      </x:c>
      <x:c r="BP845" s="10" t="n">
        <x:v>35</x:v>
      </x:c>
      <x:c r="BQ845" s="4" t="n">
        <x:v>3.8</x:v>
      </x:c>
      <x:c r="BR845" s="10" t="n">
        <x:v>131</x:v>
      </x:c>
      <x:c r="BS845" s="4" t="n">
        <x:v>45.8</x:v>
      </x:c>
      <x:c r="BT845" s="10" t="n">
        <x:v>60</x:v>
      </x:c>
      <x:c r="BU845" s="4" t="str">
        <x:v>BUF</x:v>
      </x:c>
      <x:c r="BV845" s="10"/>
      <x:c r="BW845" s="10" t="n">
        <x:v>367</x:v>
      </x:c>
      <x:c r="BX845" s="10" t="n">
        <x:v>768</x:v>
      </x:c>
      <x:c r="BY845" s="4"/>
      <x:c r="BZ845" s="4" t="str">
        <x:v>Noah Ostlund</x:v>
      </x:c>
      <x:c r="CA845" s="4" t="str">
        <x:v>Noah Ostlund</x:v>
      </x:c>
      <x:c r="CB845" s="4" t="str">
        <x:v>ostluno01</x:v>
      </x:c>
    </x:row>
    <x:row r="846" ht="22" customHeight="1">
      <x:c r="A846" s="4" t="str">
        <x:v>Noah Philp</x:v>
      </x:c>
      <x:c r="B846" s="4" t="str">
        <x:v>noahphilp</x:v>
      </x:c>
      <x:c r="C846" s="10" t="n">
        <x:v>0</x:v>
      </x:c>
      <x:c r="D846" s="10" t="n">
        <x:v>0</x:v>
      </x:c>
      <x:c r="E846" s="10" t="n">
        <x:v>1</x:v>
      </x:c>
      <x:c r="F846" s="4" t="str">
        <x:f>IF(COUNT(N846,Q846,T846,W846,Z846,AC846,AF846,AI846)=8,N846*Guide!$E$5+Q846*Guide!$E$6+T846*Guide!$E$7+W846*Guide!$E$8+Z846*Guide!$E$9+AC846*Guide!$E$10+AF846*Guide!$E$11+AI846*Guide!$E$12,"")</x:f>
      </x:c>
      <x:c r="G846" s="4" t="str">
        <x:f>IF(COUNT(O846,R846,U846,X846,AA846,AD846,AG846,AJ846)=8,O846*Guide!$E$5+R846*Guide!$E$6+U846*Guide!$E$7+X846*Guide!$E$8+AA846*Guide!$E$9+AD846*Guide!$E$10+AG846*Guide!$E$11+AJ846*Guide!$E$12,"")</x:f>
      </x:c>
      <x:c r="H846" s="4" t="str">
        <x:f>IF(COUNT(G846,F846)=2,G846-F846,"")</x:f>
      </x:c>
      <x:c r="I846" s="4" t="str">
        <x:f>IF(AND(ISNUMBER(F846),K846&gt;0),F846/K846,"")</x:f>
      </x:c>
      <x:c r="J846" s="4" t="str">
        <x:f>IF(AND(ISNUMBER(G846),L846&gt;0),G846/L846,"")</x:f>
      </x:c>
      <x:c r="K846" s="10"/>
      <x:c r="L846" s="10"/>
      <x:c r="M846" s="10" t="str">
        <x:f>IF(COUNT(L846,K846)=2,L846-K846,"")</x:f>
      </x:c>
      <x:c r="N846" s="10"/>
      <x:c r="O846" s="10"/>
      <x:c r="P846" s="10" t="str">
        <x:f>IF(COUNT(O846,N846)=2,O846-N846,"")</x:f>
      </x:c>
      <x:c r="Q846" s="10"/>
      <x:c r="R846" s="10"/>
      <x:c r="S846" s="10" t="str">
        <x:f>IF(COUNT(R846,Q846)=2,R846-Q846,"")</x:f>
      </x:c>
      <x:c r="T846" s="10"/>
      <x:c r="U846" s="10"/>
      <x:c r="V846" s="10" t="str">
        <x:f>IF(COUNT(U846,T846)=2,U846-T846,"")</x:f>
      </x:c>
      <x:c r="W846" s="10"/>
      <x:c r="X846" s="10" t="str">
        <x:f>IF(COUNT(AV846,AW846)=2,AV846+AW846,"")</x:f>
      </x:c>
      <x:c r="Y846" s="10" t="str">
        <x:f>IF(COUNT(X846,W846)=2,X846-W846,"")</x:f>
      </x:c>
      <x:c r="Z846" s="10"/>
      <x:c r="AA846" s="10" t="str">
        <x:f>IF(COUNT(AX846,AY846)=2,AX846+AY846,"")</x:f>
      </x:c>
      <x:c r="AB846" s="10" t="str">
        <x:f>IF(COUNT(AA846,Z846)=2,AA846-Z846,"")</x:f>
      </x:c>
      <x:c r="AC846" s="10"/>
      <x:c r="AD846" s="10"/>
      <x:c r="AE846" s="10" t="str">
        <x:f>IF(COUNT(AD846,AC846)=2,AD846-AC846,"")</x:f>
      </x:c>
      <x:c r="AF846" s="10"/>
      <x:c r="AG846" s="10"/>
      <x:c r="AH846" s="10" t="str">
        <x:f>IF(COUNT(AG846,AF846)=2,AG846-AF846,"")</x:f>
      </x:c>
      <x:c r="AI846" s="10"/>
      <x:c r="AJ846" s="10"/>
      <x:c r="AK846" s="10" t="str">
        <x:f>IF(COUNT(AJ846,AI846)=2,AJ846-AI846,"")</x:f>
      </x:c>
      <x:c r="AL846" s="10"/>
      <x:c r="AM846" s="10"/>
      <x:c r="AN846" s="4"/>
      <x:c r="AO846" s="4"/>
      <x:c r="AP846" s="4"/>
      <x:c r="AQ846" s="4"/>
      <x:c r="AR846" s="4"/>
      <x:c r="AS846" s="4"/>
      <x:c r="AT846" s="4"/>
      <x:c r="AU846" s="4"/>
      <x:c r="AV846" s="10"/>
      <x:c r="AW846" s="10"/>
      <x:c r="AX846" s="10"/>
      <x:c r="AY846" s="10"/>
      <x:c r="AZ846" s="10" t="n">
        <x:v>101</x:v>
      </x:c>
      <x:c r="BA846" s="10" t="n">
        <x:v>144</x:v>
      </x:c>
      <x:c r="BB846" s="4" t="n">
        <x:v>41.2</x:v>
      </x:c>
      <x:c r="BC846" s="4" t="n">
        <x:v>-10.9</x:v>
      </x:c>
      <x:c r="BD846" s="10" t="n">
        <x:v>73</x:v>
      </x:c>
      <x:c r="BE846" s="10" t="n">
        <x:v>102</x:v>
      </x:c>
      <x:c r="BF846" s="4" t="n">
        <x:v>41.7</x:v>
      </x:c>
      <x:c r="BG846" s="4" t="n">
        <x:v>-11.2</x:v>
      </x:c>
      <x:c r="BH846" s="4" t="n">
        <x:v>5.6</x:v>
      </x:c>
      <x:c r="BI846" s="4" t="n">
        <x:v>86.7</x:v>
      </x:c>
      <x:c r="BJ846" s="4" t="n">
        <x:v>92.2</x:v>
      </x:c>
      <x:c r="BK846" s="4" t="n">
        <x:v>30.1</x:v>
      </x:c>
      <x:c r="BL846" s="4" t="n">
        <x:v>69.9</x:v>
      </x:c>
      <x:c r="BM846" s="4" t="n">
        <x:v>9.95</x:v>
      </x:c>
      <x:c r="BN846" s="4" t="n">
        <x:v>9.2</x:v>
      </x:c>
      <x:c r="BO846" s="10" t="n">
        <x:v>5</x:v>
      </x:c>
      <x:c r="BP846" s="10" t="n">
        <x:v>7</x:v>
      </x:c>
      <x:c r="BQ846" s="4" t="n">
        <x:v>-2.8</x:v>
      </x:c>
      <x:c r="BR846" s="10" t="n">
        <x:v>22</x:v>
      </x:c>
      <x:c r="BS846" s="4" t="n">
        <x:v>63.6</x:v>
      </x:c>
      <x:c r="BT846" s="10" t="n">
        <x:v>17</x:v>
      </x:c>
      <x:c r="BU846" s="4" t="str">
        <x:v>TOT</x:v>
      </x:c>
      <x:c r="BV846" s="10"/>
      <x:c r="BW846" s="10"/>
      <x:c r="BX846" s="10" t="n">
        <x:v>815</x:v>
      </x:c>
      <x:c r="BY846" s="4"/>
      <x:c r="BZ846" s="4"/>
      <x:c r="CA846" s="4" t="str">
        <x:v>Noah Philp</x:v>
      </x:c>
      <x:c r="CB846" s="4" t="str">
        <x:v>philpno01</x:v>
      </x:c>
    </x:row>
    <x:row r="847" ht="22" customHeight="1">
      <x:c r="A847" s="4" t="str">
        <x:v>Nolan Allan</x:v>
      </x:c>
      <x:c r="B847" s="4" t="str">
        <x:v>nolanallan</x:v>
      </x:c>
      <x:c r="C847" s="10" t="n">
        <x:v>1</x:v>
      </x:c>
      <x:c r="D847" s="10" t="n">
        <x:v>0</x:v>
      </x:c>
      <x:c r="E847" s="10" t="n">
        <x:v>0</x:v>
      </x:c>
      <x:c r="F847" s="4" t="n">
        <x:f>IF(COUNT(N847,Q847,T847,W847,Z847,AC847,AF847,AI847)=8,N847*Guide!$E$5+Q847*Guide!$E$6+T847*Guide!$E$7+W847*Guide!$E$8+Z847*Guide!$E$9+AC847*Guide!$E$10+AF847*Guide!$E$11+AI847*Guide!$E$12,"")</x:f>
        <x:v>102.25</x:v>
      </x:c>
      <x:c r="G847" s="4" t="str">
        <x:f>IF(COUNT(O847,R847,U847,X847,AA847,AD847,AG847,AJ847)=8,O847*Guide!$E$5+R847*Guide!$E$6+U847*Guide!$E$7+X847*Guide!$E$8+AA847*Guide!$E$9+AD847*Guide!$E$10+AG847*Guide!$E$11+AJ847*Guide!$E$12,"")</x:f>
      </x:c>
      <x:c r="H847" s="4" t="str">
        <x:f>IF(COUNT(G847,F847)=2,G847-F847,"")</x:f>
      </x:c>
      <x:c r="I847" s="4" t="n">
        <x:f>IF(AND(ISNUMBER(F847),K847&gt;0),F847/K847,"")</x:f>
        <x:v>1.8590909090909091</x:v>
      </x:c>
      <x:c r="J847" s="4" t="str">
        <x:f>IF(AND(ISNUMBER(G847),L847&gt;0),G847/L847,"")</x:f>
      </x:c>
      <x:c r="K847" s="10" t="n">
        <x:v>55</x:v>
      </x:c>
      <x:c r="L847" s="10"/>
      <x:c r="M847" s="10" t="str">
        <x:f>IF(COUNT(L847,K847)=2,L847-K847,"")</x:f>
      </x:c>
      <x:c r="N847" s="10" t="n">
        <x:v>2</x:v>
      </x:c>
      <x:c r="O847" s="10"/>
      <x:c r="P847" s="10" t="str">
        <x:f>IF(COUNT(O847,N847)=2,O847-N847,"")</x:f>
      </x:c>
      <x:c r="Q847" s="10" t="n">
        <x:v>9</x:v>
      </x:c>
      <x:c r="R847" s="10"/>
      <x:c r="S847" s="10" t="str">
        <x:f>IF(COUNT(R847,Q847)=2,R847-Q847,"")</x:f>
      </x:c>
      <x:c r="T847" s="10" t="n">
        <x:v>-5</x:v>
      </x:c>
      <x:c r="U847" s="10"/>
      <x:c r="V847" s="10" t="str">
        <x:f>IF(COUNT(U847,T847)=2,U847-T847,"")</x:f>
      </x:c>
      <x:c r="W847" s="10" t="n">
        <x:v>0</x:v>
      </x:c>
      <x:c r="X847" s="10" t="str">
        <x:f>IF(COUNT(AV847,AW847)=2,AV847+AW847,"")</x:f>
      </x:c>
      <x:c r="Y847" s="10" t="str">
        <x:f>IF(COUNT(X847,W847)=2,X847-W847,"")</x:f>
      </x:c>
      <x:c r="Z847" s="10" t="n">
        <x:v>0</x:v>
      </x:c>
      <x:c r="AA847" s="10" t="str">
        <x:f>IF(COUNT(AX847,AY847)=2,AX847+AY847,"")</x:f>
      </x:c>
      <x:c r="AB847" s="10" t="str">
        <x:f>IF(COUNT(AA847,Z847)=2,AA847-Z847,"")</x:f>
      </x:c>
      <x:c r="AC847" s="10" t="n">
        <x:v>28</x:v>
      </x:c>
      <x:c r="AD847" s="10"/>
      <x:c r="AE847" s="10" t="str">
        <x:f>IF(COUNT(AD847,AC847)=2,AD847-AC847,"")</x:f>
      </x:c>
      <x:c r="AF847" s="10" t="n">
        <x:v>75</x:v>
      </x:c>
      <x:c r="AG847" s="10"/>
      <x:c r="AH847" s="10" t="str">
        <x:f>IF(COUNT(AG847,AF847)=2,AG847-AF847,"")</x:f>
      </x:c>
      <x:c r="AI847" s="10" t="n">
        <x:v>62</x:v>
      </x:c>
      <x:c r="AJ847" s="10"/>
      <x:c r="AK847" s="10" t="str">
        <x:f>IF(COUNT(AJ847,AI847)=2,AJ847-AI847,"")</x:f>
      </x:c>
      <x:c r="AL847" s="10" t="n">
        <x:v>22</x:v>
      </x:c>
      <x:c r="AM847" s="10"/>
      <x:c r="AN847" s="4" t="str">
        <x:v>D</x:v>
      </x:c>
      <x:c r="AO847" s="4"/>
      <x:c r="AP847" s="4" t="str">
        <x:v>CHI</x:v>
      </x:c>
      <x:c r="AQ847" s="4"/>
      <x:c r="AR847" s="4" t="n">
        <x:v>15.13</x:v>
      </x:c>
      <x:c r="AS847" s="4"/>
      <x:c r="AT847" s="4" t="n">
        <x:v>0.01</x:v>
      </x:c>
      <x:c r="AU847" s="4"/>
      <x:c r="AV847" s="10"/>
      <x:c r="AW847" s="10"/>
      <x:c r="AX847" s="10"/>
      <x:c r="AY847" s="10"/>
      <x:c r="AZ847" s="10"/>
      <x:c r="BA847" s="10"/>
      <x:c r="BB847" s="4"/>
      <x:c r="BC847" s="4"/>
      <x:c r="BD847" s="10"/>
      <x:c r="BE847" s="10"/>
      <x:c r="BF847" s="4"/>
      <x:c r="BG847" s="4"/>
      <x:c r="BH847" s="4"/>
      <x:c r="BI847" s="4"/>
      <x:c r="BJ847" s="4"/>
      <x:c r="BK847" s="4"/>
      <x:c r="BL847" s="4"/>
      <x:c r="BM847" s="4"/>
      <x:c r="BN847" s="4"/>
      <x:c r="BO847" s="10"/>
      <x:c r="BP847" s="10"/>
      <x:c r="BQ847" s="4"/>
      <x:c r="BR847" s="10"/>
      <x:c r="BS847" s="4"/>
      <x:c r="BT847" s="10"/>
      <x:c r="BU847" s="4"/>
      <x:c r="BV847" s="10" t="n">
        <x:v>710</x:v>
      </x:c>
      <x:c r="BW847" s="10"/>
      <x:c r="BX847" s="10"/>
      <x:c r="BY847" s="4" t="str">
        <x:v>Nolan Allan</x:v>
      </x:c>
      <x:c r="BZ847" s="4"/>
      <x:c r="CA847" s="4"/>
      <x:c r="CB847" s="4"/>
    </x:row>
    <x:row r="848" ht="22" customHeight="1">
      <x:c r="A848" s="4" t="str">
        <x:v>Nolan Foote</x:v>
      </x:c>
      <x:c r="B848" s="4" t="str">
        <x:v>nolanfoote</x:v>
      </x:c>
      <x:c r="C848" s="10" t="n">
        <x:v>0</x:v>
      </x:c>
      <x:c r="D848" s="10" t="n">
        <x:v>0</x:v>
      </x:c>
      <x:c r="E848" s="10" t="n">
        <x:v>1</x:v>
      </x:c>
      <x:c r="F848" s="4" t="str">
        <x:f>IF(COUNT(N848,Q848,T848,W848,Z848,AC848,AF848,AI848)=8,N848*Guide!$E$5+Q848*Guide!$E$6+T848*Guide!$E$7+W848*Guide!$E$8+Z848*Guide!$E$9+AC848*Guide!$E$10+AF848*Guide!$E$11+AI848*Guide!$E$12,"")</x:f>
      </x:c>
      <x:c r="G848" s="4" t="str">
        <x:f>IF(COUNT(O848,R848,U848,X848,AA848,AD848,AG848,AJ848)=8,O848*Guide!$E$5+R848*Guide!$E$6+U848*Guide!$E$7+X848*Guide!$E$8+AA848*Guide!$E$9+AD848*Guide!$E$10+AG848*Guide!$E$11+AJ848*Guide!$E$12,"")</x:f>
      </x:c>
      <x:c r="H848" s="4" t="str">
        <x:f>IF(COUNT(G848,F848)=2,G848-F848,"")</x:f>
      </x:c>
      <x:c r="I848" s="4" t="str">
        <x:f>IF(AND(ISNUMBER(F848),K848&gt;0),F848/K848,"")</x:f>
      </x:c>
      <x:c r="J848" s="4" t="str">
        <x:f>IF(AND(ISNUMBER(G848),L848&gt;0),G848/L848,"")</x:f>
      </x:c>
      <x:c r="K848" s="10"/>
      <x:c r="L848" s="10"/>
      <x:c r="M848" s="10" t="str">
        <x:f>IF(COUNT(L848,K848)=2,L848-K848,"")</x:f>
      </x:c>
      <x:c r="N848" s="10"/>
      <x:c r="O848" s="10"/>
      <x:c r="P848" s="10" t="str">
        <x:f>IF(COUNT(O848,N848)=2,O848-N848,"")</x:f>
      </x:c>
      <x:c r="Q848" s="10"/>
      <x:c r="R848" s="10"/>
      <x:c r="S848" s="10" t="str">
        <x:f>IF(COUNT(R848,Q848)=2,R848-Q848,"")</x:f>
      </x:c>
      <x:c r="T848" s="10"/>
      <x:c r="U848" s="10"/>
      <x:c r="V848" s="10" t="str">
        <x:f>IF(COUNT(U848,T848)=2,U848-T848,"")</x:f>
      </x:c>
      <x:c r="W848" s="10"/>
      <x:c r="X848" s="10" t="str">
        <x:f>IF(COUNT(AV848,AW848)=2,AV848+AW848,"")</x:f>
      </x:c>
      <x:c r="Y848" s="10" t="str">
        <x:f>IF(COUNT(X848,W848)=2,X848-W848,"")</x:f>
      </x:c>
      <x:c r="Z848" s="10"/>
      <x:c r="AA848" s="10" t="str">
        <x:f>IF(COUNT(AX848,AY848)=2,AX848+AY848,"")</x:f>
      </x:c>
      <x:c r="AB848" s="10" t="str">
        <x:f>IF(COUNT(AA848,Z848)=2,AA848-Z848,"")</x:f>
      </x:c>
      <x:c r="AC848" s="10"/>
      <x:c r="AD848" s="10"/>
      <x:c r="AE848" s="10" t="str">
        <x:f>IF(COUNT(AD848,AC848)=2,AD848-AC848,"")</x:f>
      </x:c>
      <x:c r="AF848" s="10"/>
      <x:c r="AG848" s="10"/>
      <x:c r="AH848" s="10" t="str">
        <x:f>IF(COUNT(AG848,AF848)=2,AG848-AF848,"")</x:f>
      </x:c>
      <x:c r="AI848" s="10"/>
      <x:c r="AJ848" s="10"/>
      <x:c r="AK848" s="10" t="str">
        <x:f>IF(COUNT(AJ848,AI848)=2,AJ848-AI848,"")</x:f>
      </x:c>
      <x:c r="AL848" s="10"/>
      <x:c r="AM848" s="10"/>
      <x:c r="AN848" s="4"/>
      <x:c r="AO848" s="4"/>
      <x:c r="AP848" s="4"/>
      <x:c r="AQ848" s="4"/>
      <x:c r="AR848" s="4"/>
      <x:c r="AS848" s="4"/>
      <x:c r="AT848" s="4"/>
      <x:c r="AU848" s="4"/>
      <x:c r="AV848" s="10"/>
      <x:c r="AW848" s="10"/>
      <x:c r="AX848" s="10"/>
      <x:c r="AY848" s="10"/>
      <x:c r="AZ848" s="10" t="n">
        <x:v>124</x:v>
      </x:c>
      <x:c r="BA848" s="10" t="n">
        <x:v>123</x:v>
      </x:c>
      <x:c r="BB848" s="4" t="n">
        <x:v>50.2</x:v>
      </x:c>
      <x:c r="BC848" s="4" t="n">
        <x:v>-0.6</x:v>
      </x:c>
      <x:c r="BD848" s="10" t="n">
        <x:v>84</x:v>
      </x:c>
      <x:c r="BE848" s="10" t="n">
        <x:v>84</x:v>
      </x:c>
      <x:c r="BF848" s="4" t="n">
        <x:v>50</x:v>
      </x:c>
      <x:c r="BG848" s="4" t="n">
        <x:v>1.5</x:v>
      </x:c>
      <x:c r="BH848" s="4" t="n">
        <x:v>5.8</x:v>
      </x:c>
      <x:c r="BI848" s="4" t="n">
        <x:v>88.1</x:v>
      </x:c>
      <x:c r="BJ848" s="4" t="n">
        <x:v>93.9</x:v>
      </x:c>
      <x:c r="BK848" s="4" t="n">
        <x:v>48.6</x:v>
      </x:c>
      <x:c r="BL848" s="4" t="n">
        <x:v>51.4</x:v>
      </x:c>
      <x:c r="BM848" s="4" t="n">
        <x:v>10.8</x:v>
      </x:c>
      <x:c r="BN848" s="4" t="n">
        <x:v>10.6</x:v>
      </x:c>
      <x:c r="BO848" s="10" t="n">
        <x:v>2</x:v>
      </x:c>
      <x:c r="BP848" s="10" t="n">
        <x:v>2</x:v>
      </x:c>
      <x:c r="BQ848" s="4" t="n">
        <x:v>-1.3</x:v>
      </x:c>
      <x:c r="BR848" s="10" t="n">
        <x:v>27</x:v>
      </x:c>
      <x:c r="BS848" s="4" t="n">
        <x:v>48.1</x:v>
      </x:c>
      <x:c r="BT848" s="10" t="n">
        <x:v>12</x:v>
      </x:c>
      <x:c r="BU848" s="4" t="str">
        <x:v>FLA</x:v>
      </x:c>
      <x:c r="BV848" s="10"/>
      <x:c r="BW848" s="10"/>
      <x:c r="BX848" s="10" t="n">
        <x:v>305</x:v>
      </x:c>
      <x:c r="BY848" s="4"/>
      <x:c r="BZ848" s="4"/>
      <x:c r="CA848" s="4" t="str">
        <x:v>Nolan Foote</x:v>
      </x:c>
      <x:c r="CB848" s="4" t="str">
        <x:v>footeno01</x:v>
      </x:c>
    </x:row>
    <x:row r="849" ht="22" customHeight="1">
      <x:c r="A849" s="4" t="str">
        <x:v>Oliver Bonk</x:v>
      </x:c>
      <x:c r="B849" s="4" t="str">
        <x:v>oliverbonk</x:v>
      </x:c>
      <x:c r="C849" s="10" t="n">
        <x:v>0</x:v>
      </x:c>
      <x:c r="D849" s="10" t="n">
        <x:v>0</x:v>
      </x:c>
      <x:c r="E849" s="10" t="n">
        <x:v>1</x:v>
      </x:c>
      <x:c r="F849" s="4" t="str">
        <x:f>IF(COUNT(N849,Q849,T849,W849,Z849,AC849,AF849,AI849)=8,N849*Guide!$E$5+Q849*Guide!$E$6+T849*Guide!$E$7+W849*Guide!$E$8+Z849*Guide!$E$9+AC849*Guide!$E$10+AF849*Guide!$E$11+AI849*Guide!$E$12,"")</x:f>
      </x:c>
      <x:c r="G849" s="4" t="str">
        <x:f>IF(COUNT(O849,R849,U849,X849,AA849,AD849,AG849,AJ849)=8,O849*Guide!$E$5+R849*Guide!$E$6+U849*Guide!$E$7+X849*Guide!$E$8+AA849*Guide!$E$9+AD849*Guide!$E$10+AG849*Guide!$E$11+AJ849*Guide!$E$12,"")</x:f>
      </x:c>
      <x:c r="H849" s="4" t="str">
        <x:f>IF(COUNT(G849,F849)=2,G849-F849,"")</x:f>
      </x:c>
      <x:c r="I849" s="4" t="str">
        <x:f>IF(AND(ISNUMBER(F849),K849&gt;0),F849/K849,"")</x:f>
      </x:c>
      <x:c r="J849" s="4" t="str">
        <x:f>IF(AND(ISNUMBER(G849),L849&gt;0),G849/L849,"")</x:f>
      </x:c>
      <x:c r="K849" s="10"/>
      <x:c r="L849" s="10"/>
      <x:c r="M849" s="10" t="str">
        <x:f>IF(COUNT(L849,K849)=2,L849-K849,"")</x:f>
      </x:c>
      <x:c r="N849" s="10"/>
      <x:c r="O849" s="10"/>
      <x:c r="P849" s="10" t="str">
        <x:f>IF(COUNT(O849,N849)=2,O849-N849,"")</x:f>
      </x:c>
      <x:c r="Q849" s="10"/>
      <x:c r="R849" s="10"/>
      <x:c r="S849" s="10" t="str">
        <x:f>IF(COUNT(R849,Q849)=2,R849-Q849,"")</x:f>
      </x:c>
      <x:c r="T849" s="10"/>
      <x:c r="U849" s="10"/>
      <x:c r="V849" s="10" t="str">
        <x:f>IF(COUNT(U849,T849)=2,U849-T849,"")</x:f>
      </x:c>
      <x:c r="W849" s="10"/>
      <x:c r="X849" s="10" t="str">
        <x:f>IF(COUNT(AV849,AW849)=2,AV849+AW849,"")</x:f>
      </x:c>
      <x:c r="Y849" s="10" t="str">
        <x:f>IF(COUNT(X849,W849)=2,X849-W849,"")</x:f>
      </x:c>
      <x:c r="Z849" s="10"/>
      <x:c r="AA849" s="10" t="str">
        <x:f>IF(COUNT(AX849,AY849)=2,AX849+AY849,"")</x:f>
      </x:c>
      <x:c r="AB849" s="10" t="str">
        <x:f>IF(COUNT(AA849,Z849)=2,AA849-Z849,"")</x:f>
      </x:c>
      <x:c r="AC849" s="10"/>
      <x:c r="AD849" s="10"/>
      <x:c r="AE849" s="10" t="str">
        <x:f>IF(COUNT(AD849,AC849)=2,AD849-AC849,"")</x:f>
      </x:c>
      <x:c r="AF849" s="10"/>
      <x:c r="AG849" s="10"/>
      <x:c r="AH849" s="10" t="str">
        <x:f>IF(COUNT(AG849,AF849)=2,AG849-AF849,"")</x:f>
      </x:c>
      <x:c r="AI849" s="10"/>
      <x:c r="AJ849" s="10"/>
      <x:c r="AK849" s="10" t="str">
        <x:f>IF(COUNT(AJ849,AI849)=2,AJ849-AI849,"")</x:f>
      </x:c>
      <x:c r="AL849" s="10"/>
      <x:c r="AM849" s="10"/>
      <x:c r="AN849" s="4"/>
      <x:c r="AO849" s="4"/>
      <x:c r="AP849" s="4"/>
      <x:c r="AQ849" s="4"/>
      <x:c r="AR849" s="4"/>
      <x:c r="AS849" s="4"/>
      <x:c r="AT849" s="4"/>
      <x:c r="AU849" s="4"/>
      <x:c r="AV849" s="10"/>
      <x:c r="AW849" s="10"/>
      <x:c r="AX849" s="10"/>
      <x:c r="AY849" s="10"/>
      <x:c r="AZ849" s="10" t="n">
        <x:v>11</x:v>
      </x:c>
      <x:c r="BA849" s="10" t="n">
        <x:v>14</x:v>
      </x:c>
      <x:c r="BB849" s="4" t="n">
        <x:v>44</x:v>
      </x:c>
      <x:c r="BC849" s="4" t="n">
        <x:v>2.3</x:v>
      </x:c>
      <x:c r="BD849" s="10" t="n">
        <x:v>9</x:v>
      </x:c>
      <x:c r="BE849" s="10" t="n">
        <x:v>12</x:v>
      </x:c>
      <x:c r="BF849" s="4" t="n">
        <x:v>42.9</x:v>
      </x:c>
      <x:c r="BG849" s="4" t="n">
        <x:v>-1.6</x:v>
      </x:c>
      <x:c r="BH849" s="4" t="n">
        <x:v>42.9</x:v>
      </x:c>
      <x:c r="BI849" s="4" t="n">
        <x:v>71.4</x:v>
      </x:c>
      <x:c r="BJ849" s="4" t="n">
        <x:v>114.3</x:v>
      </x:c>
      <x:c r="BK849" s="4" t="n">
        <x:v>80</x:v>
      </x:c>
      <x:c r="BL849" s="4" t="n">
        <x:v>20</x:v>
      </x:c>
      <x:c r="BM849" s="4" t="n">
        <x:v>16.466666666666665</x:v>
      </x:c>
      <x:c r="BN849" s="4" t="n">
        <x:v>14.45</x:v>
      </x:c>
      <x:c r="BO849" s="10" t="n">
        <x:v>0</x:v>
      </x:c>
      <x:c r="BP849" s="10" t="n">
        <x:v>2</x:v>
      </x:c>
      <x:c r="BQ849" s="4" t="n">
        <x:v>0.5</x:v>
      </x:c>
      <x:c r="BR849" s="10" t="n">
        <x:v>1</x:v>
      </x:c>
      <x:c r="BS849" s="4" t="n">
        <x:v>100</x:v>
      </x:c>
      <x:c r="BT849" s="10" t="n">
        <x:v>1</x:v>
      </x:c>
      <x:c r="BU849" s="4" t="str">
        <x:v>PHI</x:v>
      </x:c>
      <x:c r="BV849" s="10"/>
      <x:c r="BW849" s="10"/>
      <x:c r="BX849" s="10" t="n">
        <x:v>79</x:v>
      </x:c>
      <x:c r="BY849" s="4"/>
      <x:c r="BZ849" s="4"/>
      <x:c r="CA849" s="4" t="str">
        <x:v>Oliver Bonk</x:v>
      </x:c>
      <x:c r="CB849" s="4" t="str">
        <x:v>bonkol01</x:v>
      </x:c>
    </x:row>
    <x:row r="850" ht="22" customHeight="1">
      <x:c r="A850" s="4" t="str">
        <x:v>Oliver Kylington</x:v>
      </x:c>
      <x:c r="B850" s="4" t="str">
        <x:v>oliverkylington</x:v>
      </x:c>
      <x:c r="C850" s="10" t="n">
        <x:v>1</x:v>
      </x:c>
      <x:c r="D850" s="10" t="n">
        <x:v>0</x:v>
      </x:c>
      <x:c r="E850" s="10" t="n">
        <x:v>0</x:v>
      </x:c>
      <x:c r="F850" s="4" t="n">
        <x:f>IF(COUNT(N850,Q850,T850,W850,Z850,AC850,AF850,AI850)=8,N850*Guide!$E$5+Q850*Guide!$E$6+T850*Guide!$E$7+W850*Guide!$E$8+Z850*Guide!$E$9+AC850*Guide!$E$10+AF850*Guide!$E$11+AI850*Guide!$E$12,"")</x:f>
        <x:v>100.5</x:v>
      </x:c>
      <x:c r="G850" s="4" t="str">
        <x:f>IF(COUNT(O850,R850,U850,X850,AA850,AD850,AG850,AJ850)=8,O850*Guide!$E$5+R850*Guide!$E$6+U850*Guide!$E$7+X850*Guide!$E$8+AA850*Guide!$E$9+AD850*Guide!$E$10+AG850*Guide!$E$11+AJ850*Guide!$E$12,"")</x:f>
      </x:c>
      <x:c r="H850" s="4" t="str">
        <x:f>IF(COUNT(G850,F850)=2,G850-F850,"")</x:f>
      </x:c>
      <x:c r="I850" s="4" t="n">
        <x:f>IF(AND(ISNUMBER(F850),K850&gt;0),F850/K850,"")</x:f>
        <x:v>1.675</x:v>
      </x:c>
      <x:c r="J850" s="4" t="str">
        <x:f>IF(AND(ISNUMBER(G850),L850&gt;0),G850/L850,"")</x:f>
      </x:c>
      <x:c r="K850" s="10" t="n">
        <x:v>60</x:v>
      </x:c>
      <x:c r="L850" s="10"/>
      <x:c r="M850" s="10" t="str">
        <x:f>IF(COUNT(L850,K850)=2,L850-K850,"")</x:f>
      </x:c>
      <x:c r="N850" s="10" t="n">
        <x:v>3</x:v>
      </x:c>
      <x:c r="O850" s="10"/>
      <x:c r="P850" s="10" t="str">
        <x:f>IF(COUNT(O850,N850)=2,O850-N850,"")</x:f>
      </x:c>
      <x:c r="Q850" s="10" t="n">
        <x:v>10</x:v>
      </x:c>
      <x:c r="R850" s="10"/>
      <x:c r="S850" s="10" t="str">
        <x:f>IF(COUNT(R850,Q850)=2,R850-Q850,"")</x:f>
      </x:c>
      <x:c r="T850" s="10" t="n">
        <x:v>-1</x:v>
      </x:c>
      <x:c r="U850" s="10"/>
      <x:c r="V850" s="10" t="str">
        <x:f>IF(COUNT(U850,T850)=2,U850-T850,"")</x:f>
      </x:c>
      <x:c r="W850" s="10" t="n">
        <x:v>0</x:v>
      </x:c>
      <x:c r="X850" s="10" t="str">
        <x:f>IF(COUNT(AV850,AW850)=2,AV850+AW850,"")</x:f>
      </x:c>
      <x:c r="Y850" s="10" t="str">
        <x:f>IF(COUNT(X850,W850)=2,X850-W850,"")</x:f>
      </x:c>
      <x:c r="Z850" s="10" t="n">
        <x:v>0</x:v>
      </x:c>
      <x:c r="AA850" s="10" t="str">
        <x:f>IF(COUNT(AX850,AY850)=2,AX850+AY850,"")</x:f>
      </x:c>
      <x:c r="AB850" s="10" t="str">
        <x:f>IF(COUNT(AA850,Z850)=2,AA850-Z850,"")</x:f>
      </x:c>
      <x:c r="AC850" s="10" t="n">
        <x:v>40</x:v>
      </x:c>
      <x:c r="AD850" s="10"/>
      <x:c r="AE850" s="10" t="str">
        <x:f>IF(COUNT(AD850,AC850)=2,AD850-AC850,"")</x:f>
      </x:c>
      <x:c r="AF850" s="10" t="n">
        <x:v>15</x:v>
      </x:c>
      <x:c r="AG850" s="10"/>
      <x:c r="AH850" s="10" t="str">
        <x:f>IF(COUNT(AG850,AF850)=2,AG850-AF850,"")</x:f>
      </x:c>
      <x:c r="AI850" s="10" t="n">
        <x:v>61</x:v>
      </x:c>
      <x:c r="AJ850" s="10"/>
      <x:c r="AK850" s="10" t="str">
        <x:f>IF(COUNT(AJ850,AI850)=2,AJ850-AI850,"")</x:f>
      </x:c>
      <x:c r="AL850" s="10" t="n">
        <x:v>28</x:v>
      </x:c>
      <x:c r="AM850" s="10"/>
      <x:c r="AN850" s="4" t="str">
        <x:v>D</x:v>
      </x:c>
      <x:c r="AO850" s="4"/>
      <x:c r="AP850" s="4" t="str">
        <x:v>ANA</x:v>
      </x:c>
      <x:c r="AQ850" s="4"/>
      <x:c r="AR850" s="4" t="n">
        <x:v>13.02</x:v>
      </x:c>
      <x:c r="AS850" s="4"/>
      <x:c r="AT850" s="4" t="n">
        <x:v>0.06</x:v>
      </x:c>
      <x:c r="AU850" s="4"/>
      <x:c r="AV850" s="10"/>
      <x:c r="AW850" s="10"/>
      <x:c r="AX850" s="10"/>
      <x:c r="AY850" s="10"/>
      <x:c r="AZ850" s="10"/>
      <x:c r="BA850" s="10"/>
      <x:c r="BB850" s="4"/>
      <x:c r="BC850" s="4"/>
      <x:c r="BD850" s="10"/>
      <x:c r="BE850" s="10"/>
      <x:c r="BF850" s="4"/>
      <x:c r="BG850" s="4"/>
      <x:c r="BH850" s="4"/>
      <x:c r="BI850" s="4"/>
      <x:c r="BJ850" s="4"/>
      <x:c r="BK850" s="4"/>
      <x:c r="BL850" s="4"/>
      <x:c r="BM850" s="4"/>
      <x:c r="BN850" s="4"/>
      <x:c r="BO850" s="10"/>
      <x:c r="BP850" s="10"/>
      <x:c r="BQ850" s="4"/>
      <x:c r="BR850" s="10"/>
      <x:c r="BS850" s="4"/>
      <x:c r="BT850" s="10"/>
      <x:c r="BU850" s="4"/>
      <x:c r="BV850" s="10" t="n">
        <x:v>675</x:v>
      </x:c>
      <x:c r="BW850" s="10"/>
      <x:c r="BX850" s="10"/>
      <x:c r="BY850" s="4" t="str">
        <x:v>Oliver Kylington</x:v>
      </x:c>
      <x:c r="BZ850" s="4"/>
      <x:c r="CA850" s="4"/>
      <x:c r="CB850" s="4"/>
    </x:row>
    <x:row r="851" ht="22" customHeight="1">
      <x:c r="A851" s="4" t="str">
        <x:v>Oliver Wahlstrom</x:v>
      </x:c>
      <x:c r="B851" s="4" t="str">
        <x:v>oliverwahlstrom</x:v>
      </x:c>
      <x:c r="C851" s="10" t="n">
        <x:v>1</x:v>
      </x:c>
      <x:c r="D851" s="10" t="n">
        <x:v>0</x:v>
      </x:c>
      <x:c r="E851" s="10" t="n">
        <x:v>0</x:v>
      </x:c>
      <x:c r="F851" s="4" t="n">
        <x:f>IF(COUNT(N851,Q851,T851,W851,Z851,AC851,AF851,AI851)=8,N851*Guide!$E$5+Q851*Guide!$E$6+T851*Guide!$E$7+W851*Guide!$E$8+Z851*Guide!$E$9+AC851*Guide!$E$10+AF851*Guide!$E$11+AI851*Guide!$E$12,"")</x:f>
        <x:v>108.25</x:v>
      </x:c>
      <x:c r="G851" s="4" t="str">
        <x:f>IF(COUNT(O851,R851,U851,X851,AA851,AD851,AG851,AJ851)=8,O851*Guide!$E$5+R851*Guide!$E$6+U851*Guide!$E$7+X851*Guide!$E$8+AA851*Guide!$E$9+AD851*Guide!$E$10+AG851*Guide!$E$11+AJ851*Guide!$E$12,"")</x:f>
      </x:c>
      <x:c r="H851" s="4" t="str">
        <x:f>IF(COUNT(G851,F851)=2,G851-F851,"")</x:f>
      </x:c>
      <x:c r="I851" s="4" t="n">
        <x:f>IF(AND(ISNUMBER(F851),K851&gt;0),F851/K851,"")</x:f>
        <x:v>2.081730769230769</x:v>
      </x:c>
      <x:c r="J851" s="4" t="str">
        <x:f>IF(AND(ISNUMBER(G851),L851&gt;0),G851/L851,"")</x:f>
      </x:c>
      <x:c r="K851" s="10" t="n">
        <x:v>52</x:v>
      </x:c>
      <x:c r="L851" s="10"/>
      <x:c r="M851" s="10" t="str">
        <x:f>IF(COUNT(L851,K851)=2,L851-K851,"")</x:f>
      </x:c>
      <x:c r="N851" s="10" t="n">
        <x:v>7</x:v>
      </x:c>
      <x:c r="O851" s="10"/>
      <x:c r="P851" s="10" t="str">
        <x:f>IF(COUNT(O851,N851)=2,O851-N851,"")</x:f>
      </x:c>
      <x:c r="Q851" s="10" t="n">
        <x:v>9</x:v>
      </x:c>
      <x:c r="R851" s="10"/>
      <x:c r="S851" s="10" t="str">
        <x:f>IF(COUNT(R851,Q851)=2,R851-Q851,"")</x:f>
      </x:c>
      <x:c r="T851" s="10" t="n">
        <x:v>-3</x:v>
      </x:c>
      <x:c r="U851" s="10"/>
      <x:c r="V851" s="10" t="str">
        <x:f>IF(COUNT(U851,T851)=2,U851-T851,"")</x:f>
      </x:c>
      <x:c r="W851" s="10" t="n">
        <x:v>4</x:v>
      </x:c>
      <x:c r="X851" s="10" t="str">
        <x:f>IF(COUNT(AV851,AW851)=2,AV851+AW851,"")</x:f>
      </x:c>
      <x:c r="Y851" s="10" t="str">
        <x:f>IF(COUNT(X851,W851)=2,X851-W851,"")</x:f>
      </x:c>
      <x:c r="Z851" s="10" t="n">
        <x:v>0</x:v>
      </x:c>
      <x:c r="AA851" s="10" t="str">
        <x:f>IF(COUNT(AX851,AY851)=2,AX851+AY851,"")</x:f>
      </x:c>
      <x:c r="AB851" s="10" t="str">
        <x:f>IF(COUNT(AA851,Z851)=2,AA851-Z851,"")</x:f>
      </x:c>
      <x:c r="AC851" s="10" t="n">
        <x:v>67</x:v>
      </x:c>
      <x:c r="AD851" s="10"/>
      <x:c r="AE851" s="10" t="str">
        <x:f>IF(COUNT(AD851,AC851)=2,AD851-AC851,"")</x:f>
      </x:c>
      <x:c r="AF851" s="10" t="n">
        <x:v>49</x:v>
      </x:c>
      <x:c r="AG851" s="10"/>
      <x:c r="AH851" s="10" t="str">
        <x:f>IF(COUNT(AG851,AF851)=2,AG851-AF851,"")</x:f>
      </x:c>
      <x:c r="AI851" s="10" t="n">
        <x:v>31</x:v>
      </x:c>
      <x:c r="AJ851" s="10"/>
      <x:c r="AK851" s="10" t="str">
        <x:f>IF(COUNT(AJ851,AI851)=2,AJ851-AI851,"")</x:f>
      </x:c>
      <x:c r="AL851" s="10" t="n">
        <x:v>25</x:v>
      </x:c>
      <x:c r="AM851" s="10"/>
      <x:c r="AN851" s="4" t="str">
        <x:v>RW</x:v>
      </x:c>
      <x:c r="AO851" s="4"/>
      <x:c r="AP851" s="4" t="str">
        <x:v>NYI</x:v>
      </x:c>
      <x:c r="AQ851" s="4"/>
      <x:c r="AR851" s="4" t="n">
        <x:v>10.790000000000001</x:v>
      </x:c>
      <x:c r="AS851" s="4"/>
      <x:c r="AT851" s="4" t="n">
        <x:v>1.05</x:v>
      </x:c>
      <x:c r="AU851" s="4"/>
      <x:c r="AV851" s="10"/>
      <x:c r="AW851" s="10"/>
      <x:c r="AX851" s="10"/>
      <x:c r="AY851" s="10"/>
      <x:c r="AZ851" s="10"/>
      <x:c r="BA851" s="10"/>
      <x:c r="BB851" s="4"/>
      <x:c r="BC851" s="4"/>
      <x:c r="BD851" s="10"/>
      <x:c r="BE851" s="10"/>
      <x:c r="BF851" s="4"/>
      <x:c r="BG851" s="4"/>
      <x:c r="BH851" s="4"/>
      <x:c r="BI851" s="4"/>
      <x:c r="BJ851" s="4"/>
      <x:c r="BK851" s="4"/>
      <x:c r="BL851" s="4"/>
      <x:c r="BM851" s="4"/>
      <x:c r="BN851" s="4"/>
      <x:c r="BO851" s="10"/>
      <x:c r="BP851" s="10"/>
      <x:c r="BQ851" s="4"/>
      <x:c r="BR851" s="10"/>
      <x:c r="BS851" s="4"/>
      <x:c r="BT851" s="10"/>
      <x:c r="BU851" s="4"/>
      <x:c r="BV851" s="10" t="n">
        <x:v>612</x:v>
      </x:c>
      <x:c r="BW851" s="10"/>
      <x:c r="BX851" s="10"/>
      <x:c r="BY851" s="4" t="str">
        <x:v>Oliver Wahlstrom</x:v>
      </x:c>
      <x:c r="BZ851" s="4"/>
      <x:c r="CA851" s="4"/>
      <x:c r="CB851" s="4"/>
    </x:row>
    <x:row r="852" ht="22" customHeight="1">
      <x:c r="A852" s="4" t="str">
        <x:v>Olle Lycksell</x:v>
      </x:c>
      <x:c r="B852" s="4" t="str">
        <x:v>ollelycksell</x:v>
      </x:c>
      <x:c r="C852" s="10" t="n">
        <x:v>1</x:v>
      </x:c>
      <x:c r="D852" s="10" t="n">
        <x:v>0</x:v>
      </x:c>
      <x:c r="E852" s="10" t="n">
        <x:v>1</x:v>
      </x:c>
      <x:c r="F852" s="4" t="n">
        <x:f>IF(COUNT(N852,Q852,T852,W852,Z852,AC852,AF852,AI852)=8,N852*Guide!$E$5+Q852*Guide!$E$6+T852*Guide!$E$7+W852*Guide!$E$8+Z852*Guide!$E$9+AC852*Guide!$E$10+AF852*Guide!$E$11+AI852*Guide!$E$12,"")</x:f>
        <x:v>69.75</x:v>
      </x:c>
      <x:c r="G852" s="4" t="str">
        <x:f>IF(COUNT(O852,R852,U852,X852,AA852,AD852,AG852,AJ852)=8,O852*Guide!$E$5+R852*Guide!$E$6+U852*Guide!$E$7+X852*Guide!$E$8+AA852*Guide!$E$9+AD852*Guide!$E$10+AG852*Guide!$E$11+AJ852*Guide!$E$12,"")</x:f>
      </x:c>
      <x:c r="H852" s="4" t="str">
        <x:f>IF(COUNT(G852,F852)=2,G852-F852,"")</x:f>
      </x:c>
      <x:c r="I852" s="4" t="n">
        <x:f>IF(AND(ISNUMBER(F852),K852&gt;0),F852/K852,"")</x:f>
        <x:v>1.885135135135135</x:v>
      </x:c>
      <x:c r="J852" s="4" t="str">
        <x:f>IF(AND(ISNUMBER(G852),L852&gt;0),G852/L852,"")</x:f>
      </x:c>
      <x:c r="K852" s="10" t="n">
        <x:v>37</x:v>
      </x:c>
      <x:c r="L852" s="10"/>
      <x:c r="M852" s="10" t="str">
        <x:f>IF(COUNT(L852,K852)=2,L852-K852,"")</x:f>
      </x:c>
      <x:c r="N852" s="10" t="n">
        <x:v>5</x:v>
      </x:c>
      <x:c r="O852" s="10"/>
      <x:c r="P852" s="10" t="str">
        <x:f>IF(COUNT(O852,N852)=2,O852-N852,"")</x:f>
      </x:c>
      <x:c r="Q852" s="10" t="n">
        <x:v>8</x:v>
      </x:c>
      <x:c r="R852" s="10"/>
      <x:c r="S852" s="10" t="str">
        <x:f>IF(COUNT(R852,Q852)=2,R852-Q852,"")</x:f>
      </x:c>
      <x:c r="T852" s="10" t="n">
        <x:v>0</x:v>
      </x:c>
      <x:c r="U852" s="10"/>
      <x:c r="V852" s="10" t="str">
        <x:f>IF(COUNT(U852,T852)=2,U852-T852,"")</x:f>
      </x:c>
      <x:c r="W852" s="10" t="n">
        <x:v>2</x:v>
      </x:c>
      <x:c r="X852" s="10" t="str">
        <x:f>IF(COUNT(AV852,AW852)=2,AV852+AW852,"")</x:f>
      </x:c>
      <x:c r="Y852" s="10" t="str">
        <x:f>IF(COUNT(X852,W852)=2,X852-W852,"")</x:f>
      </x:c>
      <x:c r="Z852" s="10" t="n">
        <x:v>0</x:v>
      </x:c>
      <x:c r="AA852" s="10" t="str">
        <x:f>IF(COUNT(AX852,AY852)=2,AX852+AY852,"")</x:f>
      </x:c>
      <x:c r="AB852" s="10" t="str">
        <x:f>IF(COUNT(AA852,Z852)=2,AA852-Z852,"")</x:f>
      </x:c>
      <x:c r="AC852" s="10" t="n">
        <x:v>44</x:v>
      </x:c>
      <x:c r="AD852" s="10"/>
      <x:c r="AE852" s="10" t="str">
        <x:f>IF(COUNT(AD852,AC852)=2,AD852-AC852,"")</x:f>
      </x:c>
      <x:c r="AF852" s="10" t="n">
        <x:v>15</x:v>
      </x:c>
      <x:c r="AG852" s="10"/>
      <x:c r="AH852" s="10" t="str">
        <x:f>IF(COUNT(AG852,AF852)=2,AG852-AF852,"")</x:f>
      </x:c>
      <x:c r="AI852" s="10" t="n">
        <x:v>12</x:v>
      </x:c>
      <x:c r="AJ852" s="10"/>
      <x:c r="AK852" s="10" t="str">
        <x:f>IF(COUNT(AJ852,AI852)=2,AJ852-AI852,"")</x:f>
      </x:c>
      <x:c r="AL852" s="10" t="n">
        <x:v>26</x:v>
      </x:c>
      <x:c r="AM852" s="10"/>
      <x:c r="AN852" s="4" t="str">
        <x:v>RW</x:v>
      </x:c>
      <x:c r="AO852" s="4"/>
      <x:c r="AP852" s="4" t="str">
        <x:v>OTT</x:v>
      </x:c>
      <x:c r="AQ852" s="4"/>
      <x:c r="AR852" s="4" t="n">
        <x:v>11.760000000000002</x:v>
      </x:c>
      <x:c r="AS852" s="4"/>
      <x:c r="AT852" s="4" t="n">
        <x:v>0.88</x:v>
      </x:c>
      <x:c r="AU852" s="4"/>
      <x:c r="AV852" s="10"/>
      <x:c r="AW852" s="10"/>
      <x:c r="AX852" s="10"/>
      <x:c r="AY852" s="10"/>
      <x:c r="AZ852" s="10" t="n">
        <x:v>55</x:v>
      </x:c>
      <x:c r="BA852" s="10" t="n">
        <x:v>70</x:v>
      </x:c>
      <x:c r="BB852" s="4" t="n">
        <x:v>44</x:v>
      </x:c>
      <x:c r="BC852" s="4" t="n">
        <x:v>-13.6</x:v>
      </x:c>
      <x:c r="BD852" s="10" t="n">
        <x:v>34</x:v>
      </x:c>
      <x:c r="BE852" s="10" t="n">
        <x:v>46</x:v>
      </x:c>
      <x:c r="BF852" s="4" t="n">
        <x:v>42.5</x:v>
      </x:c>
      <x:c r="BG852" s="4" t="n">
        <x:v>-16.2</x:v>
      </x:c>
      <x:c r="BH852" s="4" t="n">
        <x:v>11.1</x:v>
      </x:c>
      <x:c r="BI852" s="4" t="n">
        <x:v>84.8</x:v>
      </x:c>
      <x:c r="BJ852" s="4" t="n">
        <x:v>96</x:v>
      </x:c>
      <x:c r="BK852" s="4" t="n">
        <x:v>70</x:v>
      </x:c>
      <x:c r="BL852" s="4" t="n">
        <x:v>30</x:v>
      </x:c>
      <x:c r="BM852" s="4" t="n">
        <x:v>9.883333333333333</x:v>
      </x:c>
      <x:c r="BN852" s="4" t="n">
        <x:v>9.866666666666667</x:v>
      </x:c>
      <x:c r="BO852" s="10" t="n">
        <x:v>1</x:v>
      </x:c>
      <x:c r="BP852" s="10" t="n">
        <x:v>1</x:v>
      </x:c>
      <x:c r="BQ852" s="4" t="n">
        <x:v>-0.7</x:v>
      </x:c>
      <x:c r="BR852" s="10" t="n">
        <x:v>10</x:v>
      </x:c>
      <x:c r="BS852" s="4" t="n">
        <x:v>70</x:v>
      </x:c>
      <x:c r="BT852" s="10" t="n">
        <x:v>7</x:v>
      </x:c>
      <x:c r="BU852" s="4" t="str">
        <x:v>OTT</x:v>
      </x:c>
      <x:c r="BV852" s="10" t="n">
        <x:v>683</x:v>
      </x:c>
      <x:c r="BW852" s="10"/>
      <x:c r="BX852" s="10" t="n">
        <x:v>617</x:v>
      </x:c>
      <x:c r="BY852" s="4" t="str">
        <x:v>Olle Lycksell</x:v>
      </x:c>
      <x:c r="BZ852" s="4"/>
      <x:c r="CA852" s="4" t="str">
        <x:v>Olle Lycksell</x:v>
      </x:c>
      <x:c r="CB852" s="4" t="str">
        <x:v>lycksol01</x:v>
      </x:c>
    </x:row>
    <x:row r="853" ht="22" customHeight="1">
      <x:c r="A853" s="4" t="str">
        <x:v>Olli Maatta</x:v>
      </x:c>
      <x:c r="B853" s="4" t="str">
        <x:v>ollimaatta</x:v>
      </x:c>
      <x:c r="C853" s="10" t="n">
        <x:v>1</x:v>
      </x:c>
      <x:c r="D853" s="10" t="n">
        <x:v>0</x:v>
      </x:c>
      <x:c r="E853" s="10" t="n">
        <x:v>1</x:v>
      </x:c>
      <x:c r="F853" s="4" t="n">
        <x:f>IF(COUNT(N853,Q853,T853,W853,Z853,AC853,AF853,AI853)=8,N853*Guide!$E$5+Q853*Guide!$E$6+T853*Guide!$E$7+W853*Guide!$E$8+Z853*Guide!$E$9+AC853*Guide!$E$10+AF853*Guide!$E$11+AI853*Guide!$E$12,"")</x:f>
        <x:v>181.25</x:v>
      </x:c>
      <x:c r="G853" s="4" t="str">
        <x:f>IF(COUNT(O853,R853,U853,X853,AA853,AD853,AG853,AJ853)=8,O853*Guide!$E$5+R853*Guide!$E$6+U853*Guide!$E$7+X853*Guide!$E$8+AA853*Guide!$E$9+AD853*Guide!$E$10+AG853*Guide!$E$11+AJ853*Guide!$E$12,"")</x:f>
      </x:c>
      <x:c r="H853" s="4" t="str">
        <x:f>IF(COUNT(G853,F853)=2,G853-F853,"")</x:f>
      </x:c>
      <x:c r="I853" s="4" t="n">
        <x:f>IF(AND(ISNUMBER(F853),K853&gt;0),F853/K853,"")</x:f>
        <x:v>2.4166666666666665</x:v>
      </x:c>
      <x:c r="J853" s="4" t="str">
        <x:f>IF(AND(ISNUMBER(G853),L853&gt;0),G853/L853,"")</x:f>
      </x:c>
      <x:c r="K853" s="10" t="n">
        <x:v>75</x:v>
      </x:c>
      <x:c r="L853" s="10"/>
      <x:c r="M853" s="10" t="str">
        <x:f>IF(COUNT(L853,K853)=2,L853-K853,"")</x:f>
      </x:c>
      <x:c r="N853" s="10" t="n">
        <x:v>5</x:v>
      </x:c>
      <x:c r="O853" s="10"/>
      <x:c r="P853" s="10" t="str">
        <x:f>IF(COUNT(O853,N853)=2,O853-N853,"")</x:f>
      </x:c>
      <x:c r="Q853" s="10" t="n">
        <x:v>16</x:v>
      </x:c>
      <x:c r="R853" s="10"/>
      <x:c r="S853" s="10" t="str">
        <x:f>IF(COUNT(R853,Q853)=2,R853-Q853,"")</x:f>
      </x:c>
      <x:c r="T853" s="10" t="n">
        <x:v>4</x:v>
      </x:c>
      <x:c r="U853" s="10"/>
      <x:c r="V853" s="10" t="str">
        <x:f>IF(COUNT(U853,T853)=2,U853-T853,"")</x:f>
      </x:c>
      <x:c r="W853" s="10" t="n">
        <x:v>0</x:v>
      </x:c>
      <x:c r="X853" s="10" t="str">
        <x:f>IF(COUNT(AV853,AW853)=2,AV853+AW853,"")</x:f>
      </x:c>
      <x:c r="Y853" s="10" t="str">
        <x:f>IF(COUNT(X853,W853)=2,X853-W853,"")</x:f>
      </x:c>
      <x:c r="Z853" s="10" t="n">
        <x:v>0</x:v>
      </x:c>
      <x:c r="AA853" s="10" t="str">
        <x:f>IF(COUNT(AX853,AY853)=2,AX853+AY853,"")</x:f>
      </x:c>
      <x:c r="AB853" s="10" t="str">
        <x:f>IF(COUNT(AA853,Z853)=2,AA853-Z853,"")</x:f>
      </x:c>
      <x:c r="AC853" s="10" t="n">
        <x:v>63</x:v>
      </x:c>
      <x:c r="AD853" s="10"/>
      <x:c r="AE853" s="10" t="str">
        <x:f>IF(COUNT(AD853,AC853)=2,AD853-AC853,"")</x:f>
      </x:c>
      <x:c r="AF853" s="10" t="n">
        <x:v>32</x:v>
      </x:c>
      <x:c r="AG853" s="10"/>
      <x:c r="AH853" s="10" t="str">
        <x:f>IF(COUNT(AG853,AF853)=2,AG853-AF853,"")</x:f>
      </x:c>
      <x:c r="AI853" s="10" t="n">
        <x:v>114</x:v>
      </x:c>
      <x:c r="AJ853" s="10"/>
      <x:c r="AK853" s="10" t="str">
        <x:f>IF(COUNT(AJ853,AI853)=2,AJ853-AI853,"")</x:f>
      </x:c>
      <x:c r="AL853" s="10" t="n">
        <x:v>31</x:v>
      </x:c>
      <x:c r="AM853" s="10"/>
      <x:c r="AN853" s="4" t="str">
        <x:v>D</x:v>
      </x:c>
      <x:c r="AO853" s="4"/>
      <x:c r="AP853" s="4" t="str">
        <x:v>UTA</x:v>
      </x:c>
      <x:c r="AQ853" s="4"/>
      <x:c r="AR853" s="4" t="n">
        <x:v>19.03</x:v>
      </x:c>
      <x:c r="AS853" s="4"/>
      <x:c r="AT853" s="4" t="n">
        <x:v>0.07</x:v>
      </x:c>
      <x:c r="AU853" s="4"/>
      <x:c r="AV853" s="10"/>
      <x:c r="AW853" s="10"/>
      <x:c r="AX853" s="10"/>
      <x:c r="AY853" s="10"/>
      <x:c r="AZ853" s="10" t="n">
        <x:v>581</x:v>
      </x:c>
      <x:c r="BA853" s="10" t="n">
        <x:v>622</x:v>
      </x:c>
      <x:c r="BB853" s="4" t="n">
        <x:v>48.3</x:v>
      </x:c>
      <x:c r="BC853" s="4" t="n">
        <x:v>-2</x:v>
      </x:c>
      <x:c r="BD853" s="10" t="n">
        <x:v>424</x:v>
      </x:c>
      <x:c r="BE853" s="10" t="n">
        <x:v>443</x:v>
      </x:c>
      <x:c r="BF853" s="4" t="n">
        <x:v>48.9</x:v>
      </x:c>
      <x:c r="BG853" s="4" t="n">
        <x:v>-1</x:v>
      </x:c>
      <x:c r="BH853" s="4" t="n">
        <x:v>10.6</x:v>
      </x:c>
      <x:c r="BI853" s="4" t="n">
        <x:v>86.8</x:v>
      </x:c>
      <x:c r="BJ853" s="4" t="n">
        <x:v>97.4</x:v>
      </x:c>
      <x:c r="BK853" s="4" t="n">
        <x:v>49.9</x:v>
      </x:c>
      <x:c r="BL853" s="4" t="n">
        <x:v>50.1</x:v>
      </x:c>
      <x:c r="BM853" s="4" t="n">
        <x:v>17.216666666666665</x:v>
      </x:c>
      <x:c r="BN853" s="4" t="n">
        <x:v>15.866666666666667</x:v>
      </x:c>
      <x:c r="BO853" s="10" t="n">
        <x:v>13</x:v>
      </x:c>
      <x:c r="BP853" s="10" t="n">
        <x:v>50</x:v>
      </x:c>
      <x:c r="BQ853" s="4" t="n">
        <x:v>0.9</x:v>
      </x:c>
      <x:c r="BR853" s="10" t="n">
        <x:v>69</x:v>
      </x:c>
      <x:c r="BS853" s="4" t="n">
        <x:v>49.3</x:v>
      </x:c>
      <x:c r="BT853" s="10" t="n">
        <x:v>43</x:v>
      </x:c>
      <x:c r="BU853" s="4" t="str">
        <x:v>TOT</x:v>
      </x:c>
      <x:c r="BV853" s="10" t="n">
        <x:v>508</x:v>
      </x:c>
      <x:c r="BW853" s="10"/>
      <x:c r="BX853" s="10" t="n">
        <x:v>619</x:v>
      </x:c>
      <x:c r="BY853" s="4" t="str">
        <x:v>Olli Maatta</x:v>
      </x:c>
      <x:c r="BZ853" s="4"/>
      <x:c r="CA853" s="4" t="str">
        <x:v>Olli Määttä</x:v>
      </x:c>
      <x:c r="CB853" s="4" t="str">
        <x:v>maattol01</x:v>
      </x:c>
    </x:row>
    <x:row r="854" ht="22" customHeight="1">
      <x:c r="A854" s="4" t="str">
        <x:v>Ondrej Palat</x:v>
      </x:c>
      <x:c r="B854" s="4" t="str">
        <x:v>ondrejpalat</x:v>
      </x:c>
      <x:c r="C854" s="10" t="n">
        <x:v>1</x:v>
      </x:c>
      <x:c r="D854" s="10" t="n">
        <x:v>0</x:v>
      </x:c>
      <x:c r="E854" s="10" t="n">
        <x:v>1</x:v>
      </x:c>
      <x:c r="F854" s="4" t="n">
        <x:f>IF(COUNT(N854,Q854,T854,W854,Z854,AC854,AF854,AI854)=8,N854*Guide!$E$5+Q854*Guide!$E$6+T854*Guide!$E$7+W854*Guide!$E$8+Z854*Guide!$E$9+AC854*Guide!$E$10+AF854*Guide!$E$11+AI854*Guide!$E$12,"")</x:f>
        <x:v>199.75</x:v>
      </x:c>
      <x:c r="G854" s="4" t="str">
        <x:f>IF(COUNT(O854,R854,U854,X854,AA854,AD854,AG854,AJ854)=8,O854*Guide!$E$5+R854*Guide!$E$6+U854*Guide!$E$7+X854*Guide!$E$8+AA854*Guide!$E$9+AD854*Guide!$E$10+AG854*Guide!$E$11+AJ854*Guide!$E$12,"")</x:f>
      </x:c>
      <x:c r="H854" s="4" t="str">
        <x:f>IF(COUNT(G854,F854)=2,G854-F854,"")</x:f>
      </x:c>
      <x:c r="I854" s="4" t="n">
        <x:f>IF(AND(ISNUMBER(F854),K854&gt;0),F854/K854,"")</x:f>
        <x:v>2.6282894736842106</x:v>
      </x:c>
      <x:c r="J854" s="4" t="str">
        <x:f>IF(AND(ISNUMBER(G854),L854&gt;0),G854/L854,"")</x:f>
      </x:c>
      <x:c r="K854" s="10" t="n">
        <x:v>76</x:v>
      </x:c>
      <x:c r="L854" s="10"/>
      <x:c r="M854" s="10" t="str">
        <x:f>IF(COUNT(L854,K854)=2,L854-K854,"")</x:f>
      </x:c>
      <x:c r="N854" s="10" t="n">
        <x:v>13</x:v>
      </x:c>
      <x:c r="O854" s="10"/>
      <x:c r="P854" s="10" t="str">
        <x:f>IF(COUNT(O854,N854)=2,O854-N854,"")</x:f>
      </x:c>
      <x:c r="Q854" s="10" t="n">
        <x:v>18</x:v>
      </x:c>
      <x:c r="R854" s="10"/>
      <x:c r="S854" s="10" t="str">
        <x:f>IF(COUNT(R854,Q854)=2,R854-Q854,"")</x:f>
      </x:c>
      <x:c r="T854" s="10" t="n">
        <x:v>-3</x:v>
      </x:c>
      <x:c r="U854" s="10"/>
      <x:c r="V854" s="10" t="str">
        <x:f>IF(COUNT(U854,T854)=2,U854-T854,"")</x:f>
      </x:c>
      <x:c r="W854" s="10" t="n">
        <x:v>3</x:v>
      </x:c>
      <x:c r="X854" s="10" t="str">
        <x:f>IF(COUNT(AV854,AW854)=2,AV854+AW854,"")</x:f>
      </x:c>
      <x:c r="Y854" s="10" t="str">
        <x:f>IF(COUNT(X854,W854)=2,X854-W854,"")</x:f>
      </x:c>
      <x:c r="Z854" s="10" t="n">
        <x:v>0</x:v>
      </x:c>
      <x:c r="AA854" s="10" t="str">
        <x:f>IF(COUNT(AX854,AY854)=2,AX854+AY854,"")</x:f>
      </x:c>
      <x:c r="AB854" s="10" t="str">
        <x:f>IF(COUNT(AA854,Z854)=2,AA854-Z854,"")</x:f>
      </x:c>
      <x:c r="AC854" s="10" t="n">
        <x:v>95</x:v>
      </x:c>
      <x:c r="AD854" s="10"/>
      <x:c r="AE854" s="10" t="str">
        <x:f>IF(COUNT(AD854,AC854)=2,AD854-AC854,"")</x:f>
      </x:c>
      <x:c r="AF854" s="10" t="n">
        <x:v>112</x:v>
      </x:c>
      <x:c r="AG854" s="10"/>
      <x:c r="AH854" s="10" t="str">
        <x:f>IF(COUNT(AG854,AF854)=2,AG854-AF854,"")</x:f>
      </x:c>
      <x:c r="AI854" s="10" t="n">
        <x:v>56</x:v>
      </x:c>
      <x:c r="AJ854" s="10"/>
      <x:c r="AK854" s="10" t="str">
        <x:f>IF(COUNT(AJ854,AI854)=2,AJ854-AI854,"")</x:f>
      </x:c>
      <x:c r="AL854" s="10" t="n">
        <x:v>34</x:v>
      </x:c>
      <x:c r="AM854" s="10"/>
      <x:c r="AN854" s="4" t="str">
        <x:v>LW</x:v>
      </x:c>
      <x:c r="AO854" s="4"/>
      <x:c r="AP854" s="4" t="str">
        <x:v>NJ</x:v>
      </x:c>
      <x:c r="AQ854" s="4"/>
      <x:c r="AR854" s="4" t="n">
        <x:v>13.79</x:v>
      </x:c>
      <x:c r="AS854" s="4"/>
      <x:c r="AT854" s="4" t="n">
        <x:v>0.85</x:v>
      </x:c>
      <x:c r="AU854" s="4"/>
      <x:c r="AV854" s="10"/>
      <x:c r="AW854" s="10"/>
      <x:c r="AX854" s="10"/>
      <x:c r="AY854" s="10"/>
      <x:c r="AZ854" s="10" t="n">
        <x:v>884</x:v>
      </x:c>
      <x:c r="BA854" s="10" t="n">
        <x:v>907</x:v>
      </x:c>
      <x:c r="BB854" s="4" t="n">
        <x:v>49.4</x:v>
      </x:c>
      <x:c r="BC854" s="4" t="n">
        <x:v>-2.4</x:v>
      </x:c>
      <x:c r="BD854" s="10" t="n">
        <x:v>634</x:v>
      </x:c>
      <x:c r="BE854" s="10" t="n">
        <x:v>639</x:v>
      </x:c>
      <x:c r="BF854" s="4" t="n">
        <x:v>49.8</x:v>
      </x:c>
      <x:c r="BG854" s="4" t="n">
        <x:v>-1.4</x:v>
      </x:c>
      <x:c r="BH854" s="4" t="n">
        <x:v>9.5</x:v>
      </x:c>
      <x:c r="BI854" s="4" t="n">
        <x:v>87.7</x:v>
      </x:c>
      <x:c r="BJ854" s="4" t="n">
        <x:v>97.2</x:v>
      </x:c>
      <x:c r="BK854" s="4" t="n">
        <x:v>50.7</x:v>
      </x:c>
      <x:c r="BL854" s="4" t="n">
        <x:v>49.3</x:v>
      </x:c>
      <x:c r="BM854" s="4" t="n">
        <x:v>12.816666666666666</x:v>
      </x:c>
      <x:c r="BN854" s="4" t="n">
        <x:v>11.85</x:v>
      </x:c>
      <x:c r="BO854" s="10" t="n">
        <x:v>12</x:v>
      </x:c>
      <x:c r="BP854" s="10" t="n">
        <x:v>41</x:v>
      </x:c>
      <x:c r="BQ854" s="4" t="n">
        <x:v>-2.7</x:v>
      </x:c>
      <x:c r="BR854" s="10" t="n">
        <x:v>169</x:v>
      </x:c>
      <x:c r="BS854" s="4" t="n">
        <x:v>49.1</x:v>
      </x:c>
      <x:c r="BT854" s="10" t="n">
        <x:v>80</x:v>
      </x:c>
      <x:c r="BU854" s="4" t="str">
        <x:v>TOT</x:v>
      </x:c>
      <x:c r="BV854" s="10" t="n">
        <x:v>361</x:v>
      </x:c>
      <x:c r="BW854" s="10"/>
      <x:c r="BX854" s="10" t="n">
        <x:v>775</x:v>
      </x:c>
      <x:c r="BY854" s="4" t="str">
        <x:v>Ondrej Palat</x:v>
      </x:c>
      <x:c r="BZ854" s="4"/>
      <x:c r="CA854" s="4" t="str">
        <x:v>Ondřej Palát</x:v>
      </x:c>
      <x:c r="CB854" s="4" t="str">
        <x:v>palaton01</x:v>
      </x:c>
    </x:row>
    <x:row r="855" ht="22" customHeight="1">
      <x:c r="A855" s="4" t="str">
        <x:v>Oscar Fisker Molgaard</x:v>
      </x:c>
      <x:c r="B855" s="4" t="str">
        <x:v>oscarfiskermolgaard</x:v>
      </x:c>
      <x:c r="C855" s="10" t="n">
        <x:v>0</x:v>
      </x:c>
      <x:c r="D855" s="10" t="n">
        <x:v>0</x:v>
      </x:c>
      <x:c r="E855" s="10" t="n">
        <x:v>1</x:v>
      </x:c>
      <x:c r="F855" s="4" t="str">
        <x:f>IF(COUNT(N855,Q855,T855,W855,Z855,AC855,AF855,AI855)=8,N855*Guide!$E$5+Q855*Guide!$E$6+T855*Guide!$E$7+W855*Guide!$E$8+Z855*Guide!$E$9+AC855*Guide!$E$10+AF855*Guide!$E$11+AI855*Guide!$E$12,"")</x:f>
      </x:c>
      <x:c r="G855" s="4" t="str">
        <x:f>IF(COUNT(O855,R855,U855,X855,AA855,AD855,AG855,AJ855)=8,O855*Guide!$E$5+R855*Guide!$E$6+U855*Guide!$E$7+X855*Guide!$E$8+AA855*Guide!$E$9+AD855*Guide!$E$10+AG855*Guide!$E$11+AJ855*Guide!$E$12,"")</x:f>
      </x:c>
      <x:c r="H855" s="4" t="str">
        <x:f>IF(COUNT(G855,F855)=2,G855-F855,"")</x:f>
      </x:c>
      <x:c r="I855" s="4" t="str">
        <x:f>IF(AND(ISNUMBER(F855),K855&gt;0),F855/K855,"")</x:f>
      </x:c>
      <x:c r="J855" s="4" t="str">
        <x:f>IF(AND(ISNUMBER(G855),L855&gt;0),G855/L855,"")</x:f>
      </x:c>
      <x:c r="K855" s="10"/>
      <x:c r="L855" s="10"/>
      <x:c r="M855" s="10" t="str">
        <x:f>IF(COUNT(L855,K855)=2,L855-K855,"")</x:f>
      </x:c>
      <x:c r="N855" s="10"/>
      <x:c r="O855" s="10"/>
      <x:c r="P855" s="10" t="str">
        <x:f>IF(COUNT(O855,N855)=2,O855-N855,"")</x:f>
      </x:c>
      <x:c r="Q855" s="10"/>
      <x:c r="R855" s="10"/>
      <x:c r="S855" s="10" t="str">
        <x:f>IF(COUNT(R855,Q855)=2,R855-Q855,"")</x:f>
      </x:c>
      <x:c r="T855" s="10"/>
      <x:c r="U855" s="10"/>
      <x:c r="V855" s="10" t="str">
        <x:f>IF(COUNT(U855,T855)=2,U855-T855,"")</x:f>
      </x:c>
      <x:c r="W855" s="10"/>
      <x:c r="X855" s="10" t="str">
        <x:f>IF(COUNT(AV855,AW855)=2,AV855+AW855,"")</x:f>
      </x:c>
      <x:c r="Y855" s="10" t="str">
        <x:f>IF(COUNT(X855,W855)=2,X855-W855,"")</x:f>
      </x:c>
      <x:c r="Z855" s="10"/>
      <x:c r="AA855" s="10" t="str">
        <x:f>IF(COUNT(AX855,AY855)=2,AX855+AY855,"")</x:f>
      </x:c>
      <x:c r="AB855" s="10" t="str">
        <x:f>IF(COUNT(AA855,Z855)=2,AA855-Z855,"")</x:f>
      </x:c>
      <x:c r="AC855" s="10"/>
      <x:c r="AD855" s="10"/>
      <x:c r="AE855" s="10" t="str">
        <x:f>IF(COUNT(AD855,AC855)=2,AD855-AC855,"")</x:f>
      </x:c>
      <x:c r="AF855" s="10"/>
      <x:c r="AG855" s="10"/>
      <x:c r="AH855" s="10" t="str">
        <x:f>IF(COUNT(AG855,AF855)=2,AG855-AF855,"")</x:f>
      </x:c>
      <x:c r="AI855" s="10"/>
      <x:c r="AJ855" s="10"/>
      <x:c r="AK855" s="10" t="str">
        <x:f>IF(COUNT(AJ855,AI855)=2,AJ855-AI855,"")</x:f>
      </x:c>
      <x:c r="AL855" s="10"/>
      <x:c r="AM855" s="10"/>
      <x:c r="AN855" s="4"/>
      <x:c r="AO855" s="4"/>
      <x:c r="AP855" s="4"/>
      <x:c r="AQ855" s="4"/>
      <x:c r="AR855" s="4"/>
      <x:c r="AS855" s="4"/>
      <x:c r="AT855" s="4"/>
      <x:c r="AU855" s="4"/>
      <x:c r="AV855" s="10"/>
      <x:c r="AW855" s="10"/>
      <x:c r="AX855" s="10"/>
      <x:c r="AY855" s="10"/>
      <x:c r="AZ855" s="10" t="n">
        <x:v>108</x:v>
      </x:c>
      <x:c r="BA855" s="10" t="n">
        <x:v>98</x:v>
      </x:c>
      <x:c r="BB855" s="4" t="n">
        <x:v>52.4</x:v>
      </x:c>
      <x:c r="BC855" s="4" t="n">
        <x:v>5.6</x:v>
      </x:c>
      <x:c r="BD855" s="10" t="n">
        <x:v>75</x:v>
      </x:c>
      <x:c r="BE855" s="10" t="n">
        <x:v>65</x:v>
      </x:c>
      <x:c r="BF855" s="4" t="n">
        <x:v>53.6</x:v>
      </x:c>
      <x:c r="BG855" s="4" t="n">
        <x:v>8.2</x:v>
      </x:c>
      <x:c r="BH855" s="4" t="n">
        <x:v>4.2</x:v>
      </x:c>
      <x:c r="BI855" s="4" t="n">
        <x:v>100</x:v>
      </x:c>
      <x:c r="BJ855" s="4" t="n">
        <x:v>104.2</x:v>
      </x:c>
      <x:c r="BK855" s="4" t="n">
        <x:v>43.8</x:v>
      </x:c>
      <x:c r="BL855" s="4" t="n">
        <x:v>56.3</x:v>
      </x:c>
      <x:c r="BM855" s="4" t="n">
        <x:v>9.233333333333333</x:v>
      </x:c>
      <x:c r="BN855" s="4" t="n">
        <x:v>9.183333333333334</x:v>
      </x:c>
      <x:c r="BO855" s="10" t="n">
        <x:v>1</x:v>
      </x:c>
      <x:c r="BP855" s="10" t="n">
        <x:v>8</x:v>
      </x:c>
      <x:c r="BQ855" s="4" t="n">
        <x:v>0.7</x:v>
      </x:c>
      <x:c r="BR855" s="10" t="n">
        <x:v>15</x:v>
      </x:c>
      <x:c r="BS855" s="4" t="n">
        <x:v>40</x:v>
      </x:c>
      <x:c r="BT855" s="10" t="n">
        <x:v>13</x:v>
      </x:c>
      <x:c r="BU855" s="4" t="str">
        <x:v>SEA</x:v>
      </x:c>
      <x:c r="BV855" s="10"/>
      <x:c r="BW855" s="10"/>
      <x:c r="BX855" s="10" t="n">
        <x:v>708</x:v>
      </x:c>
      <x:c r="BY855" s="4"/>
      <x:c r="BZ855" s="4"/>
      <x:c r="CA855" s="4" t="str">
        <x:v>Oscar Fisker Molgaard</x:v>
      </x:c>
      <x:c r="CB855" s="4" t="str">
        <x:v>fiskeos01</x:v>
      </x:c>
    </x:row>
    <x:row r="856" ht="22" customHeight="1">
      <x:c r="A856" s="4" t="str">
        <x:v>Oskar Back</x:v>
      </x:c>
      <x:c r="B856" s="4" t="str">
        <x:v>oskarback</x:v>
      </x:c>
      <x:c r="C856" s="10" t="n">
        <x:v>1</x:v>
      </x:c>
      <x:c r="D856" s="10" t="n">
        <x:v>0</x:v>
      </x:c>
      <x:c r="E856" s="10" t="n">
        <x:v>1</x:v>
      </x:c>
      <x:c r="F856" s="4" t="n">
        <x:f>IF(COUNT(N856,Q856,T856,W856,Z856,AC856,AF856,AI856)=8,N856*Guide!$E$5+Q856*Guide!$E$6+T856*Guide!$E$7+W856*Guide!$E$8+Z856*Guide!$E$9+AC856*Guide!$E$10+AF856*Guide!$E$11+AI856*Guide!$E$12,"")</x:f>
        <x:v>113.75</x:v>
      </x:c>
      <x:c r="G856" s="4" t="str">
        <x:f>IF(COUNT(O856,R856,U856,X856,AA856,AD856,AG856,AJ856)=8,O856*Guide!$E$5+R856*Guide!$E$6+U856*Guide!$E$7+X856*Guide!$E$8+AA856*Guide!$E$9+AD856*Guide!$E$10+AG856*Guide!$E$11+AJ856*Guide!$E$12,"")</x:f>
      </x:c>
      <x:c r="H856" s="4" t="str">
        <x:f>IF(COUNT(G856,F856)=2,G856-F856,"")</x:f>
      </x:c>
      <x:c r="I856" s="4" t="n">
        <x:f>IF(AND(ISNUMBER(F856),K856&gt;0),F856/K856,"")</x:f>
        <x:v>1.5166666666666666</x:v>
      </x:c>
      <x:c r="J856" s="4" t="str">
        <x:f>IF(AND(ISNUMBER(G856),L856&gt;0),G856/L856,"")</x:f>
      </x:c>
      <x:c r="K856" s="10" t="n">
        <x:v>75</x:v>
      </x:c>
      <x:c r="L856" s="10"/>
      <x:c r="M856" s="10" t="str">
        <x:f>IF(COUNT(L856,K856)=2,L856-K856,"")</x:f>
      </x:c>
      <x:c r="N856" s="10" t="n">
        <x:v>7</x:v>
      </x:c>
      <x:c r="O856" s="10"/>
      <x:c r="P856" s="10" t="str">
        <x:f>IF(COUNT(O856,N856)=2,O856-N856,"")</x:f>
      </x:c>
      <x:c r="Q856" s="10" t="n">
        <x:v>12</x:v>
      </x:c>
      <x:c r="R856" s="10"/>
      <x:c r="S856" s="10" t="str">
        <x:f>IF(COUNT(R856,Q856)=2,R856-Q856,"")</x:f>
      </x:c>
      <x:c r="T856" s="10" t="n">
        <x:v>-2</x:v>
      </x:c>
      <x:c r="U856" s="10"/>
      <x:c r="V856" s="10" t="str">
        <x:f>IF(COUNT(U856,T856)=2,U856-T856,"")</x:f>
      </x:c>
      <x:c r="W856" s="10" t="n">
        <x:v>0</x:v>
      </x:c>
      <x:c r="X856" s="10" t="str">
        <x:f>IF(COUNT(AV856,AW856)=2,AV856+AW856,"")</x:f>
      </x:c>
      <x:c r="Y856" s="10" t="str">
        <x:f>IF(COUNT(X856,W856)=2,X856-W856,"")</x:f>
      </x:c>
      <x:c r="Z856" s="10" t="n">
        <x:v>1</x:v>
      </x:c>
      <x:c r="AA856" s="10" t="str">
        <x:f>IF(COUNT(AX856,AY856)=2,AX856+AY856,"")</x:f>
      </x:c>
      <x:c r="AB856" s="10" t="str">
        <x:f>IF(COUNT(AA856,Z856)=2,AA856-Z856,"")</x:f>
      </x:c>
      <x:c r="AC856" s="10" t="n">
        <x:v>55</x:v>
      </x:c>
      <x:c r="AD856" s="10"/>
      <x:c r="AE856" s="10" t="str">
        <x:f>IF(COUNT(AD856,AC856)=2,AD856-AC856,"")</x:f>
      </x:c>
      <x:c r="AF856" s="10" t="n">
        <x:v>29</x:v>
      </x:c>
      <x:c r="AG856" s="10"/>
      <x:c r="AH856" s="10" t="str">
        <x:f>IF(COUNT(AG856,AF856)=2,AG856-AF856,"")</x:f>
      </x:c>
      <x:c r="AI856" s="10" t="n">
        <x:v>37</x:v>
      </x:c>
      <x:c r="AJ856" s="10"/>
      <x:c r="AK856" s="10" t="str">
        <x:f>IF(COUNT(AJ856,AI856)=2,AJ856-AI856,"")</x:f>
      </x:c>
      <x:c r="AL856" s="10" t="n">
        <x:v>25</x:v>
      </x:c>
      <x:c r="AM856" s="10"/>
      <x:c r="AN856" s="4" t="str">
        <x:v>C</x:v>
      </x:c>
      <x:c r="AO856" s="4"/>
      <x:c r="AP856" s="4" t="str">
        <x:v>DAL</x:v>
      </x:c>
      <x:c r="AQ856" s="4"/>
      <x:c r="AR856" s="4" t="n">
        <x:v>11.92</x:v>
      </x:c>
      <x:c r="AS856" s="4"/>
      <x:c r="AT856" s="4" t="n">
        <x:v>0.1</x:v>
      </x:c>
      <x:c r="AU856" s="4"/>
      <x:c r="AV856" s="10"/>
      <x:c r="AW856" s="10"/>
      <x:c r="AX856" s="10"/>
      <x:c r="AY856" s="10"/>
      <x:c r="AZ856" s="10" t="n">
        <x:v>529</x:v>
      </x:c>
      <x:c r="BA856" s="10" t="n">
        <x:v>560</x:v>
      </x:c>
      <x:c r="BB856" s="4" t="n">
        <x:v>48.6</x:v>
      </x:c>
      <x:c r="BC856" s="4" t="n">
        <x:v>0.2</x:v>
      </x:c>
      <x:c r="BD856" s="10" t="n">
        <x:v>376</x:v>
      </x:c>
      <x:c r="BE856" s="10" t="n">
        <x:v>375</x:v>
      </x:c>
      <x:c r="BF856" s="4" t="n">
        <x:v>50.1</x:v>
      </x:c>
      <x:c r="BG856" s="4" t="n">
        <x:v>1.7</x:v>
      </x:c>
      <x:c r="BH856" s="4" t="n">
        <x:v>10.2</x:v>
      </x:c>
      <x:c r="BI856" s="4" t="n">
        <x:v>91.9</x:v>
      </x:c>
      <x:c r="BJ856" s="4" t="n">
        <x:v>102.1</x:v>
      </x:c>
      <x:c r="BK856" s="4" t="n">
        <x:v>34.8</x:v>
      </x:c>
      <x:c r="BL856" s="4" t="n">
        <x:v>65.2</x:v>
      </x:c>
      <x:c r="BM856" s="4" t="n">
        <x:v>12.366666666666667</x:v>
      </x:c>
      <x:c r="BN856" s="4" t="n">
        <x:v>10.033333333333333</x:v>
      </x:c>
      <x:c r="BO856" s="10" t="n">
        <x:v>15</x:v>
      </x:c>
      <x:c r="BP856" s="10" t="n">
        <x:v>38</x:v>
      </x:c>
      <x:c r="BQ856" s="4" t="n">
        <x:v>3.1</x:v>
      </x:c>
      <x:c r="BR856" s="10" t="n">
        <x:v>82</x:v>
      </x:c>
      <x:c r="BS856" s="4" t="n">
        <x:v>51.2</x:v>
      </x:c>
      <x:c r="BT856" s="10" t="n">
        <x:v>72</x:v>
      </x:c>
      <x:c r="BU856" s="4" t="str">
        <x:v>DAL</x:v>
      </x:c>
      <x:c r="BV856" s="10" t="n">
        <x:v>556</x:v>
      </x:c>
      <x:c r="BW856" s="10"/>
      <x:c r="BX856" s="10" t="n">
        <x:v>23</x:v>
      </x:c>
      <x:c r="BY856" s="4" t="str">
        <x:v>Oskar Back</x:v>
      </x:c>
      <x:c r="BZ856" s="4"/>
      <x:c r="CA856" s="4" t="str">
        <x:v>Oskar Back</x:v>
      </x:c>
      <x:c r="CB856" s="4" t="str">
        <x:v>backos01</x:v>
      </x:c>
    </x:row>
    <x:row r="857" ht="22" customHeight="1">
      <x:c r="A857" s="4" t="str">
        <x:v>Oskar Sundqvist</x:v>
      </x:c>
      <x:c r="B857" s="4" t="str">
        <x:v>oskarsundqvist</x:v>
      </x:c>
      <x:c r="C857" s="10" t="n">
        <x:v>1</x:v>
      </x:c>
      <x:c r="D857" s="10" t="n">
        <x:v>0</x:v>
      </x:c>
      <x:c r="E857" s="10" t="n">
        <x:v>1</x:v>
      </x:c>
      <x:c r="F857" s="4" t="n">
        <x:f>IF(COUNT(N857,Q857,T857,W857,Z857,AC857,AF857,AI857)=8,N857*Guide!$E$5+Q857*Guide!$E$6+T857*Guide!$E$7+W857*Guide!$E$8+Z857*Guide!$E$9+AC857*Guide!$E$10+AF857*Guide!$E$11+AI857*Guide!$E$12,"")</x:f>
        <x:v>158.25</x:v>
      </x:c>
      <x:c r="G857" s="4" t="str">
        <x:f>IF(COUNT(O857,R857,U857,X857,AA857,AD857,AG857,AJ857)=8,O857*Guide!$E$5+R857*Guide!$E$6+U857*Guide!$E$7+X857*Guide!$E$8+AA857*Guide!$E$9+AD857*Guide!$E$10+AG857*Guide!$E$11+AJ857*Guide!$E$12,"")</x:f>
      </x:c>
      <x:c r="H857" s="4" t="str">
        <x:f>IF(COUNT(G857,F857)=2,G857-F857,"")</x:f>
      </x:c>
      <x:c r="I857" s="4" t="n">
        <x:f>IF(AND(ISNUMBER(F857),K857&gt;0),F857/K857,"")</x:f>
        <x:v>2.1979166666666665</x:v>
      </x:c>
      <x:c r="J857" s="4" t="str">
        <x:f>IF(AND(ISNUMBER(G857),L857&gt;0),G857/L857,"")</x:f>
      </x:c>
      <x:c r="K857" s="10" t="n">
        <x:v>72</x:v>
      </x:c>
      <x:c r="L857" s="10"/>
      <x:c r="M857" s="10" t="str">
        <x:f>IF(COUNT(L857,K857)=2,L857-K857,"")</x:f>
      </x:c>
      <x:c r="N857" s="10" t="n">
        <x:v>9</x:v>
      </x:c>
      <x:c r="O857" s="10"/>
      <x:c r="P857" s="10" t="str">
        <x:f>IF(COUNT(O857,N857)=2,O857-N857,"")</x:f>
      </x:c>
      <x:c r="Q857" s="10" t="n">
        <x:v>14</x:v>
      </x:c>
      <x:c r="R857" s="10"/>
      <x:c r="S857" s="10" t="str">
        <x:f>IF(COUNT(R857,Q857)=2,R857-Q857,"")</x:f>
      </x:c>
      <x:c r="T857" s="10" t="n">
        <x:v>-3</x:v>
      </x:c>
      <x:c r="U857" s="10"/>
      <x:c r="V857" s="10" t="str">
        <x:f>IF(COUNT(U857,T857)=2,U857-T857,"")</x:f>
      </x:c>
      <x:c r="W857" s="10" t="n">
        <x:v>7</x:v>
      </x:c>
      <x:c r="X857" s="10" t="str">
        <x:f>IF(COUNT(AV857,AW857)=2,AV857+AW857,"")</x:f>
      </x:c>
      <x:c r="Y857" s="10" t="str">
        <x:f>IF(COUNT(X857,W857)=2,X857-W857,"")</x:f>
      </x:c>
      <x:c r="Z857" s="10" t="n">
        <x:v>1</x:v>
      </x:c>
      <x:c r="AA857" s="10" t="str">
        <x:f>IF(COUNT(AX857,AY857)=2,AX857+AY857,"")</x:f>
      </x:c>
      <x:c r="AB857" s="10" t="str">
        <x:f>IF(COUNT(AA857,Z857)=2,AA857-Z857,"")</x:f>
      </x:c>
      <x:c r="AC857" s="10" t="n">
        <x:v>66</x:v>
      </x:c>
      <x:c r="AD857" s="10"/>
      <x:c r="AE857" s="10" t="str">
        <x:f>IF(COUNT(AD857,AC857)=2,AD857-AC857,"")</x:f>
      </x:c>
      <x:c r="AF857" s="10" t="n">
        <x:v>80</x:v>
      </x:c>
      <x:c r="AG857" s="10"/>
      <x:c r="AH857" s="10" t="str">
        <x:f>IF(COUNT(AG857,AF857)=2,AG857-AF857,"")</x:f>
      </x:c>
      <x:c r="AI857" s="10" t="n">
        <x:v>49</x:v>
      </x:c>
      <x:c r="AJ857" s="10"/>
      <x:c r="AK857" s="10" t="str">
        <x:f>IF(COUNT(AJ857,AI857)=2,AJ857-AI857,"")</x:f>
      </x:c>
      <x:c r="AL857" s="10" t="n">
        <x:v>31</x:v>
      </x:c>
      <x:c r="AM857" s="10"/>
      <x:c r="AN857" s="4" t="str">
        <x:v>C</x:v>
      </x:c>
      <x:c r="AO857" s="4"/>
      <x:c r="AP857" s="4" t="str">
        <x:v>STL</x:v>
      </x:c>
      <x:c r="AQ857" s="4"/>
      <x:c r="AR857" s="4" t="n">
        <x:v>13.03</x:v>
      </x:c>
      <x:c r="AS857" s="4"/>
      <x:c r="AT857" s="4" t="n">
        <x:v>1.19</x:v>
      </x:c>
      <x:c r="AU857" s="4"/>
      <x:c r="AV857" s="10"/>
      <x:c r="AW857" s="10"/>
      <x:c r="AX857" s="10"/>
      <x:c r="AY857" s="10"/>
      <x:c r="AZ857" s="10" t="n">
        <x:v>370</x:v>
      </x:c>
      <x:c r="BA857" s="10" t="n">
        <x:v>596</x:v>
      </x:c>
      <x:c r="BB857" s="4" t="n">
        <x:v>38.3</x:v>
      </x:c>
      <x:c r="BC857" s="4" t="n">
        <x:v>-11</x:v>
      </x:c>
      <x:c r="BD857" s="10" t="n">
        <x:v>263</x:v>
      </x:c>
      <x:c r="BE857" s="10" t="n">
        <x:v>410</x:v>
      </x:c>
      <x:c r="BF857" s="4" t="n">
        <x:v>39.1</x:v>
      </x:c>
      <x:c r="BG857" s="4" t="n">
        <x:v>-10.1</x:v>
      </x:c>
      <x:c r="BH857" s="4" t="n">
        <x:v>11.6</x:v>
      </x:c>
      <x:c r="BI857" s="4" t="n">
        <x:v>85.8</x:v>
      </x:c>
      <x:c r="BJ857" s="4" t="n">
        <x:v>97.4</x:v>
      </x:c>
      <x:c r="BK857" s="4" t="n">
        <x:v>27.3</x:v>
      </x:c>
      <x:c r="BL857" s="4" t="n">
        <x:v>72.7</x:v>
      </x:c>
      <x:c r="BM857" s="4" t="n">
        <x:v>12.966666666666667</x:v>
      </x:c>
      <x:c r="BN857" s="4" t="n">
        <x:v>10.6</x:v>
      </x:c>
      <x:c r="BO857" s="10" t="n">
        <x:v>12</x:v>
      </x:c>
      <x:c r="BP857" s="10" t="n">
        <x:v>23</x:v>
      </x:c>
      <x:c r="BQ857" s="4" t="n">
        <x:v>-9.4</x:v>
      </x:c>
      <x:c r="BR857" s="10" t="n">
        <x:v>71</x:v>
      </x:c>
      <x:c r="BS857" s="4" t="n">
        <x:v>52.1</x:v>
      </x:c>
      <x:c r="BT857" s="10" t="n">
        <x:v>52</x:v>
      </x:c>
      <x:c r="BU857" s="4" t="str">
        <x:v>STL</x:v>
      </x:c>
      <x:c r="BV857" s="10" t="n">
        <x:v>472</x:v>
      </x:c>
      <x:c r="BW857" s="10"/>
      <x:c r="BX857" s="10" t="n">
        <x:v>995</x:v>
      </x:c>
      <x:c r="BY857" s="4" t="str">
        <x:v>Oskar Sundqvist</x:v>
      </x:c>
      <x:c r="BZ857" s="4"/>
      <x:c r="CA857" s="4" t="str">
        <x:v>Oskar Sundqvist</x:v>
      </x:c>
      <x:c r="CB857" s="4" t="str">
        <x:v>sundqos01</x:v>
      </x:c>
    </x:row>
    <x:row r="858" ht="22" customHeight="1">
      <x:c r="A858" s="4" t="str">
        <x:v>Otto Stenberg</x:v>
      </x:c>
      <x:c r="B858" s="4" t="str">
        <x:v>ottostenberg</x:v>
      </x:c>
      <x:c r="C858" s="10" t="n">
        <x:v>0</x:v>
      </x:c>
      <x:c r="D858" s="10" t="n">
        <x:v>0</x:v>
      </x:c>
      <x:c r="E858" s="10" t="n">
        <x:v>1</x:v>
      </x:c>
      <x:c r="F858" s="4" t="str">
        <x:f>IF(COUNT(N858,Q858,T858,W858,Z858,AC858,AF858,AI858)=8,N858*Guide!$E$5+Q858*Guide!$E$6+T858*Guide!$E$7+W858*Guide!$E$8+Z858*Guide!$E$9+AC858*Guide!$E$10+AF858*Guide!$E$11+AI858*Guide!$E$12,"")</x:f>
      </x:c>
      <x:c r="G858" s="4" t="str">
        <x:f>IF(COUNT(O858,R858,U858,X858,AA858,AD858,AG858,AJ858)=8,O858*Guide!$E$5+R858*Guide!$E$6+U858*Guide!$E$7+X858*Guide!$E$8+AA858*Guide!$E$9+AD858*Guide!$E$10+AG858*Guide!$E$11+AJ858*Guide!$E$12,"")</x:f>
      </x:c>
      <x:c r="H858" s="4" t="str">
        <x:f>IF(COUNT(G858,F858)=2,G858-F858,"")</x:f>
      </x:c>
      <x:c r="I858" s="4" t="str">
        <x:f>IF(AND(ISNUMBER(F858),K858&gt;0),F858/K858,"")</x:f>
      </x:c>
      <x:c r="J858" s="4" t="str">
        <x:f>IF(AND(ISNUMBER(G858),L858&gt;0),G858/L858,"")</x:f>
      </x:c>
      <x:c r="K858" s="10"/>
      <x:c r="L858" s="10"/>
      <x:c r="M858" s="10" t="str">
        <x:f>IF(COUNT(L858,K858)=2,L858-K858,"")</x:f>
      </x:c>
      <x:c r="N858" s="10"/>
      <x:c r="O858" s="10"/>
      <x:c r="P858" s="10" t="str">
        <x:f>IF(COUNT(O858,N858)=2,O858-N858,"")</x:f>
      </x:c>
      <x:c r="Q858" s="10"/>
      <x:c r="R858" s="10"/>
      <x:c r="S858" s="10" t="str">
        <x:f>IF(COUNT(R858,Q858)=2,R858-Q858,"")</x:f>
      </x:c>
      <x:c r="T858" s="10"/>
      <x:c r="U858" s="10"/>
      <x:c r="V858" s="10" t="str">
        <x:f>IF(COUNT(U858,T858)=2,U858-T858,"")</x:f>
      </x:c>
      <x:c r="W858" s="10"/>
      <x:c r="X858" s="10" t="str">
        <x:f>IF(COUNT(AV858,AW858)=2,AV858+AW858,"")</x:f>
      </x:c>
      <x:c r="Y858" s="10" t="str">
        <x:f>IF(COUNT(X858,W858)=2,X858-W858,"")</x:f>
      </x:c>
      <x:c r="Z858" s="10"/>
      <x:c r="AA858" s="10" t="str">
        <x:f>IF(COUNT(AX858,AY858)=2,AX858+AY858,"")</x:f>
      </x:c>
      <x:c r="AB858" s="10" t="str">
        <x:f>IF(COUNT(AA858,Z858)=2,AA858-Z858,"")</x:f>
      </x:c>
      <x:c r="AC858" s="10"/>
      <x:c r="AD858" s="10"/>
      <x:c r="AE858" s="10" t="str">
        <x:f>IF(COUNT(AD858,AC858)=2,AD858-AC858,"")</x:f>
      </x:c>
      <x:c r="AF858" s="10"/>
      <x:c r="AG858" s="10"/>
      <x:c r="AH858" s="10" t="str">
        <x:f>IF(COUNT(AG858,AF858)=2,AG858-AF858,"")</x:f>
      </x:c>
      <x:c r="AI858" s="10"/>
      <x:c r="AJ858" s="10"/>
      <x:c r="AK858" s="10" t="str">
        <x:f>IF(COUNT(AJ858,AI858)=2,AJ858-AI858,"")</x:f>
      </x:c>
      <x:c r="AL858" s="10"/>
      <x:c r="AM858" s="10"/>
      <x:c r="AN858" s="4"/>
      <x:c r="AO858" s="4"/>
      <x:c r="AP858" s="4"/>
      <x:c r="AQ858" s="4"/>
      <x:c r="AR858" s="4"/>
      <x:c r="AS858" s="4"/>
      <x:c r="AT858" s="4"/>
      <x:c r="AU858" s="4"/>
      <x:c r="AV858" s="10"/>
      <x:c r="AW858" s="10"/>
      <x:c r="AX858" s="10"/>
      <x:c r="AY858" s="10"/>
      <x:c r="AZ858" s="10" t="n">
        <x:v>323</x:v>
      </x:c>
      <x:c r="BA858" s="10" t="n">
        <x:v>379</x:v>
      </x:c>
      <x:c r="BB858" s="4" t="n">
        <x:v>46</x:v>
      </x:c>
      <x:c r="BC858" s="4" t="n">
        <x:v>-2.5</x:v>
      </x:c>
      <x:c r="BD858" s="10" t="n">
        <x:v>222</x:v>
      </x:c>
      <x:c r="BE858" s="10" t="n">
        <x:v>270</x:v>
      </x:c>
      <x:c r="BF858" s="4" t="n">
        <x:v>45.1</x:v>
      </x:c>
      <x:c r="BG858" s="4" t="n">
        <x:v>-3.3</x:v>
      </x:c>
      <x:c r="BH858" s="4" t="n">
        <x:v>8.9</x:v>
      </x:c>
      <x:c r="BI858" s="4" t="n">
        <x:v>94.5</x:v>
      </x:c>
      <x:c r="BJ858" s="4" t="n">
        <x:v>103.4</x:v>
      </x:c>
      <x:c r="BK858" s="4" t="n">
        <x:v>42.9</x:v>
      </x:c>
      <x:c r="BL858" s="4" t="n">
        <x:v>57.1</x:v>
      </x:c>
      <x:c r="BM858" s="4" t="n">
        <x:v>13.616666666666667</x:v>
      </x:c>
      <x:c r="BN858" s="4" t="n">
        <x:v>12.25</x:v>
      </x:c>
      <x:c r="BO858" s="10" t="n">
        <x:v>5</x:v>
      </x:c>
      <x:c r="BP858" s="10" t="n">
        <x:v>15</x:v>
      </x:c>
      <x:c r="BQ858" s="4" t="n">
        <x:v>-4</x:v>
      </x:c>
      <x:c r="BR858" s="10" t="n">
        <x:v>65</x:v>
      </x:c>
      <x:c r="BS858" s="4" t="n">
        <x:v>47.7</x:v>
      </x:c>
      <x:c r="BT858" s="10" t="n">
        <x:v>32</x:v>
      </x:c>
      <x:c r="BU858" s="4" t="str">
        <x:v>STL</x:v>
      </x:c>
      <x:c r="BV858" s="10"/>
      <x:c r="BW858" s="10"/>
      <x:c r="BX858" s="10" t="n">
        <x:v>981</x:v>
      </x:c>
      <x:c r="BY858" s="4"/>
      <x:c r="BZ858" s="4"/>
      <x:c r="CA858" s="4" t="str">
        <x:v>Otto Stenberg</x:v>
      </x:c>
      <x:c r="CB858" s="4" t="str">
        <x:v>stenbot01</x:v>
      </x:c>
    </x:row>
    <x:row r="859" ht="22" customHeight="1">
      <x:c r="A859" s="4" t="str">
        <x:v>Owen Beck</x:v>
      </x:c>
      <x:c r="B859" s="4" t="str">
        <x:v>owenbeck</x:v>
      </x:c>
      <x:c r="C859" s="10" t="n">
        <x:v>0</x:v>
      </x:c>
      <x:c r="D859" s="10" t="n">
        <x:v>0</x:v>
      </x:c>
      <x:c r="E859" s="10" t="n">
        <x:v>1</x:v>
      </x:c>
      <x:c r="F859" s="4" t="str">
        <x:f>IF(COUNT(N859,Q859,T859,W859,Z859,AC859,AF859,AI859)=8,N859*Guide!$E$5+Q859*Guide!$E$6+T859*Guide!$E$7+W859*Guide!$E$8+Z859*Guide!$E$9+AC859*Guide!$E$10+AF859*Guide!$E$11+AI859*Guide!$E$12,"")</x:f>
      </x:c>
      <x:c r="G859" s="4" t="str">
        <x:f>IF(COUNT(O859,R859,U859,X859,AA859,AD859,AG859,AJ859)=8,O859*Guide!$E$5+R859*Guide!$E$6+U859*Guide!$E$7+X859*Guide!$E$8+AA859*Guide!$E$9+AD859*Guide!$E$10+AG859*Guide!$E$11+AJ859*Guide!$E$12,"")</x:f>
      </x:c>
      <x:c r="H859" s="4" t="str">
        <x:f>IF(COUNT(G859,F859)=2,G859-F859,"")</x:f>
      </x:c>
      <x:c r="I859" s="4" t="str">
        <x:f>IF(AND(ISNUMBER(F859),K859&gt;0),F859/K859,"")</x:f>
      </x:c>
      <x:c r="J859" s="4" t="str">
        <x:f>IF(AND(ISNUMBER(G859),L859&gt;0),G859/L859,"")</x:f>
      </x:c>
      <x:c r="K859" s="10"/>
      <x:c r="L859" s="10"/>
      <x:c r="M859" s="10" t="str">
        <x:f>IF(COUNT(L859,K859)=2,L859-K859,"")</x:f>
      </x:c>
      <x:c r="N859" s="10"/>
      <x:c r="O859" s="10"/>
      <x:c r="P859" s="10" t="str">
        <x:f>IF(COUNT(O859,N859)=2,O859-N859,"")</x:f>
      </x:c>
      <x:c r="Q859" s="10"/>
      <x:c r="R859" s="10"/>
      <x:c r="S859" s="10" t="str">
        <x:f>IF(COUNT(R859,Q859)=2,R859-Q859,"")</x:f>
      </x:c>
      <x:c r="T859" s="10"/>
      <x:c r="U859" s="10"/>
      <x:c r="V859" s="10" t="str">
        <x:f>IF(COUNT(U859,T859)=2,U859-T859,"")</x:f>
      </x:c>
      <x:c r="W859" s="10"/>
      <x:c r="X859" s="10" t="str">
        <x:f>IF(COUNT(AV859,AW859)=2,AV859+AW859,"")</x:f>
      </x:c>
      <x:c r="Y859" s="10" t="str">
        <x:f>IF(COUNT(X859,W859)=2,X859-W859,"")</x:f>
      </x:c>
      <x:c r="Z859" s="10"/>
      <x:c r="AA859" s="10" t="str">
        <x:f>IF(COUNT(AX859,AY859)=2,AX859+AY859,"")</x:f>
      </x:c>
      <x:c r="AB859" s="10" t="str">
        <x:f>IF(COUNT(AA859,Z859)=2,AA859-Z859,"")</x:f>
      </x:c>
      <x:c r="AC859" s="10"/>
      <x:c r="AD859" s="10"/>
      <x:c r="AE859" s="10" t="str">
        <x:f>IF(COUNT(AD859,AC859)=2,AD859-AC859,"")</x:f>
      </x:c>
      <x:c r="AF859" s="10"/>
      <x:c r="AG859" s="10"/>
      <x:c r="AH859" s="10" t="str">
        <x:f>IF(COUNT(AG859,AF859)=2,AG859-AF859,"")</x:f>
      </x:c>
      <x:c r="AI859" s="10"/>
      <x:c r="AJ859" s="10"/>
      <x:c r="AK859" s="10" t="str">
        <x:f>IF(COUNT(AJ859,AI859)=2,AJ859-AI859,"")</x:f>
      </x:c>
      <x:c r="AL859" s="10"/>
      <x:c r="AM859" s="10"/>
      <x:c r="AN859" s="4"/>
      <x:c r="AO859" s="4"/>
      <x:c r="AP859" s="4"/>
      <x:c r="AQ859" s="4"/>
      <x:c r="AR859" s="4"/>
      <x:c r="AS859" s="4"/>
      <x:c r="AT859" s="4"/>
      <x:c r="AU859" s="4"/>
      <x:c r="AV859" s="10"/>
      <x:c r="AW859" s="10"/>
      <x:c r="AX859" s="10"/>
      <x:c r="AY859" s="10"/>
      <x:c r="AZ859" s="10" t="n">
        <x:v>119</x:v>
      </x:c>
      <x:c r="BA859" s="10" t="n">
        <x:v>110</x:v>
      </x:c>
      <x:c r="BB859" s="4" t="n">
        <x:v>52</x:v>
      </x:c>
      <x:c r="BC859" s="4" t="n">
        <x:v>2.1</x:v>
      </x:c>
      <x:c r="BD859" s="10" t="n">
        <x:v>85</x:v>
      </x:c>
      <x:c r="BE859" s="10" t="n">
        <x:v>73</x:v>
      </x:c>
      <x:c r="BF859" s="4" t="n">
        <x:v>53.8</x:v>
      </x:c>
      <x:c r="BG859" s="4" t="n">
        <x:v>2.1</x:v>
      </x:c>
      <x:c r="BH859" s="4" t="n">
        <x:v>8.9</x:v>
      </x:c>
      <x:c r="BI859" s="4" t="n">
        <x:v>98</x:v>
      </x:c>
      <x:c r="BJ859" s="4" t="n">
        <x:v>106.9</x:v>
      </x:c>
      <x:c r="BK859" s="4" t="n">
        <x:v>57.7</x:v>
      </x:c>
      <x:c r="BL859" s="4" t="n">
        <x:v>42.3</x:v>
      </x:c>
      <x:c r="BM859" s="4" t="n">
        <x:v>9.183333333333334</x:v>
      </x:c>
      <x:c r="BN859" s="4" t="n">
        <x:v>9.183333333333334</x:v>
      </x:c>
      <x:c r="BO859" s="10" t="n">
        <x:v>2</x:v>
      </x:c>
      <x:c r="BP859" s="10" t="n">
        <x:v>10</x:v>
      </x:c>
      <x:c r="BQ859" s="4" t="n">
        <x:v>1.1</x:v>
      </x:c>
      <x:c r="BR859" s="10" t="n">
        <x:v>25</x:v>
      </x:c>
      <x:c r="BS859" s="4" t="n">
        <x:v>44</x:v>
      </x:c>
      <x:c r="BT859" s="10" t="n">
        <x:v>15</x:v>
      </x:c>
      <x:c r="BU859" s="4" t="str">
        <x:v>MTL</x:v>
      </x:c>
      <x:c r="BV859" s="10"/>
      <x:c r="BW859" s="10"/>
      <x:c r="BX859" s="10" t="n">
        <x:v>39</x:v>
      </x:c>
      <x:c r="BY859" s="4"/>
      <x:c r="BZ859" s="4"/>
      <x:c r="CA859" s="4" t="str">
        <x:v>Owen Beck</x:v>
      </x:c>
      <x:c r="CB859" s="4" t="str">
        <x:v>beckow01</x:v>
      </x:c>
    </x:row>
    <x:row r="860" ht="22" customHeight="1">
      <x:c r="A860" s="4" t="str">
        <x:v>Owen Pickering</x:v>
      </x:c>
      <x:c r="B860" s="4" t="str">
        <x:v>owenpickering</x:v>
      </x:c>
      <x:c r="C860" s="10" t="n">
        <x:v>1</x:v>
      </x:c>
      <x:c r="D860" s="10" t="n">
        <x:v>0</x:v>
      </x:c>
      <x:c r="E860" s="10" t="n">
        <x:v>1</x:v>
      </x:c>
      <x:c r="F860" s="4" t="n">
        <x:f>IF(COUNT(N860,Q860,T860,W860,Z860,AC860,AF860,AI860)=8,N860*Guide!$E$5+Q860*Guide!$E$6+T860*Guide!$E$7+W860*Guide!$E$8+Z860*Guide!$E$9+AC860*Guide!$E$10+AF860*Guide!$E$11+AI860*Guide!$E$12,"")</x:f>
        <x:v>136</x:v>
      </x:c>
      <x:c r="G860" s="4" t="str">
        <x:f>IF(COUNT(O860,R860,U860,X860,AA860,AD860,AG860,AJ860)=8,O860*Guide!$E$5+R860*Guide!$E$6+U860*Guide!$E$7+X860*Guide!$E$8+AA860*Guide!$E$9+AD860*Guide!$E$10+AG860*Guide!$E$11+AJ860*Guide!$E$12,"")</x:f>
      </x:c>
      <x:c r="H860" s="4" t="str">
        <x:f>IF(COUNT(G860,F860)=2,G860-F860,"")</x:f>
      </x:c>
      <x:c r="I860" s="4" t="n">
        <x:f>IF(AND(ISNUMBER(F860),K860&gt;0),F860/K860,"")</x:f>
        <x:v>1.9428571428571428</x:v>
      </x:c>
      <x:c r="J860" s="4" t="str">
        <x:f>IF(AND(ISNUMBER(G860),L860&gt;0),G860/L860,"")</x:f>
      </x:c>
      <x:c r="K860" s="10" t="n">
        <x:v>70</x:v>
      </x:c>
      <x:c r="L860" s="10"/>
      <x:c r="M860" s="10" t="str">
        <x:f>IF(COUNT(L860,K860)=2,L860-K860,"")</x:f>
      </x:c>
      <x:c r="N860" s="10" t="n">
        <x:v>4</x:v>
      </x:c>
      <x:c r="O860" s="10"/>
      <x:c r="P860" s="10" t="str">
        <x:f>IF(COUNT(O860,N860)=2,O860-N860,"")</x:f>
      </x:c>
      <x:c r="Q860" s="10" t="n">
        <x:v>12</x:v>
      </x:c>
      <x:c r="R860" s="10"/>
      <x:c r="S860" s="10" t="str">
        <x:f>IF(COUNT(R860,Q860)=2,R860-Q860,"")</x:f>
      </x:c>
      <x:c r="T860" s="10" t="n">
        <x:v>-2</x:v>
      </x:c>
      <x:c r="U860" s="10"/>
      <x:c r="V860" s="10" t="str">
        <x:f>IF(COUNT(U860,T860)=2,U860-T860,"")</x:f>
      </x:c>
      <x:c r="W860" s="10" t="n">
        <x:v>0</x:v>
      </x:c>
      <x:c r="X860" s="10" t="str">
        <x:f>IF(COUNT(AV860,AW860)=2,AV860+AW860,"")</x:f>
      </x:c>
      <x:c r="Y860" s="10" t="str">
        <x:f>IF(COUNT(X860,W860)=2,X860-W860,"")</x:f>
      </x:c>
      <x:c r="Z860" s="10" t="n">
        <x:v>0</x:v>
      </x:c>
      <x:c r="AA860" s="10" t="str">
        <x:f>IF(COUNT(AX860,AY860)=2,AX860+AY860,"")</x:f>
      </x:c>
      <x:c r="AB860" s="10" t="str">
        <x:f>IF(COUNT(AA860,Z860)=2,AA860-Z860,"")</x:f>
      </x:c>
      <x:c r="AC860" s="10" t="n">
        <x:v>65</x:v>
      </x:c>
      <x:c r="AD860" s="10"/>
      <x:c r="AE860" s="10" t="str">
        <x:f>IF(COUNT(AD860,AC860)=2,AD860-AC860,"")</x:f>
      </x:c>
      <x:c r="AF860" s="10" t="n">
        <x:v>42</x:v>
      </x:c>
      <x:c r="AG860" s="10"/>
      <x:c r="AH860" s="10" t="str">
        <x:f>IF(COUNT(AG860,AF860)=2,AG860-AF860,"")</x:f>
      </x:c>
      <x:c r="AI860" s="10" t="n">
        <x:v>79</x:v>
      </x:c>
      <x:c r="AJ860" s="10"/>
      <x:c r="AK860" s="10" t="str">
        <x:f>IF(COUNT(AJ860,AI860)=2,AJ860-AI860,"")</x:f>
      </x:c>
      <x:c r="AL860" s="10" t="n">
        <x:v>22</x:v>
      </x:c>
      <x:c r="AM860" s="10"/>
      <x:c r="AN860" s="4" t="str">
        <x:v>D</x:v>
      </x:c>
      <x:c r="AO860" s="4"/>
      <x:c r="AP860" s="4" t="str">
        <x:v>PIT</x:v>
      </x:c>
      <x:c r="AQ860" s="4"/>
      <x:c r="AR860" s="4" t="n">
        <x:v>18.03</x:v>
      </x:c>
      <x:c r="AS860" s="4"/>
      <x:c r="AT860" s="4" t="n">
        <x:v>0.02</x:v>
      </x:c>
      <x:c r="AU860" s="4"/>
      <x:c r="AV860" s="10"/>
      <x:c r="AW860" s="10"/>
      <x:c r="AX860" s="10"/>
      <x:c r="AY860" s="10"/>
      <x:c r="AZ860" s="10" t="n">
        <x:v>42</x:v>
      </x:c>
      <x:c r="BA860" s="10" t="n">
        <x:v>51</x:v>
      </x:c>
      <x:c r="BB860" s="4" t="n">
        <x:v>45.2</x:v>
      </x:c>
      <x:c r="BC860" s="4" t="n">
        <x:v>-9.9</x:v>
      </x:c>
      <x:c r="BD860" s="10" t="n">
        <x:v>31</x:v>
      </x:c>
      <x:c r="BE860" s="10" t="n">
        <x:v>39</x:v>
      </x:c>
      <x:c r="BF860" s="4" t="n">
        <x:v>44.3</x:v>
      </x:c>
      <x:c r="BG860" s="4" t="n">
        <x:v>-8.3</x:v>
      </x:c>
      <x:c r="BH860" s="4" t="n">
        <x:v>8</x:v>
      </x:c>
      <x:c r="BI860" s="4" t="n">
        <x:v>80.8</x:v>
      </x:c>
      <x:c r="BJ860" s="4" t="n">
        <x:v>88.8</x:v>
      </x:c>
      <x:c r="BK860" s="4" t="n">
        <x:v>50</x:v>
      </x:c>
      <x:c r="BL860" s="4" t="n">
        <x:v>50</x:v>
      </x:c>
      <x:c r="BM860" s="4" t="n">
        <x:v>12.1</x:v>
      </x:c>
      <x:c r="BN860" s="4" t="n">
        <x:v>12.05</x:v>
      </x:c>
      <x:c r="BO860" s="10" t="n">
        <x:v>1</x:v>
      </x:c>
      <x:c r="BP860" s="10" t="n">
        <x:v>4</x:v>
      </x:c>
      <x:c r="BQ860" s="4" t="n">
        <x:v>-0.3</x:v>
      </x:c>
      <x:c r="BR860" s="10" t="n">
        <x:v>6</x:v>
      </x:c>
      <x:c r="BS860" s="4" t="n">
        <x:v>16.7</x:v>
      </x:c>
      <x:c r="BT860" s="10" t="n">
        <x:v>4</x:v>
      </x:c>
      <x:c r="BU860" s="4" t="str">
        <x:v>PIT</x:v>
      </x:c>
      <x:c r="BV860" s="10" t="n">
        <x:v>606</x:v>
      </x:c>
      <x:c r="BW860" s="10"/>
      <x:c r="BX860" s="10" t="n">
        <x:v>818</x:v>
      </x:c>
      <x:c r="BY860" s="4" t="str">
        <x:v>Owen Pickering</x:v>
      </x:c>
      <x:c r="BZ860" s="4"/>
      <x:c r="CA860" s="4" t="str">
        <x:v>Owen Pickering</x:v>
      </x:c>
      <x:c r="CB860" s="4" t="str">
        <x:v>pickeow01</x:v>
      </x:c>
    </x:row>
    <x:row r="861" ht="22" customHeight="1">
      <x:c r="A861" s="4" t="str">
        <x:v>Ozzy Wiesblatt</x:v>
      </x:c>
      <x:c r="B861" s="4" t="str">
        <x:v>ozzywiesblatt</x:v>
      </x:c>
      <x:c r="C861" s="10" t="n">
        <x:v>0</x:v>
      </x:c>
      <x:c r="D861" s="10" t="n">
        <x:v>0</x:v>
      </x:c>
      <x:c r="E861" s="10" t="n">
        <x:v>1</x:v>
      </x:c>
      <x:c r="F861" s="4" t="str">
        <x:f>IF(COUNT(N861,Q861,T861,W861,Z861,AC861,AF861,AI861)=8,N861*Guide!$E$5+Q861*Guide!$E$6+T861*Guide!$E$7+W861*Guide!$E$8+Z861*Guide!$E$9+AC861*Guide!$E$10+AF861*Guide!$E$11+AI861*Guide!$E$12,"")</x:f>
      </x:c>
      <x:c r="G861" s="4" t="str">
        <x:f>IF(COUNT(O861,R861,U861,X861,AA861,AD861,AG861,AJ861)=8,O861*Guide!$E$5+R861*Guide!$E$6+U861*Guide!$E$7+X861*Guide!$E$8+AA861*Guide!$E$9+AD861*Guide!$E$10+AG861*Guide!$E$11+AJ861*Guide!$E$12,"")</x:f>
      </x:c>
      <x:c r="H861" s="4" t="str">
        <x:f>IF(COUNT(G861,F861)=2,G861-F861,"")</x:f>
      </x:c>
      <x:c r="I861" s="4" t="str">
        <x:f>IF(AND(ISNUMBER(F861),K861&gt;0),F861/K861,"")</x:f>
      </x:c>
      <x:c r="J861" s="4" t="str">
        <x:f>IF(AND(ISNUMBER(G861),L861&gt;0),G861/L861,"")</x:f>
      </x:c>
      <x:c r="K861" s="10"/>
      <x:c r="L861" s="10"/>
      <x:c r="M861" s="10" t="str">
        <x:f>IF(COUNT(L861,K861)=2,L861-K861,"")</x:f>
      </x:c>
      <x:c r="N861" s="10"/>
      <x:c r="O861" s="10"/>
      <x:c r="P861" s="10" t="str">
        <x:f>IF(COUNT(O861,N861)=2,O861-N861,"")</x:f>
      </x:c>
      <x:c r="Q861" s="10"/>
      <x:c r="R861" s="10"/>
      <x:c r="S861" s="10" t="str">
        <x:f>IF(COUNT(R861,Q861)=2,R861-Q861,"")</x:f>
      </x:c>
      <x:c r="T861" s="10"/>
      <x:c r="U861" s="10"/>
      <x:c r="V861" s="10" t="str">
        <x:f>IF(COUNT(U861,T861)=2,U861-T861,"")</x:f>
      </x:c>
      <x:c r="W861" s="10"/>
      <x:c r="X861" s="10" t="str">
        <x:f>IF(COUNT(AV861,AW861)=2,AV861+AW861,"")</x:f>
      </x:c>
      <x:c r="Y861" s="10" t="str">
        <x:f>IF(COUNT(X861,W861)=2,X861-W861,"")</x:f>
      </x:c>
      <x:c r="Z861" s="10"/>
      <x:c r="AA861" s="10" t="str">
        <x:f>IF(COUNT(AX861,AY861)=2,AX861+AY861,"")</x:f>
      </x:c>
      <x:c r="AB861" s="10" t="str">
        <x:f>IF(COUNT(AA861,Z861)=2,AA861-Z861,"")</x:f>
      </x:c>
      <x:c r="AC861" s="10"/>
      <x:c r="AD861" s="10"/>
      <x:c r="AE861" s="10" t="str">
        <x:f>IF(COUNT(AD861,AC861)=2,AD861-AC861,"")</x:f>
      </x:c>
      <x:c r="AF861" s="10"/>
      <x:c r="AG861" s="10"/>
      <x:c r="AH861" s="10" t="str">
        <x:f>IF(COUNT(AG861,AF861)=2,AG861-AF861,"")</x:f>
      </x:c>
      <x:c r="AI861" s="10"/>
      <x:c r="AJ861" s="10"/>
      <x:c r="AK861" s="10" t="str">
        <x:f>IF(COUNT(AJ861,AI861)=2,AJ861-AI861,"")</x:f>
      </x:c>
      <x:c r="AL861" s="10"/>
      <x:c r="AM861" s="10"/>
      <x:c r="AN861" s="4"/>
      <x:c r="AO861" s="4"/>
      <x:c r="AP861" s="4"/>
      <x:c r="AQ861" s="4"/>
      <x:c r="AR861" s="4"/>
      <x:c r="AS861" s="4"/>
      <x:c r="AT861" s="4"/>
      <x:c r="AU861" s="4"/>
      <x:c r="AV861" s="10"/>
      <x:c r="AW861" s="10"/>
      <x:c r="AX861" s="10"/>
      <x:c r="AY861" s="10"/>
      <x:c r="AZ861" s="10" t="n">
        <x:v>317</x:v>
      </x:c>
      <x:c r="BA861" s="10" t="n">
        <x:v>357</x:v>
      </x:c>
      <x:c r="BB861" s="4" t="n">
        <x:v>47</x:v>
      </x:c>
      <x:c r="BC861" s="4" t="n">
        <x:v>-5.2</x:v>
      </x:c>
      <x:c r="BD861" s="10" t="n">
        <x:v>216</x:v>
      </x:c>
      <x:c r="BE861" s="10" t="n">
        <x:v>268</x:v>
      </x:c>
      <x:c r="BF861" s="4" t="n">
        <x:v>44.6</x:v>
      </x:c>
      <x:c r="BG861" s="4" t="n">
        <x:v>-5</x:v>
      </x:c>
      <x:c r="BH861" s="4" t="n">
        <x:v>11.1</x:v>
      </x:c>
      <x:c r="BI861" s="4" t="n">
        <x:v>87.7</x:v>
      </x:c>
      <x:c r="BJ861" s="4" t="n">
        <x:v>98.8</x:v>
      </x:c>
      <x:c r="BK861" s="4" t="n">
        <x:v>28.1</x:v>
      </x:c>
      <x:c r="BL861" s="4" t="n">
        <x:v>71.9</x:v>
      </x:c>
      <x:c r="BM861" s="4" t="n">
        <x:v>10.183333333333334</x:v>
      </x:c>
      <x:c r="BN861" s="4" t="n">
        <x:v>9.516666666666667</x:v>
      </x:c>
      <x:c r="BO861" s="10" t="n">
        <x:v>7</x:v>
      </x:c>
      <x:c r="BP861" s="10" t="n">
        <x:v>15</x:v>
      </x:c>
      <x:c r="BQ861" s="4" t="n">
        <x:v>-3.6</x:v>
      </x:c>
      <x:c r="BR861" s="10" t="n">
        <x:v>62</x:v>
      </x:c>
      <x:c r="BS861" s="4" t="n">
        <x:v>40.3</x:v>
      </x:c>
      <x:c r="BT861" s="10" t="n">
        <x:v>40</x:v>
      </x:c>
      <x:c r="BU861" s="4" t="str">
        <x:v>NSH</x:v>
      </x:c>
      <x:c r="BV861" s="10"/>
      <x:c r="BW861" s="10"/>
      <x:c r="BX861" s="10" t="n">
        <x:v>1075</x:v>
      </x:c>
      <x:c r="BY861" s="4"/>
      <x:c r="BZ861" s="4"/>
      <x:c r="CA861" s="4" t="str">
        <x:v>Ozzy Wiesblatt</x:v>
      </x:c>
      <x:c r="CB861" s="4" t="str">
        <x:v>wiesboz01</x:v>
      </x:c>
    </x:row>
    <x:row r="862" ht="22" customHeight="1">
      <x:c r="A862" s="4" t="str">
        <x:v>P.O. Joseph</x:v>
      </x:c>
      <x:c r="B862" s="4" t="str">
        <x:v>pojoseph</x:v>
      </x:c>
      <x:c r="C862" s="10" t="n">
        <x:v>1</x:v>
      </x:c>
      <x:c r="D862" s="10" t="n">
        <x:v>0</x:v>
      </x:c>
      <x:c r="E862" s="10" t="n">
        <x:v>1</x:v>
      </x:c>
      <x:c r="F862" s="4" t="n">
        <x:f>IF(COUNT(N862,Q862,T862,W862,Z862,AC862,AF862,AI862)=8,N862*Guide!$E$5+Q862*Guide!$E$6+T862*Guide!$E$7+W862*Guide!$E$8+Z862*Guide!$E$9+AC862*Guide!$E$10+AF862*Guide!$E$11+AI862*Guide!$E$12,"")</x:f>
        <x:v>100.75</x:v>
      </x:c>
      <x:c r="G862" s="4" t="str">
        <x:f>IF(COUNT(O862,R862,U862,X862,AA862,AD862,AG862,AJ862)=8,O862*Guide!$E$5+R862*Guide!$E$6+U862*Guide!$E$7+X862*Guide!$E$8+AA862*Guide!$E$9+AD862*Guide!$E$10+AG862*Guide!$E$11+AJ862*Guide!$E$12,"")</x:f>
      </x:c>
      <x:c r="H862" s="4" t="str">
        <x:f>IF(COUNT(G862,F862)=2,G862-F862,"")</x:f>
      </x:c>
      <x:c r="I862" s="4" t="n">
        <x:f>IF(AND(ISNUMBER(F862),K862&gt;0),F862/K862,"")</x:f>
        <x:v>1.5265151515151516</x:v>
      </x:c>
      <x:c r="J862" s="4" t="str">
        <x:f>IF(AND(ISNUMBER(G862),L862&gt;0),G862/L862,"")</x:f>
      </x:c>
      <x:c r="K862" s="10" t="n">
        <x:v>66</x:v>
      </x:c>
      <x:c r="L862" s="10"/>
      <x:c r="M862" s="10" t="str">
        <x:f>IF(COUNT(L862,K862)=2,L862-K862,"")</x:f>
      </x:c>
      <x:c r="N862" s="10" t="n">
        <x:v>2</x:v>
      </x:c>
      <x:c r="O862" s="10"/>
      <x:c r="P862" s="10" t="str">
        <x:f>IF(COUNT(O862,N862)=2,O862-N862,"")</x:f>
      </x:c>
      <x:c r="Q862" s="10" t="n">
        <x:v>10</x:v>
      </x:c>
      <x:c r="R862" s="10"/>
      <x:c r="S862" s="10" t="str">
        <x:f>IF(COUNT(R862,Q862)=2,R862-Q862,"")</x:f>
      </x:c>
      <x:c r="T862" s="10" t="n">
        <x:v>-3</x:v>
      </x:c>
      <x:c r="U862" s="10"/>
      <x:c r="V862" s="10" t="str">
        <x:f>IF(COUNT(U862,T862)=2,U862-T862,"")</x:f>
      </x:c>
      <x:c r="W862" s="10" t="n">
        <x:v>0</x:v>
      </x:c>
      <x:c r="X862" s="10" t="str">
        <x:f>IF(COUNT(AV862,AW862)=2,AV862+AW862,"")</x:f>
      </x:c>
      <x:c r="Y862" s="10" t="str">
        <x:f>IF(COUNT(X862,W862)=2,X862-W862,"")</x:f>
      </x:c>
      <x:c r="Z862" s="10" t="n">
        <x:v>0</x:v>
      </x:c>
      <x:c r="AA862" s="10" t="str">
        <x:f>IF(COUNT(AX862,AY862)=2,AX862+AY862,"")</x:f>
      </x:c>
      <x:c r="AB862" s="10" t="str">
        <x:f>IF(COUNT(AA862,Z862)=2,AA862-Z862,"")</x:f>
      </x:c>
      <x:c r="AC862" s="10" t="n">
        <x:v>58</x:v>
      </x:c>
      <x:c r="AD862" s="10"/>
      <x:c r="AE862" s="10" t="str">
        <x:f>IF(COUNT(AD862,AC862)=2,AD862-AC862,"")</x:f>
      </x:c>
      <x:c r="AF862" s="10" t="n">
        <x:v>49</x:v>
      </x:c>
      <x:c r="AG862" s="10"/>
      <x:c r="AH862" s="10" t="str">
        <x:f>IF(COUNT(AG862,AF862)=2,AG862-AF862,"")</x:f>
      </x:c>
      <x:c r="AI862" s="10" t="n">
        <x:v>52</x:v>
      </x:c>
      <x:c r="AJ862" s="10"/>
      <x:c r="AK862" s="10" t="str">
        <x:f>IF(COUNT(AJ862,AI862)=2,AJ862-AI862,"")</x:f>
      </x:c>
      <x:c r="AL862" s="10" t="n">
        <x:v>26</x:v>
      </x:c>
      <x:c r="AM862" s="10"/>
      <x:c r="AN862" s="4" t="str">
        <x:v>D</x:v>
      </x:c>
      <x:c r="AO862" s="4"/>
      <x:c r="AP862" s="4" t="str">
        <x:v>VAN</x:v>
      </x:c>
      <x:c r="AQ862" s="4"/>
      <x:c r="AR862" s="4" t="n">
        <x:v>15.21</x:v>
      </x:c>
      <x:c r="AS862" s="4"/>
      <x:c r="AT862" s="4" t="n">
        <x:v>0.06</x:v>
      </x:c>
      <x:c r="AU862" s="4"/>
      <x:c r="AV862" s="10"/>
      <x:c r="AW862" s="10"/>
      <x:c r="AX862" s="10"/>
      <x:c r="AY862" s="10"/>
      <x:c r="AZ862" s="10" t="n">
        <x:v>362</x:v>
      </x:c>
      <x:c r="BA862" s="10" t="n">
        <x:v>384</x:v>
      </x:c>
      <x:c r="BB862" s="4" t="n">
        <x:v>48.5</x:v>
      </x:c>
      <x:c r="BC862" s="4" t="n">
        <x:v>2.1</x:v>
      </x:c>
      <x:c r="BD862" s="10" t="n">
        <x:v>279</x:v>
      </x:c>
      <x:c r="BE862" s="10" t="n">
        <x:v>282</x:v>
      </x:c>
      <x:c r="BF862" s="4" t="n">
        <x:v>49.7</x:v>
      </x:c>
      <x:c r="BG862" s="4" t="n">
        <x:v>3.7</x:v>
      </x:c>
      <x:c r="BH862" s="4" t="n">
        <x:v>7.4</x:v>
      </x:c>
      <x:c r="BI862" s="4" t="n">
        <x:v>84.9</x:v>
      </x:c>
      <x:c r="BJ862" s="4" t="n">
        <x:v>92.3</x:v>
      </x:c>
      <x:c r="BK862" s="4" t="n">
        <x:v>53.3</x:v>
      </x:c>
      <x:c r="BL862" s="4" t="n">
        <x:v>46.7</x:v>
      </x:c>
      <x:c r="BM862" s="4" t="n">
        <x:v>13.3</x:v>
      </x:c>
      <x:c r="BN862" s="4" t="n">
        <x:v>12.8</x:v>
      </x:c>
      <x:c r="BO862" s="10" t="n">
        <x:v>9</x:v>
      </x:c>
      <x:c r="BP862" s="10" t="n">
        <x:v>25</x:v>
      </x:c>
      <x:c r="BQ862" s="4" t="n">
        <x:v>-2.5</x:v>
      </x:c>
      <x:c r="BR862" s="10" t="n">
        <x:v>55</x:v>
      </x:c>
      <x:c r="BS862" s="4" t="n">
        <x:v>40</x:v>
      </x:c>
      <x:c r="BT862" s="10" t="n">
        <x:v>31</x:v>
      </x:c>
      <x:c r="BU862" s="4" t="str">
        <x:v>VAN</x:v>
      </x:c>
      <x:c r="BV862" s="10" t="n">
        <x:v>692</x:v>
      </x:c>
      <x:c r="BW862" s="10"/>
      <x:c r="BX862" s="10" t="n">
        <x:v>480</x:v>
      </x:c>
      <x:c r="BY862" s="4" t="str">
        <x:v>P.O. Joseph</x:v>
      </x:c>
      <x:c r="BZ862" s="4"/>
      <x:c r="CA862" s="4" t="str">
        <x:v>Pierre-Olivier Joseph</x:v>
      </x:c>
      <x:c r="CB862" s="4" t="str">
        <x:v>joseppi01</x:v>
      </x:c>
    </x:row>
    <x:row r="863" ht="22" customHeight="1">
      <x:c r="A863" s="4" t="str">
        <x:v>Parker Ford</x:v>
      </x:c>
      <x:c r="B863" s="4" t="str">
        <x:v>parkerford</x:v>
      </x:c>
      <x:c r="C863" s="10" t="n">
        <x:v>0</x:v>
      </x:c>
      <x:c r="D863" s="10" t="n">
        <x:v>0</x:v>
      </x:c>
      <x:c r="E863" s="10" t="n">
        <x:v>1</x:v>
      </x:c>
      <x:c r="F863" s="4" t="str">
        <x:f>IF(COUNT(N863,Q863,T863,W863,Z863,AC863,AF863,AI863)=8,N863*Guide!$E$5+Q863*Guide!$E$6+T863*Guide!$E$7+W863*Guide!$E$8+Z863*Guide!$E$9+AC863*Guide!$E$10+AF863*Guide!$E$11+AI863*Guide!$E$12,"")</x:f>
      </x:c>
      <x:c r="G863" s="4" t="str">
        <x:f>IF(COUNT(O863,R863,U863,X863,AA863,AD863,AG863,AJ863)=8,O863*Guide!$E$5+R863*Guide!$E$6+U863*Guide!$E$7+X863*Guide!$E$8+AA863*Guide!$E$9+AD863*Guide!$E$10+AG863*Guide!$E$11+AJ863*Guide!$E$12,"")</x:f>
      </x:c>
      <x:c r="H863" s="4" t="str">
        <x:f>IF(COUNT(G863,F863)=2,G863-F863,"")</x:f>
      </x:c>
      <x:c r="I863" s="4" t="str">
        <x:f>IF(AND(ISNUMBER(F863),K863&gt;0),F863/K863,"")</x:f>
      </x:c>
      <x:c r="J863" s="4" t="str">
        <x:f>IF(AND(ISNUMBER(G863),L863&gt;0),G863/L863,"")</x:f>
      </x:c>
      <x:c r="K863" s="10"/>
      <x:c r="L863" s="10"/>
      <x:c r="M863" s="10" t="str">
        <x:f>IF(COUNT(L863,K863)=2,L863-K863,"")</x:f>
      </x:c>
      <x:c r="N863" s="10"/>
      <x:c r="O863" s="10"/>
      <x:c r="P863" s="10" t="str">
        <x:f>IF(COUNT(O863,N863)=2,O863-N863,"")</x:f>
      </x:c>
      <x:c r="Q863" s="10"/>
      <x:c r="R863" s="10"/>
      <x:c r="S863" s="10" t="str">
        <x:f>IF(COUNT(R863,Q863)=2,R863-Q863,"")</x:f>
      </x:c>
      <x:c r="T863" s="10"/>
      <x:c r="U863" s="10"/>
      <x:c r="V863" s="10" t="str">
        <x:f>IF(COUNT(U863,T863)=2,U863-T863,"")</x:f>
      </x:c>
      <x:c r="W863" s="10"/>
      <x:c r="X863" s="10" t="str">
        <x:f>IF(COUNT(AV863,AW863)=2,AV863+AW863,"")</x:f>
      </x:c>
      <x:c r="Y863" s="10" t="str">
        <x:f>IF(COUNT(X863,W863)=2,X863-W863,"")</x:f>
      </x:c>
      <x:c r="Z863" s="10"/>
      <x:c r="AA863" s="10" t="str">
        <x:f>IF(COUNT(AX863,AY863)=2,AX863+AY863,"")</x:f>
      </x:c>
      <x:c r="AB863" s="10" t="str">
        <x:f>IF(COUNT(AA863,Z863)=2,AA863-Z863,"")</x:f>
      </x:c>
      <x:c r="AC863" s="10"/>
      <x:c r="AD863" s="10"/>
      <x:c r="AE863" s="10" t="str">
        <x:f>IF(COUNT(AD863,AC863)=2,AD863-AC863,"")</x:f>
      </x:c>
      <x:c r="AF863" s="10"/>
      <x:c r="AG863" s="10"/>
      <x:c r="AH863" s="10" t="str">
        <x:f>IF(COUNT(AG863,AF863)=2,AG863-AF863,"")</x:f>
      </x:c>
      <x:c r="AI863" s="10"/>
      <x:c r="AJ863" s="10"/>
      <x:c r="AK863" s="10" t="str">
        <x:f>IF(COUNT(AJ863,AI863)=2,AJ863-AI863,"")</x:f>
      </x:c>
      <x:c r="AL863" s="10"/>
      <x:c r="AM863" s="10"/>
      <x:c r="AN863" s="4"/>
      <x:c r="AO863" s="4"/>
      <x:c r="AP863" s="4"/>
      <x:c r="AQ863" s="4"/>
      <x:c r="AR863" s="4"/>
      <x:c r="AS863" s="4"/>
      <x:c r="AT863" s="4"/>
      <x:c r="AU863" s="4"/>
      <x:c r="AV863" s="10"/>
      <x:c r="AW863" s="10"/>
      <x:c r="AX863" s="10"/>
      <x:c r="AY863" s="10"/>
      <x:c r="AZ863" s="10" t="n">
        <x:v>103</x:v>
      </x:c>
      <x:c r="BA863" s="10" t="n">
        <x:v>136</x:v>
      </x:c>
      <x:c r="BB863" s="4" t="n">
        <x:v>43.1</x:v>
      </x:c>
      <x:c r="BC863" s="4" t="n">
        <x:v>-6.4</x:v>
      </x:c>
      <x:c r="BD863" s="10" t="n">
        <x:v>74</x:v>
      </x:c>
      <x:c r="BE863" s="10" t="n">
        <x:v>95</x:v>
      </x:c>
      <x:c r="BF863" s="4" t="n">
        <x:v>43.8</x:v>
      </x:c>
      <x:c r="BG863" s="4" t="n">
        <x:v>-5.9</x:v>
      </x:c>
      <x:c r="BH863" s="4" t="n">
        <x:v>8.7</x:v>
      </x:c>
      <x:c r="BI863" s="4" t="n">
        <x:v>89.7</x:v>
      </x:c>
      <x:c r="BJ863" s="4" t="n">
        <x:v>98.4</x:v>
      </x:c>
      <x:c r="BK863" s="4" t="n">
        <x:v>38.3</x:v>
      </x:c>
      <x:c r="BL863" s="4" t="n">
        <x:v>61.7</x:v>
      </x:c>
      <x:c r="BM863" s="4" t="n">
        <x:v>9.75</x:v>
      </x:c>
      <x:c r="BN863" s="4" t="n">
        <x:v>9.033333333333333</x:v>
      </x:c>
      <x:c r="BO863" s="10" t="n">
        <x:v>2</x:v>
      </x:c>
      <x:c r="BP863" s="10" t="n">
        <x:v>1</x:v>
      </x:c>
      <x:c r="BQ863" s="4" t="n">
        <x:v>-2.6</x:v>
      </x:c>
      <x:c r="BR863" s="10" t="n">
        <x:v>25</x:v>
      </x:c>
      <x:c r="BS863" s="4" t="n">
        <x:v>40</x:v>
      </x:c>
      <x:c r="BT863" s="10" t="n">
        <x:v>15</x:v>
      </x:c>
      <x:c r="BU863" s="4" t="str">
        <x:v>WPG</x:v>
      </x:c>
      <x:c r="BV863" s="10"/>
      <x:c r="BW863" s="10"/>
      <x:c r="BX863" s="10" t="n">
        <x:v>307</x:v>
      </x:c>
      <x:c r="BY863" s="4"/>
      <x:c r="BZ863" s="4"/>
      <x:c r="CA863" s="4" t="str">
        <x:v>Parker Ford</x:v>
      </x:c>
      <x:c r="CB863" s="4" t="str">
        <x:v>fordpa01</x:v>
      </x:c>
    </x:row>
    <x:row r="864" ht="22" customHeight="1">
      <x:c r="A864" s="4" t="str">
        <x:v>Patrick Brown</x:v>
      </x:c>
      <x:c r="B864" s="4" t="str">
        <x:v>patrickbrown</x:v>
      </x:c>
      <x:c r="C864" s="10" t="n">
        <x:v>1</x:v>
      </x:c>
      <x:c r="D864" s="10" t="n">
        <x:v>0</x:v>
      </x:c>
      <x:c r="E864" s="10" t="n">
        <x:v>0</x:v>
      </x:c>
      <x:c r="F864" s="4" t="n">
        <x:f>IF(COUNT(N864,Q864,T864,W864,Z864,AC864,AF864,AI864)=8,N864*Guide!$E$5+Q864*Guide!$E$6+T864*Guide!$E$7+W864*Guide!$E$8+Z864*Guide!$E$9+AC864*Guide!$E$10+AF864*Guide!$E$11+AI864*Guide!$E$12,"")</x:f>
        <x:v>73</x:v>
      </x:c>
      <x:c r="G864" s="4" t="str">
        <x:f>IF(COUNT(O864,R864,U864,X864,AA864,AD864,AG864,AJ864)=8,O864*Guide!$E$5+R864*Guide!$E$6+U864*Guide!$E$7+X864*Guide!$E$8+AA864*Guide!$E$9+AD864*Guide!$E$10+AG864*Guide!$E$11+AJ864*Guide!$E$12,"")</x:f>
      </x:c>
      <x:c r="H864" s="4" t="str">
        <x:f>IF(COUNT(G864,F864)=2,G864-F864,"")</x:f>
      </x:c>
      <x:c r="I864" s="4" t="n">
        <x:f>IF(AND(ISNUMBER(F864),K864&gt;0),F864/K864,"")</x:f>
        <x:v>2.212121212121212</x:v>
      </x:c>
      <x:c r="J864" s="4" t="str">
        <x:f>IF(AND(ISNUMBER(G864),L864&gt;0),G864/L864,"")</x:f>
      </x:c>
      <x:c r="K864" s="10" t="n">
        <x:v>33</x:v>
      </x:c>
      <x:c r="L864" s="10"/>
      <x:c r="M864" s="10" t="str">
        <x:f>IF(COUNT(L864,K864)=2,L864-K864,"")</x:f>
      </x:c>
      <x:c r="N864" s="10" t="n">
        <x:v>3</x:v>
      </x:c>
      <x:c r="O864" s="10"/>
      <x:c r="P864" s="10" t="str">
        <x:f>IF(COUNT(O864,N864)=2,O864-N864,"")</x:f>
      </x:c>
      <x:c r="Q864" s="10" t="n">
        <x:v>5</x:v>
      </x:c>
      <x:c r="R864" s="10"/>
      <x:c r="S864" s="10" t="str">
        <x:f>IF(COUNT(R864,Q864)=2,R864-Q864,"")</x:f>
      </x:c>
      <x:c r="T864" s="10" t="n">
        <x:v>-1</x:v>
      </x:c>
      <x:c r="U864" s="10"/>
      <x:c r="V864" s="10" t="str">
        <x:f>IF(COUNT(U864,T864)=2,U864-T864,"")</x:f>
      </x:c>
      <x:c r="W864" s="10" t="n">
        <x:v>0</x:v>
      </x:c>
      <x:c r="X864" s="10" t="str">
        <x:f>IF(COUNT(AV864,AW864)=2,AV864+AW864,"")</x:f>
      </x:c>
      <x:c r="Y864" s="10" t="str">
        <x:f>IF(COUNT(X864,W864)=2,X864-W864,"")</x:f>
      </x:c>
      <x:c r="Z864" s="10" t="n">
        <x:v>0</x:v>
      </x:c>
      <x:c r="AA864" s="10" t="str">
        <x:f>IF(COUNT(AX864,AY864)=2,AX864+AY864,"")</x:f>
      </x:c>
      <x:c r="AB864" s="10" t="str">
        <x:f>IF(COUNT(AA864,Z864)=2,AA864-Z864,"")</x:f>
      </x:c>
      <x:c r="AC864" s="10" t="n">
        <x:v>30</x:v>
      </x:c>
      <x:c r="AD864" s="10"/>
      <x:c r="AE864" s="10" t="str">
        <x:f>IF(COUNT(AD864,AC864)=2,AD864-AC864,"")</x:f>
      </x:c>
      <x:c r="AF864" s="10" t="n">
        <x:v>92</x:v>
      </x:c>
      <x:c r="AG864" s="10"/>
      <x:c r="AH864" s="10" t="str">
        <x:f>IF(COUNT(AG864,AF864)=2,AG864-AF864,"")</x:f>
      </x:c>
      <x:c r="AI864" s="10" t="n">
        <x:v>22</x:v>
      </x:c>
      <x:c r="AJ864" s="10"/>
      <x:c r="AK864" s="10" t="str">
        <x:f>IF(COUNT(AJ864,AI864)=2,AJ864-AI864,"")</x:f>
      </x:c>
      <x:c r="AL864" s="10" t="n">
        <x:v>33</x:v>
      </x:c>
      <x:c r="AM864" s="10"/>
      <x:c r="AN864" s="4" t="str">
        <x:v>C</x:v>
      </x:c>
      <x:c r="AO864" s="4"/>
      <x:c r="AP864" s="4" t="str">
        <x:v>BOS</x:v>
      </x:c>
      <x:c r="AQ864" s="4"/>
      <x:c r="AR864" s="4" t="n">
        <x:v>10.62</x:v>
      </x:c>
      <x:c r="AS864" s="4"/>
      <x:c r="AT864" s="4" t="n">
        <x:v>0</x:v>
      </x:c>
      <x:c r="AU864" s="4"/>
      <x:c r="AV864" s="10"/>
      <x:c r="AW864" s="10"/>
      <x:c r="AX864" s="10"/>
      <x:c r="AY864" s="10"/>
      <x:c r="AZ864" s="10"/>
      <x:c r="BA864" s="10"/>
      <x:c r="BB864" s="4"/>
      <x:c r="BC864" s="4"/>
      <x:c r="BD864" s="10"/>
      <x:c r="BE864" s="10"/>
      <x:c r="BF864" s="4"/>
      <x:c r="BG864" s="4"/>
      <x:c r="BH864" s="4"/>
      <x:c r="BI864" s="4"/>
      <x:c r="BJ864" s="4"/>
      <x:c r="BK864" s="4"/>
      <x:c r="BL864" s="4"/>
      <x:c r="BM864" s="4"/>
      <x:c r="BN864" s="4"/>
      <x:c r="BO864" s="10"/>
      <x:c r="BP864" s="10"/>
      <x:c r="BQ864" s="4"/>
      <x:c r="BR864" s="10"/>
      <x:c r="BS864" s="4"/>
      <x:c r="BT864" s="10"/>
      <x:c r="BU864" s="4"/>
      <x:c r="BV864" s="10" t="n">
        <x:v>753</x:v>
      </x:c>
      <x:c r="BW864" s="10"/>
      <x:c r="BX864" s="10"/>
      <x:c r="BY864" s="4" t="str">
        <x:v>Patrick Brown</x:v>
      </x:c>
      <x:c r="BZ864" s="4"/>
      <x:c r="CA864" s="4"/>
      <x:c r="CB864" s="4"/>
    </x:row>
    <x:row r="865" ht="22" customHeight="1">
      <x:c r="A865" s="4" t="str">
        <x:v>Patrick Giles</x:v>
      </x:c>
      <x:c r="B865" s="4" t="str">
        <x:v>patrickgiles</x:v>
      </x:c>
      <x:c r="C865" s="10" t="n">
        <x:v>0</x:v>
      </x:c>
      <x:c r="D865" s="10" t="n">
        <x:v>0</x:v>
      </x:c>
      <x:c r="E865" s="10" t="n">
        <x:v>1</x:v>
      </x:c>
      <x:c r="F865" s="4" t="str">
        <x:f>IF(COUNT(N865,Q865,T865,W865,Z865,AC865,AF865,AI865)=8,N865*Guide!$E$5+Q865*Guide!$E$6+T865*Guide!$E$7+W865*Guide!$E$8+Z865*Guide!$E$9+AC865*Guide!$E$10+AF865*Guide!$E$11+AI865*Guide!$E$12,"")</x:f>
      </x:c>
      <x:c r="G865" s="4" t="str">
        <x:f>IF(COUNT(O865,R865,U865,X865,AA865,AD865,AG865,AJ865)=8,O865*Guide!$E$5+R865*Guide!$E$6+U865*Guide!$E$7+X865*Guide!$E$8+AA865*Guide!$E$9+AD865*Guide!$E$10+AG865*Guide!$E$11+AJ865*Guide!$E$12,"")</x:f>
      </x:c>
      <x:c r="H865" s="4" t="str">
        <x:f>IF(COUNT(G865,F865)=2,G865-F865,"")</x:f>
      </x:c>
      <x:c r="I865" s="4" t="str">
        <x:f>IF(AND(ISNUMBER(F865),K865&gt;0),F865/K865,"")</x:f>
      </x:c>
      <x:c r="J865" s="4" t="str">
        <x:f>IF(AND(ISNUMBER(G865),L865&gt;0),G865/L865,"")</x:f>
      </x:c>
      <x:c r="K865" s="10"/>
      <x:c r="L865" s="10"/>
      <x:c r="M865" s="10" t="str">
        <x:f>IF(COUNT(L865,K865)=2,L865-K865,"")</x:f>
      </x:c>
      <x:c r="N865" s="10"/>
      <x:c r="O865" s="10"/>
      <x:c r="P865" s="10" t="str">
        <x:f>IF(COUNT(O865,N865)=2,O865-N865,"")</x:f>
      </x:c>
      <x:c r="Q865" s="10"/>
      <x:c r="R865" s="10"/>
      <x:c r="S865" s="10" t="str">
        <x:f>IF(COUNT(R865,Q865)=2,R865-Q865,"")</x:f>
      </x:c>
      <x:c r="T865" s="10"/>
      <x:c r="U865" s="10"/>
      <x:c r="V865" s="10" t="str">
        <x:f>IF(COUNT(U865,T865)=2,U865-T865,"")</x:f>
      </x:c>
      <x:c r="W865" s="10"/>
      <x:c r="X865" s="10" t="str">
        <x:f>IF(COUNT(AV865,AW865)=2,AV865+AW865,"")</x:f>
      </x:c>
      <x:c r="Y865" s="10" t="str">
        <x:f>IF(COUNT(X865,W865)=2,X865-W865,"")</x:f>
      </x:c>
      <x:c r="Z865" s="10"/>
      <x:c r="AA865" s="10" t="str">
        <x:f>IF(COUNT(AX865,AY865)=2,AX865+AY865,"")</x:f>
      </x:c>
      <x:c r="AB865" s="10" t="str">
        <x:f>IF(COUNT(AA865,Z865)=2,AA865-Z865,"")</x:f>
      </x:c>
      <x:c r="AC865" s="10"/>
      <x:c r="AD865" s="10"/>
      <x:c r="AE865" s="10" t="str">
        <x:f>IF(COUNT(AD865,AC865)=2,AD865-AC865,"")</x:f>
      </x:c>
      <x:c r="AF865" s="10"/>
      <x:c r="AG865" s="10"/>
      <x:c r="AH865" s="10" t="str">
        <x:f>IF(COUNT(AG865,AF865)=2,AG865-AF865,"")</x:f>
      </x:c>
      <x:c r="AI865" s="10"/>
      <x:c r="AJ865" s="10"/>
      <x:c r="AK865" s="10" t="str">
        <x:f>IF(COUNT(AJ865,AI865)=2,AJ865-AI865,"")</x:f>
      </x:c>
      <x:c r="AL865" s="10"/>
      <x:c r="AM865" s="10"/>
      <x:c r="AN865" s="4"/>
      <x:c r="AO865" s="4"/>
      <x:c r="AP865" s="4"/>
      <x:c r="AQ865" s="4"/>
      <x:c r="AR865" s="4"/>
      <x:c r="AS865" s="4"/>
      <x:c r="AT865" s="4"/>
      <x:c r="AU865" s="4"/>
      <x:c r="AV865" s="10"/>
      <x:c r="AW865" s="10"/>
      <x:c r="AX865" s="10"/>
      <x:c r="AY865" s="10"/>
      <x:c r="AZ865" s="10" t="n">
        <x:v>19</x:v>
      </x:c>
      <x:c r="BA865" s="10" t="n">
        <x:v>26</x:v>
      </x:c>
      <x:c r="BB865" s="4" t="n">
        <x:v>42.2</x:v>
      </x:c>
      <x:c r="BC865" s="4" t="n">
        <x:v>2.1</x:v>
      </x:c>
      <x:c r="BD865" s="10" t="n">
        <x:v>11</x:v>
      </x:c>
      <x:c r="BE865" s="10" t="n">
        <x:v>18</x:v>
      </x:c>
      <x:c r="BF865" s="4" t="n">
        <x:v>37.9</x:v>
      </x:c>
      <x:c r="BG865" s="4" t="n">
        <x:v>0.4</x:v>
      </x:c>
      <x:c r="BH865" s="4" t="n">
        <x:v>11.1</x:v>
      </x:c>
      <x:c r="BI865" s="4" t="n">
        <x:v>100</x:v>
      </x:c>
      <x:c r="BJ865" s="4" t="n">
        <x:v>111.1</x:v>
      </x:c>
      <x:c r="BK865" s="4" t="n">
        <x:v>25</x:v>
      </x:c>
      <x:c r="BL865" s="4" t="n">
        <x:v>75</x:v>
      </x:c>
      <x:c r="BM865" s="4" t="n">
        <x:v>8.866666666666667</x:v>
      </x:c>
      <x:c r="BN865" s="4" t="n">
        <x:v>8.483333333333333</x:v>
      </x:c>
      <x:c r="BO865" s="10" t="n">
        <x:v>0</x:v>
      </x:c>
      <x:c r="BP865" s="10" t="n">
        <x:v>1</x:v>
      </x:c>
      <x:c r="BQ865" s="4" t="n">
        <x:v>0.9</x:v>
      </x:c>
      <x:c r="BR865" s="10" t="n">
        <x:v>5</x:v>
      </x:c>
      <x:c r="BS865" s="4" t="n">
        <x:v>40</x:v>
      </x:c>
      <x:c r="BT865" s="10" t="n">
        <x:v>3</x:v>
      </x:c>
      <x:c r="BU865" s="4" t="str">
        <x:v>SJS</x:v>
      </x:c>
      <x:c r="BV865" s="10"/>
      <x:c r="BW865" s="10"/>
      <x:c r="BX865" s="10" t="n">
        <x:v>336</x:v>
      </x:c>
      <x:c r="BY865" s="4"/>
      <x:c r="BZ865" s="4"/>
      <x:c r="CA865" s="4" t="str">
        <x:v>Patrick Giles</x:v>
      </x:c>
      <x:c r="CB865" s="4" t="str">
        <x:v>gilespa01</x:v>
      </x:c>
    </x:row>
    <x:row r="866" ht="22" customHeight="1">
      <x:c r="A866" s="4" t="str">
        <x:v>Patrik Laine</x:v>
      </x:c>
      <x:c r="B866" s="4" t="str">
        <x:v>patriklaine</x:v>
      </x:c>
      <x:c r="C866" s="10" t="n">
        <x:v>1</x:v>
      </x:c>
      <x:c r="D866" s="10" t="n">
        <x:v>0</x:v>
      </x:c>
      <x:c r="E866" s="10" t="n">
        <x:v>1</x:v>
      </x:c>
      <x:c r="F866" s="4" t="n">
        <x:f>IF(COUNT(N866,Q866,T866,W866,Z866,AC866,AF866,AI866)=8,N866*Guide!$E$5+Q866*Guide!$E$6+T866*Guide!$E$7+W866*Guide!$E$8+Z866*Guide!$E$9+AC866*Guide!$E$10+AF866*Guide!$E$11+AI866*Guide!$E$12,"")</x:f>
        <x:v>248.75</x:v>
      </x:c>
      <x:c r="G866" s="4" t="str">
        <x:f>IF(COUNT(O866,R866,U866,X866,AA866,AD866,AG866,AJ866)=8,O866*Guide!$E$5+R866*Guide!$E$6+U866*Guide!$E$7+X866*Guide!$E$8+AA866*Guide!$E$9+AD866*Guide!$E$10+AG866*Guide!$E$11+AJ866*Guide!$E$12,"")</x:f>
      </x:c>
      <x:c r="H866" s="4" t="str">
        <x:f>IF(COUNT(G866,F866)=2,G866-F866,"")</x:f>
      </x:c>
      <x:c r="I866" s="4" t="n">
        <x:f>IF(AND(ISNUMBER(F866),K866&gt;0),F866/K866,"")</x:f>
        <x:v>3.454861111111111</x:v>
      </x:c>
      <x:c r="J866" s="4" t="str">
        <x:f>IF(AND(ISNUMBER(G866),L866&gt;0),G866/L866,"")</x:f>
      </x:c>
      <x:c r="K866" s="10" t="n">
        <x:v>72</x:v>
      </x:c>
      <x:c r="L866" s="10"/>
      <x:c r="M866" s="10" t="str">
        <x:f>IF(COUNT(L866,K866)=2,L866-K866,"")</x:f>
      </x:c>
      <x:c r="N866" s="10" t="n">
        <x:v>23</x:v>
      </x:c>
      <x:c r="O866" s="10"/>
      <x:c r="P866" s="10" t="str">
        <x:f>IF(COUNT(O866,N866)=2,O866-N866,"")</x:f>
      </x:c>
      <x:c r="Q866" s="10" t="n">
        <x:v>23</x:v>
      </x:c>
      <x:c r="R866" s="10"/>
      <x:c r="S866" s="10" t="str">
        <x:f>IF(COUNT(R866,Q866)=2,R866-Q866,"")</x:f>
      </x:c>
      <x:c r="T866" s="10" t="n">
        <x:v>-10</x:v>
      </x:c>
      <x:c r="U866" s="10"/>
      <x:c r="V866" s="10" t="str">
        <x:f>IF(COUNT(U866,T866)=2,U866-T866,"")</x:f>
      </x:c>
      <x:c r="W866" s="10" t="n">
        <x:v>19</x:v>
      </x:c>
      <x:c r="X866" s="10" t="str">
        <x:f>IF(COUNT(AV866,AW866)=2,AV866+AW866,"")</x:f>
      </x:c>
      <x:c r="Y866" s="10" t="str">
        <x:f>IF(COUNT(X866,W866)=2,X866-W866,"")</x:f>
      </x:c>
      <x:c r="Z866" s="10" t="n">
        <x:v>0</x:v>
      </x:c>
      <x:c r="AA866" s="10" t="str">
        <x:f>IF(COUNT(AX866,AY866)=2,AX866+AY866,"")</x:f>
      </x:c>
      <x:c r="AB866" s="10" t="str">
        <x:f>IF(COUNT(AA866,Z866)=2,AA866-Z866,"")</x:f>
      </x:c>
      <x:c r="AC866" s="10" t="n">
        <x:v>160</x:v>
      </x:c>
      <x:c r="AD866" s="10"/>
      <x:c r="AE866" s="10" t="str">
        <x:f>IF(COUNT(AD866,AC866)=2,AD866-AC866,"")</x:f>
      </x:c>
      <x:c r="AF866" s="10" t="n">
        <x:v>35</x:v>
      </x:c>
      <x:c r="AG866" s="10"/>
      <x:c r="AH866" s="10" t="str">
        <x:f>IF(COUNT(AG866,AF866)=2,AG866-AF866,"")</x:f>
      </x:c>
      <x:c r="AI866" s="10" t="n">
        <x:v>40</x:v>
      </x:c>
      <x:c r="AJ866" s="10"/>
      <x:c r="AK866" s="10" t="str">
        <x:f>IF(COUNT(AJ866,AI866)=2,AJ866-AI866,"")</x:f>
      </x:c>
      <x:c r="AL866" s="10" t="n">
        <x:v>27</x:v>
      </x:c>
      <x:c r="AM866" s="10"/>
      <x:c r="AN866" s="4" t="str">
        <x:v>LW,RW</x:v>
      </x:c>
      <x:c r="AO866" s="4"/>
      <x:c r="AP866" s="4" t="str">
        <x:v>MTL</x:v>
      </x:c>
      <x:c r="AQ866" s="4"/>
      <x:c r="AR866" s="4" t="n">
        <x:v>14.77</x:v>
      </x:c>
      <x:c r="AS866" s="4"/>
      <x:c r="AT866" s="4" t="n">
        <x:v>2.86</x:v>
      </x:c>
      <x:c r="AU866" s="4"/>
      <x:c r="AV866" s="10"/>
      <x:c r="AW866" s="10"/>
      <x:c r="AX866" s="10"/>
      <x:c r="AY866" s="10"/>
      <x:c r="AZ866" s="10" t="n">
        <x:v>33</x:v>
      </x:c>
      <x:c r="BA866" s="10" t="n">
        <x:v>56</x:v>
      </x:c>
      <x:c r="BB866" s="4" t="n">
        <x:v>37.1</x:v>
      </x:c>
      <x:c r="BC866" s="4" t="n">
        <x:v>-15.8</x:v>
      </x:c>
      <x:c r="BD866" s="10" t="n">
        <x:v>16</x:v>
      </x:c>
      <x:c r="BE866" s="10" t="n">
        <x:v>35</x:v>
      </x:c>
      <x:c r="BF866" s="4" t="n">
        <x:v>31.4</x:v>
      </x:c>
      <x:c r="BG866" s="4" t="n">
        <x:v>-23.1</x:v>
      </x:c>
      <x:c r="BH866" s="4" t="n">
        <x:v>12.5</x:v>
      </x:c>
      <x:c r="BI866" s="4" t="n">
        <x:v>83.3</x:v>
      </x:c>
      <x:c r="BJ866" s="4" t="n">
        <x:v>95.8</x:v>
      </x:c>
      <x:c r="BK866" s="4" t="n">
        <x:v>25</x:v>
      </x:c>
      <x:c r="BL866" s="4" t="n">
        <x:v>75</x:v>
      </x:c>
      <x:c r="BM866" s="4" t="n">
        <x:v>12.6</x:v>
      </x:c>
      <x:c r="BN866" s="4" t="n">
        <x:v>10.166666666666666</x:v>
      </x:c>
      <x:c r="BO866" s="10" t="n">
        <x:v>0</x:v>
      </x:c>
      <x:c r="BP866" s="10" t="n">
        <x:v>2</x:v>
      </x:c>
      <x:c r="BQ866" s="4" t="n">
        <x:v>-0.9</x:v>
      </x:c>
      <x:c r="BR866" s="10" t="n">
        <x:v>20</x:v>
      </x:c>
      <x:c r="BS866" s="4" t="n">
        <x:v>30</x:v>
      </x:c>
      <x:c r="BT866" s="10" t="n">
        <x:v>5</x:v>
      </x:c>
      <x:c r="BU866" s="4" t="str">
        <x:v>MTL</x:v>
      </x:c>
      <x:c r="BV866" s="10" t="n">
        <x:v>190</x:v>
      </x:c>
      <x:c r="BW866" s="10"/>
      <x:c r="BX866" s="10" t="n">
        <x:v>567</x:v>
      </x:c>
      <x:c r="BY866" s="4" t="str">
        <x:v>Patrik Laine</x:v>
      </x:c>
      <x:c r="BZ866" s="4"/>
      <x:c r="CA866" s="4" t="str">
        <x:v>Patrik Laine</x:v>
      </x:c>
      <x:c r="CB866" s="4" t="str">
        <x:v>lainepa01</x:v>
      </x:c>
    </x:row>
    <x:row r="867" ht="22" customHeight="1">
      <x:c r="A867" s="4" t="str">
        <x:v>Paul Cotter</x:v>
      </x:c>
      <x:c r="B867" s="4" t="str">
        <x:v>paulcotter</x:v>
      </x:c>
      <x:c r="C867" s="10" t="n">
        <x:v>1</x:v>
      </x:c>
      <x:c r="D867" s="10" t="n">
        <x:v>0</x:v>
      </x:c>
      <x:c r="E867" s="10" t="n">
        <x:v>1</x:v>
      </x:c>
      <x:c r="F867" s="4" t="n">
        <x:f>IF(COUNT(N867,Q867,T867,W867,Z867,AC867,AF867,AI867)=8,N867*Guide!$E$5+Q867*Guide!$E$6+T867*Guide!$E$7+W867*Guide!$E$8+Z867*Guide!$E$9+AC867*Guide!$E$10+AF867*Guide!$E$11+AI867*Guide!$E$12,"")</x:f>
        <x:v>210.75</x:v>
      </x:c>
      <x:c r="G867" s="4" t="str">
        <x:f>IF(COUNT(O867,R867,U867,X867,AA867,AD867,AG867,AJ867)=8,O867*Guide!$E$5+R867*Guide!$E$6+U867*Guide!$E$7+X867*Guide!$E$8+AA867*Guide!$E$9+AD867*Guide!$E$10+AG867*Guide!$E$11+AJ867*Guide!$E$12,"")</x:f>
      </x:c>
      <x:c r="H867" s="4" t="str">
        <x:f>IF(COUNT(G867,F867)=2,G867-F867,"")</x:f>
      </x:c>
      <x:c r="I867" s="4" t="n">
        <x:f>IF(AND(ISNUMBER(F867),K867&gt;0),F867/K867,"")</x:f>
        <x:v>2.701923076923077</x:v>
      </x:c>
      <x:c r="J867" s="4" t="str">
        <x:f>IF(AND(ISNUMBER(G867),L867&gt;0),G867/L867,"")</x:f>
      </x:c>
      <x:c r="K867" s="10" t="n">
        <x:v>78</x:v>
      </x:c>
      <x:c r="L867" s="10"/>
      <x:c r="M867" s="10" t="str">
        <x:f>IF(COUNT(L867,K867)=2,L867-K867,"")</x:f>
      </x:c>
      <x:c r="N867" s="10" t="n">
        <x:v>15</x:v>
      </x:c>
      <x:c r="O867" s="10"/>
      <x:c r="P867" s="10" t="str">
        <x:f>IF(COUNT(O867,N867)=2,O867-N867,"")</x:f>
      </x:c>
      <x:c r="Q867" s="10" t="n">
        <x:v>14</x:v>
      </x:c>
      <x:c r="R867" s="10"/>
      <x:c r="S867" s="10" t="str">
        <x:f>IF(COUNT(R867,Q867)=2,R867-Q867,"")</x:f>
      </x:c>
      <x:c r="T867" s="10" t="n">
        <x:v>-2</x:v>
      </x:c>
      <x:c r="U867" s="10"/>
      <x:c r="V867" s="10" t="str">
        <x:f>IF(COUNT(U867,T867)=2,U867-T867,"")</x:f>
      </x:c>
      <x:c r="W867" s="10" t="n">
        <x:v>3</x:v>
      </x:c>
      <x:c r="X867" s="10" t="str">
        <x:f>IF(COUNT(AV867,AW867)=2,AV867+AW867,"")</x:f>
      </x:c>
      <x:c r="Y867" s="10" t="str">
        <x:f>IF(COUNT(X867,W867)=2,X867-W867,"")</x:f>
      </x:c>
      <x:c r="Z867" s="10" t="n">
        <x:v>0</x:v>
      </x:c>
      <x:c r="AA867" s="10" t="str">
        <x:f>IF(COUNT(AX867,AY867)=2,AX867+AY867,"")</x:f>
      </x:c>
      <x:c r="AB867" s="10" t="str">
        <x:f>IF(COUNT(AA867,Z867)=2,AA867-Z867,"")</x:f>
      </x:c>
      <x:c r="AC867" s="10" t="n">
        <x:v>99</x:v>
      </x:c>
      <x:c r="AD867" s="10"/>
      <x:c r="AE867" s="10" t="str">
        <x:f>IF(COUNT(AD867,AC867)=2,AD867-AC867,"")</x:f>
      </x:c>
      <x:c r="AF867" s="10" t="n">
        <x:v>239</x:v>
      </x:c>
      <x:c r="AG867" s="10"/>
      <x:c r="AH867" s="10" t="str">
        <x:f>IF(COUNT(AG867,AF867)=2,AG867-AF867,"")</x:f>
      </x:c>
      <x:c r="AI867" s="10" t="n">
        <x:v>31</x:v>
      </x:c>
      <x:c r="AJ867" s="10"/>
      <x:c r="AK867" s="10" t="str">
        <x:f>IF(COUNT(AJ867,AI867)=2,AJ867-AI867,"")</x:f>
      </x:c>
      <x:c r="AL867" s="10" t="n">
        <x:v>26</x:v>
      </x:c>
      <x:c r="AM867" s="10"/>
      <x:c r="AN867" s="4" t="str">
        <x:v>LW</x:v>
      </x:c>
      <x:c r="AO867" s="4"/>
      <x:c r="AP867" s="4" t="str">
        <x:v>NJ</x:v>
      </x:c>
      <x:c r="AQ867" s="4"/>
      <x:c r="AR867" s="4" t="n">
        <x:v>13.329999999999998</x:v>
      </x:c>
      <x:c r="AS867" s="4"/>
      <x:c r="AT867" s="4" t="n">
        <x:v>0.62</x:v>
      </x:c>
      <x:c r="AU867" s="4"/>
      <x:c r="AV867" s="10"/>
      <x:c r="AW867" s="10"/>
      <x:c r="AX867" s="10"/>
      <x:c r="AY867" s="10"/>
      <x:c r="AZ867" s="10" t="n">
        <x:v>652</x:v>
      </x:c>
      <x:c r="BA867" s="10" t="n">
        <x:v>828</x:v>
      </x:c>
      <x:c r="BB867" s="4" t="n">
        <x:v>44.1</x:v>
      </x:c>
      <x:c r="BC867" s="4" t="n">
        <x:v>-9.4</x:v>
      </x:c>
      <x:c r="BD867" s="10" t="n">
        <x:v>464</x:v>
      </x:c>
      <x:c r="BE867" s="10" t="n">
        <x:v>598</x:v>
      </x:c>
      <x:c r="BF867" s="4" t="n">
        <x:v>43.7</x:v>
      </x:c>
      <x:c r="BG867" s="4" t="n">
        <x:v>-9.7</x:v>
      </x:c>
      <x:c r="BH867" s="4" t="n">
        <x:v>6.5</x:v>
      </x:c>
      <x:c r="BI867" s="4" t="n">
        <x:v>88.7</x:v>
      </x:c>
      <x:c r="BJ867" s="4" t="n">
        <x:v>95.2</x:v>
      </x:c>
      <x:c r="BK867" s="4" t="n">
        <x:v>51.2</x:v>
      </x:c>
      <x:c r="BL867" s="4" t="n">
        <x:v>48.8</x:v>
      </x:c>
      <x:c r="BM867" s="4" t="n">
        <x:v>10.683333333333334</x:v>
      </x:c>
      <x:c r="BN867" s="4" t="n">
        <x:v>10.483333333333333</x:v>
      </x:c>
      <x:c r="BO867" s="10" t="n">
        <x:v>7</x:v>
      </x:c>
      <x:c r="BP867" s="10" t="n">
        <x:v>27</x:v>
      </x:c>
      <x:c r="BQ867" s="4" t="n">
        <x:v>-11.2</x:v>
      </x:c>
      <x:c r="BR867" s="10" t="n">
        <x:v>144</x:v>
      </x:c>
      <x:c r="BS867" s="4" t="n">
        <x:v>42.4</x:v>
      </x:c>
      <x:c r="BT867" s="10" t="n">
        <x:v>79</x:v>
      </x:c>
      <x:c r="BU867" s="4" t="str">
        <x:v>NJD</x:v>
      </x:c>
      <x:c r="BV867" s="10" t="n">
        <x:v>382</x:v>
      </x:c>
      <x:c r="BW867" s="10"/>
      <x:c r="BX867" s="10" t="n">
        <x:v>175</x:v>
      </x:c>
      <x:c r="BY867" s="4" t="str">
        <x:v>Paul Cotter</x:v>
      </x:c>
      <x:c r="BZ867" s="4"/>
      <x:c r="CA867" s="4" t="str">
        <x:v>Paul Cotter</x:v>
      </x:c>
      <x:c r="CB867" s="4" t="str">
        <x:v>cottepa01</x:v>
      </x:c>
    </x:row>
    <x:row r="868" ht="22" customHeight="1">
      <x:c r="A868" s="4" t="str">
        <x:v>Pavol Regenda</x:v>
      </x:c>
      <x:c r="B868" s="4" t="str">
        <x:v>pavolregenda</x:v>
      </x:c>
      <x:c r="C868" s="10" t="n">
        <x:v>0</x:v>
      </x:c>
      <x:c r="D868" s="10" t="n">
        <x:v>0</x:v>
      </x:c>
      <x:c r="E868" s="10" t="n">
        <x:v>1</x:v>
      </x:c>
      <x:c r="F868" s="4" t="str">
        <x:f>IF(COUNT(N868,Q868,T868,W868,Z868,AC868,AF868,AI868)=8,N868*Guide!$E$5+Q868*Guide!$E$6+T868*Guide!$E$7+W868*Guide!$E$8+Z868*Guide!$E$9+AC868*Guide!$E$10+AF868*Guide!$E$11+AI868*Guide!$E$12,"")</x:f>
      </x:c>
      <x:c r="G868" s="4" t="str">
        <x:f>IF(COUNT(O868,R868,U868,X868,AA868,AD868,AG868,AJ868)=8,O868*Guide!$E$5+R868*Guide!$E$6+U868*Guide!$E$7+X868*Guide!$E$8+AA868*Guide!$E$9+AD868*Guide!$E$10+AG868*Guide!$E$11+AJ868*Guide!$E$12,"")</x:f>
      </x:c>
      <x:c r="H868" s="4" t="str">
        <x:f>IF(COUNT(G868,F868)=2,G868-F868,"")</x:f>
      </x:c>
      <x:c r="I868" s="4" t="str">
        <x:f>IF(AND(ISNUMBER(F868),K868&gt;0),F868/K868,"")</x:f>
      </x:c>
      <x:c r="J868" s="4" t="str">
        <x:f>IF(AND(ISNUMBER(G868),L868&gt;0),G868/L868,"")</x:f>
      </x:c>
      <x:c r="K868" s="10"/>
      <x:c r="L868" s="10"/>
      <x:c r="M868" s="10" t="str">
        <x:f>IF(COUNT(L868,K868)=2,L868-K868,"")</x:f>
      </x:c>
      <x:c r="N868" s="10"/>
      <x:c r="O868" s="10"/>
      <x:c r="P868" s="10" t="str">
        <x:f>IF(COUNT(O868,N868)=2,O868-N868,"")</x:f>
      </x:c>
      <x:c r="Q868" s="10"/>
      <x:c r="R868" s="10"/>
      <x:c r="S868" s="10" t="str">
        <x:f>IF(COUNT(R868,Q868)=2,R868-Q868,"")</x:f>
      </x:c>
      <x:c r="T868" s="10"/>
      <x:c r="U868" s="10"/>
      <x:c r="V868" s="10" t="str">
        <x:f>IF(COUNT(U868,T868)=2,U868-T868,"")</x:f>
      </x:c>
      <x:c r="W868" s="10"/>
      <x:c r="X868" s="10" t="str">
        <x:f>IF(COUNT(AV868,AW868)=2,AV868+AW868,"")</x:f>
      </x:c>
      <x:c r="Y868" s="10" t="str">
        <x:f>IF(COUNT(X868,W868)=2,X868-W868,"")</x:f>
      </x:c>
      <x:c r="Z868" s="10"/>
      <x:c r="AA868" s="10" t="str">
        <x:f>IF(COUNT(AX868,AY868)=2,AX868+AY868,"")</x:f>
      </x:c>
      <x:c r="AB868" s="10" t="str">
        <x:f>IF(COUNT(AA868,Z868)=2,AA868-Z868,"")</x:f>
      </x:c>
      <x:c r="AC868" s="10"/>
      <x:c r="AD868" s="10"/>
      <x:c r="AE868" s="10" t="str">
        <x:f>IF(COUNT(AD868,AC868)=2,AD868-AC868,"")</x:f>
      </x:c>
      <x:c r="AF868" s="10"/>
      <x:c r="AG868" s="10"/>
      <x:c r="AH868" s="10" t="str">
        <x:f>IF(COUNT(AG868,AF868)=2,AG868-AF868,"")</x:f>
      </x:c>
      <x:c r="AI868" s="10"/>
      <x:c r="AJ868" s="10"/>
      <x:c r="AK868" s="10" t="str">
        <x:f>IF(COUNT(AJ868,AI868)=2,AJ868-AI868,"")</x:f>
      </x:c>
      <x:c r="AL868" s="10"/>
      <x:c r="AM868" s="10"/>
      <x:c r="AN868" s="4"/>
      <x:c r="AO868" s="4"/>
      <x:c r="AP868" s="4"/>
      <x:c r="AQ868" s="4"/>
      <x:c r="AR868" s="4"/>
      <x:c r="AS868" s="4"/>
      <x:c r="AT868" s="4"/>
      <x:c r="AU868" s="4"/>
      <x:c r="AV868" s="10"/>
      <x:c r="AW868" s="10"/>
      <x:c r="AX868" s="10"/>
      <x:c r="AY868" s="10"/>
      <x:c r="AZ868" s="10" t="n">
        <x:v>259</x:v>
      </x:c>
      <x:c r="BA868" s="10" t="n">
        <x:v>262</x:v>
      </x:c>
      <x:c r="BB868" s="4" t="n">
        <x:v>49.7</x:v>
      </x:c>
      <x:c r="BC868" s="4" t="n">
        <x:v>0.8</x:v>
      </x:c>
      <x:c r="BD868" s="10" t="n">
        <x:v>181</x:v>
      </x:c>
      <x:c r="BE868" s="10" t="n">
        <x:v>195</x:v>
      </x:c>
      <x:c r="BF868" s="4" t="n">
        <x:v>48.1</x:v>
      </x:c>
      <x:c r="BG868" s="4" t="n">
        <x:v>-1.7</x:v>
      </x:c>
      <x:c r="BH868" s="4" t="n">
        <x:v>11.7</x:v>
      </x:c>
      <x:c r="BI868" s="4" t="n">
        <x:v>85.6</x:v>
      </x:c>
      <x:c r="BJ868" s="4" t="n">
        <x:v>97.3</x:v>
      </x:c>
      <x:c r="BK868" s="4" t="n">
        <x:v>34.4</x:v>
      </x:c>
      <x:c r="BL868" s="4" t="n">
        <x:v>65.6</x:v>
      </x:c>
      <x:c r="BM868" s="4" t="n">
        <x:v>13.35</x:v>
      </x:c>
      <x:c r="BN868" s="4" t="n">
        <x:v>11.733333333333333</x:v>
      </x:c>
      <x:c r="BO868" s="10" t="n">
        <x:v>3</x:v>
      </x:c>
      <x:c r="BP868" s="10" t="n">
        <x:v>13</x:v>
      </x:c>
      <x:c r="BQ868" s="4" t="n">
        <x:v>-0.7</x:v>
      </x:c>
      <x:c r="BR868" s="10" t="n">
        <x:v>66</x:v>
      </x:c>
      <x:c r="BS868" s="4" t="n">
        <x:v>63.6</x:v>
      </x:c>
      <x:c r="BT868" s="10" t="n">
        <x:v>24</x:v>
      </x:c>
      <x:c r="BU868" s="4" t="str">
        <x:v>SJS</x:v>
      </x:c>
      <x:c r="BV868" s="10"/>
      <x:c r="BW868" s="10"/>
      <x:c r="BX868" s="10" t="n">
        <x:v>846</x:v>
      </x:c>
      <x:c r="BY868" s="4"/>
      <x:c r="BZ868" s="4"/>
      <x:c r="CA868" s="4" t="str">
        <x:v>Pavol Regenda</x:v>
      </x:c>
      <x:c r="CB868" s="4" t="str">
        <x:v>regenpa01</x:v>
      </x:c>
    </x:row>
    <x:row r="869" ht="22" customHeight="1">
      <x:c r="A869" s="4" t="str">
        <x:v>Philip Tomasino</x:v>
      </x:c>
      <x:c r="B869" s="4" t="str">
        <x:v>philiptomasino</x:v>
      </x:c>
      <x:c r="C869" s="10" t="n">
        <x:v>1</x:v>
      </x:c>
      <x:c r="D869" s="10" t="n">
        <x:v>0</x:v>
      </x:c>
      <x:c r="E869" s="10" t="n">
        <x:v>1</x:v>
      </x:c>
      <x:c r="F869" s="4" t="n">
        <x:f>IF(COUNT(N869,Q869,T869,W869,Z869,AC869,AF869,AI869)=8,N869*Guide!$E$5+Q869*Guide!$E$6+T869*Guide!$E$7+W869*Guide!$E$8+Z869*Guide!$E$9+AC869*Guide!$E$10+AF869*Guide!$E$11+AI869*Guide!$E$12,"")</x:f>
        <x:v>175</x:v>
      </x:c>
      <x:c r="G869" s="4" t="str">
        <x:f>IF(COUNT(O869,R869,U869,X869,AA869,AD869,AG869,AJ869)=8,O869*Guide!$E$5+R869*Guide!$E$6+U869*Guide!$E$7+X869*Guide!$E$8+AA869*Guide!$E$9+AD869*Guide!$E$10+AG869*Guide!$E$11+AJ869*Guide!$E$12,"")</x:f>
      </x:c>
      <x:c r="H869" s="4" t="str">
        <x:f>IF(COUNT(G869,F869)=2,G869-F869,"")</x:f>
      </x:c>
      <x:c r="I869" s="4" t="n">
        <x:f>IF(AND(ISNUMBER(F869),K869&gt;0),F869/K869,"")</x:f>
        <x:v>2.7777777777777777</x:v>
      </x:c>
      <x:c r="J869" s="4" t="str">
        <x:f>IF(AND(ISNUMBER(G869),L869&gt;0),G869/L869,"")</x:f>
      </x:c>
      <x:c r="K869" s="10" t="n">
        <x:v>63</x:v>
      </x:c>
      <x:c r="L869" s="10"/>
      <x:c r="M869" s="10" t="str">
        <x:f>IF(COUNT(L869,K869)=2,L869-K869,"")</x:f>
      </x:c>
      <x:c r="N869" s="10" t="n">
        <x:v>13</x:v>
      </x:c>
      <x:c r="O869" s="10"/>
      <x:c r="P869" s="10" t="str">
        <x:f>IF(COUNT(O869,N869)=2,O869-N869,"")</x:f>
      </x:c>
      <x:c r="Q869" s="10" t="n">
        <x:v>19</x:v>
      </x:c>
      <x:c r="R869" s="10"/>
      <x:c r="S869" s="10" t="str">
        <x:f>IF(COUNT(R869,Q869)=2,R869-Q869,"")</x:f>
      </x:c>
      <x:c r="T869" s="10" t="n">
        <x:v>-4</x:v>
      </x:c>
      <x:c r="U869" s="10"/>
      <x:c r="V869" s="10" t="str">
        <x:f>IF(COUNT(U869,T869)=2,U869-T869,"")</x:f>
      </x:c>
      <x:c r="W869" s="10" t="n">
        <x:v>9</x:v>
      </x:c>
      <x:c r="X869" s="10" t="str">
        <x:f>IF(COUNT(AV869,AW869)=2,AV869+AW869,"")</x:f>
      </x:c>
      <x:c r="Y869" s="10" t="str">
        <x:f>IF(COUNT(X869,W869)=2,X869-W869,"")</x:f>
      </x:c>
      <x:c r="Z869" s="10" t="n">
        <x:v>0</x:v>
      </x:c>
      <x:c r="AA869" s="10" t="str">
        <x:f>IF(COUNT(AX869,AY869)=2,AX869+AY869,"")</x:f>
      </x:c>
      <x:c r="AB869" s="10" t="str">
        <x:f>IF(COUNT(AA869,Z869)=2,AA869-Z869,"")</x:f>
      </x:c>
      <x:c r="AC869" s="10" t="n">
        <x:v>102</x:v>
      </x:c>
      <x:c r="AD869" s="10"/>
      <x:c r="AE869" s="10" t="str">
        <x:f>IF(COUNT(AD869,AC869)=2,AD869-AC869,"")</x:f>
      </x:c>
      <x:c r="AF869" s="10" t="n">
        <x:v>58</x:v>
      </x:c>
      <x:c r="AG869" s="10"/>
      <x:c r="AH869" s="10" t="str">
        <x:f>IF(COUNT(AG869,AF869)=2,AG869-AF869,"")</x:f>
      </x:c>
      <x:c r="AI869" s="10" t="n">
        <x:v>28</x:v>
      </x:c>
      <x:c r="AJ869" s="10"/>
      <x:c r="AK869" s="10" t="str">
        <x:f>IF(COUNT(AJ869,AI869)=2,AJ869-AI869,"")</x:f>
      </x:c>
      <x:c r="AL869" s="10" t="n">
        <x:v>24</x:v>
      </x:c>
      <x:c r="AM869" s="10"/>
      <x:c r="AN869" s="4" t="str">
        <x:v>C,RW</x:v>
      </x:c>
      <x:c r="AO869" s="4"/>
      <x:c r="AP869" s="4" t="str">
        <x:v>PIT</x:v>
      </x:c>
      <x:c r="AQ869" s="4"/>
      <x:c r="AR869" s="4" t="n">
        <x:v>13.59</x:v>
      </x:c>
      <x:c r="AS869" s="4"/>
      <x:c r="AT869" s="4" t="n">
        <x:v>1.57</x:v>
      </x:c>
      <x:c r="AU869" s="4"/>
      <x:c r="AV869" s="10"/>
      <x:c r="AW869" s="10"/>
      <x:c r="AX869" s="10"/>
      <x:c r="AY869" s="10"/>
      <x:c r="AZ869" s="10" t="n">
        <x:v>92</x:v>
      </x:c>
      <x:c r="BA869" s="10" t="n">
        <x:v>107</x:v>
      </x:c>
      <x:c r="BB869" s="4" t="n">
        <x:v>46.2</x:v>
      </x:c>
      <x:c r="BC869" s="4" t="n">
        <x:v>-2.8</x:v>
      </x:c>
      <x:c r="BD869" s="10" t="n">
        <x:v>57</x:v>
      </x:c>
      <x:c r="BE869" s="10" t="n">
        <x:v>72</x:v>
      </x:c>
      <x:c r="BF869" s="4" t="n">
        <x:v>44.2</x:v>
      </x:c>
      <x:c r="BG869" s="4" t="n">
        <x:v>-5</x:v>
      </x:c>
      <x:c r="BH869" s="4" t="n">
        <x:v>3</x:v>
      </x:c>
      <x:c r="BI869" s="4" t="n">
        <x:v>94</x:v>
      </x:c>
      <x:c r="BJ869" s="4" t="n">
        <x:v>97</x:v>
      </x:c>
      <x:c r="BK869" s="4" t="n">
        <x:v>59.5</x:v>
      </x:c>
      <x:c r="BL869" s="4" t="n">
        <x:v>40.5</x:v>
      </x:c>
      <x:c r="BM869" s="4" t="n">
        <x:v>12.166666666666666</x:v>
      </x:c>
      <x:c r="BN869" s="4" t="n">
        <x:v>11.933333333333334</x:v>
      </x:c>
      <x:c r="BO869" s="10" t="n">
        <x:v>0</x:v>
      </x:c>
      <x:c r="BP869" s="10" t="n">
        <x:v>3</x:v>
      </x:c>
      <x:c r="BQ869" s="4" t="n">
        <x:v>-1.5</x:v>
      </x:c>
      <x:c r="BR869" s="10" t="n">
        <x:v>21</x:v>
      </x:c>
      <x:c r="BS869" s="4" t="n">
        <x:v>42.9</x:v>
      </x:c>
      <x:c r="BT869" s="10" t="n">
        <x:v>9</x:v>
      </x:c>
      <x:c r="BU869" s="4" t="str">
        <x:v>PIT</x:v>
      </x:c>
      <x:c r="BV869" s="10" t="n">
        <x:v>354</x:v>
      </x:c>
      <x:c r="BW869" s="10"/>
      <x:c r="BX869" s="10" t="n">
        <x:v>1025</x:v>
      </x:c>
      <x:c r="BY869" s="4" t="str">
        <x:v>Philip Tomasino</x:v>
      </x:c>
      <x:c r="BZ869" s="4"/>
      <x:c r="CA869" s="4" t="str">
        <x:v>Philip Tomasino</x:v>
      </x:c>
      <x:c r="CB869" s="4" t="str">
        <x:v>tomasph01</x:v>
      </x:c>
    </x:row>
    <x:row r="870" ht="22" customHeight="1">
      <x:c r="A870" s="4" t="str">
        <x:v>Philippe Myers</x:v>
      </x:c>
      <x:c r="B870" s="4" t="str">
        <x:v>philippemyers</x:v>
      </x:c>
      <x:c r="C870" s="10" t="n">
        <x:v>1</x:v>
      </x:c>
      <x:c r="D870" s="10" t="n">
        <x:v>0</x:v>
      </x:c>
      <x:c r="E870" s="10" t="n">
        <x:v>1</x:v>
      </x:c>
      <x:c r="F870" s="4" t="n">
        <x:f>IF(COUNT(N870,Q870,T870,W870,Z870,AC870,AF870,AI870)=8,N870*Guide!$E$5+Q870*Guide!$E$6+T870*Guide!$E$7+W870*Guide!$E$8+Z870*Guide!$E$9+AC870*Guide!$E$10+AF870*Guide!$E$11+AI870*Guide!$E$12,"")</x:f>
        <x:v>117.5</x:v>
      </x:c>
      <x:c r="G870" s="4" t="str">
        <x:f>IF(COUNT(O870,R870,U870,X870,AA870,AD870,AG870,AJ870)=8,O870*Guide!$E$5+R870*Guide!$E$6+U870*Guide!$E$7+X870*Guide!$E$8+AA870*Guide!$E$9+AD870*Guide!$E$10+AG870*Guide!$E$11+AJ870*Guide!$E$12,"")</x:f>
      </x:c>
      <x:c r="H870" s="4" t="str">
        <x:f>IF(COUNT(G870,F870)=2,G870-F870,"")</x:f>
      </x:c>
      <x:c r="I870" s="4" t="n">
        <x:f>IF(AND(ISNUMBER(F870),K870&gt;0),F870/K870,"")</x:f>
        <x:v>2.303921568627451</x:v>
      </x:c>
      <x:c r="J870" s="4" t="str">
        <x:f>IF(AND(ISNUMBER(G870),L870&gt;0),G870/L870,"")</x:f>
      </x:c>
      <x:c r="K870" s="10" t="n">
        <x:v>51</x:v>
      </x:c>
      <x:c r="L870" s="10"/>
      <x:c r="M870" s="10" t="str">
        <x:f>IF(COUNT(L870,K870)=2,L870-K870,"")</x:f>
      </x:c>
      <x:c r="N870" s="10" t="n">
        <x:v>3</x:v>
      </x:c>
      <x:c r="O870" s="10"/>
      <x:c r="P870" s="10" t="str">
        <x:f>IF(COUNT(O870,N870)=2,O870-N870,"")</x:f>
      </x:c>
      <x:c r="Q870" s="10" t="n">
        <x:v>7</x:v>
      </x:c>
      <x:c r="R870" s="10"/>
      <x:c r="S870" s="10" t="str">
        <x:f>IF(COUNT(R870,Q870)=2,R870-Q870,"")</x:f>
      </x:c>
      <x:c r="T870" s="10" t="n">
        <x:v>-1</x:v>
      </x:c>
      <x:c r="U870" s="10"/>
      <x:c r="V870" s="10" t="str">
        <x:f>IF(COUNT(U870,T870)=2,U870-T870,"")</x:f>
      </x:c>
      <x:c r="W870" s="10" t="n">
        <x:v>0</x:v>
      </x:c>
      <x:c r="X870" s="10" t="str">
        <x:f>IF(COUNT(AV870,AW870)=2,AV870+AW870,"")</x:f>
      </x:c>
      <x:c r="Y870" s="10" t="str">
        <x:f>IF(COUNT(X870,W870)=2,X870-W870,"")</x:f>
      </x:c>
      <x:c r="Z870" s="10" t="n">
        <x:v>0</x:v>
      </x:c>
      <x:c r="AA870" s="10" t="str">
        <x:f>IF(COUNT(AX870,AY870)=2,AX870+AY870,"")</x:f>
      </x:c>
      <x:c r="AB870" s="10" t="str">
        <x:f>IF(COUNT(AA870,Z870)=2,AA870-Z870,"")</x:f>
      </x:c>
      <x:c r="AC870" s="10" t="n">
        <x:v>64</x:v>
      </x:c>
      <x:c r="AD870" s="10"/>
      <x:c r="AE870" s="10" t="str">
        <x:f>IF(COUNT(AD870,AC870)=2,AD870-AC870,"")</x:f>
      </x:c>
      <x:c r="AF870" s="10" t="n">
        <x:v>104</x:v>
      </x:c>
      <x:c r="AG870" s="10"/>
      <x:c r="AH870" s="10" t="str">
        <x:f>IF(COUNT(AG870,AF870)=2,AG870-AF870,"")</x:f>
      </x:c>
      <x:c r="AI870" s="10" t="n">
        <x:v>58</x:v>
      </x:c>
      <x:c r="AJ870" s="10"/>
      <x:c r="AK870" s="10" t="str">
        <x:f>IF(COUNT(AJ870,AI870)=2,AJ870-AI870,"")</x:f>
      </x:c>
      <x:c r="AL870" s="10" t="n">
        <x:v>29</x:v>
      </x:c>
      <x:c r="AM870" s="10"/>
      <x:c r="AN870" s="4" t="str">
        <x:v>D</x:v>
      </x:c>
      <x:c r="AO870" s="4"/>
      <x:c r="AP870" s="4" t="str">
        <x:v>TOR</x:v>
      </x:c>
      <x:c r="AQ870" s="4"/>
      <x:c r="AR870" s="4" t="n">
        <x:v>16.23</x:v>
      </x:c>
      <x:c r="AS870" s="4"/>
      <x:c r="AT870" s="4" t="n">
        <x:v>0.01</x:v>
      </x:c>
      <x:c r="AU870" s="4"/>
      <x:c r="AV870" s="10"/>
      <x:c r="AW870" s="10"/>
      <x:c r="AX870" s="10"/>
      <x:c r="AY870" s="10"/>
      <x:c r="AZ870" s="10" t="n">
        <x:v>412</x:v>
      </x:c>
      <x:c r="BA870" s="10" t="n">
        <x:v>570</x:v>
      </x:c>
      <x:c r="BB870" s="4" t="n">
        <x:v>42</x:v>
      </x:c>
      <x:c r="BC870" s="4" t="n">
        <x:v>-2.9</x:v>
      </x:c>
      <x:c r="BD870" s="10" t="n">
        <x:v>307</x:v>
      </x:c>
      <x:c r="BE870" s="10" t="n">
        <x:v>407</x:v>
      </x:c>
      <x:c r="BF870" s="4" t="n">
        <x:v>43</x:v>
      </x:c>
      <x:c r="BG870" s="4" t="n">
        <x:v>-2.9</x:v>
      </x:c>
      <x:c r="BH870" s="4" t="n">
        <x:v>10.2</x:v>
      </x:c>
      <x:c r="BI870" s="4" t="n">
        <x:v>88.8</x:v>
      </x:c>
      <x:c r="BJ870" s="4" t="n">
        <x:v>99</x:v>
      </x:c>
      <x:c r="BK870" s="4" t="n">
        <x:v>40.9</x:v>
      </x:c>
      <x:c r="BL870" s="4" t="n">
        <x:v>59.1</x:v>
      </x:c>
      <x:c r="BM870" s="4" t="n">
        <x:v>14.55</x:v>
      </x:c>
      <x:c r="BN870" s="4" t="n">
        <x:v>13.533333333333333</x:v>
      </x:c>
      <x:c r="BO870" s="10" t="n">
        <x:v>4</x:v>
      </x:c>
      <x:c r="BP870" s="10" t="n">
        <x:v>35</x:v>
      </x:c>
      <x:c r="BQ870" s="4" t="n">
        <x:v>-8.5</x:v>
      </x:c>
      <x:c r="BR870" s="10" t="n">
        <x:v>98</x:v>
      </x:c>
      <x:c r="BS870" s="4" t="n">
        <x:v>42.9</x:v>
      </x:c>
      <x:c r="BT870" s="10" t="n">
        <x:v>39</x:v>
      </x:c>
      <x:c r="BU870" s="4" t="str">
        <x:v>TOR</x:v>
      </x:c>
      <x:c r="BV870" s="10" t="n">
        <x:v>727</x:v>
      </x:c>
      <x:c r="BW870" s="10"/>
      <x:c r="BX870" s="10" t="n">
        <x:v>725</x:v>
      </x:c>
      <x:c r="BY870" s="4" t="str">
        <x:v>Philippe Myers</x:v>
      </x:c>
      <x:c r="BZ870" s="4"/>
      <x:c r="CA870" s="4" t="str">
        <x:v>Philippe Myers</x:v>
      </x:c>
      <x:c r="CB870" s="4" t="str">
        <x:v>myersph01</x:v>
      </x:c>
    </x:row>
    <x:row r="871" ht="22" customHeight="1">
      <x:c r="A871" s="4" t="str">
        <x:v>Phillip Danault</x:v>
      </x:c>
      <x:c r="B871" s="4" t="str">
        <x:v>phillipdanault</x:v>
      </x:c>
      <x:c r="C871" s="10" t="n">
        <x:v>1</x:v>
      </x:c>
      <x:c r="D871" s="10" t="n">
        <x:v>0</x:v>
      </x:c>
      <x:c r="E871" s="10" t="n">
        <x:v>1</x:v>
      </x:c>
      <x:c r="F871" s="4" t="n">
        <x:f>IF(COUNT(N871,Q871,T871,W871,Z871,AC871,AF871,AI871)=8,N871*Guide!$E$5+Q871*Guide!$E$6+T871*Guide!$E$7+W871*Guide!$E$8+Z871*Guide!$E$9+AC871*Guide!$E$10+AF871*Guide!$E$11+AI871*Guide!$E$12,"")</x:f>
        <x:v>275.25</x:v>
      </x:c>
      <x:c r="G871" s="4" t="str">
        <x:f>IF(COUNT(O871,R871,U871,X871,AA871,AD871,AG871,AJ871)=8,O871*Guide!$E$5+R871*Guide!$E$6+U871*Guide!$E$7+X871*Guide!$E$8+AA871*Guide!$E$9+AD871*Guide!$E$10+AG871*Guide!$E$11+AJ871*Guide!$E$12,"")</x:f>
      </x:c>
      <x:c r="H871" s="4" t="str">
        <x:f>IF(COUNT(G871,F871)=2,G871-F871,"")</x:f>
      </x:c>
      <x:c r="I871" s="4" t="n">
        <x:f>IF(AND(ISNUMBER(F871),K871&gt;0),F871/K871,"")</x:f>
        <x:v>3.4841772151898733</x:v>
      </x:c>
      <x:c r="J871" s="4" t="str">
        <x:f>IF(AND(ISNUMBER(G871),L871&gt;0),G871/L871,"")</x:f>
      </x:c>
      <x:c r="K871" s="10" t="n">
        <x:v>79</x:v>
      </x:c>
      <x:c r="L871" s="10"/>
      <x:c r="M871" s="10" t="str">
        <x:f>IF(COUNT(L871,K871)=2,L871-K871,"")</x:f>
      </x:c>
      <x:c r="N871" s="10" t="n">
        <x:v>14</x:v>
      </x:c>
      <x:c r="O871" s="10"/>
      <x:c r="P871" s="10" t="str">
        <x:f>IF(COUNT(O871,N871)=2,O871-N871,"")</x:f>
      </x:c>
      <x:c r="Q871" s="10" t="n">
        <x:v>31</x:v>
      </x:c>
      <x:c r="R871" s="10"/>
      <x:c r="S871" s="10" t="str">
        <x:f>IF(COUNT(R871,Q871)=2,R871-Q871,"")</x:f>
      </x:c>
      <x:c r="T871" s="10" t="n">
        <x:v>11</x:v>
      </x:c>
      <x:c r="U871" s="10"/>
      <x:c r="V871" s="10" t="str">
        <x:f>IF(COUNT(U871,T871)=2,U871-T871,"")</x:f>
      </x:c>
      <x:c r="W871" s="10" t="n">
        <x:v>8</x:v>
      </x:c>
      <x:c r="X871" s="10" t="str">
        <x:f>IF(COUNT(AV871,AW871)=2,AV871+AW871,"")</x:f>
      </x:c>
      <x:c r="Y871" s="10" t="str">
        <x:f>IF(COUNT(X871,W871)=2,X871-W871,"")</x:f>
      </x:c>
      <x:c r="Z871" s="10" t="n">
        <x:v>2</x:v>
      </x:c>
      <x:c r="AA871" s="10" t="str">
        <x:f>IF(COUNT(AX871,AY871)=2,AX871+AY871,"")</x:f>
      </x:c>
      <x:c r="AB871" s="10" t="str">
        <x:f>IF(COUNT(AA871,Z871)=2,AA871-Z871,"")</x:f>
      </x:c>
      <x:c r="AC871" s="10" t="n">
        <x:v>125</x:v>
      </x:c>
      <x:c r="AD871" s="10"/>
      <x:c r="AE871" s="10" t="str">
        <x:f>IF(COUNT(AD871,AC871)=2,AD871-AC871,"")</x:f>
      </x:c>
      <x:c r="AF871" s="10" t="n">
        <x:v>79</x:v>
      </x:c>
      <x:c r="AG871" s="10"/>
      <x:c r="AH871" s="10" t="str">
        <x:f>IF(COUNT(AG871,AF871)=2,AG871-AF871,"")</x:f>
      </x:c>
      <x:c r="AI871" s="10" t="n">
        <x:v>67</x:v>
      </x:c>
      <x:c r="AJ871" s="10"/>
      <x:c r="AK871" s="10" t="str">
        <x:f>IF(COUNT(AJ871,AI871)=2,AJ871-AI871,"")</x:f>
      </x:c>
      <x:c r="AL871" s="10" t="n">
        <x:v>32</x:v>
      </x:c>
      <x:c r="AM871" s="10"/>
      <x:c r="AN871" s="4" t="str">
        <x:v>C</x:v>
      </x:c>
      <x:c r="AO871" s="4"/>
      <x:c r="AP871" s="4" t="str">
        <x:v>LA</x:v>
      </x:c>
      <x:c r="AQ871" s="4"/>
      <x:c r="AR871" s="4" t="n">
        <x:v>17.39</x:v>
      </x:c>
      <x:c r="AS871" s="4"/>
      <x:c r="AT871" s="4" t="n">
        <x:v>1.4</x:v>
      </x:c>
      <x:c r="AU871" s="4"/>
      <x:c r="AV871" s="10"/>
      <x:c r="AW871" s="10"/>
      <x:c r="AX871" s="10"/>
      <x:c r="AY871" s="10"/>
      <x:c r="AZ871" s="10" t="n">
        <x:v>916</x:v>
      </x:c>
      <x:c r="BA871" s="10" t="n">
        <x:v>939</x:v>
      </x:c>
      <x:c r="BB871" s="4" t="n">
        <x:v>49.4</x:v>
      </x:c>
      <x:c r="BC871" s="4" t="n">
        <x:v>-1.4</x:v>
      </x:c>
      <x:c r="BD871" s="10" t="n">
        <x:v>625</x:v>
      </x:c>
      <x:c r="BE871" s="10" t="n">
        <x:v>647</x:v>
      </x:c>
      <x:c r="BF871" s="4" t="n">
        <x:v>49.1</x:v>
      </x:c>
      <x:c r="BG871" s="4" t="n">
        <x:v>-2</x:v>
      </x:c>
      <x:c r="BH871" s="4" t="n">
        <x:v>9.4</x:v>
      </x:c>
      <x:c r="BI871" s="4" t="n">
        <x:v>89.6</x:v>
      </x:c>
      <x:c r="BJ871" s="4" t="n">
        <x:v>99</x:v>
      </x:c>
      <x:c r="BK871" s="4" t="n">
        <x:v>40.7</x:v>
      </x:c>
      <x:c r="BL871" s="4" t="n">
        <x:v>59.3</x:v>
      </x:c>
      <x:c r="BM871" s="4" t="n">
        <x:v>15.566666666666666</x:v>
      </x:c>
      <x:c r="BN871" s="4" t="n">
        <x:v>12.983333333333333</x:v>
      </x:c>
      <x:c r="BO871" s="10" t="n">
        <x:v>12</x:v>
      </x:c>
      <x:c r="BP871" s="10" t="n">
        <x:v>48</x:v>
      </x:c>
      <x:c r="BQ871" s="4" t="n">
        <x:v>-1.4</x:v>
      </x:c>
      <x:c r="BR871" s="10" t="n">
        <x:v>178</x:v>
      </x:c>
      <x:c r="BS871" s="4" t="n">
        <x:v>51.1</x:v>
      </x:c>
      <x:c r="BT871" s="10" t="n">
        <x:v>75</x:v>
      </x:c>
      <x:c r="BU871" s="4" t="str">
        <x:v>TOT</x:v>
      </x:c>
      <x:c r="BV871" s="10" t="n">
        <x:v>203</x:v>
      </x:c>
      <x:c r="BW871" s="10"/>
      <x:c r="BX871" s="10" t="n">
        <x:v>195</x:v>
      </x:c>
      <x:c r="BY871" s="4" t="str">
        <x:v>Phillip Danault</x:v>
      </x:c>
      <x:c r="BZ871" s="4"/>
      <x:c r="CA871" s="4" t="str">
        <x:v>Phillip Danault</x:v>
      </x:c>
      <x:c r="CB871" s="4" t="str">
        <x:v>danauph01</x:v>
      </x:c>
    </x:row>
    <x:row r="872" ht="22" customHeight="1">
      <x:c r="A872" s="4" t="str">
        <x:v>Phillip Di Giuseppe</x:v>
      </x:c>
      <x:c r="B872" s="4" t="str">
        <x:v>phillipdigiuseppe</x:v>
      </x:c>
      <x:c r="C872" s="10" t="n">
        <x:v>1</x:v>
      </x:c>
      <x:c r="D872" s="10" t="n">
        <x:v>0</x:v>
      </x:c>
      <x:c r="E872" s="10" t="n">
        <x:v>0</x:v>
      </x:c>
      <x:c r="F872" s="4" t="n">
        <x:f>IF(COUNT(N872,Q872,T872,W872,Z872,AC872,AF872,AI872)=8,N872*Guide!$E$5+Q872*Guide!$E$6+T872*Guide!$E$7+W872*Guide!$E$8+Z872*Guide!$E$9+AC872*Guide!$E$10+AF872*Guide!$E$11+AI872*Guide!$E$12,"")</x:f>
        <x:v>86.5</x:v>
      </x:c>
      <x:c r="G872" s="4" t="str">
        <x:f>IF(COUNT(O872,R872,U872,X872,AA872,AD872,AG872,AJ872)=8,O872*Guide!$E$5+R872*Guide!$E$6+U872*Guide!$E$7+X872*Guide!$E$8+AA872*Guide!$E$9+AD872*Guide!$E$10+AG872*Guide!$E$11+AJ872*Guide!$E$12,"")</x:f>
      </x:c>
      <x:c r="H872" s="4" t="str">
        <x:f>IF(COUNT(G872,F872)=2,G872-F872,"")</x:f>
      </x:c>
      <x:c r="I872" s="4" t="n">
        <x:f>IF(AND(ISNUMBER(F872),K872&gt;0),F872/K872,"")</x:f>
        <x:v>2.0595238095238093</x:v>
      </x:c>
      <x:c r="J872" s="4" t="str">
        <x:f>IF(AND(ISNUMBER(G872),L872&gt;0),G872/L872,"")</x:f>
      </x:c>
      <x:c r="K872" s="10" t="n">
        <x:v>42</x:v>
      </x:c>
      <x:c r="L872" s="10"/>
      <x:c r="M872" s="10" t="str">
        <x:f>IF(COUNT(L872,K872)=2,L872-K872,"")</x:f>
      </x:c>
      <x:c r="N872" s="10" t="n">
        <x:v>5</x:v>
      </x:c>
      <x:c r="O872" s="10"/>
      <x:c r="P872" s="10" t="str">
        <x:f>IF(COUNT(O872,N872)=2,O872-N872,"")</x:f>
      </x:c>
      <x:c r="Q872" s="10" t="n">
        <x:v>7</x:v>
      </x:c>
      <x:c r="R872" s="10"/>
      <x:c r="S872" s="10" t="str">
        <x:f>IF(COUNT(R872,Q872)=2,R872-Q872,"")</x:f>
      </x:c>
      <x:c r="T872" s="10" t="n">
        <x:v>-1</x:v>
      </x:c>
      <x:c r="U872" s="10"/>
      <x:c r="V872" s="10" t="str">
        <x:f>IF(COUNT(U872,T872)=2,U872-T872,"")</x:f>
      </x:c>
      <x:c r="W872" s="10" t="n">
        <x:v>0</x:v>
      </x:c>
      <x:c r="X872" s="10" t="str">
        <x:f>IF(COUNT(AV872,AW872)=2,AV872+AW872,"")</x:f>
      </x:c>
      <x:c r="Y872" s="10" t="str">
        <x:f>IF(COUNT(X872,W872)=2,X872-W872,"")</x:f>
      </x:c>
      <x:c r="Z872" s="10" t="n">
        <x:v>0</x:v>
      </x:c>
      <x:c r="AA872" s="10" t="str">
        <x:f>IF(COUNT(AX872,AY872)=2,AX872+AY872,"")</x:f>
      </x:c>
      <x:c r="AB872" s="10" t="str">
        <x:f>IF(COUNT(AA872,Z872)=2,AA872-Z872,"")</x:f>
      </x:c>
      <x:c r="AC872" s="10" t="n">
        <x:v>47</x:v>
      </x:c>
      <x:c r="AD872" s="10"/>
      <x:c r="AE872" s="10" t="str">
        <x:f>IF(COUNT(AD872,AC872)=2,AD872-AC872,"")</x:f>
      </x:c>
      <x:c r="AF872" s="10" t="n">
        <x:v>91</x:v>
      </x:c>
      <x:c r="AG872" s="10"/>
      <x:c r="AH872" s="10" t="str">
        <x:f>IF(COUNT(AG872,AF872)=2,AG872-AF872,"")</x:f>
      </x:c>
      <x:c r="AI872" s="10" t="n">
        <x:v>16</x:v>
      </x:c>
      <x:c r="AJ872" s="10"/>
      <x:c r="AK872" s="10" t="str">
        <x:f>IF(COUNT(AJ872,AI872)=2,AJ872-AI872,"")</x:f>
      </x:c>
      <x:c r="AL872" s="10" t="n">
        <x:v>32</x:v>
      </x:c>
      <x:c r="AM872" s="10"/>
      <x:c r="AN872" s="4" t="str">
        <x:v>LW</x:v>
      </x:c>
      <x:c r="AO872" s="4"/>
      <x:c r="AP872" s="4" t="str">
        <x:v>WPG</x:v>
      </x:c>
      <x:c r="AQ872" s="4"/>
      <x:c r="AR872" s="4" t="n">
        <x:v>11.729999999999999</x:v>
      </x:c>
      <x:c r="AS872" s="4"/>
      <x:c r="AT872" s="4" t="n">
        <x:v>0.08</x:v>
      </x:c>
      <x:c r="AU872" s="4"/>
      <x:c r="AV872" s="10"/>
      <x:c r="AW872" s="10"/>
      <x:c r="AX872" s="10"/>
      <x:c r="AY872" s="10"/>
      <x:c r="AZ872" s="10"/>
      <x:c r="BA872" s="10"/>
      <x:c r="BB872" s="4"/>
      <x:c r="BC872" s="4"/>
      <x:c r="BD872" s="10"/>
      <x:c r="BE872" s="10"/>
      <x:c r="BF872" s="4"/>
      <x:c r="BG872" s="4"/>
      <x:c r="BH872" s="4"/>
      <x:c r="BI872" s="4"/>
      <x:c r="BJ872" s="4"/>
      <x:c r="BK872" s="4"/>
      <x:c r="BL872" s="4"/>
      <x:c r="BM872" s="4"/>
      <x:c r="BN872" s="4"/>
      <x:c r="BO872" s="10"/>
      <x:c r="BP872" s="10"/>
      <x:c r="BQ872" s="4"/>
      <x:c r="BR872" s="10"/>
      <x:c r="BS872" s="4"/>
      <x:c r="BT872" s="10"/>
      <x:c r="BU872" s="4"/>
      <x:c r="BV872" s="10" t="n">
        <x:v>698</x:v>
      </x:c>
      <x:c r="BW872" s="10"/>
      <x:c r="BX872" s="10"/>
      <x:c r="BY872" s="4" t="str">
        <x:v>Phillip Di Giuseppe</x:v>
      </x:c>
      <x:c r="BZ872" s="4"/>
      <x:c r="CA872" s="4"/>
      <x:c r="CB872" s="4"/>
    </x:row>
    <x:row r="873" ht="22" customHeight="1">
      <x:c r="A873" s="4" t="str">
        <x:v>Pierre Engvall</x:v>
      </x:c>
      <x:c r="B873" s="4" t="str">
        <x:v>pierreengvall</x:v>
      </x:c>
      <x:c r="C873" s="10" t="n">
        <x:v>1</x:v>
      </x:c>
      <x:c r="D873" s="10" t="n">
        <x:v>0</x:v>
      </x:c>
      <x:c r="E873" s="10" t="n">
        <x:v>0</x:v>
      </x:c>
      <x:c r="F873" s="4" t="n">
        <x:f>IF(COUNT(N873,Q873,T873,W873,Z873,AC873,AF873,AI873)=8,N873*Guide!$E$5+Q873*Guide!$E$6+T873*Guide!$E$7+W873*Guide!$E$8+Z873*Guide!$E$9+AC873*Guide!$E$10+AF873*Guide!$E$11+AI873*Guide!$E$12,"")</x:f>
        <x:v>123.25</x:v>
      </x:c>
      <x:c r="G873" s="4" t="str">
        <x:f>IF(COUNT(O873,R873,U873,X873,AA873,AD873,AG873,AJ873)=8,O873*Guide!$E$5+R873*Guide!$E$6+U873*Guide!$E$7+X873*Guide!$E$8+AA873*Guide!$E$9+AD873*Guide!$E$10+AG873*Guide!$E$11+AJ873*Guide!$E$12,"")</x:f>
      </x:c>
      <x:c r="H873" s="4" t="str">
        <x:f>IF(COUNT(G873,F873)=2,G873-F873,"")</x:f>
      </x:c>
      <x:c r="I873" s="4" t="n">
        <x:f>IF(AND(ISNUMBER(F873),K873&gt;0),F873/K873,"")</x:f>
        <x:v>1.8125</x:v>
      </x:c>
      <x:c r="J873" s="4" t="str">
        <x:f>IF(AND(ISNUMBER(G873),L873&gt;0),G873/L873,"")</x:f>
      </x:c>
      <x:c r="K873" s="10" t="n">
        <x:v>68</x:v>
      </x:c>
      <x:c r="L873" s="10"/>
      <x:c r="M873" s="10" t="str">
        <x:f>IF(COUNT(L873,K873)=2,L873-K873,"")</x:f>
      </x:c>
      <x:c r="N873" s="10" t="n">
        <x:v>10</x:v>
      </x:c>
      <x:c r="O873" s="10"/>
      <x:c r="P873" s="10" t="str">
        <x:f>IF(COUNT(O873,N873)=2,O873-N873,"")</x:f>
      </x:c>
      <x:c r="Q873" s="10" t="n">
        <x:v>12</x:v>
      </x:c>
      <x:c r="R873" s="10"/>
      <x:c r="S873" s="10" t="str">
        <x:f>IF(COUNT(R873,Q873)=2,R873-Q873,"")</x:f>
      </x:c>
      <x:c r="T873" s="10" t="n">
        <x:v>0</x:v>
      </x:c>
      <x:c r="U873" s="10"/>
      <x:c r="V873" s="10" t="str">
        <x:f>IF(COUNT(U873,T873)=2,U873-T873,"")</x:f>
      </x:c>
      <x:c r="W873" s="10" t="n">
        <x:v>2</x:v>
      </x:c>
      <x:c r="X873" s="10" t="str">
        <x:f>IF(COUNT(AV873,AW873)=2,AV873+AW873,"")</x:f>
      </x:c>
      <x:c r="Y873" s="10" t="str">
        <x:f>IF(COUNT(X873,W873)=2,X873-W873,"")</x:f>
      </x:c>
      <x:c r="Z873" s="10" t="n">
        <x:v>0</x:v>
      </x:c>
      <x:c r="AA873" s="10" t="str">
        <x:f>IF(COUNT(AX873,AY873)=2,AX873+AY873,"")</x:f>
      </x:c>
      <x:c r="AB873" s="10" t="str">
        <x:f>IF(COUNT(AA873,Z873)=2,AA873-Z873,"")</x:f>
      </x:c>
      <x:c r="AC873" s="10" t="n">
        <x:v>93</x:v>
      </x:c>
      <x:c r="AD873" s="10"/>
      <x:c r="AE873" s="10" t="str">
        <x:f>IF(COUNT(AD873,AC873)=2,AD873-AC873,"")</x:f>
      </x:c>
      <x:c r="AF873" s="10" t="n">
        <x:v>46</x:v>
      </x:c>
      <x:c r="AG873" s="10"/>
      <x:c r="AH873" s="10" t="str">
        <x:f>IF(COUNT(AG873,AF873)=2,AG873-AF873,"")</x:f>
      </x:c>
      <x:c r="AI873" s="10" t="n">
        <x:v>14</x:v>
      </x:c>
      <x:c r="AJ873" s="10"/>
      <x:c r="AK873" s="10" t="str">
        <x:f>IF(COUNT(AJ873,AI873)=2,AJ873-AI873,"")</x:f>
      </x:c>
      <x:c r="AL873" s="10" t="n">
        <x:v>29</x:v>
      </x:c>
      <x:c r="AM873" s="10"/>
      <x:c r="AN873" s="4" t="str">
        <x:v>LW</x:v>
      </x:c>
      <x:c r="AO873" s="4"/>
      <x:c r="AP873" s="4" t="str">
        <x:v>NYI</x:v>
      </x:c>
      <x:c r="AQ873" s="4"/>
      <x:c r="AR873" s="4" t="n">
        <x:v>12.270000000000001</x:v>
      </x:c>
      <x:c r="AS873" s="4"/>
      <x:c r="AT873" s="4" t="n">
        <x:v>0.34</x:v>
      </x:c>
      <x:c r="AU873" s="4"/>
      <x:c r="AV873" s="10"/>
      <x:c r="AW873" s="10"/>
      <x:c r="AX873" s="10"/>
      <x:c r="AY873" s="10"/>
      <x:c r="AZ873" s="10"/>
      <x:c r="BA873" s="10"/>
      <x:c r="BB873" s="4"/>
      <x:c r="BC873" s="4"/>
      <x:c r="BD873" s="10"/>
      <x:c r="BE873" s="10"/>
      <x:c r="BF873" s="4"/>
      <x:c r="BG873" s="4"/>
      <x:c r="BH873" s="4"/>
      <x:c r="BI873" s="4"/>
      <x:c r="BJ873" s="4"/>
      <x:c r="BK873" s="4"/>
      <x:c r="BL873" s="4"/>
      <x:c r="BM873" s="4"/>
      <x:c r="BN873" s="4"/>
      <x:c r="BO873" s="10"/>
      <x:c r="BP873" s="10"/>
      <x:c r="BQ873" s="4"/>
      <x:c r="BR873" s="10"/>
      <x:c r="BS873" s="4"/>
      <x:c r="BT873" s="10"/>
      <x:c r="BU873" s="4"/>
      <x:c r="BV873" s="10" t="n">
        <x:v>488</x:v>
      </x:c>
      <x:c r="BW873" s="10"/>
      <x:c r="BX873" s="10"/>
      <x:c r="BY873" s="4" t="str">
        <x:v>Pierre Engvall</x:v>
      </x:c>
      <x:c r="BZ873" s="4"/>
      <x:c r="CA873" s="4"/>
      <x:c r="CB873" s="4"/>
    </x:row>
    <x:row r="874" ht="22" customHeight="1">
      <x:c r="A874" s="4" t="str">
        <x:v>Porter Martone</x:v>
      </x:c>
      <x:c r="B874" s="4" t="str">
        <x:v>portermartone</x:v>
      </x:c>
      <x:c r="C874" s="10" t="n">
        <x:v>0</x:v>
      </x:c>
      <x:c r="D874" s="10" t="n">
        <x:v>0</x:v>
      </x:c>
      <x:c r="E874" s="10" t="n">
        <x:v>1</x:v>
      </x:c>
      <x:c r="F874" s="4" t="str">
        <x:f>IF(COUNT(N874,Q874,T874,W874,Z874,AC874,AF874,AI874)=8,N874*Guide!$E$5+Q874*Guide!$E$6+T874*Guide!$E$7+W874*Guide!$E$8+Z874*Guide!$E$9+AC874*Guide!$E$10+AF874*Guide!$E$11+AI874*Guide!$E$12,"")</x:f>
      </x:c>
      <x:c r="G874" s="4" t="str">
        <x:f>IF(COUNT(O874,R874,U874,X874,AA874,AD874,AG874,AJ874)=8,O874*Guide!$E$5+R874*Guide!$E$6+U874*Guide!$E$7+X874*Guide!$E$8+AA874*Guide!$E$9+AD874*Guide!$E$10+AG874*Guide!$E$11+AJ874*Guide!$E$12,"")</x:f>
      </x:c>
      <x:c r="H874" s="4" t="str">
        <x:f>IF(COUNT(G874,F874)=2,G874-F874,"")</x:f>
      </x:c>
      <x:c r="I874" s="4" t="str">
        <x:f>IF(AND(ISNUMBER(F874),K874&gt;0),F874/K874,"")</x:f>
      </x:c>
      <x:c r="J874" s="4" t="str">
        <x:f>IF(AND(ISNUMBER(G874),L874&gt;0),G874/L874,"")</x:f>
      </x:c>
      <x:c r="K874" s="10"/>
      <x:c r="L874" s="10"/>
      <x:c r="M874" s="10" t="str">
        <x:f>IF(COUNT(L874,K874)=2,L874-K874,"")</x:f>
      </x:c>
      <x:c r="N874" s="10"/>
      <x:c r="O874" s="10"/>
      <x:c r="P874" s="10" t="str">
        <x:f>IF(COUNT(O874,N874)=2,O874-N874,"")</x:f>
      </x:c>
      <x:c r="Q874" s="10"/>
      <x:c r="R874" s="10"/>
      <x:c r="S874" s="10" t="str">
        <x:f>IF(COUNT(R874,Q874)=2,R874-Q874,"")</x:f>
      </x:c>
      <x:c r="T874" s="10"/>
      <x:c r="U874" s="10"/>
      <x:c r="V874" s="10" t="str">
        <x:f>IF(COUNT(U874,T874)=2,U874-T874,"")</x:f>
      </x:c>
      <x:c r="W874" s="10"/>
      <x:c r="X874" s="10" t="str">
        <x:f>IF(COUNT(AV874,AW874)=2,AV874+AW874,"")</x:f>
      </x:c>
      <x:c r="Y874" s="10" t="str">
        <x:f>IF(COUNT(X874,W874)=2,X874-W874,"")</x:f>
      </x:c>
      <x:c r="Z874" s="10"/>
      <x:c r="AA874" s="10" t="str">
        <x:f>IF(COUNT(AX874,AY874)=2,AX874+AY874,"")</x:f>
      </x:c>
      <x:c r="AB874" s="10" t="str">
        <x:f>IF(COUNT(AA874,Z874)=2,AA874-Z874,"")</x:f>
      </x:c>
      <x:c r="AC874" s="10"/>
      <x:c r="AD874" s="10"/>
      <x:c r="AE874" s="10" t="str">
        <x:f>IF(COUNT(AD874,AC874)=2,AD874-AC874,"")</x:f>
      </x:c>
      <x:c r="AF874" s="10"/>
      <x:c r="AG874" s="10"/>
      <x:c r="AH874" s="10" t="str">
        <x:f>IF(COUNT(AG874,AF874)=2,AG874-AF874,"")</x:f>
      </x:c>
      <x:c r="AI874" s="10"/>
      <x:c r="AJ874" s="10"/>
      <x:c r="AK874" s="10" t="str">
        <x:f>IF(COUNT(AJ874,AI874)=2,AJ874-AI874,"")</x:f>
      </x:c>
      <x:c r="AL874" s="10"/>
      <x:c r="AM874" s="10"/>
      <x:c r="AN874" s="4"/>
      <x:c r="AO874" s="4"/>
      <x:c r="AP874" s="4"/>
      <x:c r="AQ874" s="4"/>
      <x:c r="AR874" s="4"/>
      <x:c r="AS874" s="4"/>
      <x:c r="AT874" s="4"/>
      <x:c r="AU874" s="4"/>
      <x:c r="AV874" s="10"/>
      <x:c r="AW874" s="10"/>
      <x:c r="AX874" s="10"/>
      <x:c r="AY874" s="10"/>
      <x:c r="AZ874" s="10" t="n">
        <x:v>125</x:v>
      </x:c>
      <x:c r="BA874" s="10" t="n">
        <x:v>109</x:v>
      </x:c>
      <x:c r="BB874" s="4" t="n">
        <x:v>53.4</x:v>
      </x:c>
      <x:c r="BC874" s="4" t="n">
        <x:v>7.2</x:v>
      </x:c>
      <x:c r="BD874" s="10" t="n">
        <x:v>86</x:v>
      </x:c>
      <x:c r="BE874" s="10" t="n">
        <x:v>74</x:v>
      </x:c>
      <x:c r="BF874" s="4" t="n">
        <x:v>53.8</x:v>
      </x:c>
      <x:c r="BG874" s="4" t="n">
        <x:v>3.9</x:v>
      </x:c>
      <x:c r="BH874" s="4" t="n">
        <x:v>13.1</x:v>
      </x:c>
      <x:c r="BI874" s="4" t="n">
        <x:v>93.2</x:v>
      </x:c>
      <x:c r="BJ874" s="4" t="n">
        <x:v>106.3</x:v>
      </x:c>
      <x:c r="BK874" s="4" t="n">
        <x:v>47.6</x:v>
      </x:c>
      <x:c r="BL874" s="4" t="n">
        <x:v>52.4</x:v>
      </x:c>
      <x:c r="BM874" s="4" t="n">
        <x:v>17.033333333333335</x:v>
      </x:c>
      <x:c r="BN874" s="4" t="n">
        <x:v>14.783333333333333</x:v>
      </x:c>
      <x:c r="BO874" s="10" t="n">
        <x:v>0</x:v>
      </x:c>
      <x:c r="BP874" s="10" t="n">
        <x:v>4</x:v>
      </x:c>
      <x:c r="BQ874" s="4" t="n">
        <x:v>1.2</x:v>
      </x:c>
      <x:c r="BR874" s="10" t="n">
        <x:v>51</x:v>
      </x:c>
      <x:c r="BS874" s="4" t="n">
        <x:v>62.7</x:v>
      </x:c>
      <x:c r="BT874" s="10" t="n">
        <x:v>9</x:v>
      </x:c>
      <x:c r="BU874" s="4" t="str">
        <x:v>PHI</x:v>
      </x:c>
      <x:c r="BV874" s="10"/>
      <x:c r="BW874" s="10"/>
      <x:c r="BX874" s="10" t="n">
        <x:v>654</x:v>
      </x:c>
      <x:c r="BY874" s="4"/>
      <x:c r="BZ874" s="4"/>
      <x:c r="CA874" s="4" t="str">
        <x:v>Porter Martone</x:v>
      </x:c>
      <x:c r="CB874" s="4" t="str">
        <x:v>martopo01</x:v>
      </x:c>
    </x:row>
    <x:row r="875" ht="22" customHeight="1">
      <x:c r="A875" s="4" t="str">
        <x:v>Quinn Hutson</x:v>
      </x:c>
      <x:c r="B875" s="4" t="str">
        <x:v>quinnhutson</x:v>
      </x:c>
      <x:c r="C875" s="10" t="n">
        <x:v>0</x:v>
      </x:c>
      <x:c r="D875" s="10" t="n">
        <x:v>0</x:v>
      </x:c>
      <x:c r="E875" s="10" t="n">
        <x:v>1</x:v>
      </x:c>
      <x:c r="F875" s="4" t="str">
        <x:f>IF(COUNT(N875,Q875,T875,W875,Z875,AC875,AF875,AI875)=8,N875*Guide!$E$5+Q875*Guide!$E$6+T875*Guide!$E$7+W875*Guide!$E$8+Z875*Guide!$E$9+AC875*Guide!$E$10+AF875*Guide!$E$11+AI875*Guide!$E$12,"")</x:f>
      </x:c>
      <x:c r="G875" s="4" t="str">
        <x:f>IF(COUNT(O875,R875,U875,X875,AA875,AD875,AG875,AJ875)=8,O875*Guide!$E$5+R875*Guide!$E$6+U875*Guide!$E$7+X875*Guide!$E$8+AA875*Guide!$E$9+AD875*Guide!$E$10+AG875*Guide!$E$11+AJ875*Guide!$E$12,"")</x:f>
      </x:c>
      <x:c r="H875" s="4" t="str">
        <x:f>IF(COUNT(G875,F875)=2,G875-F875,"")</x:f>
      </x:c>
      <x:c r="I875" s="4" t="str">
        <x:f>IF(AND(ISNUMBER(F875),K875&gt;0),F875/K875,"")</x:f>
      </x:c>
      <x:c r="J875" s="4" t="str">
        <x:f>IF(AND(ISNUMBER(G875),L875&gt;0),G875/L875,"")</x:f>
      </x:c>
      <x:c r="K875" s="10"/>
      <x:c r="L875" s="10"/>
      <x:c r="M875" s="10" t="str">
        <x:f>IF(COUNT(L875,K875)=2,L875-K875,"")</x:f>
      </x:c>
      <x:c r="N875" s="10"/>
      <x:c r="O875" s="10"/>
      <x:c r="P875" s="10" t="str">
        <x:f>IF(COUNT(O875,N875)=2,O875-N875,"")</x:f>
      </x:c>
      <x:c r="Q875" s="10"/>
      <x:c r="R875" s="10"/>
      <x:c r="S875" s="10" t="str">
        <x:f>IF(COUNT(R875,Q875)=2,R875-Q875,"")</x:f>
      </x:c>
      <x:c r="T875" s="10"/>
      <x:c r="U875" s="10"/>
      <x:c r="V875" s="10" t="str">
        <x:f>IF(COUNT(U875,T875)=2,U875-T875,"")</x:f>
      </x:c>
      <x:c r="W875" s="10"/>
      <x:c r="X875" s="10" t="str">
        <x:f>IF(COUNT(AV875,AW875)=2,AV875+AW875,"")</x:f>
      </x:c>
      <x:c r="Y875" s="10" t="str">
        <x:f>IF(COUNT(X875,W875)=2,X875-W875,"")</x:f>
      </x:c>
      <x:c r="Z875" s="10"/>
      <x:c r="AA875" s="10" t="str">
        <x:f>IF(COUNT(AX875,AY875)=2,AX875+AY875,"")</x:f>
      </x:c>
      <x:c r="AB875" s="10" t="str">
        <x:f>IF(COUNT(AA875,Z875)=2,AA875-Z875,"")</x:f>
      </x:c>
      <x:c r="AC875" s="10"/>
      <x:c r="AD875" s="10"/>
      <x:c r="AE875" s="10" t="str">
        <x:f>IF(COUNT(AD875,AC875)=2,AD875-AC875,"")</x:f>
      </x:c>
      <x:c r="AF875" s="10"/>
      <x:c r="AG875" s="10"/>
      <x:c r="AH875" s="10" t="str">
        <x:f>IF(COUNT(AG875,AF875)=2,AG875-AF875,"")</x:f>
      </x:c>
      <x:c r="AI875" s="10"/>
      <x:c r="AJ875" s="10"/>
      <x:c r="AK875" s="10" t="str">
        <x:f>IF(COUNT(AJ875,AI875)=2,AJ875-AI875,"")</x:f>
      </x:c>
      <x:c r="AL875" s="10"/>
      <x:c r="AM875" s="10"/>
      <x:c r="AN875" s="4"/>
      <x:c r="AO875" s="4"/>
      <x:c r="AP875" s="4"/>
      <x:c r="AQ875" s="4"/>
      <x:c r="AR875" s="4"/>
      <x:c r="AS875" s="4"/>
      <x:c r="AT875" s="4"/>
      <x:c r="AU875" s="4"/>
      <x:c r="AV875" s="10"/>
      <x:c r="AW875" s="10"/>
      <x:c r="AX875" s="10"/>
      <x:c r="AY875" s="10"/>
      <x:c r="AZ875" s="10" t="n">
        <x:v>27</x:v>
      </x:c>
      <x:c r="BA875" s="10" t="n">
        <x:v>41</x:v>
      </x:c>
      <x:c r="BB875" s="4" t="n">
        <x:v>39.7</x:v>
      </x:c>
      <x:c r="BC875" s="4" t="n">
        <x:v>-8.7</x:v>
      </x:c>
      <x:c r="BD875" s="10" t="n">
        <x:v>13</x:v>
      </x:c>
      <x:c r="BE875" s="10" t="n">
        <x:v>28</x:v>
      </x:c>
      <x:c r="BF875" s="4" t="n">
        <x:v>31.7</x:v>
      </x:c>
      <x:c r="BG875" s="4" t="n">
        <x:v>-16.8</x:v>
      </x:c>
      <x:c r="BH875" s="4" t="n">
        <x:v>11.1</x:v>
      </x:c>
      <x:c r="BI875" s="4" t="n">
        <x:v>90</x:v>
      </x:c>
      <x:c r="BJ875" s="4" t="n">
        <x:v>101.1</x:v>
      </x:c>
      <x:c r="BK875" s="4" t="n">
        <x:v>64.3</x:v>
      </x:c>
      <x:c r="BL875" s="4" t="n">
        <x:v>35.7</x:v>
      </x:c>
      <x:c r="BM875" s="4" t="n">
        <x:v>0.3333333333333333</x:v>
      </x:c>
      <x:c r="BN875" s="4" t="n">
        <x:v>0.3333333333333333</x:v>
      </x:c>
      <x:c r="BO875" s="10" t="n">
        <x:v>0</x:v>
      </x:c>
      <x:c r="BP875" s="10" t="n">
        <x:v>3</x:v>
      </x:c>
      <x:c r="BQ875" s="4" t="n">
        <x:v>-0.6</x:v>
      </x:c>
      <x:c r="BR875" s="10" t="n">
        <x:v>6</x:v>
      </x:c>
      <x:c r="BS875" s="4" t="n">
        <x:v>50</x:v>
      </x:c>
      <x:c r="BT875" s="10" t="n">
        <x:v>4</x:v>
      </x:c>
      <x:c r="BU875" s="4" t="str">
        <x:v>EDM</x:v>
      </x:c>
      <x:c r="BV875" s="10"/>
      <x:c r="BW875" s="10"/>
      <x:c r="BX875" s="10" t="n">
        <x:v>443</x:v>
      </x:c>
      <x:c r="BY875" s="4"/>
      <x:c r="BZ875" s="4"/>
      <x:c r="CA875" s="4" t="str">
        <x:v>Quinn Hutson</x:v>
      </x:c>
      <x:c r="CB875" s="4" t="str">
        <x:v>hutsoqu01</x:v>
      </x:c>
    </x:row>
    <x:row r="876" ht="22" customHeight="1">
      <x:c r="A876" s="4" t="str">
        <x:v>Radek Faksa</x:v>
      </x:c>
      <x:c r="B876" s="4" t="str">
        <x:v>radekfaksa</x:v>
      </x:c>
      <x:c r="C876" s="10" t="n">
        <x:v>1</x:v>
      </x:c>
      <x:c r="D876" s="10" t="n">
        <x:v>0</x:v>
      </x:c>
      <x:c r="E876" s="10" t="n">
        <x:v>1</x:v>
      </x:c>
      <x:c r="F876" s="4" t="n">
        <x:f>IF(COUNT(N876,Q876,T876,W876,Z876,AC876,AF876,AI876)=8,N876*Guide!$E$5+Q876*Guide!$E$6+T876*Guide!$E$7+W876*Guide!$E$8+Z876*Guide!$E$9+AC876*Guide!$E$10+AF876*Guide!$E$11+AI876*Guide!$E$12,"")</x:f>
        <x:v>154</x:v>
      </x:c>
      <x:c r="G876" s="4" t="str">
        <x:f>IF(COUNT(O876,R876,U876,X876,AA876,AD876,AG876,AJ876)=8,O876*Guide!$E$5+R876*Guide!$E$6+U876*Guide!$E$7+X876*Guide!$E$8+AA876*Guide!$E$9+AD876*Guide!$E$10+AG876*Guide!$E$11+AJ876*Guide!$E$12,"")</x:f>
      </x:c>
      <x:c r="H876" s="4" t="str">
        <x:f>IF(COUNT(G876,F876)=2,G876-F876,"")</x:f>
      </x:c>
      <x:c r="I876" s="4" t="n">
        <x:f>IF(AND(ISNUMBER(F876),K876&gt;0),F876/K876,"")</x:f>
        <x:v>1.9743589743589745</x:v>
      </x:c>
      <x:c r="J876" s="4" t="str">
        <x:f>IF(AND(ISNUMBER(G876),L876&gt;0),G876/L876,"")</x:f>
      </x:c>
      <x:c r="K876" s="10" t="n">
        <x:v>78</x:v>
      </x:c>
      <x:c r="L876" s="10"/>
      <x:c r="M876" s="10" t="str">
        <x:f>IF(COUNT(L876,K876)=2,L876-K876,"")</x:f>
      </x:c>
      <x:c r="N876" s="10" t="n">
        <x:v>8</x:v>
      </x:c>
      <x:c r="O876" s="10"/>
      <x:c r="P876" s="10" t="str">
        <x:f>IF(COUNT(O876,N876)=2,O876-N876,"")</x:f>
      </x:c>
      <x:c r="Q876" s="10" t="n">
        <x:v>11</x:v>
      </x:c>
      <x:c r="R876" s="10"/>
      <x:c r="S876" s="10" t="str">
        <x:f>IF(COUNT(R876,Q876)=2,R876-Q876,"")</x:f>
      </x:c>
      <x:c r="T876" s="10" t="n">
        <x:v>-2</x:v>
      </x:c>
      <x:c r="U876" s="10"/>
      <x:c r="V876" s="10" t="str">
        <x:f>IF(COUNT(U876,T876)=2,U876-T876,"")</x:f>
      </x:c>
      <x:c r="W876" s="10" t="n">
        <x:v>1</x:v>
      </x:c>
      <x:c r="X876" s="10" t="str">
        <x:f>IF(COUNT(AV876,AW876)=2,AV876+AW876,"")</x:f>
      </x:c>
      <x:c r="Y876" s="10" t="str">
        <x:f>IF(COUNT(X876,W876)=2,X876-W876,"")</x:f>
      </x:c>
      <x:c r="Z876" s="10" t="n">
        <x:v>1</x:v>
      </x:c>
      <x:c r="AA876" s="10" t="str">
        <x:f>IF(COUNT(AX876,AY876)=2,AX876+AY876,"")</x:f>
      </x:c>
      <x:c r="AB876" s="10" t="str">
        <x:f>IF(COUNT(AA876,Z876)=2,AA876-Z876,"")</x:f>
      </x:c>
      <x:c r="AC876" s="10" t="n">
        <x:v>74</x:v>
      </x:c>
      <x:c r="AD876" s="10"/>
      <x:c r="AE876" s="10" t="str">
        <x:f>IF(COUNT(AD876,AC876)=2,AD876-AC876,"")</x:f>
      </x:c>
      <x:c r="AF876" s="10" t="n">
        <x:v>115</x:v>
      </x:c>
      <x:c r="AG876" s="10"/>
      <x:c r="AH876" s="10" t="str">
        <x:f>IF(COUNT(AG876,AF876)=2,AG876-AF876,"")</x:f>
      </x:c>
      <x:c r="AI876" s="10" t="n">
        <x:v>53</x:v>
      </x:c>
      <x:c r="AJ876" s="10"/>
      <x:c r="AK876" s="10" t="str">
        <x:f>IF(COUNT(AJ876,AI876)=2,AJ876-AI876,"")</x:f>
      </x:c>
      <x:c r="AL876" s="10" t="n">
        <x:v>32</x:v>
      </x:c>
      <x:c r="AM876" s="10"/>
      <x:c r="AN876" s="4" t="str">
        <x:v>C</x:v>
      </x:c>
      <x:c r="AO876" s="4"/>
      <x:c r="AP876" s="4" t="str">
        <x:v>DAL</x:v>
      </x:c>
      <x:c r="AQ876" s="4"/>
      <x:c r="AR876" s="4" t="n">
        <x:v>12.9</x:v>
      </x:c>
      <x:c r="AS876" s="4"/>
      <x:c r="AT876" s="4" t="n">
        <x:v>0.21</x:v>
      </x:c>
      <x:c r="AU876" s="4"/>
      <x:c r="AV876" s="10"/>
      <x:c r="AW876" s="10"/>
      <x:c r="AX876" s="10"/>
      <x:c r="AY876" s="10"/>
      <x:c r="AZ876" s="10" t="n">
        <x:v>366</x:v>
      </x:c>
      <x:c r="BA876" s="10" t="n">
        <x:v>470</x:v>
      </x:c>
      <x:c r="BB876" s="4" t="n">
        <x:v>43.8</x:v>
      </x:c>
      <x:c r="BC876" s="4" t="n">
        <x:v>-3.5</x:v>
      </x:c>
      <x:c r="BD876" s="10" t="n">
        <x:v>240</x:v>
      </x:c>
      <x:c r="BE876" s="10" t="n">
        <x:v>310</x:v>
      </x:c>
      <x:c r="BF876" s="4" t="n">
        <x:v>43.6</x:v>
      </x:c>
      <x:c r="BG876" s="4" t="n">
        <x:v>-4.3</x:v>
      </x:c>
      <x:c r="BH876" s="4" t="n">
        <x:v>9.3</x:v>
      </x:c>
      <x:c r="BI876" s="4" t="n">
        <x:v>92.4</x:v>
      </x:c>
      <x:c r="BJ876" s="4" t="n">
        <x:v>101.7</x:v>
      </x:c>
      <x:c r="BK876" s="4" t="n">
        <x:v>28.7</x:v>
      </x:c>
      <x:c r="BL876" s="4" t="n">
        <x:v>71.3</x:v>
      </x:c>
      <x:c r="BM876" s="4" t="n">
        <x:v>11.733333333333333</x:v>
      </x:c>
      <x:c r="BN876" s="4" t="n">
        <x:v>9.533333333333333</x:v>
      </x:c>
      <x:c r="BO876" s="10" t="n">
        <x:v>14</x:v>
      </x:c>
      <x:c r="BP876" s="10" t="n">
        <x:v>18</x:v>
      </x:c>
      <x:c r="BQ876" s="4" t="n">
        <x:v>-5.4</x:v>
      </x:c>
      <x:c r="BR876" s="10" t="n">
        <x:v>79</x:v>
      </x:c>
      <x:c r="BS876" s="4" t="n">
        <x:v>48.1</x:v>
      </x:c>
      <x:c r="BT876" s="10" t="n">
        <x:v>58</x:v>
      </x:c>
      <x:c r="BU876" s="4" t="str">
        <x:v>DAL</x:v>
      </x:c>
      <x:c r="BV876" s="10" t="n">
        <x:v>552</x:v>
      </x:c>
      <x:c r="BW876" s="10"/>
      <x:c r="BX876" s="10" t="n">
        <x:v>281</x:v>
      </x:c>
      <x:c r="BY876" s="4" t="str">
        <x:v>Radek Faksa</x:v>
      </x:c>
      <x:c r="BZ876" s="4"/>
      <x:c r="CA876" s="4" t="str">
        <x:v>Radek Faksa</x:v>
      </x:c>
      <x:c r="CB876" s="4" t="str">
        <x:v>faksara01</x:v>
      </x:c>
    </x:row>
    <x:row r="877" ht="22" customHeight="1">
      <x:c r="A877" s="4" t="str">
        <x:v>Radko Gudas</x:v>
      </x:c>
      <x:c r="B877" s="4" t="str">
        <x:v>radkogudas</x:v>
      </x:c>
      <x:c r="C877" s="10" t="n">
        <x:v>1</x:v>
      </x:c>
      <x:c r="D877" s="10" t="n">
        <x:v>0</x:v>
      </x:c>
      <x:c r="E877" s="10" t="n">
        <x:v>1</x:v>
      </x:c>
      <x:c r="F877" s="4" t="n">
        <x:f>IF(COUNT(N877,Q877,T877,W877,Z877,AC877,AF877,AI877)=8,N877*Guide!$E$5+Q877*Guide!$E$6+T877*Guide!$E$7+W877*Guide!$E$8+Z877*Guide!$E$9+AC877*Guide!$E$10+AF877*Guide!$E$11+AI877*Guide!$E$12,"")</x:f>
        <x:v>261.75</x:v>
      </x:c>
      <x:c r="G877" s="4" t="str">
        <x:f>IF(COUNT(O877,R877,U877,X877,AA877,AD877,AG877,AJ877)=8,O877*Guide!$E$5+R877*Guide!$E$6+U877*Guide!$E$7+X877*Guide!$E$8+AA877*Guide!$E$9+AD877*Guide!$E$10+AG877*Guide!$E$11+AJ877*Guide!$E$12,"")</x:f>
      </x:c>
      <x:c r="H877" s="4" t="str">
        <x:f>IF(COUNT(G877,F877)=2,G877-F877,"")</x:f>
      </x:c>
      <x:c r="I877" s="4" t="n">
        <x:f>IF(AND(ISNUMBER(F877),K877&gt;0),F877/K877,"")</x:f>
        <x:v>3.355769230769231</x:v>
      </x:c>
      <x:c r="J877" s="4" t="str">
        <x:f>IF(AND(ISNUMBER(G877),L877&gt;0),G877/L877,"")</x:f>
      </x:c>
      <x:c r="K877" s="10" t="n">
        <x:v>78</x:v>
      </x:c>
      <x:c r="L877" s="10"/>
      <x:c r="M877" s="10" t="str">
        <x:f>IF(COUNT(L877,K877)=2,L877-K877,"")</x:f>
      </x:c>
      <x:c r="N877" s="10" t="n">
        <x:v>3</x:v>
      </x:c>
      <x:c r="O877" s="10"/>
      <x:c r="P877" s="10" t="str">
        <x:f>IF(COUNT(O877,N877)=2,O877-N877,"")</x:f>
      </x:c>
      <x:c r="Q877" s="10" t="n">
        <x:v>15</x:v>
      </x:c>
      <x:c r="R877" s="10"/>
      <x:c r="S877" s="10" t="str">
        <x:f>IF(COUNT(R877,Q877)=2,R877-Q877,"")</x:f>
      </x:c>
      <x:c r="T877" s="10" t="n">
        <x:v>-3</x:v>
      </x:c>
      <x:c r="U877" s="10"/>
      <x:c r="V877" s="10" t="str">
        <x:f>IF(COUNT(U877,T877)=2,U877-T877,"")</x:f>
      </x:c>
      <x:c r="W877" s="10" t="n">
        <x:v>0</x:v>
      </x:c>
      <x:c r="X877" s="10" t="str">
        <x:f>IF(COUNT(AV877,AW877)=2,AV877+AW877,"")</x:f>
      </x:c>
      <x:c r="Y877" s="10" t="str">
        <x:f>IF(COUNT(X877,W877)=2,X877-W877,"")</x:f>
      </x:c>
      <x:c r="Z877" s="10" t="n">
        <x:v>1</x:v>
      </x:c>
      <x:c r="AA877" s="10" t="str">
        <x:f>IF(COUNT(AX877,AY877)=2,AX877+AY877,"")</x:f>
      </x:c>
      <x:c r="AB877" s="10" t="str">
        <x:f>IF(COUNT(AA877,Z877)=2,AA877-Z877,"")</x:f>
      </x:c>
      <x:c r="AC877" s="10" t="n">
        <x:v>93</x:v>
      </x:c>
      <x:c r="AD877" s="10"/>
      <x:c r="AE877" s="10" t="str">
        <x:f>IF(COUNT(AD877,AC877)=2,AD877-AC877,"")</x:f>
      </x:c>
      <x:c r="AF877" s="10" t="n">
        <x:v>243</x:v>
      </x:c>
      <x:c r="AG877" s="10"/>
      <x:c r="AH877" s="10" t="str">
        <x:f>IF(COUNT(AG877,AF877)=2,AG877-AF877,"")</x:f>
      </x:c>
      <x:c r="AI877" s="10" t="n">
        <x:v>161</x:v>
      </x:c>
      <x:c r="AJ877" s="10"/>
      <x:c r="AK877" s="10" t="str">
        <x:f>IF(COUNT(AJ877,AI877)=2,AJ877-AI877,"")</x:f>
      </x:c>
      <x:c r="AL877" s="10" t="n">
        <x:v>35</x:v>
      </x:c>
      <x:c r="AM877" s="10"/>
      <x:c r="AN877" s="4" t="str">
        <x:v>D</x:v>
      </x:c>
      <x:c r="AO877" s="4"/>
      <x:c r="AP877" s="4" t="str">
        <x:v>ANA</x:v>
      </x:c>
      <x:c r="AQ877" s="4"/>
      <x:c r="AR877" s="4" t="n">
        <x:v>19.85</x:v>
      </x:c>
      <x:c r="AS877" s="4"/>
      <x:c r="AT877" s="4" t="n">
        <x:v>0.05</x:v>
      </x:c>
      <x:c r="AU877" s="4"/>
      <x:c r="AV877" s="10"/>
      <x:c r="AW877" s="10"/>
      <x:c r="AX877" s="10"/>
      <x:c r="AY877" s="10"/>
      <x:c r="AZ877" s="10" t="n">
        <x:v>913</x:v>
      </x:c>
      <x:c r="BA877" s="10" t="n">
        <x:v>824</x:v>
      </x:c>
      <x:c r="BB877" s="4" t="n">
        <x:v>52.6</x:v>
      </x:c>
      <x:c r="BC877" s="4" t="n">
        <x:v>0.4</x:v>
      </x:c>
      <x:c r="BD877" s="10" t="n">
        <x:v>653</x:v>
      </x:c>
      <x:c r="BE877" s="10" t="n">
        <x:v>595</x:v>
      </x:c>
      <x:c r="BF877" s="4" t="n">
        <x:v>52.3</x:v>
      </x:c>
      <x:c r="BG877" s="4" t="n">
        <x:v>0</x:v>
      </x:c>
      <x:c r="BH877" s="4" t="n">
        <x:v>8.6</x:v>
      </x:c>
      <x:c r="BI877" s="4" t="n">
        <x:v>89.8</x:v>
      </x:c>
      <x:c r="BJ877" s="4" t="n">
        <x:v>98.4</x:v>
      </x:c>
      <x:c r="BK877" s="4" t="n">
        <x:v>49.6</x:v>
      </x:c>
      <x:c r="BL877" s="4" t="n">
        <x:v>50.4</x:v>
      </x:c>
      <x:c r="BM877" s="4" t="n">
        <x:v>16.183333333333334</x:v>
      </x:c>
      <x:c r="BN877" s="4" t="n">
        <x:v>14.533333333333333</x:v>
      </x:c>
      <x:c r="BO877" s="10" t="n">
        <x:v>8</x:v>
      </x:c>
      <x:c r="BP877" s="10" t="n">
        <x:v>44</x:v>
      </x:c>
      <x:c r="BQ877" s="4" t="n">
        <x:v>1.5</x:v>
      </x:c>
      <x:c r="BR877" s="10" t="n">
        <x:v>169</x:v>
      </x:c>
      <x:c r="BS877" s="4" t="n">
        <x:v>37.3</x:v>
      </x:c>
      <x:c r="BT877" s="10" t="n">
        <x:v>56</x:v>
      </x:c>
      <x:c r="BU877" s="4" t="str">
        <x:v>ANA</x:v>
      </x:c>
      <x:c r="BV877" s="10" t="n">
        <x:v>557</x:v>
      </x:c>
      <x:c r="BW877" s="10"/>
      <x:c r="BX877" s="10" t="n">
        <x:v>368</x:v>
      </x:c>
      <x:c r="BY877" s="4" t="str">
        <x:v>Radko Gudas</x:v>
      </x:c>
      <x:c r="BZ877" s="4"/>
      <x:c r="CA877" s="4" t="str">
        <x:v>Radko Gudas</x:v>
      </x:c>
      <x:c r="CB877" s="4" t="str">
        <x:v>gudasra01</x:v>
      </x:c>
    </x:row>
    <x:row r="878" ht="22" customHeight="1">
      <x:c r="A878" s="4" t="str">
        <x:v>Rafaël Harvey-Pinard</x:v>
      </x:c>
      <x:c r="B878" s="4" t="str">
        <x:v>rafaelharveypinard</x:v>
      </x:c>
      <x:c r="C878" s="10" t="n">
        <x:v>0</x:v>
      </x:c>
      <x:c r="D878" s="10" t="n">
        <x:v>0</x:v>
      </x:c>
      <x:c r="E878" s="10" t="n">
        <x:v>1</x:v>
      </x:c>
      <x:c r="F878" s="4" t="str">
        <x:f>IF(COUNT(N878,Q878,T878,W878,Z878,AC878,AF878,AI878)=8,N878*Guide!$E$5+Q878*Guide!$E$6+T878*Guide!$E$7+W878*Guide!$E$8+Z878*Guide!$E$9+AC878*Guide!$E$10+AF878*Guide!$E$11+AI878*Guide!$E$12,"")</x:f>
      </x:c>
      <x:c r="G878" s="4" t="str">
        <x:f>IF(COUNT(O878,R878,U878,X878,AA878,AD878,AG878,AJ878)=8,O878*Guide!$E$5+R878*Guide!$E$6+U878*Guide!$E$7+X878*Guide!$E$8+AA878*Guide!$E$9+AD878*Guide!$E$10+AG878*Guide!$E$11+AJ878*Guide!$E$12,"")</x:f>
      </x:c>
      <x:c r="H878" s="4" t="str">
        <x:f>IF(COUNT(G878,F878)=2,G878-F878,"")</x:f>
      </x:c>
      <x:c r="I878" s="4" t="str">
        <x:f>IF(AND(ISNUMBER(F878),K878&gt;0),F878/K878,"")</x:f>
      </x:c>
      <x:c r="J878" s="4" t="str">
        <x:f>IF(AND(ISNUMBER(G878),L878&gt;0),G878/L878,"")</x:f>
      </x:c>
      <x:c r="K878" s="10"/>
      <x:c r="L878" s="10"/>
      <x:c r="M878" s="10" t="str">
        <x:f>IF(COUNT(L878,K878)=2,L878-K878,"")</x:f>
      </x:c>
      <x:c r="N878" s="10"/>
      <x:c r="O878" s="10"/>
      <x:c r="P878" s="10" t="str">
        <x:f>IF(COUNT(O878,N878)=2,O878-N878,"")</x:f>
      </x:c>
      <x:c r="Q878" s="10"/>
      <x:c r="R878" s="10"/>
      <x:c r="S878" s="10" t="str">
        <x:f>IF(COUNT(R878,Q878)=2,R878-Q878,"")</x:f>
      </x:c>
      <x:c r="T878" s="10"/>
      <x:c r="U878" s="10"/>
      <x:c r="V878" s="10" t="str">
        <x:f>IF(COUNT(U878,T878)=2,U878-T878,"")</x:f>
      </x:c>
      <x:c r="W878" s="10"/>
      <x:c r="X878" s="10" t="str">
        <x:f>IF(COUNT(AV878,AW878)=2,AV878+AW878,"")</x:f>
      </x:c>
      <x:c r="Y878" s="10" t="str">
        <x:f>IF(COUNT(X878,W878)=2,X878-W878,"")</x:f>
      </x:c>
      <x:c r="Z878" s="10"/>
      <x:c r="AA878" s="10" t="str">
        <x:f>IF(COUNT(AX878,AY878)=2,AX878+AY878,"")</x:f>
      </x:c>
      <x:c r="AB878" s="10" t="str">
        <x:f>IF(COUNT(AA878,Z878)=2,AA878-Z878,"")</x:f>
      </x:c>
      <x:c r="AC878" s="10"/>
      <x:c r="AD878" s="10"/>
      <x:c r="AE878" s="10" t="str">
        <x:f>IF(COUNT(AD878,AC878)=2,AD878-AC878,"")</x:f>
      </x:c>
      <x:c r="AF878" s="10"/>
      <x:c r="AG878" s="10"/>
      <x:c r="AH878" s="10" t="str">
        <x:f>IF(COUNT(AG878,AF878)=2,AG878-AF878,"")</x:f>
      </x:c>
      <x:c r="AI878" s="10"/>
      <x:c r="AJ878" s="10"/>
      <x:c r="AK878" s="10" t="str">
        <x:f>IF(COUNT(AJ878,AI878)=2,AJ878-AI878,"")</x:f>
      </x:c>
      <x:c r="AL878" s="10"/>
      <x:c r="AM878" s="10"/>
      <x:c r="AN878" s="4"/>
      <x:c r="AO878" s="4"/>
      <x:c r="AP878" s="4"/>
      <x:c r="AQ878" s="4"/>
      <x:c r="AR878" s="4"/>
      <x:c r="AS878" s="4"/>
      <x:c r="AT878" s="4"/>
      <x:c r="AU878" s="4"/>
      <x:c r="AV878" s="10"/>
      <x:c r="AW878" s="10"/>
      <x:c r="AX878" s="10"/>
      <x:c r="AY878" s="10"/>
      <x:c r="AZ878" s="10" t="n">
        <x:v>7</x:v>
      </x:c>
      <x:c r="BA878" s="10" t="n">
        <x:v>7</x:v>
      </x:c>
      <x:c r="BB878" s="4" t="n">
        <x:v>50</x:v>
      </x:c>
      <x:c r="BC878" s="4" t="n">
        <x:v>3.2</x:v>
      </x:c>
      <x:c r="BD878" s="10" t="n">
        <x:v>6</x:v>
      </x:c>
      <x:c r="BE878" s="10" t="n">
        <x:v>6</x:v>
      </x:c>
      <x:c r="BF878" s="4" t="n">
        <x:v>50</x:v>
      </x:c>
      <x:c r="BG878" s="4" t="n">
        <x:v>5</x:v>
      </x:c>
      <x:c r="BH878" s="4" t="n">
        <x:v>25</x:v>
      </x:c>
      <x:c r="BI878" s="4" t="n">
        <x:v>100</x:v>
      </x:c>
      <x:c r="BJ878" s="4" t="n">
        <x:v>125</x:v>
      </x:c>
      <x:c r="BK878" s="4" t="n">
        <x:v>33.3</x:v>
      </x:c>
      <x:c r="BL878" s="4" t="n">
        <x:v>66.7</x:v>
      </x:c>
      <x:c r="BM878" s="4" t="n">
        <x:v>11.016666666666667</x:v>
      </x:c>
      <x:c r="BN878" s="4" t="n">
        <x:v>11.016666666666667</x:v>
      </x:c>
      <x:c r="BO878" s="10" t="n">
        <x:v>0</x:v>
      </x:c>
      <x:c r="BP878" s="10" t="n">
        <x:v>1</x:v>
      </x:c>
      <x:c r="BQ878" s="4" t="n">
        <x:v>0</x:v>
      </x:c>
      <x:c r="BR878" s="10" t="n">
        <x:v>3</x:v>
      </x:c>
      <x:c r="BS878" s="4" t="n">
        <x:v>66.7</x:v>
      </x:c>
      <x:c r="BT878" s="10" t="n">
        <x:v>1</x:v>
      </x:c>
      <x:c r="BU878" s="4" t="str">
        <x:v>PIT</x:v>
      </x:c>
      <x:c r="BV878" s="10"/>
      <x:c r="BW878" s="10"/>
      <x:c r="BX878" s="10" t="n">
        <x:v>392</x:v>
      </x:c>
      <x:c r="BY878" s="4"/>
      <x:c r="BZ878" s="4"/>
      <x:c r="CA878" s="4" t="str">
        <x:v>Rafaël Harvey-Pinard</x:v>
      </x:c>
      <x:c r="CB878" s="4" t="str">
        <x:v>harvera01</x:v>
      </x:c>
    </x:row>
    <x:row r="879" ht="22" customHeight="1">
      <x:c r="A879" s="4" t="str">
        <x:v>Raphael Lavoie</x:v>
      </x:c>
      <x:c r="B879" s="4" t="str">
        <x:v>raphaellavoie</x:v>
      </x:c>
      <x:c r="C879" s="10" t="n">
        <x:v>0</x:v>
      </x:c>
      <x:c r="D879" s="10" t="n">
        <x:v>0</x:v>
      </x:c>
      <x:c r="E879" s="10" t="n">
        <x:v>1</x:v>
      </x:c>
      <x:c r="F879" s="4" t="str">
        <x:f>IF(COUNT(N879,Q879,T879,W879,Z879,AC879,AF879,AI879)=8,N879*Guide!$E$5+Q879*Guide!$E$6+T879*Guide!$E$7+W879*Guide!$E$8+Z879*Guide!$E$9+AC879*Guide!$E$10+AF879*Guide!$E$11+AI879*Guide!$E$12,"")</x:f>
      </x:c>
      <x:c r="G879" s="4" t="str">
        <x:f>IF(COUNT(O879,R879,U879,X879,AA879,AD879,AG879,AJ879)=8,O879*Guide!$E$5+R879*Guide!$E$6+U879*Guide!$E$7+X879*Guide!$E$8+AA879*Guide!$E$9+AD879*Guide!$E$10+AG879*Guide!$E$11+AJ879*Guide!$E$12,"")</x:f>
      </x:c>
      <x:c r="H879" s="4" t="str">
        <x:f>IF(COUNT(G879,F879)=2,G879-F879,"")</x:f>
      </x:c>
      <x:c r="I879" s="4" t="str">
        <x:f>IF(AND(ISNUMBER(F879),K879&gt;0),F879/K879,"")</x:f>
      </x:c>
      <x:c r="J879" s="4" t="str">
        <x:f>IF(AND(ISNUMBER(G879),L879&gt;0),G879/L879,"")</x:f>
      </x:c>
      <x:c r="K879" s="10"/>
      <x:c r="L879" s="10"/>
      <x:c r="M879" s="10" t="str">
        <x:f>IF(COUNT(L879,K879)=2,L879-K879,"")</x:f>
      </x:c>
      <x:c r="N879" s="10"/>
      <x:c r="O879" s="10"/>
      <x:c r="P879" s="10" t="str">
        <x:f>IF(COUNT(O879,N879)=2,O879-N879,"")</x:f>
      </x:c>
      <x:c r="Q879" s="10"/>
      <x:c r="R879" s="10"/>
      <x:c r="S879" s="10" t="str">
        <x:f>IF(COUNT(R879,Q879)=2,R879-Q879,"")</x:f>
      </x:c>
      <x:c r="T879" s="10"/>
      <x:c r="U879" s="10"/>
      <x:c r="V879" s="10" t="str">
        <x:f>IF(COUNT(U879,T879)=2,U879-T879,"")</x:f>
      </x:c>
      <x:c r="W879" s="10"/>
      <x:c r="X879" s="10" t="str">
        <x:f>IF(COUNT(AV879,AW879)=2,AV879+AW879,"")</x:f>
      </x:c>
      <x:c r="Y879" s="10" t="str">
        <x:f>IF(COUNT(X879,W879)=2,X879-W879,"")</x:f>
      </x:c>
      <x:c r="Z879" s="10"/>
      <x:c r="AA879" s="10" t="str">
        <x:f>IF(COUNT(AX879,AY879)=2,AX879+AY879,"")</x:f>
      </x:c>
      <x:c r="AB879" s="10" t="str">
        <x:f>IF(COUNT(AA879,Z879)=2,AA879-Z879,"")</x:f>
      </x:c>
      <x:c r="AC879" s="10"/>
      <x:c r="AD879" s="10"/>
      <x:c r="AE879" s="10" t="str">
        <x:f>IF(COUNT(AD879,AC879)=2,AD879-AC879,"")</x:f>
      </x:c>
      <x:c r="AF879" s="10"/>
      <x:c r="AG879" s="10"/>
      <x:c r="AH879" s="10" t="str">
        <x:f>IF(COUNT(AG879,AF879)=2,AG879-AF879,"")</x:f>
      </x:c>
      <x:c r="AI879" s="10"/>
      <x:c r="AJ879" s="10"/>
      <x:c r="AK879" s="10" t="str">
        <x:f>IF(COUNT(AJ879,AI879)=2,AJ879-AI879,"")</x:f>
      </x:c>
      <x:c r="AL879" s="10"/>
      <x:c r="AM879" s="10"/>
      <x:c r="AN879" s="4"/>
      <x:c r="AO879" s="4"/>
      <x:c r="AP879" s="4"/>
      <x:c r="AQ879" s="4"/>
      <x:c r="AR879" s="4"/>
      <x:c r="AS879" s="4"/>
      <x:c r="AT879" s="4"/>
      <x:c r="AU879" s="4"/>
      <x:c r="AV879" s="10"/>
      <x:c r="AW879" s="10"/>
      <x:c r="AX879" s="10"/>
      <x:c r="AY879" s="10"/>
      <x:c r="AZ879" s="10" t="n">
        <x:v>11</x:v>
      </x:c>
      <x:c r="BA879" s="10" t="n">
        <x:v>8</x:v>
      </x:c>
      <x:c r="BB879" s="4" t="n">
        <x:v>57.9</x:v>
      </x:c>
      <x:c r="BC879" s="4" t="n">
        <x:v>9</x:v>
      </x:c>
      <x:c r="BD879" s="10" t="n">
        <x:v>5</x:v>
      </x:c>
      <x:c r="BE879" s="10" t="n">
        <x:v>7</x:v>
      </x:c>
      <x:c r="BF879" s="4" t="n">
        <x:v>41.7</x:v>
      </x:c>
      <x:c r="BG879" s="4" t="n">
        <x:v>-10.3</x:v>
      </x:c>
      <x:c r="BH879" s="4" t="n">
        <x:v>0</x:v>
      </x:c>
      <x:c r="BI879" s="4" t="n">
        <x:v>100</x:v>
      </x:c>
      <x:c r="BJ879" s="4" t="n">
        <x:v>100</x:v>
      </x:c>
      <x:c r="BK879" s="4" t="n">
        <x:v>60</x:v>
      </x:c>
      <x:c r="BL879" s="4" t="n">
        <x:v>40</x:v>
      </x:c>
      <x:c r="BM879" s="4" t="n">
        <x:v>8.566666666666666</x:v>
      </x:c>
      <x:c r="BN879" s="4" t="n">
        <x:v>8.566666666666666</x:v>
      </x:c>
      <x:c r="BO879" s="10" t="n">
        <x:v>0</x:v>
      </x:c>
      <x:c r="BP879" s="10" t="n">
        <x:v>1</x:v>
      </x:c>
      <x:c r="BQ879" s="4" t="n">
        <x:v>-0.3</x:v>
      </x:c>
      <x:c r="BR879" s="10" t="n">
        <x:v>2</x:v>
      </x:c>
      <x:c r="BS879" s="4" t="n">
        <x:v>0</x:v>
      </x:c>
      <x:c r="BT879" s="10" t="n">
        <x:v>1</x:v>
      </x:c>
      <x:c r="BU879" s="4" t="str">
        <x:v>VEG</x:v>
      </x:c>
      <x:c r="BV879" s="10"/>
      <x:c r="BW879" s="10"/>
      <x:c r="BX879" s="10" t="n">
        <x:v>581</x:v>
      </x:c>
      <x:c r="BY879" s="4"/>
      <x:c r="BZ879" s="4"/>
      <x:c r="CA879" s="4" t="str">
        <x:v>Raphael Lavoie</x:v>
      </x:c>
      <x:c r="CB879" s="4" t="str">
        <x:v>lavoira01</x:v>
      </x:c>
    </x:row>
    <x:row r="880" ht="22" customHeight="1">
      <x:c r="A880" s="4" t="str">
        <x:v>Rasmus Kupari</x:v>
      </x:c>
      <x:c r="B880" s="4" t="str">
        <x:v>rasmuskupari</x:v>
      </x:c>
      <x:c r="C880" s="10" t="n">
        <x:v>1</x:v>
      </x:c>
      <x:c r="D880" s="10" t="n">
        <x:v>0</x:v>
      </x:c>
      <x:c r="E880" s="10" t="n">
        <x:v>0</x:v>
      </x:c>
      <x:c r="F880" s="4" t="n">
        <x:f>IF(COUNT(N880,Q880,T880,W880,Z880,AC880,AF880,AI880)=8,N880*Guide!$E$5+Q880*Guide!$E$6+T880*Guide!$E$7+W880*Guide!$E$8+Z880*Guide!$E$9+AC880*Guide!$E$10+AF880*Guide!$E$11+AI880*Guide!$E$12,"")</x:f>
        <x:v>121.5</x:v>
      </x:c>
      <x:c r="G880" s="4" t="str">
        <x:f>IF(COUNT(O880,R880,U880,X880,AA880,AD880,AG880,AJ880)=8,O880*Guide!$E$5+R880*Guide!$E$6+U880*Guide!$E$7+X880*Guide!$E$8+AA880*Guide!$E$9+AD880*Guide!$E$10+AG880*Guide!$E$11+AJ880*Guide!$E$12,"")</x:f>
      </x:c>
      <x:c r="H880" s="4" t="str">
        <x:f>IF(COUNT(G880,F880)=2,G880-F880,"")</x:f>
      </x:c>
      <x:c r="I880" s="4" t="n">
        <x:f>IF(AND(ISNUMBER(F880),K880&gt;0),F880/K880,"")</x:f>
        <x:v>1.786764705882353</x:v>
      </x:c>
      <x:c r="J880" s="4" t="str">
        <x:f>IF(AND(ISNUMBER(G880),L880&gt;0),G880/L880,"")</x:f>
      </x:c>
      <x:c r="K880" s="10" t="n">
        <x:v>68</x:v>
      </x:c>
      <x:c r="L880" s="10"/>
      <x:c r="M880" s="10" t="str">
        <x:f>IF(COUNT(L880,K880)=2,L880-K880,"")</x:f>
      </x:c>
      <x:c r="N880" s="10" t="n">
        <x:v>7</x:v>
      </x:c>
      <x:c r="O880" s="10"/>
      <x:c r="P880" s="10" t="str">
        <x:f>IF(COUNT(O880,N880)=2,O880-N880,"")</x:f>
      </x:c>
      <x:c r="Q880" s="10" t="n">
        <x:v>9</x:v>
      </x:c>
      <x:c r="R880" s="10"/>
      <x:c r="S880" s="10" t="str">
        <x:f>IF(COUNT(R880,Q880)=2,R880-Q880,"")</x:f>
      </x:c>
      <x:c r="T880" s="10" t="n">
        <x:v>-1</x:v>
      </x:c>
      <x:c r="U880" s="10"/>
      <x:c r="V880" s="10" t="str">
        <x:f>IF(COUNT(U880,T880)=2,U880-T880,"")</x:f>
      </x:c>
      <x:c r="W880" s="10" t="n">
        <x:v>2</x:v>
      </x:c>
      <x:c r="X880" s="10" t="str">
        <x:f>IF(COUNT(AV880,AW880)=2,AV880+AW880,"")</x:f>
      </x:c>
      <x:c r="Y880" s="10" t="str">
        <x:f>IF(COUNT(X880,W880)=2,X880-W880,"")</x:f>
      </x:c>
      <x:c r="Z880" s="10" t="n">
        <x:v>1</x:v>
      </x:c>
      <x:c r="AA880" s="10" t="str">
        <x:f>IF(COUNT(AX880,AY880)=2,AX880+AY880,"")</x:f>
      </x:c>
      <x:c r="AB880" s="10" t="str">
        <x:f>IF(COUNT(AA880,Z880)=2,AA880-Z880,"")</x:f>
      </x:c>
      <x:c r="AC880" s="10" t="n">
        <x:v>64</x:v>
      </x:c>
      <x:c r="AD880" s="10"/>
      <x:c r="AE880" s="10" t="str">
        <x:f>IF(COUNT(AD880,AC880)=2,AD880-AC880,"")</x:f>
      </x:c>
      <x:c r="AF880" s="10" t="n">
        <x:v>84</x:v>
      </x:c>
      <x:c r="AG880" s="10"/>
      <x:c r="AH880" s="10" t="str">
        <x:f>IF(COUNT(AG880,AF880)=2,AG880-AF880,"")</x:f>
      </x:c>
      <x:c r="AI880" s="10" t="n">
        <x:v>34</x:v>
      </x:c>
      <x:c r="AJ880" s="10"/>
      <x:c r="AK880" s="10" t="str">
        <x:f>IF(COUNT(AJ880,AI880)=2,AJ880-AI880,"")</x:f>
      </x:c>
      <x:c r="AL880" s="10" t="n">
        <x:v>25</x:v>
      </x:c>
      <x:c r="AM880" s="10"/>
      <x:c r="AN880" s="4" t="str">
        <x:v>C</x:v>
      </x:c>
      <x:c r="AO880" s="4"/>
      <x:c r="AP880" s="4" t="str">
        <x:v>WPG</x:v>
      </x:c>
      <x:c r="AQ880" s="4"/>
      <x:c r="AR880" s="4" t="n">
        <x:v>10.48</x:v>
      </x:c>
      <x:c r="AS880" s="4"/>
      <x:c r="AT880" s="4" t="n">
        <x:v>0.25</x:v>
      </x:c>
      <x:c r="AU880" s="4"/>
      <x:c r="AV880" s="10"/>
      <x:c r="AW880" s="10"/>
      <x:c r="AX880" s="10"/>
      <x:c r="AY880" s="10"/>
      <x:c r="AZ880" s="10"/>
      <x:c r="BA880" s="10"/>
      <x:c r="BB880" s="4"/>
      <x:c r="BC880" s="4"/>
      <x:c r="BD880" s="10"/>
      <x:c r="BE880" s="10"/>
      <x:c r="BF880" s="4"/>
      <x:c r="BG880" s="4"/>
      <x:c r="BH880" s="4"/>
      <x:c r="BI880" s="4"/>
      <x:c r="BJ880" s="4"/>
      <x:c r="BK880" s="4"/>
      <x:c r="BL880" s="4"/>
      <x:c r="BM880" s="4"/>
      <x:c r="BN880" s="4"/>
      <x:c r="BO880" s="10"/>
      <x:c r="BP880" s="10"/>
      <x:c r="BQ880" s="4"/>
      <x:c r="BR880" s="10"/>
      <x:c r="BS880" s="4"/>
      <x:c r="BT880" s="10"/>
      <x:c r="BU880" s="4"/>
      <x:c r="BV880" s="10" t="n">
        <x:v>613</x:v>
      </x:c>
      <x:c r="BW880" s="10"/>
      <x:c r="BX880" s="10"/>
      <x:c r="BY880" s="4" t="str">
        <x:v>Rasmus Kupari</x:v>
      </x:c>
      <x:c r="BZ880" s="4"/>
      <x:c r="CA880" s="4"/>
      <x:c r="CB880" s="4"/>
    </x:row>
    <x:row r="881" ht="22" customHeight="1">
      <x:c r="A881" s="4" t="str">
        <x:v>Rasmus Ristolainen</x:v>
      </x:c>
      <x:c r="B881" s="4" t="str">
        <x:v>rasmusristolainen</x:v>
      </x:c>
      <x:c r="C881" s="10" t="n">
        <x:v>1</x:v>
      </x:c>
      <x:c r="D881" s="10" t="n">
        <x:v>0</x:v>
      </x:c>
      <x:c r="E881" s="10" t="n">
        <x:v>1</x:v>
      </x:c>
      <x:c r="F881" s="4" t="n">
        <x:f>IF(COUNT(N881,Q881,T881,W881,Z881,AC881,AF881,AI881)=8,N881*Guide!$E$5+Q881*Guide!$E$6+T881*Guide!$E$7+W881*Guide!$E$8+Z881*Guide!$E$9+AC881*Guide!$E$10+AF881*Guide!$E$11+AI881*Guide!$E$12,"")</x:f>
        <x:v>236.5</x:v>
      </x:c>
      <x:c r="G881" s="4" t="str">
        <x:f>IF(COUNT(O881,R881,U881,X881,AA881,AD881,AG881,AJ881)=8,O881*Guide!$E$5+R881*Guide!$E$6+U881*Guide!$E$7+X881*Guide!$E$8+AA881*Guide!$E$9+AD881*Guide!$E$10+AG881*Guide!$E$11+AJ881*Guide!$E$12,"")</x:f>
      </x:c>
      <x:c r="H881" s="4" t="str">
        <x:f>IF(COUNT(G881,F881)=2,G881-F881,"")</x:f>
      </x:c>
      <x:c r="I881" s="4" t="n">
        <x:f>IF(AND(ISNUMBER(F881),K881&gt;0),F881/K881,"")</x:f>
        <x:v>3.111842105263158</x:v>
      </x:c>
      <x:c r="J881" s="4" t="str">
        <x:f>IF(AND(ISNUMBER(G881),L881&gt;0),G881/L881,"")</x:f>
      </x:c>
      <x:c r="K881" s="10" t="n">
        <x:v>76</x:v>
      </x:c>
      <x:c r="L881" s="10"/>
      <x:c r="M881" s="10" t="str">
        <x:f>IF(COUNT(L881,K881)=2,L881-K881,"")</x:f>
      </x:c>
      <x:c r="N881" s="10" t="n">
        <x:v>5</x:v>
      </x:c>
      <x:c r="O881" s="10"/>
      <x:c r="P881" s="10" t="str">
        <x:f>IF(COUNT(O881,N881)=2,O881-N881,"")</x:f>
      </x:c>
      <x:c r="Q881" s="10" t="n">
        <x:v>18</x:v>
      </x:c>
      <x:c r="R881" s="10"/>
      <x:c r="S881" s="10" t="str">
        <x:f>IF(COUNT(R881,Q881)=2,R881-Q881,"")</x:f>
      </x:c>
      <x:c r="T881" s="10" t="n">
        <x:v>6</x:v>
      </x:c>
      <x:c r="U881" s="10"/>
      <x:c r="V881" s="10" t="str">
        <x:f>IF(COUNT(U881,T881)=2,U881-T881,"")</x:f>
      </x:c>
      <x:c r="W881" s="10" t="n">
        <x:v>6</x:v>
      </x:c>
      <x:c r="X881" s="10" t="str">
        <x:f>IF(COUNT(AV881,AW881)=2,AV881+AW881,"")</x:f>
      </x:c>
      <x:c r="Y881" s="10" t="str">
        <x:f>IF(COUNT(X881,W881)=2,X881-W881,"")</x:f>
      </x:c>
      <x:c r="Z881" s="10" t="n">
        <x:v>1</x:v>
      </x:c>
      <x:c r="AA881" s="10" t="str">
        <x:f>IF(COUNT(AX881,AY881)=2,AX881+AY881,"")</x:f>
      </x:c>
      <x:c r="AB881" s="10" t="str">
        <x:f>IF(COUNT(AA881,Z881)=2,AA881-Z881,"")</x:f>
      </x:c>
      <x:c r="AC881" s="10" t="n">
        <x:v>115</x:v>
      </x:c>
      <x:c r="AD881" s="10"/>
      <x:c r="AE881" s="10" t="str">
        <x:f>IF(COUNT(AD881,AC881)=2,AD881-AC881,"")</x:f>
      </x:c>
      <x:c r="AF881" s="10" t="n">
        <x:v>115</x:v>
      </x:c>
      <x:c r="AG881" s="10"/>
      <x:c r="AH881" s="10" t="str">
        <x:f>IF(COUNT(AG881,AF881)=2,AG881-AF881,"")</x:f>
      </x:c>
      <x:c r="AI881" s="10" t="n">
        <x:v>120</x:v>
      </x:c>
      <x:c r="AJ881" s="10"/>
      <x:c r="AK881" s="10" t="str">
        <x:f>IF(COUNT(AJ881,AI881)=2,AJ881-AI881,"")</x:f>
      </x:c>
      <x:c r="AL881" s="10" t="n">
        <x:v>31</x:v>
      </x:c>
      <x:c r="AM881" s="10"/>
      <x:c r="AN881" s="4" t="str">
        <x:v>D</x:v>
      </x:c>
      <x:c r="AO881" s="4"/>
      <x:c r="AP881" s="4" t="str">
        <x:v>PHI</x:v>
      </x:c>
      <x:c r="AQ881" s="4"/>
      <x:c r="AR881" s="4" t="n">
        <x:v>19.979999999999997</x:v>
      </x:c>
      <x:c r="AS881" s="4"/>
      <x:c r="AT881" s="4" t="n">
        <x:v>0.99</x:v>
      </x:c>
      <x:c r="AU881" s="4"/>
      <x:c r="AV881" s="10"/>
      <x:c r="AW881" s="10"/>
      <x:c r="AX881" s="10"/>
      <x:c r="AY881" s="10"/>
      <x:c r="AZ881" s="10" t="n">
        <x:v>683</x:v>
      </x:c>
      <x:c r="BA881" s="10" t="n">
        <x:v>732</x:v>
      </x:c>
      <x:c r="BB881" s="4" t="n">
        <x:v>48.3</x:v>
      </x:c>
      <x:c r="BC881" s="4" t="n">
        <x:v>0.7</x:v>
      </x:c>
      <x:c r="BD881" s="10" t="n">
        <x:v>503</x:v>
      </x:c>
      <x:c r="BE881" s="10" t="n">
        <x:v>525</x:v>
      </x:c>
      <x:c r="BF881" s="4" t="n">
        <x:v>48.9</x:v>
      </x:c>
      <x:c r="BG881" s="4" t="n">
        <x:v>0.1</x:v>
      </x:c>
      <x:c r="BH881" s="4" t="n">
        <x:v>12.4</x:v>
      </x:c>
      <x:c r="BI881" s="4" t="n">
        <x:v>90.4</x:v>
      </x:c>
      <x:c r="BJ881" s="4" t="n">
        <x:v>102.8</x:v>
      </x:c>
      <x:c r="BK881" s="4" t="n">
        <x:v>41.9</x:v>
      </x:c>
      <x:c r="BL881" s="4" t="n">
        <x:v>58.1</x:v>
      </x:c>
      <x:c r="BM881" s="4" t="n">
        <x:v>21.383333333333333</x:v>
      </x:c>
      <x:c r="BN881" s="4" t="n">
        <x:v>18.383333333333333</x:v>
      </x:c>
      <x:c r="BO881" s="10" t="n">
        <x:v>12</x:v>
      </x:c>
      <x:c r="BP881" s="10" t="n">
        <x:v>39</x:v>
      </x:c>
      <x:c r="BQ881" s="4" t="n">
        <x:v>7.2</x:v>
      </x:c>
      <x:c r="BR881" s="10" t="n">
        <x:v>142</x:v>
      </x:c>
      <x:c r="BS881" s="4" t="n">
        <x:v>40.8</x:v>
      </x:c>
      <x:c r="BT881" s="10" t="n">
        <x:v>44</x:v>
      </x:c>
      <x:c r="BU881" s="4" t="str">
        <x:v>PHI</x:v>
      </x:c>
      <x:c r="BV881" s="10" t="n">
        <x:v>464</x:v>
      </x:c>
      <x:c r="BW881" s="10"/>
      <x:c r="BX881" s="10" t="n">
        <x:v>863</x:v>
      </x:c>
      <x:c r="BY881" s="4" t="str">
        <x:v>Rasmus Ristolainen</x:v>
      </x:c>
      <x:c r="BZ881" s="4"/>
      <x:c r="CA881" s="4" t="str">
        <x:v>Rasmus Ristolainen</x:v>
      </x:c>
      <x:c r="CB881" s="4" t="str">
        <x:v>ristora01</x:v>
      </x:c>
    </x:row>
    <x:row r="882" ht="22" customHeight="1">
      <x:c r="A882" s="4" t="str">
        <x:v>Reid Schaefer</x:v>
      </x:c>
      <x:c r="B882" s="4" t="str">
        <x:v>reidschaefer</x:v>
      </x:c>
      <x:c r="C882" s="10" t="n">
        <x:v>0</x:v>
      </x:c>
      <x:c r="D882" s="10" t="n">
        <x:v>0</x:v>
      </x:c>
      <x:c r="E882" s="10" t="n">
        <x:v>1</x:v>
      </x:c>
      <x:c r="F882" s="4" t="str">
        <x:f>IF(COUNT(N882,Q882,T882,W882,Z882,AC882,AF882,AI882)=8,N882*Guide!$E$5+Q882*Guide!$E$6+T882*Guide!$E$7+W882*Guide!$E$8+Z882*Guide!$E$9+AC882*Guide!$E$10+AF882*Guide!$E$11+AI882*Guide!$E$12,"")</x:f>
      </x:c>
      <x:c r="G882" s="4" t="str">
        <x:f>IF(COUNT(O882,R882,U882,X882,AA882,AD882,AG882,AJ882)=8,O882*Guide!$E$5+R882*Guide!$E$6+U882*Guide!$E$7+X882*Guide!$E$8+AA882*Guide!$E$9+AD882*Guide!$E$10+AG882*Guide!$E$11+AJ882*Guide!$E$12,"")</x:f>
      </x:c>
      <x:c r="H882" s="4" t="str">
        <x:f>IF(COUNT(G882,F882)=2,G882-F882,"")</x:f>
      </x:c>
      <x:c r="I882" s="4" t="str">
        <x:f>IF(AND(ISNUMBER(F882),K882&gt;0),F882/K882,"")</x:f>
      </x:c>
      <x:c r="J882" s="4" t="str">
        <x:f>IF(AND(ISNUMBER(G882),L882&gt;0),G882/L882,"")</x:f>
      </x:c>
      <x:c r="K882" s="10"/>
      <x:c r="L882" s="10"/>
      <x:c r="M882" s="10" t="str">
        <x:f>IF(COUNT(L882,K882)=2,L882-K882,"")</x:f>
      </x:c>
      <x:c r="N882" s="10"/>
      <x:c r="O882" s="10"/>
      <x:c r="P882" s="10" t="str">
        <x:f>IF(COUNT(O882,N882)=2,O882-N882,"")</x:f>
      </x:c>
      <x:c r="Q882" s="10"/>
      <x:c r="R882" s="10"/>
      <x:c r="S882" s="10" t="str">
        <x:f>IF(COUNT(R882,Q882)=2,R882-Q882,"")</x:f>
      </x:c>
      <x:c r="T882" s="10"/>
      <x:c r="U882" s="10"/>
      <x:c r="V882" s="10" t="str">
        <x:f>IF(COUNT(U882,T882)=2,U882-T882,"")</x:f>
      </x:c>
      <x:c r="W882" s="10"/>
      <x:c r="X882" s="10" t="str">
        <x:f>IF(COUNT(AV882,AW882)=2,AV882+AW882,"")</x:f>
      </x:c>
      <x:c r="Y882" s="10" t="str">
        <x:f>IF(COUNT(X882,W882)=2,X882-W882,"")</x:f>
      </x:c>
      <x:c r="Z882" s="10"/>
      <x:c r="AA882" s="10" t="str">
        <x:f>IF(COUNT(AX882,AY882)=2,AX882+AY882,"")</x:f>
      </x:c>
      <x:c r="AB882" s="10" t="str">
        <x:f>IF(COUNT(AA882,Z882)=2,AA882-Z882,"")</x:f>
      </x:c>
      <x:c r="AC882" s="10"/>
      <x:c r="AD882" s="10"/>
      <x:c r="AE882" s="10" t="str">
        <x:f>IF(COUNT(AD882,AC882)=2,AD882-AC882,"")</x:f>
      </x:c>
      <x:c r="AF882" s="10"/>
      <x:c r="AG882" s="10"/>
      <x:c r="AH882" s="10" t="str">
        <x:f>IF(COUNT(AG882,AF882)=2,AG882-AF882,"")</x:f>
      </x:c>
      <x:c r="AI882" s="10"/>
      <x:c r="AJ882" s="10"/>
      <x:c r="AK882" s="10" t="str">
        <x:f>IF(COUNT(AJ882,AI882)=2,AJ882-AI882,"")</x:f>
      </x:c>
      <x:c r="AL882" s="10"/>
      <x:c r="AM882" s="10"/>
      <x:c r="AN882" s="4"/>
      <x:c r="AO882" s="4"/>
      <x:c r="AP882" s="4"/>
      <x:c r="AQ882" s="4"/>
      <x:c r="AR882" s="4"/>
      <x:c r="AS882" s="4"/>
      <x:c r="AT882" s="4"/>
      <x:c r="AU882" s="4"/>
      <x:c r="AV882" s="10"/>
      <x:c r="AW882" s="10"/>
      <x:c r="AX882" s="10"/>
      <x:c r="AY882" s="10"/>
      <x:c r="AZ882" s="10" t="n">
        <x:v>361</x:v>
      </x:c>
      <x:c r="BA882" s="10" t="n">
        <x:v>478</x:v>
      </x:c>
      <x:c r="BB882" s="4" t="n">
        <x:v>43</x:v>
      </x:c>
      <x:c r="BC882" s="4" t="n">
        <x:v>-6</x:v>
      </x:c>
      <x:c r="BD882" s="10" t="n">
        <x:v>246</x:v>
      </x:c>
      <x:c r="BE882" s="10" t="n">
        <x:v>340</x:v>
      </x:c>
      <x:c r="BF882" s="4" t="n">
        <x:v>42</x:v>
      </x:c>
      <x:c r="BG882" s="4" t="n">
        <x:v>-6.3</x:v>
      </x:c>
      <x:c r="BH882" s="4" t="n">
        <x:v>5.6</x:v>
      </x:c>
      <x:c r="BI882" s="4" t="n">
        <x:v>90.7</x:v>
      </x:c>
      <x:c r="BJ882" s="4" t="n">
        <x:v>96.3</x:v>
      </x:c>
      <x:c r="BK882" s="4" t="n">
        <x:v>39.8</x:v>
      </x:c>
      <x:c r="BL882" s="4" t="n">
        <x:v>60.2</x:v>
      </x:c>
      <x:c r="BM882" s="4" t="n">
        <x:v>9.633333333333333</x:v>
      </x:c>
      <x:c r="BN882" s="4" t="n">
        <x:v>9.533333333333333</x:v>
      </x:c>
      <x:c r="BO882" s="10" t="n">
        <x:v>5</x:v>
      </x:c>
      <x:c r="BP882" s="10" t="n">
        <x:v>19</x:v>
      </x:c>
      <x:c r="BQ882" s="4" t="n">
        <x:v>-6.5</x:v>
      </x:c>
      <x:c r="BR882" s="10" t="n">
        <x:v>83</x:v>
      </x:c>
      <x:c r="BS882" s="4" t="n">
        <x:v>47</x:v>
      </x:c>
      <x:c r="BT882" s="10" t="n">
        <x:v>47</x:v>
      </x:c>
      <x:c r="BU882" s="4" t="str">
        <x:v>NSH</x:v>
      </x:c>
      <x:c r="BV882" s="10"/>
      <x:c r="BW882" s="10"/>
      <x:c r="BX882" s="10" t="n">
        <x:v>902</x:v>
      </x:c>
      <x:c r="BY882" s="4"/>
      <x:c r="BZ882" s="4"/>
      <x:c r="CA882" s="4" t="str">
        <x:v>Reid Schaefer</x:v>
      </x:c>
      <x:c r="CB882" s="4" t="str">
        <x:v>schaere01</x:v>
      </x:c>
    </x:row>
    <x:row r="883" ht="22" customHeight="1">
      <x:c r="A883" s="4" t="str">
        <x:v>Riley Stillman</x:v>
      </x:c>
      <x:c r="B883" s="4" t="str">
        <x:v>rileystillman</x:v>
      </x:c>
      <x:c r="C883" s="10" t="n">
        <x:v>0</x:v>
      </x:c>
      <x:c r="D883" s="10" t="n">
        <x:v>0</x:v>
      </x:c>
      <x:c r="E883" s="10" t="n">
        <x:v>1</x:v>
      </x:c>
      <x:c r="F883" s="4" t="str">
        <x:f>IF(COUNT(N883,Q883,T883,W883,Z883,AC883,AF883,AI883)=8,N883*Guide!$E$5+Q883*Guide!$E$6+T883*Guide!$E$7+W883*Guide!$E$8+Z883*Guide!$E$9+AC883*Guide!$E$10+AF883*Guide!$E$11+AI883*Guide!$E$12,"")</x:f>
      </x:c>
      <x:c r="G883" s="4" t="str">
        <x:f>IF(COUNT(O883,R883,U883,X883,AA883,AD883,AG883,AJ883)=8,O883*Guide!$E$5+R883*Guide!$E$6+U883*Guide!$E$7+X883*Guide!$E$8+AA883*Guide!$E$9+AD883*Guide!$E$10+AG883*Guide!$E$11+AJ883*Guide!$E$12,"")</x:f>
      </x:c>
      <x:c r="H883" s="4" t="str">
        <x:f>IF(COUNT(G883,F883)=2,G883-F883,"")</x:f>
      </x:c>
      <x:c r="I883" s="4" t="str">
        <x:f>IF(AND(ISNUMBER(F883),K883&gt;0),F883/K883,"")</x:f>
      </x:c>
      <x:c r="J883" s="4" t="str">
        <x:f>IF(AND(ISNUMBER(G883),L883&gt;0),G883/L883,"")</x:f>
      </x:c>
      <x:c r="K883" s="10"/>
      <x:c r="L883" s="10"/>
      <x:c r="M883" s="10" t="str">
        <x:f>IF(COUNT(L883,K883)=2,L883-K883,"")</x:f>
      </x:c>
      <x:c r="N883" s="10"/>
      <x:c r="O883" s="10"/>
      <x:c r="P883" s="10" t="str">
        <x:f>IF(COUNT(O883,N883)=2,O883-N883,"")</x:f>
      </x:c>
      <x:c r="Q883" s="10"/>
      <x:c r="R883" s="10"/>
      <x:c r="S883" s="10" t="str">
        <x:f>IF(COUNT(R883,Q883)=2,R883-Q883,"")</x:f>
      </x:c>
      <x:c r="T883" s="10"/>
      <x:c r="U883" s="10"/>
      <x:c r="V883" s="10" t="str">
        <x:f>IF(COUNT(U883,T883)=2,U883-T883,"")</x:f>
      </x:c>
      <x:c r="W883" s="10"/>
      <x:c r="X883" s="10" t="str">
        <x:f>IF(COUNT(AV883,AW883)=2,AV883+AW883,"")</x:f>
      </x:c>
      <x:c r="Y883" s="10" t="str">
        <x:f>IF(COUNT(X883,W883)=2,X883-W883,"")</x:f>
      </x:c>
      <x:c r="Z883" s="10"/>
      <x:c r="AA883" s="10" t="str">
        <x:f>IF(COUNT(AX883,AY883)=2,AX883+AY883,"")</x:f>
      </x:c>
      <x:c r="AB883" s="10" t="str">
        <x:f>IF(COUNT(AA883,Z883)=2,AA883-Z883,"")</x:f>
      </x:c>
      <x:c r="AC883" s="10"/>
      <x:c r="AD883" s="10"/>
      <x:c r="AE883" s="10" t="str">
        <x:f>IF(COUNT(AD883,AC883)=2,AD883-AC883,"")</x:f>
      </x:c>
      <x:c r="AF883" s="10"/>
      <x:c r="AG883" s="10"/>
      <x:c r="AH883" s="10" t="str">
        <x:f>IF(COUNT(AG883,AF883)=2,AG883-AF883,"")</x:f>
      </x:c>
      <x:c r="AI883" s="10"/>
      <x:c r="AJ883" s="10"/>
      <x:c r="AK883" s="10" t="str">
        <x:f>IF(COUNT(AJ883,AI883)=2,AJ883-AI883,"")</x:f>
      </x:c>
      <x:c r="AL883" s="10"/>
      <x:c r="AM883" s="10"/>
      <x:c r="AN883" s="4"/>
      <x:c r="AO883" s="4"/>
      <x:c r="AP883" s="4"/>
      <x:c r="AQ883" s="4"/>
      <x:c r="AR883" s="4"/>
      <x:c r="AS883" s="4"/>
      <x:c r="AT883" s="4"/>
      <x:c r="AU883" s="4"/>
      <x:c r="AV883" s="10"/>
      <x:c r="AW883" s="10"/>
      <x:c r="AX883" s="10"/>
      <x:c r="AY883" s="10"/>
      <x:c r="AZ883" s="10" t="n">
        <x:v>31</x:v>
      </x:c>
      <x:c r="BA883" s="10" t="n">
        <x:v>46</x:v>
      </x:c>
      <x:c r="BB883" s="4" t="n">
        <x:v>40.3</x:v>
      </x:c>
      <x:c r="BC883" s="4" t="n">
        <x:v>-8.7</x:v>
      </x:c>
      <x:c r="BD883" s="10" t="n">
        <x:v>23</x:v>
      </x:c>
      <x:c r="BE883" s="10" t="n">
        <x:v>39</x:v>
      </x:c>
      <x:c r="BF883" s="4" t="n">
        <x:v>37.1</x:v>
      </x:c>
      <x:c r="BG883" s="4" t="n">
        <x:v>-9.9</x:v>
      </x:c>
      <x:c r="BH883" s="4" t="n">
        <x:v>11.8</x:v>
      </x:c>
      <x:c r="BI883" s="4" t="n">
        <x:v>95.8</x:v>
      </x:c>
      <x:c r="BJ883" s="4" t="n">
        <x:v>107.6</x:v>
      </x:c>
      <x:c r="BK883" s="4" t="n">
        <x:v>34.6</x:v>
      </x:c>
      <x:c r="BL883" s="4" t="n">
        <x:v>65.4</x:v>
      </x:c>
      <x:c r="BM883" s="4" t="n">
        <x:v>12.033333333333333</x:v>
      </x:c>
      <x:c r="BN883" s="4" t="n">
        <x:v>12.033333333333333</x:v>
      </x:c>
      <x:c r="BO883" s="10" t="n">
        <x:v>0</x:v>
      </x:c>
      <x:c r="BP883" s="10" t="n">
        <x:v>2</x:v>
      </x:c>
      <x:c r="BQ883" s="4" t="n">
        <x:v>-0.3</x:v>
      </x:c>
      <x:c r="BR883" s="10" t="n">
        <x:v>4</x:v>
      </x:c>
      <x:c r="BS883" s="4" t="n">
        <x:v>25</x:v>
      </x:c>
      <x:c r="BT883" s="10" t="n">
        <x:v>4</x:v>
      </x:c>
      <x:c r="BU883" s="4" t="str">
        <x:v>EDM</x:v>
      </x:c>
      <x:c r="BV883" s="10"/>
      <x:c r="BW883" s="10"/>
      <x:c r="BX883" s="10" t="n">
        <x:v>984</x:v>
      </x:c>
      <x:c r="BY883" s="4"/>
      <x:c r="BZ883" s="4"/>
      <x:c r="CA883" s="4" t="str">
        <x:v>Riley Stillman</x:v>
      </x:c>
      <x:c r="CB883" s="4" t="str">
        <x:v>stillri01</x:v>
      </x:c>
    </x:row>
    <x:row r="884" ht="22" customHeight="1">
      <x:c r="A884" s="4" t="str">
        <x:v>Riley Tufte</x:v>
      </x:c>
      <x:c r="B884" s="4" t="str">
        <x:v>rileytufte</x:v>
      </x:c>
      <x:c r="C884" s="10" t="n">
        <x:v>0</x:v>
      </x:c>
      <x:c r="D884" s="10" t="n">
        <x:v>0</x:v>
      </x:c>
      <x:c r="E884" s="10" t="n">
        <x:v>1</x:v>
      </x:c>
      <x:c r="F884" s="4" t="str">
        <x:f>IF(COUNT(N884,Q884,T884,W884,Z884,AC884,AF884,AI884)=8,N884*Guide!$E$5+Q884*Guide!$E$6+T884*Guide!$E$7+W884*Guide!$E$8+Z884*Guide!$E$9+AC884*Guide!$E$10+AF884*Guide!$E$11+AI884*Guide!$E$12,"")</x:f>
      </x:c>
      <x:c r="G884" s="4" t="str">
        <x:f>IF(COUNT(O884,R884,U884,X884,AA884,AD884,AG884,AJ884)=8,O884*Guide!$E$5+R884*Guide!$E$6+U884*Guide!$E$7+X884*Guide!$E$8+AA884*Guide!$E$9+AD884*Guide!$E$10+AG884*Guide!$E$11+AJ884*Guide!$E$12,"")</x:f>
      </x:c>
      <x:c r="H884" s="4" t="str">
        <x:f>IF(COUNT(G884,F884)=2,G884-F884,"")</x:f>
      </x:c>
      <x:c r="I884" s="4" t="str">
        <x:f>IF(AND(ISNUMBER(F884),K884&gt;0),F884/K884,"")</x:f>
      </x:c>
      <x:c r="J884" s="4" t="str">
        <x:f>IF(AND(ISNUMBER(G884),L884&gt;0),G884/L884,"")</x:f>
      </x:c>
      <x:c r="K884" s="10"/>
      <x:c r="L884" s="10"/>
      <x:c r="M884" s="10" t="str">
        <x:f>IF(COUNT(L884,K884)=2,L884-K884,"")</x:f>
      </x:c>
      <x:c r="N884" s="10"/>
      <x:c r="O884" s="10"/>
      <x:c r="P884" s="10" t="str">
        <x:f>IF(COUNT(O884,N884)=2,O884-N884,"")</x:f>
      </x:c>
      <x:c r="Q884" s="10"/>
      <x:c r="R884" s="10"/>
      <x:c r="S884" s="10" t="str">
        <x:f>IF(COUNT(R884,Q884)=2,R884-Q884,"")</x:f>
      </x:c>
      <x:c r="T884" s="10"/>
      <x:c r="U884" s="10"/>
      <x:c r="V884" s="10" t="str">
        <x:f>IF(COUNT(U884,T884)=2,U884-T884,"")</x:f>
      </x:c>
      <x:c r="W884" s="10"/>
      <x:c r="X884" s="10" t="str">
        <x:f>IF(COUNT(AV884,AW884)=2,AV884+AW884,"")</x:f>
      </x:c>
      <x:c r="Y884" s="10" t="str">
        <x:f>IF(COUNT(X884,W884)=2,X884-W884,"")</x:f>
      </x:c>
      <x:c r="Z884" s="10"/>
      <x:c r="AA884" s="10" t="str">
        <x:f>IF(COUNT(AX884,AY884)=2,AX884+AY884,"")</x:f>
      </x:c>
      <x:c r="AB884" s="10" t="str">
        <x:f>IF(COUNT(AA884,Z884)=2,AA884-Z884,"")</x:f>
      </x:c>
      <x:c r="AC884" s="10"/>
      <x:c r="AD884" s="10"/>
      <x:c r="AE884" s="10" t="str">
        <x:f>IF(COUNT(AD884,AC884)=2,AD884-AC884,"")</x:f>
      </x:c>
      <x:c r="AF884" s="10"/>
      <x:c r="AG884" s="10"/>
      <x:c r="AH884" s="10" t="str">
        <x:f>IF(COUNT(AG884,AF884)=2,AG884-AF884,"")</x:f>
      </x:c>
      <x:c r="AI884" s="10"/>
      <x:c r="AJ884" s="10"/>
      <x:c r="AK884" s="10" t="str">
        <x:f>IF(COUNT(AJ884,AI884)=2,AJ884-AI884,"")</x:f>
      </x:c>
      <x:c r="AL884" s="10"/>
      <x:c r="AM884" s="10"/>
      <x:c r="AN884" s="4"/>
      <x:c r="AO884" s="4"/>
      <x:c r="AP884" s="4"/>
      <x:c r="AQ884" s="4"/>
      <x:c r="AR884" s="4"/>
      <x:c r="AS884" s="4"/>
      <x:c r="AT884" s="4"/>
      <x:c r="AU884" s="4"/>
      <x:c r="AV884" s="10"/>
      <x:c r="AW884" s="10"/>
      <x:c r="AX884" s="10"/>
      <x:c r="AY884" s="10"/>
      <x:c r="AZ884" s="10" t="n">
        <x:v>43</x:v>
      </x:c>
      <x:c r="BA884" s="10" t="n">
        <x:v>58</x:v>
      </x:c>
      <x:c r="BB884" s="4" t="n">
        <x:v>42.6</x:v>
      </x:c>
      <x:c r="BC884" s="4" t="n">
        <x:v>-7.1</x:v>
      </x:c>
      <x:c r="BD884" s="10" t="n">
        <x:v>36</x:v>
      </x:c>
      <x:c r="BE884" s="10" t="n">
        <x:v>39</x:v>
      </x:c>
      <x:c r="BF884" s="4" t="n">
        <x:v>48</x:v>
      </x:c>
      <x:c r="BG884" s="4" t="n">
        <x:v>0.7</x:v>
      </x:c>
      <x:c r="BH884" s="4" t="n">
        <x:v>0</x:v>
      </x:c>
      <x:c r="BI884" s="4" t="n">
        <x:v>94.7</x:v>
      </x:c>
      <x:c r="BJ884" s="4" t="n">
        <x:v>94.7</x:v>
      </x:c>
      <x:c r="BK884" s="4" t="n">
        <x:v>23.8</x:v>
      </x:c>
      <x:c r="BL884" s="4" t="n">
        <x:v>76.2</x:v>
      </x:c>
      <x:c r="BM884" s="4" t="n">
        <x:v>11.666666666666666</x:v>
      </x:c>
      <x:c r="BN884" s="4" t="n">
        <x:v>10.383333333333333</x:v>
      </x:c>
      <x:c r="BO884" s="10" t="n">
        <x:v>0</x:v>
      </x:c>
      <x:c r="BP884" s="10" t="n">
        <x:v>1</x:v>
      </x:c>
      <x:c r="BQ884" s="4" t="n">
        <x:v>0.4</x:v>
      </x:c>
      <x:c r="BR884" s="10" t="n">
        <x:v>8</x:v>
      </x:c>
      <x:c r="BS884" s="4" t="n">
        <x:v>50</x:v>
      </x:c>
      <x:c r="BT884" s="10" t="n">
        <x:v>4</x:v>
      </x:c>
      <x:c r="BU884" s="4" t="str">
        <x:v>BOS</x:v>
      </x:c>
      <x:c r="BV884" s="10"/>
      <x:c r="BW884" s="10"/>
      <x:c r="BX884" s="10" t="n">
        <x:v>1037</x:v>
      </x:c>
      <x:c r="BY884" s="4"/>
      <x:c r="BZ884" s="4"/>
      <x:c r="CA884" s="4" t="str">
        <x:v>Riley Tufte</x:v>
      </x:c>
      <x:c r="CB884" s="4" t="str">
        <x:v>tufteri01</x:v>
      </x:c>
    </x:row>
    <x:row r="885" ht="22" customHeight="1">
      <x:c r="A885" s="4" t="str">
        <x:v>Robby Fabbri</x:v>
      </x:c>
      <x:c r="B885" s="4" t="str">
        <x:v>robbyfabbri</x:v>
      </x:c>
      <x:c r="C885" s="10" t="n">
        <x:v>1</x:v>
      </x:c>
      <x:c r="D885" s="10" t="n">
        <x:v>0</x:v>
      </x:c>
      <x:c r="E885" s="10" t="n">
        <x:v>1</x:v>
      </x:c>
      <x:c r="F885" s="4" t="n">
        <x:f>IF(COUNT(N885,Q885,T885,W885,Z885,AC885,AF885,AI885)=8,N885*Guide!$E$5+Q885*Guide!$E$6+T885*Guide!$E$7+W885*Guide!$E$8+Z885*Guide!$E$9+AC885*Guide!$E$10+AF885*Guide!$E$11+AI885*Guide!$E$12,"")</x:f>
        <x:v>204.25</x:v>
      </x:c>
      <x:c r="G885" s="4" t="str">
        <x:f>IF(COUNT(O885,R885,U885,X885,AA885,AD885,AG885,AJ885)=8,O885*Guide!$E$5+R885*Guide!$E$6+U885*Guide!$E$7+X885*Guide!$E$8+AA885*Guide!$E$9+AD885*Guide!$E$10+AG885*Guide!$E$11+AJ885*Guide!$E$12,"")</x:f>
      </x:c>
      <x:c r="H885" s="4" t="str">
        <x:f>IF(COUNT(G885,F885)=2,G885-F885,"")</x:f>
      </x:c>
      <x:c r="I885" s="4" t="n">
        <x:f>IF(AND(ISNUMBER(F885),K885&gt;0),F885/K885,"")</x:f>
        <x:v>2.6525974025974026</x:v>
      </x:c>
      <x:c r="J885" s="4" t="str">
        <x:f>IF(AND(ISNUMBER(G885),L885&gt;0),G885/L885,"")</x:f>
      </x:c>
      <x:c r="K885" s="10" t="n">
        <x:v>77</x:v>
      </x:c>
      <x:c r="L885" s="10"/>
      <x:c r="M885" s="10" t="str">
        <x:f>IF(COUNT(L885,K885)=2,L885-K885,"")</x:f>
      </x:c>
      <x:c r="N885" s="10" t="n">
        <x:v>17</x:v>
      </x:c>
      <x:c r="O885" s="10"/>
      <x:c r="P885" s="10" t="str">
        <x:f>IF(COUNT(O885,N885)=2,O885-N885,"")</x:f>
      </x:c>
      <x:c r="Q885" s="10" t="n">
        <x:v>18</x:v>
      </x:c>
      <x:c r="R885" s="10"/>
      <x:c r="S885" s="10" t="str">
        <x:f>IF(COUNT(R885,Q885)=2,R885-Q885,"")</x:f>
      </x:c>
      <x:c r="T885" s="10" t="n">
        <x:v>-15</x:v>
      </x:c>
      <x:c r="U885" s="10"/>
      <x:c r="V885" s="10" t="str">
        <x:f>IF(COUNT(U885,T885)=2,U885-T885,"")</x:f>
      </x:c>
      <x:c r="W885" s="10" t="n">
        <x:v>6</x:v>
      </x:c>
      <x:c r="X885" s="10" t="str">
        <x:f>IF(COUNT(AV885,AW885)=2,AV885+AW885,"")</x:f>
      </x:c>
      <x:c r="Y885" s="10" t="str">
        <x:f>IF(COUNT(X885,W885)=2,X885-W885,"")</x:f>
      </x:c>
      <x:c r="Z885" s="10" t="n">
        <x:v>1</x:v>
      </x:c>
      <x:c r="AA885" s="10" t="str">
        <x:f>IF(COUNT(AX885,AY885)=2,AX885+AY885,"")</x:f>
      </x:c>
      <x:c r="AB885" s="10" t="str">
        <x:f>IF(COUNT(AA885,Z885)=2,AA885-Z885,"")</x:f>
      </x:c>
      <x:c r="AC885" s="10" t="n">
        <x:v>102</x:v>
      </x:c>
      <x:c r="AD885" s="10"/>
      <x:c r="AE885" s="10" t="str">
        <x:f>IF(COUNT(AD885,AC885)=2,AD885-AC885,"")</x:f>
      </x:c>
      <x:c r="AF885" s="10" t="n">
        <x:v>104</x:v>
      </x:c>
      <x:c r="AG885" s="10"/>
      <x:c r="AH885" s="10" t="str">
        <x:f>IF(COUNT(AG885,AF885)=2,AG885-AF885,"")</x:f>
      </x:c>
      <x:c r="AI885" s="10" t="n">
        <x:v>49</x:v>
      </x:c>
      <x:c r="AJ885" s="10"/>
      <x:c r="AK885" s="10" t="str">
        <x:f>IF(COUNT(AJ885,AI885)=2,AJ885-AI885,"")</x:f>
      </x:c>
      <x:c r="AL885" s="10" t="n">
        <x:v>30</x:v>
      </x:c>
      <x:c r="AM885" s="10"/>
      <x:c r="AN885" s="4" t="str">
        <x:v>C,LW</x:v>
      </x:c>
      <x:c r="AO885" s="4"/>
      <x:c r="AP885" s="4" t="str">
        <x:v>ANA</x:v>
      </x:c>
      <x:c r="AQ885" s="4"/>
      <x:c r="AR885" s="4" t="n">
        <x:v>15.57</x:v>
      </x:c>
      <x:c r="AS885" s="4"/>
      <x:c r="AT885" s="4" t="n">
        <x:v>1.27</x:v>
      </x:c>
      <x:c r="AU885" s="4"/>
      <x:c r="AV885" s="10"/>
      <x:c r="AW885" s="10"/>
      <x:c r="AX885" s="10"/>
      <x:c r="AY885" s="10"/>
      <x:c r="AZ885" s="10" t="n">
        <x:v>185</x:v>
      </x:c>
      <x:c r="BA885" s="10" t="n">
        <x:v>230</x:v>
      </x:c>
      <x:c r="BB885" s="4" t="n">
        <x:v>44.6</x:v>
      </x:c>
      <x:c r="BC885" s="4" t="n">
        <x:v>-3.7</x:v>
      </x:c>
      <x:c r="BD885" s="10" t="n">
        <x:v>142</x:v>
      </x:c>
      <x:c r="BE885" s="10" t="n">
        <x:v>167</x:v>
      </x:c>
      <x:c r="BF885" s="4" t="n">
        <x:v>46</x:v>
      </x:c>
      <x:c r="BG885" s="4" t="n">
        <x:v>-2.5</x:v>
      </x:c>
      <x:c r="BH885" s="4" t="n">
        <x:v>7.4</x:v>
      </x:c>
      <x:c r="BI885" s="4" t="n">
        <x:v>90</x:v>
      </x:c>
      <x:c r="BJ885" s="4" t="n">
        <x:v>97.4</x:v>
      </x:c>
      <x:c r="BK885" s="4" t="n">
        <x:v>41.3</x:v>
      </x:c>
      <x:c r="BL885" s="4" t="n">
        <x:v>58.7</x:v>
      </x:c>
      <x:c r="BM885" s="4" t="n">
        <x:v>11.8</x:v>
      </x:c>
      <x:c r="BN885" s="4" t="n">
        <x:v>11.433333333333334</x:v>
      </x:c>
      <x:c r="BO885" s="10" t="n">
        <x:v>0</x:v>
      </x:c>
      <x:c r="BP885" s="10" t="n">
        <x:v>7</x:v>
      </x:c>
      <x:c r="BQ885" s="4" t="n">
        <x:v>-0.9</x:v>
      </x:c>
      <x:c r="BR885" s="10" t="n">
        <x:v>46</x:v>
      </x:c>
      <x:c r="BS885" s="4" t="n">
        <x:v>65.2</x:v>
      </x:c>
      <x:c r="BT885" s="10" t="n">
        <x:v>21</x:v>
      </x:c>
      <x:c r="BU885" s="4" t="str">
        <x:v>TOT</x:v>
      </x:c>
      <x:c r="BV885" s="10" t="n">
        <x:v>306</x:v>
      </x:c>
      <x:c r="BW885" s="10"/>
      <x:c r="BX885" s="10" t="n">
        <x:v>276</x:v>
      </x:c>
      <x:c r="BY885" s="4" t="str">
        <x:v>Robby Fabbri</x:v>
      </x:c>
      <x:c r="BZ885" s="4"/>
      <x:c r="CA885" s="4" t="str">
        <x:v>Robby Fabbri</x:v>
      </x:c>
      <x:c r="CB885" s="4" t="str">
        <x:v>fabbrro01</x:v>
      </x:c>
    </x:row>
    <x:row r="886" ht="22" customHeight="1">
      <x:c r="A886" s="4" t="str">
        <x:v>Roby Jarventie</x:v>
      </x:c>
      <x:c r="B886" s="4" t="str">
        <x:v>robyjarventie</x:v>
      </x:c>
      <x:c r="C886" s="10" t="n">
        <x:v>0</x:v>
      </x:c>
      <x:c r="D886" s="10" t="n">
        <x:v>0</x:v>
      </x:c>
      <x:c r="E886" s="10" t="n">
        <x:v>1</x:v>
      </x:c>
      <x:c r="F886" s="4" t="str">
        <x:f>IF(COUNT(N886,Q886,T886,W886,Z886,AC886,AF886,AI886)=8,N886*Guide!$E$5+Q886*Guide!$E$6+T886*Guide!$E$7+W886*Guide!$E$8+Z886*Guide!$E$9+AC886*Guide!$E$10+AF886*Guide!$E$11+AI886*Guide!$E$12,"")</x:f>
      </x:c>
      <x:c r="G886" s="4" t="str">
        <x:f>IF(COUNT(O886,R886,U886,X886,AA886,AD886,AG886,AJ886)=8,O886*Guide!$E$5+R886*Guide!$E$6+U886*Guide!$E$7+X886*Guide!$E$8+AA886*Guide!$E$9+AD886*Guide!$E$10+AG886*Guide!$E$11+AJ886*Guide!$E$12,"")</x:f>
      </x:c>
      <x:c r="H886" s="4" t="str">
        <x:f>IF(COUNT(G886,F886)=2,G886-F886,"")</x:f>
      </x:c>
      <x:c r="I886" s="4" t="str">
        <x:f>IF(AND(ISNUMBER(F886),K886&gt;0),F886/K886,"")</x:f>
      </x:c>
      <x:c r="J886" s="4" t="str">
        <x:f>IF(AND(ISNUMBER(G886),L886&gt;0),G886/L886,"")</x:f>
      </x:c>
      <x:c r="K886" s="10"/>
      <x:c r="L886" s="10"/>
      <x:c r="M886" s="10" t="str">
        <x:f>IF(COUNT(L886,K886)=2,L886-K886,"")</x:f>
      </x:c>
      <x:c r="N886" s="10"/>
      <x:c r="O886" s="10"/>
      <x:c r="P886" s="10" t="str">
        <x:f>IF(COUNT(O886,N886)=2,O886-N886,"")</x:f>
      </x:c>
      <x:c r="Q886" s="10"/>
      <x:c r="R886" s="10"/>
      <x:c r="S886" s="10" t="str">
        <x:f>IF(COUNT(R886,Q886)=2,R886-Q886,"")</x:f>
      </x:c>
      <x:c r="T886" s="10"/>
      <x:c r="U886" s="10"/>
      <x:c r="V886" s="10" t="str">
        <x:f>IF(COUNT(U886,T886)=2,U886-T886,"")</x:f>
      </x:c>
      <x:c r="W886" s="10"/>
      <x:c r="X886" s="10" t="str">
        <x:f>IF(COUNT(AV886,AW886)=2,AV886+AW886,"")</x:f>
      </x:c>
      <x:c r="Y886" s="10" t="str">
        <x:f>IF(COUNT(X886,W886)=2,X886-W886,"")</x:f>
      </x:c>
      <x:c r="Z886" s="10"/>
      <x:c r="AA886" s="10" t="str">
        <x:f>IF(COUNT(AX886,AY886)=2,AX886+AY886,"")</x:f>
      </x:c>
      <x:c r="AB886" s="10" t="str">
        <x:f>IF(COUNT(AA886,Z886)=2,AA886-Z886,"")</x:f>
      </x:c>
      <x:c r="AC886" s="10"/>
      <x:c r="AD886" s="10"/>
      <x:c r="AE886" s="10" t="str">
        <x:f>IF(COUNT(AD886,AC886)=2,AD886-AC886,"")</x:f>
      </x:c>
      <x:c r="AF886" s="10"/>
      <x:c r="AG886" s="10"/>
      <x:c r="AH886" s="10" t="str">
        <x:f>IF(COUNT(AG886,AF886)=2,AG886-AF886,"")</x:f>
      </x:c>
      <x:c r="AI886" s="10"/>
      <x:c r="AJ886" s="10"/>
      <x:c r="AK886" s="10" t="str">
        <x:f>IF(COUNT(AJ886,AI886)=2,AJ886-AI886,"")</x:f>
      </x:c>
      <x:c r="AL886" s="10"/>
      <x:c r="AM886" s="10"/>
      <x:c r="AN886" s="4"/>
      <x:c r="AO886" s="4"/>
      <x:c r="AP886" s="4"/>
      <x:c r="AQ886" s="4"/>
      <x:c r="AR886" s="4"/>
      <x:c r="AS886" s="4"/>
      <x:c r="AT886" s="4"/>
      <x:c r="AU886" s="4"/>
      <x:c r="AV886" s="10"/>
      <x:c r="AW886" s="10"/>
      <x:c r="AX886" s="10"/>
      <x:c r="AY886" s="10"/>
      <x:c r="AZ886" s="10" t="n">
        <x:v>20</x:v>
      </x:c>
      <x:c r="BA886" s="10" t="n">
        <x:v>18</x:v>
      </x:c>
      <x:c r="BB886" s="4" t="n">
        <x:v>52.6</x:v>
      </x:c>
      <x:c r="BC886" s="4" t="n">
        <x:v>1.5</x:v>
      </x:c>
      <x:c r="BD886" s="10" t="n">
        <x:v>12</x:v>
      </x:c>
      <x:c r="BE886" s="10" t="n">
        <x:v>7</x:v>
      </x:c>
      <x:c r="BF886" s="4" t="n">
        <x:v>63.2</x:v>
      </x:c>
      <x:c r="BG886" s="4" t="n">
        <x:v>11.2</x:v>
      </x:c>
      <x:c r="BH886" s="4" t="n">
        <x:v>0</x:v>
      </x:c>
      <x:c r="BI886" s="4" t="n">
        <x:v>75</x:v>
      </x:c>
      <x:c r="BJ886" s="4" t="n">
        <x:v>75</x:v>
      </x:c>
      <x:c r="BK886" s="4" t="n">
        <x:v>69.2</x:v>
      </x:c>
      <x:c r="BL886" s="4" t="n">
        <x:v>30.8</x:v>
      </x:c>
      <x:c r="BM886" s="4" t="n">
        <x:v>8</x:v>
      </x:c>
      <x:c r="BN886" s="4" t="n">
        <x:v>7.833333333333333</x:v>
      </x:c>
      <x:c r="BO886" s="10" t="n">
        <x:v>0</x:v>
      </x:c>
      <x:c r="BP886" s="10" t="n">
        <x:v>0</x:v>
      </x:c>
      <x:c r="BQ886" s="4" t="n">
        <x:v>0.7</x:v>
      </x:c>
      <x:c r="BR886" s="10" t="n">
        <x:v>3</x:v>
      </x:c>
      <x:c r="BS886" s="4" t="n">
        <x:v>66.7</x:v>
      </x:c>
      <x:c r="BT886" s="10" t="n">
        <x:v>3</x:v>
      </x:c>
      <x:c r="BU886" s="4" t="str">
        <x:v>EDM</x:v>
      </x:c>
      <x:c r="BV886" s="10"/>
      <x:c r="BW886" s="10"/>
      <x:c r="BX886" s="10" t="n">
        <x:v>458</x:v>
      </x:c>
      <x:c r="BY886" s="4"/>
      <x:c r="BZ886" s="4"/>
      <x:c r="CA886" s="4" t="str">
        <x:v>Roby Jarventie</x:v>
      </x:c>
      <x:c r="CB886" s="4" t="str">
        <x:v>jarvero01</x:v>
      </x:c>
    </x:row>
    <x:row r="887" ht="22" customHeight="1">
      <x:c r="A887" s="4" t="str">
        <x:v>Rodrigo Abols</x:v>
      </x:c>
      <x:c r="B887" s="4" t="str">
        <x:v>rodrigoabols</x:v>
      </x:c>
      <x:c r="C887" s="10" t="n">
        <x:v>1</x:v>
      </x:c>
      <x:c r="D887" s="10" t="n">
        <x:v>0</x:v>
      </x:c>
      <x:c r="E887" s="10" t="n">
        <x:v>1</x:v>
      </x:c>
      <x:c r="F887" s="4" t="n">
        <x:f>IF(COUNT(N887,Q887,T887,W887,Z887,AC887,AF887,AI887)=8,N887*Guide!$E$5+Q887*Guide!$E$6+T887*Guide!$E$7+W887*Guide!$E$8+Z887*Guide!$E$9+AC887*Guide!$E$10+AF887*Guide!$E$11+AI887*Guide!$E$12,"")</x:f>
        <x:v>70.5</x:v>
      </x:c>
      <x:c r="G887" s="4" t="str">
        <x:f>IF(COUNT(O887,R887,U887,X887,AA887,AD887,AG887,AJ887)=8,O887*Guide!$E$5+R887*Guide!$E$6+U887*Guide!$E$7+X887*Guide!$E$8+AA887*Guide!$E$9+AD887*Guide!$E$10+AG887*Guide!$E$11+AJ887*Guide!$E$12,"")</x:f>
      </x:c>
      <x:c r="H887" s="4" t="str">
        <x:f>IF(COUNT(G887,F887)=2,G887-F887,"")</x:f>
      </x:c>
      <x:c r="I887" s="4" t="n">
        <x:f>IF(AND(ISNUMBER(F887),K887&gt;0),F887/K887,"")</x:f>
        <x:v>1.7195121951219512</x:v>
      </x:c>
      <x:c r="J887" s="4" t="str">
        <x:f>IF(AND(ISNUMBER(G887),L887&gt;0),G887/L887,"")</x:f>
      </x:c>
      <x:c r="K887" s="10" t="n">
        <x:v>41</x:v>
      </x:c>
      <x:c r="L887" s="10"/>
      <x:c r="M887" s="10" t="str">
        <x:f>IF(COUNT(L887,K887)=2,L887-K887,"")</x:f>
      </x:c>
      <x:c r="N887" s="10" t="n">
        <x:v>5</x:v>
      </x:c>
      <x:c r="O887" s="10"/>
      <x:c r="P887" s="10" t="str">
        <x:f>IF(COUNT(O887,N887)=2,O887-N887,"")</x:f>
      </x:c>
      <x:c r="Q887" s="10" t="n">
        <x:v>6</x:v>
      </x:c>
      <x:c r="R887" s="10"/>
      <x:c r="S887" s="10" t="str">
        <x:f>IF(COUNT(R887,Q887)=2,R887-Q887,"")</x:f>
      </x:c>
      <x:c r="T887" s="10" t="n">
        <x:v>-1</x:v>
      </x:c>
      <x:c r="U887" s="10"/>
      <x:c r="V887" s="10" t="str">
        <x:f>IF(COUNT(U887,T887)=2,U887-T887,"")</x:f>
      </x:c>
      <x:c r="W887" s="10" t="n">
        <x:v>0</x:v>
      </x:c>
      <x:c r="X887" s="10" t="str">
        <x:f>IF(COUNT(AV887,AW887)=2,AV887+AW887,"")</x:f>
      </x:c>
      <x:c r="Y887" s="10" t="str">
        <x:f>IF(COUNT(X887,W887)=2,X887-W887,"")</x:f>
      </x:c>
      <x:c r="Z887" s="10" t="n">
        <x:v>0</x:v>
      </x:c>
      <x:c r="AA887" s="10" t="str">
        <x:f>IF(COUNT(AX887,AY887)=2,AX887+AY887,"")</x:f>
      </x:c>
      <x:c r="AB887" s="10" t="str">
        <x:f>IF(COUNT(AA887,Z887)=2,AA887-Z887,"")</x:f>
      </x:c>
      <x:c r="AC887" s="10" t="n">
        <x:v>40</x:v>
      </x:c>
      <x:c r="AD887" s="10"/>
      <x:c r="AE887" s="10" t="str">
        <x:f>IF(COUNT(AD887,AC887)=2,AD887-AC887,"")</x:f>
      </x:c>
      <x:c r="AF887" s="10" t="n">
        <x:v>40</x:v>
      </x:c>
      <x:c r="AG887" s="10"/>
      <x:c r="AH887" s="10" t="str">
        <x:f>IF(COUNT(AG887,AF887)=2,AG887-AF887,"")</x:f>
      </x:c>
      <x:c r="AI887" s="10" t="n">
        <x:v>18</x:v>
      </x:c>
      <x:c r="AJ887" s="10"/>
      <x:c r="AK887" s="10" t="str">
        <x:f>IF(COUNT(AJ887,AI887)=2,AJ887-AI887,"")</x:f>
      </x:c>
      <x:c r="AL887" s="10" t="n">
        <x:v>30</x:v>
      </x:c>
      <x:c r="AM887" s="10"/>
      <x:c r="AN887" s="4" t="str">
        <x:v>C</x:v>
      </x:c>
      <x:c r="AO887" s="4"/>
      <x:c r="AP887" s="4" t="str">
        <x:v>PHI</x:v>
      </x:c>
      <x:c r="AQ887" s="4"/>
      <x:c r="AR887" s="4" t="n">
        <x:v>8.97</x:v>
      </x:c>
      <x:c r="AS887" s="4"/>
      <x:c r="AT887" s="4" t="n">
        <x:v>0</x:v>
      </x:c>
      <x:c r="AU887" s="4"/>
      <x:c r="AV887" s="10"/>
      <x:c r="AW887" s="10"/>
      <x:c r="AX887" s="10"/>
      <x:c r="AY887" s="10"/>
      <x:c r="AZ887" s="10" t="n">
        <x:v>306</x:v>
      </x:c>
      <x:c r="BA887" s="10" t="n">
        <x:v>398</x:v>
      </x:c>
      <x:c r="BB887" s="4" t="n">
        <x:v>43.5</x:v>
      </x:c>
      <x:c r="BC887" s="4" t="n">
        <x:v>-6.3</x:v>
      </x:c>
      <x:c r="BD887" s="10" t="n">
        <x:v>211</x:v>
      </x:c>
      <x:c r="BE887" s="10" t="n">
        <x:v>268</x:v>
      </x:c>
      <x:c r="BF887" s="4" t="n">
        <x:v>44.1</x:v>
      </x:c>
      <x:c r="BG887" s="4" t="n">
        <x:v>-6.1</x:v>
      </x:c>
      <x:c r="BH887" s="4" t="n">
        <x:v>9.2</x:v>
      </x:c>
      <x:c r="BI887" s="4" t="n">
        <x:v>90.4</x:v>
      </x:c>
      <x:c r="BJ887" s="4" t="n">
        <x:v>99.5</x:v>
      </x:c>
      <x:c r="BK887" s="4" t="n">
        <x:v>43.2</x:v>
      </x:c>
      <x:c r="BL887" s="4" t="n">
        <x:v>56.8</x:v>
      </x:c>
      <x:c r="BM887" s="4" t="n">
        <x:v>10.5</x:v>
      </x:c>
      <x:c r="BN887" s="4" t="n">
        <x:v>9.816666666666666</x:v>
      </x:c>
      <x:c r="BO887" s="10" t="n">
        <x:v>11</x:v>
      </x:c>
      <x:c r="BP887" s="10" t="n">
        <x:v>14</x:v>
      </x:c>
      <x:c r="BQ887" s="4" t="n">
        <x:v>-1.8</x:v>
      </x:c>
      <x:c r="BR887" s="10" t="n">
        <x:v>88</x:v>
      </x:c>
      <x:c r="BS887" s="4" t="n">
        <x:v>48.9</x:v>
      </x:c>
      <x:c r="BT887" s="10" t="n">
        <x:v>42</x:v>
      </x:c>
      <x:c r="BU887" s="4" t="str">
        <x:v>PHI</x:v>
      </x:c>
      <x:c r="BV887" s="10" t="n">
        <x:v>722</x:v>
      </x:c>
      <x:c r="BW887" s="10"/>
      <x:c r="BX887" s="10" t="n">
        <x:v>3</x:v>
      </x:c>
      <x:c r="BY887" s="4" t="str">
        <x:v>Rodrigo Abols</x:v>
      </x:c>
      <x:c r="BZ887" s="4"/>
      <x:c r="CA887" s="4" t="str">
        <x:v>Rodrigo Abols</x:v>
      </x:c>
      <x:c r="CB887" s="4" t="str">
        <x:v>abolsro01</x:v>
      </x:c>
    </x:row>
    <x:row r="888" ht="22" customHeight="1">
      <x:c r="A888" s="4" t="str">
        <x:v>Ronan Seeley</x:v>
      </x:c>
      <x:c r="B888" s="4" t="str">
        <x:v>ronanseeley</x:v>
      </x:c>
      <x:c r="C888" s="10" t="n">
        <x:v>0</x:v>
      </x:c>
      <x:c r="D888" s="10" t="n">
        <x:v>0</x:v>
      </x:c>
      <x:c r="E888" s="10" t="n">
        <x:v>1</x:v>
      </x:c>
      <x:c r="F888" s="4" t="str">
        <x:f>IF(COUNT(N888,Q888,T888,W888,Z888,AC888,AF888,AI888)=8,N888*Guide!$E$5+Q888*Guide!$E$6+T888*Guide!$E$7+W888*Guide!$E$8+Z888*Guide!$E$9+AC888*Guide!$E$10+AF888*Guide!$E$11+AI888*Guide!$E$12,"")</x:f>
      </x:c>
      <x:c r="G888" s="4" t="str">
        <x:f>IF(COUNT(O888,R888,U888,X888,AA888,AD888,AG888,AJ888)=8,O888*Guide!$E$5+R888*Guide!$E$6+U888*Guide!$E$7+X888*Guide!$E$8+AA888*Guide!$E$9+AD888*Guide!$E$10+AG888*Guide!$E$11+AJ888*Guide!$E$12,"")</x:f>
      </x:c>
      <x:c r="H888" s="4" t="str">
        <x:f>IF(COUNT(G888,F888)=2,G888-F888,"")</x:f>
      </x:c>
      <x:c r="I888" s="4" t="str">
        <x:f>IF(AND(ISNUMBER(F888),K888&gt;0),F888/K888,"")</x:f>
      </x:c>
      <x:c r="J888" s="4" t="str">
        <x:f>IF(AND(ISNUMBER(G888),L888&gt;0),G888/L888,"")</x:f>
      </x:c>
      <x:c r="K888" s="10"/>
      <x:c r="L888" s="10"/>
      <x:c r="M888" s="10" t="str">
        <x:f>IF(COUNT(L888,K888)=2,L888-K888,"")</x:f>
      </x:c>
      <x:c r="N888" s="10"/>
      <x:c r="O888" s="10"/>
      <x:c r="P888" s="10" t="str">
        <x:f>IF(COUNT(O888,N888)=2,O888-N888,"")</x:f>
      </x:c>
      <x:c r="Q888" s="10"/>
      <x:c r="R888" s="10"/>
      <x:c r="S888" s="10" t="str">
        <x:f>IF(COUNT(R888,Q888)=2,R888-Q888,"")</x:f>
      </x:c>
      <x:c r="T888" s="10"/>
      <x:c r="U888" s="10"/>
      <x:c r="V888" s="10" t="str">
        <x:f>IF(COUNT(U888,T888)=2,U888-T888,"")</x:f>
      </x:c>
      <x:c r="W888" s="10"/>
      <x:c r="X888" s="10" t="str">
        <x:f>IF(COUNT(AV888,AW888)=2,AV888+AW888,"")</x:f>
      </x:c>
      <x:c r="Y888" s="10" t="str">
        <x:f>IF(COUNT(X888,W888)=2,X888-W888,"")</x:f>
      </x:c>
      <x:c r="Z888" s="10"/>
      <x:c r="AA888" s="10" t="str">
        <x:f>IF(COUNT(AX888,AY888)=2,AX888+AY888,"")</x:f>
      </x:c>
      <x:c r="AB888" s="10" t="str">
        <x:f>IF(COUNT(AA888,Z888)=2,AA888-Z888,"")</x:f>
      </x:c>
      <x:c r="AC888" s="10"/>
      <x:c r="AD888" s="10"/>
      <x:c r="AE888" s="10" t="str">
        <x:f>IF(COUNT(AD888,AC888)=2,AD888-AC888,"")</x:f>
      </x:c>
      <x:c r="AF888" s="10"/>
      <x:c r="AG888" s="10"/>
      <x:c r="AH888" s="10" t="str">
        <x:f>IF(COUNT(AG888,AF888)=2,AG888-AF888,"")</x:f>
      </x:c>
      <x:c r="AI888" s="10"/>
      <x:c r="AJ888" s="10"/>
      <x:c r="AK888" s="10" t="str">
        <x:f>IF(COUNT(AJ888,AI888)=2,AJ888-AI888,"")</x:f>
      </x:c>
      <x:c r="AL888" s="10"/>
      <x:c r="AM888" s="10"/>
      <x:c r="AN888" s="4"/>
      <x:c r="AO888" s="4"/>
      <x:c r="AP888" s="4"/>
      <x:c r="AQ888" s="4"/>
      <x:c r="AR888" s="4"/>
      <x:c r="AS888" s="4"/>
      <x:c r="AT888" s="4"/>
      <x:c r="AU888" s="4"/>
      <x:c r="AV888" s="10"/>
      <x:c r="AW888" s="10"/>
      <x:c r="AX888" s="10"/>
      <x:c r="AY888" s="10"/>
      <x:c r="AZ888" s="10" t="n">
        <x:v>12</x:v>
      </x:c>
      <x:c r="BA888" s="10" t="n">
        <x:v>15</x:v>
      </x:c>
      <x:c r="BB888" s="4" t="n">
        <x:v>44.4</x:v>
      </x:c>
      <x:c r="BC888" s="4" t="n">
        <x:v>1.6</x:v>
      </x:c>
      <x:c r="BD888" s="10" t="n">
        <x:v>9</x:v>
      </x:c>
      <x:c r="BE888" s="10" t="n">
        <x:v>10</x:v>
      </x:c>
      <x:c r="BF888" s="4" t="n">
        <x:v>47.4</x:v>
      </x:c>
      <x:c r="BG888" s="4" t="n">
        <x:v>-0.8</x:v>
      </x:c>
      <x:c r="BH888" s="4" t="n">
        <x:v>16.7</x:v>
      </x:c>
      <x:c r="BI888" s="4" t="n">
        <x:v>87.5</x:v>
      </x:c>
      <x:c r="BJ888" s="4" t="n">
        <x:v>104.2</x:v>
      </x:c>
      <x:c r="BK888" s="4" t="n">
        <x:v>66.7</x:v>
      </x:c>
      <x:c r="BL888" s="4" t="n">
        <x:v>33.3</x:v>
      </x:c>
      <x:c r="BM888" s="4" t="n">
        <x:v>15.2</x:v>
      </x:c>
      <x:c r="BN888" s="4" t="n">
        <x:v>14.55</x:v>
      </x:c>
      <x:c r="BO888" s="10" t="n">
        <x:v>0</x:v>
      </x:c>
      <x:c r="BP888" s="10" t="n">
        <x:v>1</x:v>
      </x:c>
      <x:c r="BQ888" s="4" t="n">
        <x:v>-0.4</x:v>
      </x:c>
      <x:c r="BR888" s="10" t="n">
        <x:v>1</x:v>
      </x:c>
      <x:c r="BS888" s="4" t="n">
        <x:v>0</x:v>
      </x:c>
      <x:c r="BT888" s="10" t="n">
        <x:v>1</x:v>
      </x:c>
      <x:c r="BU888" s="4" t="str">
        <x:v>CAR</x:v>
      </x:c>
      <x:c r="BV888" s="10"/>
      <x:c r="BW888" s="10"/>
      <x:c r="BX888" s="10" t="n">
        <x:v>919</x:v>
      </x:c>
      <x:c r="BY888" s="4"/>
      <x:c r="BZ888" s="4"/>
      <x:c r="CA888" s="4" t="str">
        <x:v>Ronan Seeley</x:v>
      </x:c>
      <x:c r="CB888" s="4" t="str">
        <x:v>seelero01</x:v>
      </x:c>
    </x:row>
    <x:row r="889" ht="22" customHeight="1">
      <x:c r="A889" s="4" t="str">
        <x:v>Ronnie Attard</x:v>
      </x:c>
      <x:c r="B889" s="4" t="str">
        <x:v>ronnieattard</x:v>
      </x:c>
      <x:c r="C889" s="10" t="n">
        <x:v>1</x:v>
      </x:c>
      <x:c r="D889" s="10" t="n">
        <x:v>0</x:v>
      </x:c>
      <x:c r="E889" s="10" t="n">
        <x:v>0</x:v>
      </x:c>
      <x:c r="F889" s="4" t="n">
        <x:f>IF(COUNT(N889,Q889,T889,W889,Z889,AC889,AF889,AI889)=8,N889*Guide!$E$5+Q889*Guide!$E$6+T889*Guide!$E$7+W889*Guide!$E$8+Z889*Guide!$E$9+AC889*Guide!$E$10+AF889*Guide!$E$11+AI889*Guide!$E$12,"")</x:f>
        <x:v>99.75</x:v>
      </x:c>
      <x:c r="G889" s="4" t="str">
        <x:f>IF(COUNT(O889,R889,U889,X889,AA889,AD889,AG889,AJ889)=8,O889*Guide!$E$5+R889*Guide!$E$6+U889*Guide!$E$7+X889*Guide!$E$8+AA889*Guide!$E$9+AD889*Guide!$E$10+AG889*Guide!$E$11+AJ889*Guide!$E$12,"")</x:f>
      </x:c>
      <x:c r="H889" s="4" t="str">
        <x:f>IF(COUNT(G889,F889)=2,G889-F889,"")</x:f>
      </x:c>
      <x:c r="I889" s="4" t="n">
        <x:f>IF(AND(ISNUMBER(F889),K889&gt;0),F889/K889,"")</x:f>
        <x:v>1.9558823529411764</x:v>
      </x:c>
      <x:c r="J889" s="4" t="str">
        <x:f>IF(AND(ISNUMBER(G889),L889&gt;0),G889/L889,"")</x:f>
      </x:c>
      <x:c r="K889" s="10" t="n">
        <x:v>51</x:v>
      </x:c>
      <x:c r="L889" s="10"/>
      <x:c r="M889" s="10" t="str">
        <x:f>IF(COUNT(L889,K889)=2,L889-K889,"")</x:f>
      </x:c>
      <x:c r="N889" s="10" t="n">
        <x:v>2</x:v>
      </x:c>
      <x:c r="O889" s="10"/>
      <x:c r="P889" s="10" t="str">
        <x:f>IF(COUNT(O889,N889)=2,O889-N889,"")</x:f>
      </x:c>
      <x:c r="Q889" s="10" t="n">
        <x:v>9</x:v>
      </x:c>
      <x:c r="R889" s="10"/>
      <x:c r="S889" s="10" t="str">
        <x:f>IF(COUNT(R889,Q889)=2,R889-Q889,"")</x:f>
      </x:c>
      <x:c r="T889" s="10" t="n">
        <x:v>0</x:v>
      </x:c>
      <x:c r="U889" s="10"/>
      <x:c r="V889" s="10" t="str">
        <x:f>IF(COUNT(U889,T889)=2,U889-T889,"")</x:f>
      </x:c>
      <x:c r="W889" s="10" t="n">
        <x:v>0</x:v>
      </x:c>
      <x:c r="X889" s="10" t="str">
        <x:f>IF(COUNT(AV889,AW889)=2,AV889+AW889,"")</x:f>
      </x:c>
      <x:c r="Y889" s="10" t="str">
        <x:f>IF(COUNT(X889,W889)=2,X889-W889,"")</x:f>
      </x:c>
      <x:c r="Z889" s="10" t="n">
        <x:v>0</x:v>
      </x:c>
      <x:c r="AA889" s="10" t="str">
        <x:f>IF(COUNT(AX889,AY889)=2,AX889+AY889,"")</x:f>
      </x:c>
      <x:c r="AB889" s="10" t="str">
        <x:f>IF(COUNT(AA889,Z889)=2,AA889-Z889,"")</x:f>
      </x:c>
      <x:c r="AC889" s="10" t="n">
        <x:v>53</x:v>
      </x:c>
      <x:c r="AD889" s="10"/>
      <x:c r="AE889" s="10" t="str">
        <x:f>IF(COUNT(AD889,AC889)=2,AD889-AC889,"")</x:f>
      </x:c>
      <x:c r="AF889" s="10" t="n">
        <x:v>56</x:v>
      </x:c>
      <x:c r="AG889" s="10"/>
      <x:c r="AH889" s="10" t="str">
        <x:f>IF(COUNT(AG889,AF889)=2,AG889-AF889,"")</x:f>
      </x:c>
      <x:c r="AI889" s="10" t="n">
        <x:v>50</x:v>
      </x:c>
      <x:c r="AJ889" s="10"/>
      <x:c r="AK889" s="10" t="str">
        <x:f>IF(COUNT(AJ889,AI889)=2,AJ889-AI889,"")</x:f>
      </x:c>
      <x:c r="AL889" s="10" t="n">
        <x:v>26</x:v>
      </x:c>
      <x:c r="AM889" s="10"/>
      <x:c r="AN889" s="4" t="str">
        <x:v>D</x:v>
      </x:c>
      <x:c r="AO889" s="4"/>
      <x:c r="AP889" s="4" t="str">
        <x:v>COL</x:v>
      </x:c>
      <x:c r="AQ889" s="4"/>
      <x:c r="AR889" s="4" t="n">
        <x:v>14.12</x:v>
      </x:c>
      <x:c r="AS889" s="4"/>
      <x:c r="AT889" s="4" t="n">
        <x:v>0</x:v>
      </x:c>
      <x:c r="AU889" s="4"/>
      <x:c r="AV889" s="10"/>
      <x:c r="AW889" s="10"/>
      <x:c r="AX889" s="10"/>
      <x:c r="AY889" s="10"/>
      <x:c r="AZ889" s="10"/>
      <x:c r="BA889" s="10"/>
      <x:c r="BB889" s="4"/>
      <x:c r="BC889" s="4"/>
      <x:c r="BD889" s="10"/>
      <x:c r="BE889" s="10"/>
      <x:c r="BF889" s="4"/>
      <x:c r="BG889" s="4"/>
      <x:c r="BH889" s="4"/>
      <x:c r="BI889" s="4"/>
      <x:c r="BJ889" s="4"/>
      <x:c r="BK889" s="4"/>
      <x:c r="BL889" s="4"/>
      <x:c r="BM889" s="4"/>
      <x:c r="BN889" s="4"/>
      <x:c r="BO889" s="10"/>
      <x:c r="BP889" s="10"/>
      <x:c r="BQ889" s="4"/>
      <x:c r="BR889" s="10"/>
      <x:c r="BS889" s="4"/>
      <x:c r="BT889" s="10"/>
      <x:c r="BU889" s="4"/>
      <x:c r="BV889" s="10" t="n">
        <x:v>713</x:v>
      </x:c>
      <x:c r="BW889" s="10"/>
      <x:c r="BX889" s="10"/>
      <x:c r="BY889" s="4" t="str">
        <x:v>Ronnie Attard</x:v>
      </x:c>
      <x:c r="BZ889" s="4"/>
      <x:c r="CA889" s="4"/>
      <x:c r="CB889" s="4"/>
    </x:row>
    <x:row r="890" ht="22" customHeight="1">
      <x:c r="A890" s="4" t="str">
        <x:v>Rory Kerins</x:v>
      </x:c>
      <x:c r="B890" s="4" t="str">
        <x:v>rorykerins</x:v>
      </x:c>
      <x:c r="C890" s="10" t="n">
        <x:v>0</x:v>
      </x:c>
      <x:c r="D890" s="10" t="n">
        <x:v>0</x:v>
      </x:c>
      <x:c r="E890" s="10" t="n">
        <x:v>1</x:v>
      </x:c>
      <x:c r="F890" s="4" t="str">
        <x:f>IF(COUNT(N890,Q890,T890,W890,Z890,AC890,AF890,AI890)=8,N890*Guide!$E$5+Q890*Guide!$E$6+T890*Guide!$E$7+W890*Guide!$E$8+Z890*Guide!$E$9+AC890*Guide!$E$10+AF890*Guide!$E$11+AI890*Guide!$E$12,"")</x:f>
      </x:c>
      <x:c r="G890" s="4" t="str">
        <x:f>IF(COUNT(O890,R890,U890,X890,AA890,AD890,AG890,AJ890)=8,O890*Guide!$E$5+R890*Guide!$E$6+U890*Guide!$E$7+X890*Guide!$E$8+AA890*Guide!$E$9+AD890*Guide!$E$10+AG890*Guide!$E$11+AJ890*Guide!$E$12,"")</x:f>
      </x:c>
      <x:c r="H890" s="4" t="str">
        <x:f>IF(COUNT(G890,F890)=2,G890-F890,"")</x:f>
      </x:c>
      <x:c r="I890" s="4" t="str">
        <x:f>IF(AND(ISNUMBER(F890),K890&gt;0),F890/K890,"")</x:f>
      </x:c>
      <x:c r="J890" s="4" t="str">
        <x:f>IF(AND(ISNUMBER(G890),L890&gt;0),G890/L890,"")</x:f>
      </x:c>
      <x:c r="K890" s="10"/>
      <x:c r="L890" s="10"/>
      <x:c r="M890" s="10" t="str">
        <x:f>IF(COUNT(L890,K890)=2,L890-K890,"")</x:f>
      </x:c>
      <x:c r="N890" s="10"/>
      <x:c r="O890" s="10"/>
      <x:c r="P890" s="10" t="str">
        <x:f>IF(COUNT(O890,N890)=2,O890-N890,"")</x:f>
      </x:c>
      <x:c r="Q890" s="10"/>
      <x:c r="R890" s="10"/>
      <x:c r="S890" s="10" t="str">
        <x:f>IF(COUNT(R890,Q890)=2,R890-Q890,"")</x:f>
      </x:c>
      <x:c r="T890" s="10"/>
      <x:c r="U890" s="10"/>
      <x:c r="V890" s="10" t="str">
        <x:f>IF(COUNT(U890,T890)=2,U890-T890,"")</x:f>
      </x:c>
      <x:c r="W890" s="10"/>
      <x:c r="X890" s="10" t="str">
        <x:f>IF(COUNT(AV890,AW890)=2,AV890+AW890,"")</x:f>
      </x:c>
      <x:c r="Y890" s="10" t="str">
        <x:f>IF(COUNT(X890,W890)=2,X890-W890,"")</x:f>
      </x:c>
      <x:c r="Z890" s="10"/>
      <x:c r="AA890" s="10" t="str">
        <x:f>IF(COUNT(AX890,AY890)=2,AX890+AY890,"")</x:f>
      </x:c>
      <x:c r="AB890" s="10" t="str">
        <x:f>IF(COUNT(AA890,Z890)=2,AA890-Z890,"")</x:f>
      </x:c>
      <x:c r="AC890" s="10"/>
      <x:c r="AD890" s="10"/>
      <x:c r="AE890" s="10" t="str">
        <x:f>IF(COUNT(AD890,AC890)=2,AD890-AC890,"")</x:f>
      </x:c>
      <x:c r="AF890" s="10"/>
      <x:c r="AG890" s="10"/>
      <x:c r="AH890" s="10" t="str">
        <x:f>IF(COUNT(AG890,AF890)=2,AG890-AF890,"")</x:f>
      </x:c>
      <x:c r="AI890" s="10"/>
      <x:c r="AJ890" s="10"/>
      <x:c r="AK890" s="10" t="str">
        <x:f>IF(COUNT(AJ890,AI890)=2,AJ890-AI890,"")</x:f>
      </x:c>
      <x:c r="AL890" s="10"/>
      <x:c r="AM890" s="10"/>
      <x:c r="AN890" s="4"/>
      <x:c r="AO890" s="4"/>
      <x:c r="AP890" s="4"/>
      <x:c r="AQ890" s="4"/>
      <x:c r="AR890" s="4"/>
      <x:c r="AS890" s="4"/>
      <x:c r="AT890" s="4"/>
      <x:c r="AU890" s="4"/>
      <x:c r="AV890" s="10"/>
      <x:c r="AW890" s="10"/>
      <x:c r="AX890" s="10"/>
      <x:c r="AY890" s="10"/>
      <x:c r="AZ890" s="10" t="n">
        <x:v>52</x:v>
      </x:c>
      <x:c r="BA890" s="10" t="n">
        <x:v>63</x:v>
      </x:c>
      <x:c r="BB890" s="4" t="n">
        <x:v>45.2</x:v>
      </x:c>
      <x:c r="BC890" s="4" t="n">
        <x:v>-3.8</x:v>
      </x:c>
      <x:c r="BD890" s="10" t="n">
        <x:v>35</x:v>
      </x:c>
      <x:c r="BE890" s="10" t="n">
        <x:v>46</x:v>
      </x:c>
      <x:c r="BF890" s="4" t="n">
        <x:v>43.2</x:v>
      </x:c>
      <x:c r="BG890" s="4" t="n">
        <x:v>-7.5</x:v>
      </x:c>
      <x:c r="BH890" s="4" t="n">
        <x:v>0</x:v>
      </x:c>
      <x:c r="BI890" s="4" t="n">
        <x:v>96.7</x:v>
      </x:c>
      <x:c r="BJ890" s="4" t="n">
        <x:v>96.7</x:v>
      </x:c>
      <x:c r="BK890" s="4" t="n">
        <x:v>55.2</x:v>
      </x:c>
      <x:c r="BL890" s="4" t="n">
        <x:v>44.8</x:v>
      </x:c>
      <x:c r="BM890" s="4" t="n">
        <x:v>0.625</x:v>
      </x:c>
      <x:c r="BN890" s="4" t="n">
        <x:v>13.333333333333334</x:v>
      </x:c>
      <x:c r="BO890" s="10" t="n">
        <x:v>1</x:v>
      </x:c>
      <x:c r="BP890" s="10" t="n">
        <x:v>2</x:v>
      </x:c>
      <x:c r="BQ890" s="4" t="n">
        <x:v>-0.6</x:v>
      </x:c>
      <x:c r="BR890" s="10" t="n">
        <x:v>6</x:v>
      </x:c>
      <x:c r="BS890" s="4" t="n">
        <x:v>16.7</x:v>
      </x:c>
      <x:c r="BT890" s="10" t="n">
        <x:v>4</x:v>
      </x:c>
      <x:c r="BU890" s="4" t="str">
        <x:v>CGY</x:v>
      </x:c>
      <x:c r="BV890" s="10"/>
      <x:c r="BW890" s="10"/>
      <x:c r="BX890" s="10" t="n">
        <x:v>514</x:v>
      </x:c>
      <x:c r="BY890" s="4"/>
      <x:c r="BZ890" s="4"/>
      <x:c r="CA890" s="4" t="str">
        <x:v>Rory Kerins</x:v>
      </x:c>
      <x:c r="CB890" s="4" t="str">
        <x:v>kerinro01</x:v>
      </x:c>
    </x:row>
    <x:row r="891" ht="22" customHeight="1">
      <x:c r="A891" s="4" t="str">
        <x:v>Ross Johnston</x:v>
      </x:c>
      <x:c r="B891" s="4" t="str">
        <x:v>rossjohnston</x:v>
      </x:c>
      <x:c r="C891" s="10" t="n">
        <x:v>1</x:v>
      </x:c>
      <x:c r="D891" s="10" t="n">
        <x:v>0</x:v>
      </x:c>
      <x:c r="E891" s="10" t="n">
        <x:v>1</x:v>
      </x:c>
      <x:c r="F891" s="4" t="n">
        <x:f>IF(COUNT(N891,Q891,T891,W891,Z891,AC891,AF891,AI891)=8,N891*Guide!$E$5+Q891*Guide!$E$6+T891*Guide!$E$7+W891*Guide!$E$8+Z891*Guide!$E$9+AC891*Guide!$E$10+AF891*Guide!$E$11+AI891*Guide!$E$12,"")</x:f>
        <x:v>99.75</x:v>
      </x:c>
      <x:c r="G891" s="4" t="str">
        <x:f>IF(COUNT(O891,R891,U891,X891,AA891,AD891,AG891,AJ891)=8,O891*Guide!$E$5+R891*Guide!$E$6+U891*Guide!$E$7+X891*Guide!$E$8+AA891*Guide!$E$9+AD891*Guide!$E$10+AG891*Guide!$E$11+AJ891*Guide!$E$12,"")</x:f>
      </x:c>
      <x:c r="H891" s="4" t="str">
        <x:f>IF(COUNT(G891,F891)=2,G891-F891,"")</x:f>
      </x:c>
      <x:c r="I891" s="4" t="n">
        <x:f>IF(AND(ISNUMBER(F891),K891&gt;0),F891/K891,"")</x:f>
        <x:v>1.5346153846153847</x:v>
      </x:c>
      <x:c r="J891" s="4" t="str">
        <x:f>IF(AND(ISNUMBER(G891),L891&gt;0),G891/L891,"")</x:f>
      </x:c>
      <x:c r="K891" s="10" t="n">
        <x:v>65</x:v>
      </x:c>
      <x:c r="L891" s="10"/>
      <x:c r="M891" s="10" t="str">
        <x:f>IF(COUNT(L891,K891)=2,L891-K891,"")</x:f>
      </x:c>
      <x:c r="N891" s="10" t="n">
        <x:v>4</x:v>
      </x:c>
      <x:c r="O891" s="10"/>
      <x:c r="P891" s="10" t="str">
        <x:f>IF(COUNT(O891,N891)=2,O891-N891,"")</x:f>
      </x:c>
      <x:c r="Q891" s="10" t="n">
        <x:v>6</x:v>
      </x:c>
      <x:c r="R891" s="10"/>
      <x:c r="S891" s="10" t="str">
        <x:f>IF(COUNT(R891,Q891)=2,R891-Q891,"")</x:f>
      </x:c>
      <x:c r="T891" s="10" t="n">
        <x:v>-6</x:v>
      </x:c>
      <x:c r="U891" s="10"/>
      <x:c r="V891" s="10" t="str">
        <x:f>IF(COUNT(U891,T891)=2,U891-T891,"")</x:f>
      </x:c>
      <x:c r="W891" s="10" t="n">
        <x:v>0</x:v>
      </x:c>
      <x:c r="X891" s="10" t="str">
        <x:f>IF(COUNT(AV891,AW891)=2,AV891+AW891,"")</x:f>
      </x:c>
      <x:c r="Y891" s="10" t="str">
        <x:f>IF(COUNT(X891,W891)=2,X891-W891,"")</x:f>
      </x:c>
      <x:c r="Z891" s="10" t="n">
        <x:v>0</x:v>
      </x:c>
      <x:c r="AA891" s="10" t="str">
        <x:f>IF(COUNT(AX891,AY891)=2,AX891+AY891,"")</x:f>
      </x:c>
      <x:c r="AB891" s="10" t="str">
        <x:f>IF(COUNT(AA891,Z891)=2,AA891-Z891,"")</x:f>
      </x:c>
      <x:c r="AC891" s="10" t="n">
        <x:v>29</x:v>
      </x:c>
      <x:c r="AD891" s="10"/>
      <x:c r="AE891" s="10" t="str">
        <x:f>IF(COUNT(AD891,AC891)=2,AD891-AC891,"")</x:f>
      </x:c>
      <x:c r="AF891" s="10" t="n">
        <x:v>177</x:v>
      </x:c>
      <x:c r="AG891" s="10"/>
      <x:c r="AH891" s="10" t="str">
        <x:f>IF(COUNT(AG891,AF891)=2,AG891-AF891,"")</x:f>
      </x:c>
      <x:c r="AI891" s="10" t="n">
        <x:v>27</x:v>
      </x:c>
      <x:c r="AJ891" s="10"/>
      <x:c r="AK891" s="10" t="str">
        <x:f>IF(COUNT(AJ891,AI891)=2,AJ891-AI891,"")</x:f>
      </x:c>
      <x:c r="AL891" s="10" t="n">
        <x:v>31</x:v>
      </x:c>
      <x:c r="AM891" s="10"/>
      <x:c r="AN891" s="4" t="str">
        <x:v>LW</x:v>
      </x:c>
      <x:c r="AO891" s="4"/>
      <x:c r="AP891" s="4" t="str">
        <x:v>ANA</x:v>
      </x:c>
      <x:c r="AQ891" s="4"/>
      <x:c r="AR891" s="4" t="n">
        <x:v>8.53</x:v>
      </x:c>
      <x:c r="AS891" s="4"/>
      <x:c r="AT891" s="4" t="n">
        <x:v>0.11</x:v>
      </x:c>
      <x:c r="AU891" s="4"/>
      <x:c r="AV891" s="10"/>
      <x:c r="AW891" s="10"/>
      <x:c r="AX891" s="10"/>
      <x:c r="AY891" s="10"/>
      <x:c r="AZ891" s="10" t="n">
        <x:v>529</x:v>
      </x:c>
      <x:c r="BA891" s="10" t="n">
        <x:v>573</x:v>
      </x:c>
      <x:c r="BB891" s="4" t="n">
        <x:v>48</x:v>
      </x:c>
      <x:c r="BC891" s="4" t="n">
        <x:v>-4.2</x:v>
      </x:c>
      <x:c r="BD891" s="10" t="n">
        <x:v>369</x:v>
      </x:c>
      <x:c r="BE891" s="10" t="n">
        <x:v>398</x:v>
      </x:c>
      <x:c r="BF891" s="4" t="n">
        <x:v>48.1</x:v>
      </x:c>
      <x:c r="BG891" s="4" t="n">
        <x:v>-4</x:v>
      </x:c>
      <x:c r="BH891" s="4" t="n">
        <x:v>12.2</x:v>
      </x:c>
      <x:c r="BI891" s="4" t="n">
        <x:v>89.9</x:v>
      </x:c>
      <x:c r="BJ891" s="4" t="n">
        <x:v>102.1</x:v>
      </x:c>
      <x:c r="BK891" s="4" t="n">
        <x:v>39.8</x:v>
      </x:c>
      <x:c r="BL891" s="4" t="n">
        <x:v>60.2</x:v>
      </x:c>
      <x:c r="BM891" s="4" t="n">
        <x:v>9.75</x:v>
      </x:c>
      <x:c r="BN891" s="4" t="n">
        <x:v>9.716666666666667</x:v>
      </x:c>
      <x:c r="BO891" s="10" t="n">
        <x:v>5</x:v>
      </x:c>
      <x:c r="BP891" s="10" t="n">
        <x:v>34</x:v>
      </x:c>
      <x:c r="BQ891" s="4" t="n">
        <x:v>-8.9</x:v>
      </x:c>
      <x:c r="BR891" s="10" t="n">
        <x:v>72</x:v>
      </x:c>
      <x:c r="BS891" s="4" t="n">
        <x:v>45.8</x:v>
      </x:c>
      <x:c r="BT891" s="10" t="n">
        <x:v>62</x:v>
      </x:c>
      <x:c r="BU891" s="4" t="str">
        <x:v>ANA</x:v>
      </x:c>
      <x:c r="BV891" s="10" t="n">
        <x:v>725</x:v>
      </x:c>
      <x:c r="BW891" s="10"/>
      <x:c r="BX891" s="10" t="n">
        <x:v>470</x:v>
      </x:c>
      <x:c r="BY891" s="4" t="str">
        <x:v>Ross Johnston</x:v>
      </x:c>
      <x:c r="BZ891" s="4"/>
      <x:c r="CA891" s="4" t="str">
        <x:v>Ross Johnston</x:v>
      </x:c>
      <x:c r="CB891" s="4" t="str">
        <x:v>johnsro02</x:v>
      </x:c>
    </x:row>
    <x:row r="892" ht="22" customHeight="1">
      <x:c r="A892" s="4" t="str">
        <x:v>Rutger McGroarty</x:v>
      </x:c>
      <x:c r="B892" s="4" t="str">
        <x:v>rutgermcgroarty</x:v>
      </x:c>
      <x:c r="C892" s="10" t="n">
        <x:v>1</x:v>
      </x:c>
      <x:c r="D892" s="10" t="n">
        <x:v>0</x:v>
      </x:c>
      <x:c r="E892" s="10" t="n">
        <x:v>1</x:v>
      </x:c>
      <x:c r="F892" s="4" t="n">
        <x:f>IF(COUNT(N892,Q892,T892,W892,Z892,AC892,AF892,AI892)=8,N892*Guide!$E$5+Q892*Guide!$E$6+T892*Guide!$E$7+W892*Guide!$E$8+Z892*Guide!$E$9+AC892*Guide!$E$10+AF892*Guide!$E$11+AI892*Guide!$E$12,"")</x:f>
        <x:v>206.75</x:v>
      </x:c>
      <x:c r="G892" s="4" t="str">
        <x:f>IF(COUNT(O892,R892,U892,X892,AA892,AD892,AG892,AJ892)=8,O892*Guide!$E$5+R892*Guide!$E$6+U892*Guide!$E$7+X892*Guide!$E$8+AA892*Guide!$E$9+AD892*Guide!$E$10+AG892*Guide!$E$11+AJ892*Guide!$E$12,"")</x:f>
      </x:c>
      <x:c r="H892" s="4" t="str">
        <x:f>IF(COUNT(G892,F892)=2,G892-F892,"")</x:f>
      </x:c>
      <x:c r="I892" s="4" t="n">
        <x:f>IF(AND(ISNUMBER(F892),K892&gt;0),F892/K892,"")</x:f>
        <x:v>2.7203947368421053</x:v>
      </x:c>
      <x:c r="J892" s="4" t="str">
        <x:f>IF(AND(ISNUMBER(G892),L892&gt;0),G892/L892,"")</x:f>
      </x:c>
      <x:c r="K892" s="10" t="n">
        <x:v>76</x:v>
      </x:c>
      <x:c r="L892" s="10"/>
      <x:c r="M892" s="10" t="str">
        <x:f>IF(COUNT(L892,K892)=2,L892-K892,"")</x:f>
      </x:c>
      <x:c r="N892" s="10" t="n">
        <x:v>15</x:v>
      </x:c>
      <x:c r="O892" s="10"/>
      <x:c r="P892" s="10" t="str">
        <x:f>IF(COUNT(O892,N892)=2,O892-N892,"")</x:f>
      </x:c>
      <x:c r="Q892" s="10" t="n">
        <x:v>20</x:v>
      </x:c>
      <x:c r="R892" s="10"/>
      <x:c r="S892" s="10" t="str">
        <x:f>IF(COUNT(R892,Q892)=2,R892-Q892,"")</x:f>
      </x:c>
      <x:c r="T892" s="10" t="n">
        <x:v>-2</x:v>
      </x:c>
      <x:c r="U892" s="10"/>
      <x:c r="V892" s="10" t="str">
        <x:f>IF(COUNT(U892,T892)=2,U892-T892,"")</x:f>
      </x:c>
      <x:c r="W892" s="10" t="n">
        <x:v>7</x:v>
      </x:c>
      <x:c r="X892" s="10" t="str">
        <x:f>IF(COUNT(AV892,AW892)=2,AV892+AW892,"")</x:f>
      </x:c>
      <x:c r="Y892" s="10" t="str">
        <x:f>IF(COUNT(X892,W892)=2,X892-W892,"")</x:f>
      </x:c>
      <x:c r="Z892" s="10" t="n">
        <x:v>0</x:v>
      </x:c>
      <x:c r="AA892" s="10" t="str">
        <x:f>IF(COUNT(AX892,AY892)=2,AX892+AY892,"")</x:f>
      </x:c>
      <x:c r="AB892" s="10" t="str">
        <x:f>IF(COUNT(AA892,Z892)=2,AA892-Z892,"")</x:f>
      </x:c>
      <x:c r="AC892" s="10" t="n">
        <x:v>114</x:v>
      </x:c>
      <x:c r="AD892" s="10"/>
      <x:c r="AE892" s="10" t="str">
        <x:f>IF(COUNT(AD892,AC892)=2,AD892-AC892,"")</x:f>
      </x:c>
      <x:c r="AF892" s="10" t="n">
        <x:v>102</x:v>
      </x:c>
      <x:c r="AG892" s="10"/>
      <x:c r="AH892" s="10" t="str">
        <x:f>IF(COUNT(AG892,AF892)=2,AG892-AF892,"")</x:f>
      </x:c>
      <x:c r="AI892" s="10" t="n">
        <x:v>37</x:v>
      </x:c>
      <x:c r="AJ892" s="10"/>
      <x:c r="AK892" s="10" t="str">
        <x:f>IF(COUNT(AJ892,AI892)=2,AJ892-AI892,"")</x:f>
      </x:c>
      <x:c r="AL892" s="10" t="n">
        <x:v>21</x:v>
      </x:c>
      <x:c r="AM892" s="10"/>
      <x:c r="AN892" s="4" t="str">
        <x:v>RW</x:v>
      </x:c>
      <x:c r="AO892" s="4"/>
      <x:c r="AP892" s="4" t="str">
        <x:v>PIT</x:v>
      </x:c>
      <x:c r="AQ892" s="4"/>
      <x:c r="AR892" s="4" t="n">
        <x:v>13.75</x:v>
      </x:c>
      <x:c r="AS892" s="4"/>
      <x:c r="AT892" s="4" t="n">
        <x:v>1.25</x:v>
      </x:c>
      <x:c r="AU892" s="4"/>
      <x:c r="AV892" s="10"/>
      <x:c r="AW892" s="10"/>
      <x:c r="AX892" s="10"/>
      <x:c r="AY892" s="10"/>
      <x:c r="AZ892" s="10" t="n">
        <x:v>282</x:v>
      </x:c>
      <x:c r="BA892" s="10" t="n">
        <x:v>219</x:v>
      </x:c>
      <x:c r="BB892" s="4" t="n">
        <x:v>56.3</x:v>
      </x:c>
      <x:c r="BC892" s="4" t="n">
        <x:v>6.2</x:v>
      </x:c>
      <x:c r="BD892" s="10" t="n">
        <x:v>199</x:v>
      </x:c>
      <x:c r="BE892" s="10" t="n">
        <x:v>153</x:v>
      </x:c>
      <x:c r="BF892" s="4" t="n">
        <x:v>56.5</x:v>
      </x:c>
      <x:c r="BG892" s="4" t="n">
        <x:v>6.4</x:v>
      </x:c>
      <x:c r="BH892" s="4" t="n">
        <x:v>9</x:v>
      </x:c>
      <x:c r="BI892" s="4" t="n">
        <x:v>84.8</x:v>
      </x:c>
      <x:c r="BJ892" s="4" t="n">
        <x:v>93.9</x:v>
      </x:c>
      <x:c r="BK892" s="4" t="n">
        <x:v>61.4</x:v>
      </x:c>
      <x:c r="BL892" s="4" t="n">
        <x:v>38.6</x:v>
      </x:c>
      <x:c r="BM892" s="4" t="n">
        <x:v>11.966666666666667</x:v>
      </x:c>
      <x:c r="BN892" s="4" t="n">
        <x:v>11.55</x:v>
      </x:c>
      <x:c r="BO892" s="10" t="n">
        <x:v>4</x:v>
      </x:c>
      <x:c r="BP892" s="10" t="n">
        <x:v>15</x:v>
      </x:c>
      <x:c r="BQ892" s="4" t="n">
        <x:v>1.8</x:v>
      </x:c>
      <x:c r="BR892" s="10" t="n">
        <x:v>63</x:v>
      </x:c>
      <x:c r="BS892" s="4" t="n">
        <x:v>58.7</x:v>
      </x:c>
      <x:c r="BT892" s="10" t="n">
        <x:v>24</x:v>
      </x:c>
      <x:c r="BU892" s="4" t="str">
        <x:v>PIT</x:v>
      </x:c>
      <x:c r="BV892" s="10" t="n">
        <x:v>307</x:v>
      </x:c>
      <x:c r="BW892" s="10"/>
      <x:c r="BX892" s="10" t="n">
        <x:v>673</x:v>
      </x:c>
      <x:c r="BY892" s="4" t="str">
        <x:v>Rutger McGroarty</x:v>
      </x:c>
      <x:c r="BZ892" s="4"/>
      <x:c r="CA892" s="4" t="str">
        <x:v>Rutger McGroarty</x:v>
      </x:c>
      <x:c r="CB892" s="4" t="str">
        <x:v>mcgroru01</x:v>
      </x:c>
    </x:row>
    <x:row r="893" ht="22" customHeight="1">
      <x:c r="A893" s="4" t="str">
        <x:v>Ryan Graves</x:v>
      </x:c>
      <x:c r="B893" s="4" t="str">
        <x:v>ryangraves</x:v>
      </x:c>
      <x:c r="C893" s="10" t="n">
        <x:v>1</x:v>
      </x:c>
      <x:c r="D893" s="10" t="n">
        <x:v>0</x:v>
      </x:c>
      <x:c r="E893" s="10" t="n">
        <x:v>1</x:v>
      </x:c>
      <x:c r="F893" s="4" t="n">
        <x:f>IF(COUNT(N893,Q893,T893,W893,Z893,AC893,AF893,AI893)=8,N893*Guide!$E$5+Q893*Guide!$E$6+T893*Guide!$E$7+W893*Guide!$E$8+Z893*Guide!$E$9+AC893*Guide!$E$10+AF893*Guide!$E$11+AI893*Guide!$E$12,"")</x:f>
        <x:v>135.75</x:v>
      </x:c>
      <x:c r="G893" s="4" t="str">
        <x:f>IF(COUNT(O893,R893,U893,X893,AA893,AD893,AG893,AJ893)=8,O893*Guide!$E$5+R893*Guide!$E$6+U893*Guide!$E$7+X893*Guide!$E$8+AA893*Guide!$E$9+AD893*Guide!$E$10+AG893*Guide!$E$11+AJ893*Guide!$E$12,"")</x:f>
      </x:c>
      <x:c r="H893" s="4" t="str">
        <x:f>IF(COUNT(G893,F893)=2,G893-F893,"")</x:f>
      </x:c>
      <x:c r="I893" s="4" t="n">
        <x:f>IF(AND(ISNUMBER(F893),K893&gt;0),F893/K893,"")</x:f>
        <x:v>1.9963235294117647</x:v>
      </x:c>
      <x:c r="J893" s="4" t="str">
        <x:f>IF(AND(ISNUMBER(G893),L893&gt;0),G893/L893,"")</x:f>
      </x:c>
      <x:c r="K893" s="10" t="n">
        <x:v>68</x:v>
      </x:c>
      <x:c r="L893" s="10"/>
      <x:c r="M893" s="10" t="str">
        <x:f>IF(COUNT(L893,K893)=2,L893-K893,"")</x:f>
      </x:c>
      <x:c r="N893" s="10" t="n">
        <x:v>2</x:v>
      </x:c>
      <x:c r="O893" s="10"/>
      <x:c r="P893" s="10" t="str">
        <x:f>IF(COUNT(O893,N893)=2,O893-N893,"")</x:f>
      </x:c>
      <x:c r="Q893" s="10" t="n">
        <x:v>9</x:v>
      </x:c>
      <x:c r="R893" s="10"/>
      <x:c r="S893" s="10" t="str">
        <x:f>IF(COUNT(R893,Q893)=2,R893-Q893,"")</x:f>
      </x:c>
      <x:c r="T893" s="10" t="n">
        <x:v>0</x:v>
      </x:c>
      <x:c r="U893" s="10"/>
      <x:c r="V893" s="10" t="str">
        <x:f>IF(COUNT(U893,T893)=2,U893-T893,"")</x:f>
      </x:c>
      <x:c r="W893" s="10" t="n">
        <x:v>0</x:v>
      </x:c>
      <x:c r="X893" s="10" t="str">
        <x:f>IF(COUNT(AV893,AW893)=2,AV893+AW893,"")</x:f>
      </x:c>
      <x:c r="Y893" s="10" t="str">
        <x:f>IF(COUNT(X893,W893)=2,X893-W893,"")</x:f>
      </x:c>
      <x:c r="Z893" s="10" t="n">
        <x:v>0</x:v>
      </x:c>
      <x:c r="AA893" s="10" t="str">
        <x:f>IF(COUNT(AX893,AY893)=2,AX893+AY893,"")</x:f>
      </x:c>
      <x:c r="AB893" s="10" t="str">
        <x:f>IF(COUNT(AA893,Z893)=2,AA893-Z893,"")</x:f>
      </x:c>
      <x:c r="AC893" s="10" t="n">
        <x:v>55</x:v>
      </x:c>
      <x:c r="AD893" s="10"/>
      <x:c r="AE893" s="10" t="str">
        <x:f>IF(COUNT(AD893,AC893)=2,AD893-AC893,"")</x:f>
      </x:c>
      <x:c r="AF893" s="10" t="n">
        <x:v>72</x:v>
      </x:c>
      <x:c r="AG893" s="10"/>
      <x:c r="AH893" s="10" t="str">
        <x:f>IF(COUNT(AG893,AF893)=2,AG893-AF893,"")</x:f>
      </x:c>
      <x:c r="AI893" s="10" t="n">
        <x:v>92</x:v>
      </x:c>
      <x:c r="AJ893" s="10"/>
      <x:c r="AK893" s="10" t="str">
        <x:f>IF(COUNT(AJ893,AI893)=2,AJ893-AI893,"")</x:f>
      </x:c>
      <x:c r="AL893" s="10" t="n">
        <x:v>30</x:v>
      </x:c>
      <x:c r="AM893" s="10"/>
      <x:c r="AN893" s="4" t="str">
        <x:v>D</x:v>
      </x:c>
      <x:c r="AO893" s="4"/>
      <x:c r="AP893" s="4" t="str">
        <x:v>PIT</x:v>
      </x:c>
      <x:c r="AQ893" s="4"/>
      <x:c r="AR893" s="4" t="n">
        <x:v>15.549999999999999</x:v>
      </x:c>
      <x:c r="AS893" s="4"/>
      <x:c r="AT893" s="4" t="n">
        <x:v>0.03</x:v>
      </x:c>
      <x:c r="AU893" s="4"/>
      <x:c r="AV893" s="10"/>
      <x:c r="AW893" s="10"/>
      <x:c r="AX893" s="10"/>
      <x:c r="AY893" s="10"/>
      <x:c r="AZ893" s="10" t="n">
        <x:v>302</x:v>
      </x:c>
      <x:c r="BA893" s="10" t="n">
        <x:v>286</x:v>
      </x:c>
      <x:c r="BB893" s="4" t="n">
        <x:v>51.4</x:v>
      </x:c>
      <x:c r="BC893" s="4" t="n">
        <x:v>0.9</x:v>
      </x:c>
      <x:c r="BD893" s="10" t="n">
        <x:v>208</x:v>
      </x:c>
      <x:c r="BE893" s="10" t="n">
        <x:v>181</x:v>
      </x:c>
      <x:c r="BF893" s="4" t="n">
        <x:v>53.5</x:v>
      </x:c>
      <x:c r="BG893" s="4" t="n">
        <x:v>3.3</x:v>
      </x:c>
      <x:c r="BH893" s="4" t="n">
        <x:v>8.3</x:v>
      </x:c>
      <x:c r="BI893" s="4" t="n">
        <x:v>87.2</x:v>
      </x:c>
      <x:c r="BJ893" s="4" t="n">
        <x:v>95.5</x:v>
      </x:c>
      <x:c r="BK893" s="4" t="n">
        <x:v>43.2</x:v>
      </x:c>
      <x:c r="BL893" s="4" t="n">
        <x:v>56.8</x:v>
      </x:c>
      <x:c r="BM893" s="4" t="n">
        <x:v>15.3</x:v>
      </x:c>
      <x:c r="BN893" s="4" t="n">
        <x:v>14.783333333333333</x:v>
      </x:c>
      <x:c r="BO893" s="10" t="n">
        <x:v>7</x:v>
      </x:c>
      <x:c r="BP893" s="10" t="n">
        <x:v>20</x:v>
      </x:c>
      <x:c r="BQ893" s="4" t="n">
        <x:v>1.3</x:v>
      </x:c>
      <x:c r="BR893" s="10" t="n">
        <x:v>72</x:v>
      </x:c>
      <x:c r="BS893" s="4" t="n">
        <x:v>29.2</x:v>
      </x:c>
      <x:c r="BT893" s="10" t="n">
        <x:v>22</x:v>
      </x:c>
      <x:c r="BU893" s="4" t="str">
        <x:v>PIT</x:v>
      </x:c>
      <x:c r="BV893" s="10" t="n">
        <x:v>704</x:v>
      </x:c>
      <x:c r="BW893" s="10"/>
      <x:c r="BX893" s="10" t="n">
        <x:v>354</x:v>
      </x:c>
      <x:c r="BY893" s="4" t="str">
        <x:v>Ryan Graves</x:v>
      </x:c>
      <x:c r="BZ893" s="4"/>
      <x:c r="CA893" s="4" t="str">
        <x:v>Ryan Graves</x:v>
      </x:c>
      <x:c r="CB893" s="4" t="str">
        <x:v>gravery01</x:v>
      </x:c>
    </x:row>
    <x:row r="894" ht="22" customHeight="1">
      <x:c r="A894" s="4" t="str">
        <x:v>Ryan Greene</x:v>
      </x:c>
      <x:c r="B894" s="4" t="str">
        <x:v>ryangreene</x:v>
      </x:c>
      <x:c r="C894" s="10" t="n">
        <x:v>0</x:v>
      </x:c>
      <x:c r="D894" s="10" t="n">
        <x:v>1</x:v>
      </x:c>
      <x:c r="E894" s="10" t="n">
        <x:v>1</x:v>
      </x:c>
      <x:c r="F894" s="4" t="str">
        <x:f>IF(COUNT(N894,Q894,T894,W894,Z894,AC894,AF894,AI894)=8,N894*Guide!$E$5+Q894*Guide!$E$6+T894*Guide!$E$7+W894*Guide!$E$8+Z894*Guide!$E$9+AC894*Guide!$E$10+AF894*Guide!$E$11+AI894*Guide!$E$12,"")</x:f>
      </x:c>
      <x:c r="G894" s="4" t="n">
        <x:f>IF(COUNT(O894,R894,U894,X894,AA894,AD894,AG894,AJ894)=8,O894*Guide!$E$5+R894*Guide!$E$6+U894*Guide!$E$7+X894*Guide!$E$8+AA894*Guide!$E$9+AD894*Guide!$E$10+AG894*Guide!$E$11+AJ894*Guide!$E$12,"")</x:f>
        <x:v>159.5</x:v>
      </x:c>
      <x:c r="H894" s="4" t="str">
        <x:f>IF(COUNT(G894,F894)=2,G894-F894,"")</x:f>
      </x:c>
      <x:c r="I894" s="4" t="str">
        <x:f>IF(AND(ISNUMBER(F894),K894&gt;0),F894/K894,"")</x:f>
      </x:c>
      <x:c r="J894" s="4" t="n">
        <x:f>IF(AND(ISNUMBER(G894),L894&gt;0),G894/L894,"")</x:f>
        <x:v>1.9691358024691359</x:v>
      </x:c>
      <x:c r="K894" s="10"/>
      <x:c r="L894" s="10" t="n">
        <x:v>81</x:v>
      </x:c>
      <x:c r="M894" s="10" t="str">
        <x:f>IF(COUNT(L894,K894)=2,L894-K894,"")</x:f>
      </x:c>
      <x:c r="N894" s="10"/>
      <x:c r="O894" s="10" t="n">
        <x:v>12</x:v>
      </x:c>
      <x:c r="P894" s="10" t="str">
        <x:f>IF(COUNT(O894,N894)=2,O894-N894,"")</x:f>
      </x:c>
      <x:c r="Q894" s="10"/>
      <x:c r="R894" s="10" t="n">
        <x:v>17</x:v>
      </x:c>
      <x:c r="S894" s="10" t="str">
        <x:f>IF(COUNT(R894,Q894)=2,R894-Q894,"")</x:f>
      </x:c>
      <x:c r="T894" s="10"/>
      <x:c r="U894" s="10" t="n">
        <x:v>-14</x:v>
      </x:c>
      <x:c r="V894" s="10" t="str">
        <x:f>IF(COUNT(U894,T894)=2,U894-T894,"")</x:f>
      </x:c>
      <x:c r="W894" s="10"/>
      <x:c r="X894" s="10" t="n">
        <x:f>IF(COUNT(AV894,AW894)=2,AV894+AW894,"")</x:f>
        <x:v>4</x:v>
      </x:c>
      <x:c r="Y894" s="10" t="str">
        <x:f>IF(COUNT(X894,W894)=2,X894-W894,"")</x:f>
      </x:c>
      <x:c r="Z894" s="10"/>
      <x:c r="AA894" s="10" t="n">
        <x:f>IF(COUNT(AX894,AY894)=2,AX894+AY894,"")</x:f>
        <x:v>1</x:v>
      </x:c>
      <x:c r="AB894" s="10" t="str">
        <x:f>IF(COUNT(AA894,Z894)=2,AA894-Z894,"")</x:f>
      </x:c>
      <x:c r="AC894" s="10"/>
      <x:c r="AD894" s="10" t="n">
        <x:v>109</x:v>
      </x:c>
      <x:c r="AE894" s="10" t="str">
        <x:f>IF(COUNT(AD894,AC894)=2,AD894-AC894,"")</x:f>
      </x:c>
      <x:c r="AF894" s="10"/>
      <x:c r="AG894" s="10" t="n">
        <x:v>50</x:v>
      </x:c>
      <x:c r="AH894" s="10" t="str">
        <x:f>IF(COUNT(AG894,AF894)=2,AG894-AF894,"")</x:f>
      </x:c>
      <x:c r="AI894" s="10"/>
      <x:c r="AJ894" s="10" t="n">
        <x:v>37</x:v>
      </x:c>
      <x:c r="AK894" s="10" t="str">
        <x:f>IF(COUNT(AJ894,AI894)=2,AJ894-AI894,"")</x:f>
      </x:c>
      <x:c r="AL894" s="10"/>
      <x:c r="AM894" s="10" t="n">
        <x:v>22</x:v>
      </x:c>
      <x:c r="AN894" s="4"/>
      <x:c r="AO894" s="4" t="str">
        <x:v>C</x:v>
      </x:c>
      <x:c r="AP894" s="4"/>
      <x:c r="AQ894" s="4" t="str">
        <x:v>CHI</x:v>
      </x:c>
      <x:c r="AR894" s="4"/>
      <x:c r="AS894" s="4" t="n">
        <x:v>16.75</x:v>
      </x:c>
      <x:c r="AT894" s="4"/>
      <x:c r="AU894" s="4" t="n">
        <x:v>11</x:v>
      </x:c>
      <x:c r="AV894" s="10" t="n">
        <x:v>1</x:v>
      </x:c>
      <x:c r="AW894" s="10" t="n">
        <x:v>3</x:v>
      </x:c>
      <x:c r="AX894" s="10" t="n">
        <x:v>1</x:v>
      </x:c>
      <x:c r="AY894" s="10" t="n">
        <x:v>0</x:v>
      </x:c>
      <x:c r="AZ894" s="10" t="n">
        <x:v>972</x:v>
      </x:c>
      <x:c r="BA894" s="10" t="n">
        <x:v>1224</x:v>
      </x:c>
      <x:c r="BB894" s="4" t="n">
        <x:v>44.3</x:v>
      </x:c>
      <x:c r="BC894" s="4" t="n">
        <x:v>-2.1</x:v>
      </x:c>
      <x:c r="BD894" s="10" t="n">
        <x:v>722</x:v>
      </x:c>
      <x:c r="BE894" s="10" t="n">
        <x:v>936</x:v>
      </x:c>
      <x:c r="BF894" s="4" t="n">
        <x:v>43.5</x:v>
      </x:c>
      <x:c r="BG894" s="4" t="n">
        <x:v>-2.5</x:v>
      </x:c>
      <x:c r="BH894" s="4" t="n">
        <x:v>9.7</x:v>
      </x:c>
      <x:c r="BI894" s="4" t="n">
        <x:v>90.1</x:v>
      </x:c>
      <x:c r="BJ894" s="4" t="n">
        <x:v>99.8</x:v>
      </x:c>
      <x:c r="BK894" s="4" t="n">
        <x:v>48</x:v>
      </x:c>
      <x:c r="BL894" s="4" t="n">
        <x:v>52</x:v>
      </x:c>
      <x:c r="BM894" s="4" t="n">
        <x:v>16.75</x:v>
      </x:c>
      <x:c r="BN894" s="4" t="n">
        <x:v>13.766666666666667</x:v>
      </x:c>
      <x:c r="BO894" s="10" t="n">
        <x:v>21</x:v>
      </x:c>
      <x:c r="BP894" s="10" t="n">
        <x:v>51</x:v>
      </x:c>
      <x:c r="BQ894" s="4" t="n">
        <x:v>-17.7</x:v>
      </x:c>
      <x:c r="BR894" s="10" t="n">
        <x:v>200</x:v>
      </x:c>
      <x:c r="BS894" s="4" t="n">
        <x:v>54.5</x:v>
      </x:c>
      <x:c r="BT894" s="10" t="n">
        <x:v>81</x:v>
      </x:c>
      <x:c r="BU894" s="4" t="str">
        <x:v>CHI</x:v>
      </x:c>
      <x:c r="BV894" s="10"/>
      <x:c r="BW894" s="10" t="n">
        <x:v>341</x:v>
      </x:c>
      <x:c r="BX894" s="10" t="n">
        <x:v>356</x:v>
      </x:c>
      <x:c r="BY894" s="4"/>
      <x:c r="BZ894" s="4" t="str">
        <x:v>Ryan Greene</x:v>
      </x:c>
      <x:c r="CA894" s="4" t="str">
        <x:v>Ryan Greene</x:v>
      </x:c>
      <x:c r="CB894" s="4" t="str">
        <x:v>greenry01</x:v>
      </x:c>
    </x:row>
    <x:row r="895" ht="22" customHeight="1">
      <x:c r="A895" s="4" t="str">
        <x:v>Ryan Johnson</x:v>
      </x:c>
      <x:c r="B895" s="4" t="str">
        <x:v>ryanjohnson</x:v>
      </x:c>
      <x:c r="C895" s="10" t="n">
        <x:v>1</x:v>
      </x:c>
      <x:c r="D895" s="10" t="n">
        <x:v>0</x:v>
      </x:c>
      <x:c r="E895" s="10" t="n">
        <x:v>1</x:v>
      </x:c>
      <x:c r="F895" s="4" t="n">
        <x:f>IF(COUNT(N895,Q895,T895,W895,Z895,AC895,AF895,AI895)=8,N895*Guide!$E$5+Q895*Guide!$E$6+T895*Guide!$E$7+W895*Guide!$E$8+Z895*Guide!$E$9+AC895*Guide!$E$10+AF895*Guide!$E$11+AI895*Guide!$E$12,"")</x:f>
        <x:v>102.75</x:v>
      </x:c>
      <x:c r="G895" s="4" t="str">
        <x:f>IF(COUNT(O895,R895,U895,X895,AA895,AD895,AG895,AJ895)=8,O895*Guide!$E$5+R895*Guide!$E$6+U895*Guide!$E$7+X895*Guide!$E$8+AA895*Guide!$E$9+AD895*Guide!$E$10+AG895*Guide!$E$11+AJ895*Guide!$E$12,"")</x:f>
      </x:c>
      <x:c r="H895" s="4" t="str">
        <x:f>IF(COUNT(G895,F895)=2,G895-F895,"")</x:f>
      </x:c>
      <x:c r="I895" s="4" t="n">
        <x:f>IF(AND(ISNUMBER(F895),K895&gt;0),F895/K895,"")</x:f>
        <x:v>1.657258064516129</x:v>
      </x:c>
      <x:c r="J895" s="4" t="str">
        <x:f>IF(AND(ISNUMBER(G895),L895&gt;0),G895/L895,"")</x:f>
      </x:c>
      <x:c r="K895" s="10" t="n">
        <x:v>62</x:v>
      </x:c>
      <x:c r="L895" s="10"/>
      <x:c r="M895" s="10" t="str">
        <x:f>IF(COUNT(L895,K895)=2,L895-K895,"")</x:f>
      </x:c>
      <x:c r="N895" s="10" t="n">
        <x:v>2</x:v>
      </x:c>
      <x:c r="O895" s="10"/>
      <x:c r="P895" s="10" t="str">
        <x:f>IF(COUNT(O895,N895)=2,O895-N895,"")</x:f>
      </x:c>
      <x:c r="Q895" s="10" t="n">
        <x:v>11</x:v>
      </x:c>
      <x:c r="R895" s="10"/>
      <x:c r="S895" s="10" t="str">
        <x:f>IF(COUNT(R895,Q895)=2,R895-Q895,"")</x:f>
      </x:c>
      <x:c r="T895" s="10" t="n">
        <x:v>1</x:v>
      </x:c>
      <x:c r="U895" s="10"/>
      <x:c r="V895" s="10" t="str">
        <x:f>IF(COUNT(U895,T895)=2,U895-T895,"")</x:f>
      </x:c>
      <x:c r="W895" s="10" t="n">
        <x:v>1</x:v>
      </x:c>
      <x:c r="X895" s="10" t="str">
        <x:f>IF(COUNT(AV895,AW895)=2,AV895+AW895,"")</x:f>
      </x:c>
      <x:c r="Y895" s="10" t="str">
        <x:f>IF(COUNT(X895,W895)=2,X895-W895,"")</x:f>
      </x:c>
      <x:c r="Z895" s="10" t="n">
        <x:v>0</x:v>
      </x:c>
      <x:c r="AA895" s="10" t="str">
        <x:f>IF(COUNT(AX895,AY895)=2,AX895+AY895,"")</x:f>
      </x:c>
      <x:c r="AB895" s="10" t="str">
        <x:f>IF(COUNT(AA895,Z895)=2,AA895-Z895,"")</x:f>
      </x:c>
      <x:c r="AC895" s="10" t="n">
        <x:v>56</x:v>
      </x:c>
      <x:c r="AD895" s="10"/>
      <x:c r="AE895" s="10" t="str">
        <x:f>IF(COUNT(AD895,AC895)=2,AD895-AC895,"")</x:f>
      </x:c>
      <x:c r="AF895" s="10" t="n">
        <x:v>9</x:v>
      </x:c>
      <x:c r="AG895" s="10"/>
      <x:c r="AH895" s="10" t="str">
        <x:f>IF(COUNT(AG895,AF895)=2,AG895-AF895,"")</x:f>
      </x:c>
      <x:c r="AI895" s="10" t="n">
        <x:v>58</x:v>
      </x:c>
      <x:c r="AJ895" s="10"/>
      <x:c r="AK895" s="10" t="str">
        <x:f>IF(COUNT(AJ895,AI895)=2,AJ895-AI895,"")</x:f>
      </x:c>
      <x:c r="AL895" s="10" t="n">
        <x:v>24</x:v>
      </x:c>
      <x:c r="AM895" s="10"/>
      <x:c r="AN895" s="4" t="str">
        <x:v>D</x:v>
      </x:c>
      <x:c r="AO895" s="4"/>
      <x:c r="AP895" s="4" t="str">
        <x:v>BUF</x:v>
      </x:c>
      <x:c r="AQ895" s="4"/>
      <x:c r="AR895" s="4" t="n">
        <x:v>14.229999999999999</x:v>
      </x:c>
      <x:c r="AS895" s="4"/>
      <x:c r="AT895" s="4" t="n">
        <x:v>0.16</x:v>
      </x:c>
      <x:c r="AU895" s="4"/>
      <x:c r="AV895" s="10"/>
      <x:c r="AW895" s="10"/>
      <x:c r="AX895" s="10"/>
      <x:c r="AY895" s="10"/>
      <x:c r="AZ895" s="10" t="n">
        <x:v>22</x:v>
      </x:c>
      <x:c r="BA895" s="10" t="n">
        <x:v>32</x:v>
      </x:c>
      <x:c r="BB895" s="4" t="n">
        <x:v>40.7</x:v>
      </x:c>
      <x:c r="BC895" s="4" t="n">
        <x:v>-9.7</x:v>
      </x:c>
      <x:c r="BD895" s="10" t="n">
        <x:v>17</x:v>
      </x:c>
      <x:c r="BE895" s="10" t="n">
        <x:v>22</x:v>
      </x:c>
      <x:c r="BF895" s="4" t="n">
        <x:v>43.6</x:v>
      </x:c>
      <x:c r="BG895" s="4" t="n">
        <x:v>-5.5</x:v>
      </x:c>
      <x:c r="BH895" s="4" t="n">
        <x:v>10</x:v>
      </x:c>
      <x:c r="BI895" s="4" t="n">
        <x:v>92.9</x:v>
      </x:c>
      <x:c r="BJ895" s="4" t="n">
        <x:v>102.9</x:v>
      </x:c>
      <x:c r="BK895" s="4" t="n">
        <x:v>25</x:v>
      </x:c>
      <x:c r="BL895" s="4" t="n">
        <x:v>75</x:v>
      </x:c>
      <x:c r="BM895" s="4" t="n">
        <x:v>9</x:v>
      </x:c>
      <x:c r="BN895" s="4" t="n">
        <x:v>8.733333333333333</x:v>
      </x:c>
      <x:c r="BO895" s="10" t="n">
        <x:v>2</x:v>
      </x:c>
      <x:c r="BP895" s="10" t="n">
        <x:v>2</x:v>
      </x:c>
      <x:c r="BQ895" s="4" t="n">
        <x:v>0</x:v>
      </x:c>
      <x:c r="BR895" s="10" t="n">
        <x:v>4</x:v>
      </x:c>
      <x:c r="BS895" s="4" t="n">
        <x:v>0</x:v>
      </x:c>
      <x:c r="BT895" s="10" t="n">
        <x:v>3</x:v>
      </x:c>
      <x:c r="BU895" s="4" t="str">
        <x:v>BUF</x:v>
      </x:c>
      <x:c r="BV895" s="10" t="n">
        <x:v>674</x:v>
      </x:c>
      <x:c r="BW895" s="10"/>
      <x:c r="BX895" s="10" t="n">
        <x:v>469</x:v>
      </x:c>
      <x:c r="BY895" s="4" t="str">
        <x:v>Ryan Johnson</x:v>
      </x:c>
      <x:c r="BZ895" s="4"/>
      <x:c r="CA895" s="4" t="str">
        <x:v>Ryan Johnson</x:v>
      </x:c>
      <x:c r="CB895" s="4" t="str">
        <x:v>johnsry03</x:v>
      </x:c>
    </x:row>
    <x:row r="896" ht="22" customHeight="1">
      <x:c r="A896" s="4" t="str">
        <x:v>Ryan Lindgren</x:v>
      </x:c>
      <x:c r="B896" s="4" t="str">
        <x:v>ryanlindgren</x:v>
      </x:c>
      <x:c r="C896" s="10" t="n">
        <x:v>1</x:v>
      </x:c>
      <x:c r="D896" s="10" t="n">
        <x:v>0</x:v>
      </x:c>
      <x:c r="E896" s="10" t="n">
        <x:v>1</x:v>
      </x:c>
      <x:c r="F896" s="4" t="n">
        <x:f>IF(COUNT(N896,Q896,T896,W896,Z896,AC896,AF896,AI896)=8,N896*Guide!$E$5+Q896*Guide!$E$6+T896*Guide!$E$7+W896*Guide!$E$8+Z896*Guide!$E$9+AC896*Guide!$E$10+AF896*Guide!$E$11+AI896*Guide!$E$12,"")</x:f>
        <x:v>187</x:v>
      </x:c>
      <x:c r="G896" s="4" t="str">
        <x:f>IF(COUNT(O896,R896,U896,X896,AA896,AD896,AG896,AJ896)=8,O896*Guide!$E$5+R896*Guide!$E$6+U896*Guide!$E$7+X896*Guide!$E$8+AA896*Guide!$E$9+AD896*Guide!$E$10+AG896*Guide!$E$11+AJ896*Guide!$E$12,"")</x:f>
      </x:c>
      <x:c r="H896" s="4" t="str">
        <x:f>IF(COUNT(G896,F896)=2,G896-F896,"")</x:f>
      </x:c>
      <x:c r="I896" s="4" t="n">
        <x:f>IF(AND(ISNUMBER(F896),K896&gt;0),F896/K896,"")</x:f>
        <x:v>2.527027027027027</x:v>
      </x:c>
      <x:c r="J896" s="4" t="str">
        <x:f>IF(AND(ISNUMBER(G896),L896&gt;0),G896/L896,"")</x:f>
      </x:c>
      <x:c r="K896" s="10" t="n">
        <x:v>74</x:v>
      </x:c>
      <x:c r="L896" s="10"/>
      <x:c r="M896" s="10" t="str">
        <x:f>IF(COUNT(L896,K896)=2,L896-K896,"")</x:f>
      </x:c>
      <x:c r="N896" s="10" t="n">
        <x:v>3</x:v>
      </x:c>
      <x:c r="O896" s="10"/>
      <x:c r="P896" s="10" t="str">
        <x:f>IF(COUNT(O896,N896)=2,O896-N896,"")</x:f>
      </x:c>
      <x:c r="Q896" s="10" t="n">
        <x:v>16</x:v>
      </x:c>
      <x:c r="R896" s="10"/>
      <x:c r="S896" s="10" t="str">
        <x:f>IF(COUNT(R896,Q896)=2,R896-Q896,"")</x:f>
      </x:c>
      <x:c r="T896" s="10" t="n">
        <x:v>-1</x:v>
      </x:c>
      <x:c r="U896" s="10"/>
      <x:c r="V896" s="10" t="str">
        <x:f>IF(COUNT(U896,T896)=2,U896-T896,"")</x:f>
      </x:c>
      <x:c r="W896" s="10" t="n">
        <x:v>0</x:v>
      </x:c>
      <x:c r="X896" s="10" t="str">
        <x:f>IF(COUNT(AV896,AW896)=2,AV896+AW896,"")</x:f>
      </x:c>
      <x:c r="Y896" s="10" t="str">
        <x:f>IF(COUNT(X896,W896)=2,X896-W896,"")</x:f>
      </x:c>
      <x:c r="Z896" s="10" t="n">
        <x:v>1</x:v>
      </x:c>
      <x:c r="AA896" s="10" t="str">
        <x:f>IF(COUNT(AX896,AY896)=2,AX896+AY896,"")</x:f>
      </x:c>
      <x:c r="AB896" s="10" t="str">
        <x:f>IF(COUNT(AA896,Z896)=2,AA896-Z896,"")</x:f>
      </x:c>
      <x:c r="AC896" s="10" t="n">
        <x:v>70</x:v>
      </x:c>
      <x:c r="AD896" s="10"/>
      <x:c r="AE896" s="10" t="str">
        <x:f>IF(COUNT(AD896,AC896)=2,AD896-AC896,"")</x:f>
      </x:c>
      <x:c r="AF896" s="10" t="n">
        <x:v>79</x:v>
      </x:c>
      <x:c r="AG896" s="10"/>
      <x:c r="AH896" s="10" t="str">
        <x:f>IF(COUNT(AG896,AF896)=2,AG896-AF896,"")</x:f>
      </x:c>
      <x:c r="AI896" s="10" t="n">
        <x:v>117</x:v>
      </x:c>
      <x:c r="AJ896" s="10"/>
      <x:c r="AK896" s="10" t="str">
        <x:f>IF(COUNT(AJ896,AI896)=2,AJ896-AI896,"")</x:f>
      </x:c>
      <x:c r="AL896" s="10" t="n">
        <x:v>27</x:v>
      </x:c>
      <x:c r="AM896" s="10"/>
      <x:c r="AN896" s="4" t="str">
        <x:v>D</x:v>
      </x:c>
      <x:c r="AO896" s="4"/>
      <x:c r="AP896" s="4" t="str">
        <x:v>SEA</x:v>
      </x:c>
      <x:c r="AQ896" s="4"/>
      <x:c r="AR896" s="4" t="n">
        <x:v>19.63</x:v>
      </x:c>
      <x:c r="AS896" s="4"/>
      <x:c r="AT896" s="4" t="n">
        <x:v>0.04</x:v>
      </x:c>
      <x:c r="AU896" s="4"/>
      <x:c r="AV896" s="10"/>
      <x:c r="AW896" s="10"/>
      <x:c r="AX896" s="10"/>
      <x:c r="AY896" s="10"/>
      <x:c r="AZ896" s="10" t="n">
        <x:v>1013</x:v>
      </x:c>
      <x:c r="BA896" s="10" t="n">
        <x:v>1263</x:v>
      </x:c>
      <x:c r="BB896" s="4" t="n">
        <x:v>44.5</x:v>
      </x:c>
      <x:c r="BC896" s="4" t="n">
        <x:v>-1.9</x:v>
      </x:c>
      <x:c r="BD896" s="10" t="n">
        <x:v>716</x:v>
      </x:c>
      <x:c r="BE896" s="10" t="n">
        <x:v>907</x:v>
      </x:c>
      <x:c r="BF896" s="4" t="n">
        <x:v>44.1</x:v>
      </x:c>
      <x:c r="BG896" s="4" t="n">
        <x:v>-2.9</x:v>
      </x:c>
      <x:c r="BH896" s="4" t="n">
        <x:v>10.1</x:v>
      </x:c>
      <x:c r="BI896" s="4" t="n">
        <x:v>91.9</x:v>
      </x:c>
      <x:c r="BJ896" s="4" t="n">
        <x:v>102</x:v>
      </x:c>
      <x:c r="BK896" s="4" t="n">
        <x:v>42.5</x:v>
      </x:c>
      <x:c r="BL896" s="4" t="n">
        <x:v>57.5</x:v>
      </x:c>
      <x:c r="BM896" s="4" t="n">
        <x:v>18.333333333333332</x:v>
      </x:c>
      <x:c r="BN896" s="4" t="n">
        <x:v>15.75</x:v>
      </x:c>
      <x:c r="BO896" s="10" t="n">
        <x:v>16</x:v>
      </x:c>
      <x:c r="BP896" s="10" t="n">
        <x:v>78</x:v>
      </x:c>
      <x:c r="BQ896" s="4" t="n">
        <x:v>-13.6</x:v>
      </x:c>
      <x:c r="BR896" s="10" t="n">
        <x:v>156</x:v>
      </x:c>
      <x:c r="BS896" s="4" t="n">
        <x:v>30.8</x:v>
      </x:c>
      <x:c r="BT896" s="10" t="n">
        <x:v>76</x:v>
      </x:c>
      <x:c r="BU896" s="4" t="str">
        <x:v>SEA</x:v>
      </x:c>
      <x:c r="BV896" s="10" t="n">
        <x:v>537</x:v>
      </x:c>
      <x:c r="BW896" s="10"/>
      <x:c r="BX896" s="10" t="n">
        <x:v>599</x:v>
      </x:c>
      <x:c r="BY896" s="4" t="str">
        <x:v>Ryan Lindgren</x:v>
      </x:c>
      <x:c r="BZ896" s="4"/>
      <x:c r="CA896" s="4" t="str">
        <x:v>Ryan Lindgren</x:v>
      </x:c>
      <x:c r="CB896" s="4" t="str">
        <x:v>lindgry01</x:v>
      </x:c>
    </x:row>
    <x:row r="897" ht="22" customHeight="1">
      <x:c r="A897" s="4" t="str">
        <x:v>Ryan Lomberg</x:v>
      </x:c>
      <x:c r="B897" s="4" t="str">
        <x:v>ryanlomberg</x:v>
      </x:c>
      <x:c r="C897" s="10" t="n">
        <x:v>1</x:v>
      </x:c>
      <x:c r="D897" s="10" t="n">
        <x:v>0</x:v>
      </x:c>
      <x:c r="E897" s="10" t="n">
        <x:v>1</x:v>
      </x:c>
      <x:c r="F897" s="4" t="n">
        <x:f>IF(COUNT(N897,Q897,T897,W897,Z897,AC897,AF897,AI897)=8,N897*Guide!$E$5+Q897*Guide!$E$6+T897*Guide!$E$7+W897*Guide!$E$8+Z897*Guide!$E$9+AC897*Guide!$E$10+AF897*Guide!$E$11+AI897*Guide!$E$12,"")</x:f>
        <x:v>106.25</x:v>
      </x:c>
      <x:c r="G897" s="4" t="str">
        <x:f>IF(COUNT(O897,R897,U897,X897,AA897,AD897,AG897,AJ897)=8,O897*Guide!$E$5+R897*Guide!$E$6+U897*Guide!$E$7+X897*Guide!$E$8+AA897*Guide!$E$9+AD897*Guide!$E$10+AG897*Guide!$E$11+AJ897*Guide!$E$12,"")</x:f>
      </x:c>
      <x:c r="H897" s="4" t="str">
        <x:f>IF(COUNT(G897,F897)=2,G897-F897,"")</x:f>
      </x:c>
      <x:c r="I897" s="4" t="n">
        <x:f>IF(AND(ISNUMBER(F897),K897&gt;0),F897/K897,"")</x:f>
        <x:v>1.328125</x:v>
      </x:c>
      <x:c r="J897" s="4" t="str">
        <x:f>IF(AND(ISNUMBER(G897),L897&gt;0),G897/L897,"")</x:f>
      </x:c>
      <x:c r="K897" s="10" t="n">
        <x:v>80</x:v>
      </x:c>
      <x:c r="L897" s="10"/>
      <x:c r="M897" s="10" t="str">
        <x:f>IF(COUNT(L897,K897)=2,L897-K897,"")</x:f>
      </x:c>
      <x:c r="N897" s="10" t="n">
        <x:v>6</x:v>
      </x:c>
      <x:c r="O897" s="10"/>
      <x:c r="P897" s="10" t="str">
        <x:f>IF(COUNT(O897,N897)=2,O897-N897,"")</x:f>
      </x:c>
      <x:c r="Q897" s="10" t="n">
        <x:v>7</x:v>
      </x:c>
      <x:c r="R897" s="10"/>
      <x:c r="S897" s="10" t="str">
        <x:f>IF(COUNT(R897,Q897)=2,R897-Q897,"")</x:f>
      </x:c>
      <x:c r="T897" s="10" t="n">
        <x:v>-3</x:v>
      </x:c>
      <x:c r="U897" s="10"/>
      <x:c r="V897" s="10" t="str">
        <x:f>IF(COUNT(U897,T897)=2,U897-T897,"")</x:f>
      </x:c>
      <x:c r="W897" s="10" t="n">
        <x:v>0</x:v>
      </x:c>
      <x:c r="X897" s="10" t="str">
        <x:f>IF(COUNT(AV897,AW897)=2,AV897+AW897,"")</x:f>
      </x:c>
      <x:c r="Y897" s="10" t="str">
        <x:f>IF(COUNT(X897,W897)=2,X897-W897,"")</x:f>
      </x:c>
      <x:c r="Z897" s="10" t="n">
        <x:v>0</x:v>
      </x:c>
      <x:c r="AA897" s="10" t="str">
        <x:f>IF(COUNT(AX897,AY897)=2,AX897+AY897,"")</x:f>
      </x:c>
      <x:c r="AB897" s="10" t="str">
        <x:f>IF(COUNT(AA897,Z897)=2,AA897-Z897,"")</x:f>
      </x:c>
      <x:c r="AC897" s="10" t="n">
        <x:v>70</x:v>
      </x:c>
      <x:c r="AD897" s="10"/>
      <x:c r="AE897" s="10" t="str">
        <x:f>IF(COUNT(AD897,AC897)=2,AD897-AC897,"")</x:f>
      </x:c>
      <x:c r="AF897" s="10" t="n">
        <x:v>127</x:v>
      </x:c>
      <x:c r="AG897" s="10"/>
      <x:c r="AH897" s="10" t="str">
        <x:f>IF(COUNT(AG897,AF897)=2,AG897-AF897,"")</x:f>
      </x:c>
      <x:c r="AI897" s="10" t="n">
        <x:v>20</x:v>
      </x:c>
      <x:c r="AJ897" s="10"/>
      <x:c r="AK897" s="10" t="str">
        <x:f>IF(COUNT(AJ897,AI897)=2,AJ897-AI897,"")</x:f>
      </x:c>
      <x:c r="AL897" s="10" t="n">
        <x:v>31</x:v>
      </x:c>
      <x:c r="AM897" s="10"/>
      <x:c r="AN897" s="4" t="str">
        <x:v>LW</x:v>
      </x:c>
      <x:c r="AO897" s="4"/>
      <x:c r="AP897" s="4" t="str">
        <x:v>CGY</x:v>
      </x:c>
      <x:c r="AQ897" s="4"/>
      <x:c r="AR897" s="4" t="n">
        <x:v>8.860000000000001</x:v>
      </x:c>
      <x:c r="AS897" s="4"/>
      <x:c r="AT897" s="4" t="n">
        <x:v>0.13</x:v>
      </x:c>
      <x:c r="AU897" s="4"/>
      <x:c r="AV897" s="10"/>
      <x:c r="AW897" s="10"/>
      <x:c r="AX897" s="10"/>
      <x:c r="AY897" s="10"/>
      <x:c r="AZ897" s="10" t="n">
        <x:v>476</x:v>
      </x:c>
      <x:c r="BA897" s="10" t="n">
        <x:v>519</x:v>
      </x:c>
      <x:c r="BB897" s="4" t="n">
        <x:v>47.8</x:v>
      </x:c>
      <x:c r="BC897" s="4" t="n">
        <x:v>-3.4</x:v>
      </x:c>
      <x:c r="BD897" s="10" t="n">
        <x:v>328</x:v>
      </x:c>
      <x:c r="BE897" s="10" t="n">
        <x:v>336</x:v>
      </x:c>
      <x:c r="BF897" s="4" t="n">
        <x:v>49.4</x:v>
      </x:c>
      <x:c r="BG897" s="4" t="n">
        <x:v>-0.5</x:v>
      </x:c>
      <x:c r="BH897" s="4" t="n">
        <x:v>7.1</x:v>
      </x:c>
      <x:c r="BI897" s="4" t="n">
        <x:v>91.6</x:v>
      </x:c>
      <x:c r="BJ897" s="4" t="n">
        <x:v>98.7</x:v>
      </x:c>
      <x:c r="BK897" s="4" t="n">
        <x:v>40</x:v>
      </x:c>
      <x:c r="BL897" s="4" t="n">
        <x:v>60</x:v>
      </x:c>
      <x:c r="BM897" s="4" t="n">
        <x:v>9.05</x:v>
      </x:c>
      <x:c r="BN897" s="4" t="n">
        <x:v>8.983333333333333</x:v>
      </x:c>
      <x:c r="BO897" s="10" t="n">
        <x:v>3</x:v>
      </x:c>
      <x:c r="BP897" s="10" t="n">
        <x:v>18</x:v>
      </x:c>
      <x:c r="BQ897" s="4" t="n">
        <x:v>-5.9</x:v>
      </x:c>
      <x:c r="BR897" s="10" t="n">
        <x:v>99</x:v>
      </x:c>
      <x:c r="BS897" s="4" t="n">
        <x:v>53.5</x:v>
      </x:c>
      <x:c r="BT897" s="10" t="n">
        <x:v>57</x:v>
      </x:c>
      <x:c r="BU897" s="4" t="str">
        <x:v>CGY</x:v>
      </x:c>
      <x:c r="BV897" s="10" t="n">
        <x:v>670</x:v>
      </x:c>
      <x:c r="BW897" s="10"/>
      <x:c r="BX897" s="10" t="n">
        <x:v>606</x:v>
      </x:c>
      <x:c r="BY897" s="4" t="str">
        <x:v>Ryan Lomberg</x:v>
      </x:c>
      <x:c r="BZ897" s="4"/>
      <x:c r="CA897" s="4" t="str">
        <x:v>Ryan Lomberg</x:v>
      </x:c>
      <x:c r="CB897" s="4" t="str">
        <x:v>lombery01</x:v>
      </x:c>
    </x:row>
    <x:row r="898" ht="22" customHeight="1">
      <x:c r="A898" s="4" t="str">
        <x:v>Ryan Reaves</x:v>
      </x:c>
      <x:c r="B898" s="4" t="str">
        <x:v>ryanreaves</x:v>
      </x:c>
      <x:c r="C898" s="10" t="n">
        <x:v>1</x:v>
      </x:c>
      <x:c r="D898" s="10" t="n">
        <x:v>0</x:v>
      </x:c>
      <x:c r="E898" s="10" t="n">
        <x:v>1</x:v>
      </x:c>
      <x:c r="F898" s="4" t="n">
        <x:f>IF(COUNT(N898,Q898,T898,W898,Z898,AC898,AF898,AI898)=8,N898*Guide!$E$5+Q898*Guide!$E$6+T898*Guide!$E$7+W898*Guide!$E$8+Z898*Guide!$E$9+AC898*Guide!$E$10+AF898*Guide!$E$11+AI898*Guide!$E$12,"")</x:f>
        <x:v>76</x:v>
      </x:c>
      <x:c r="G898" s="4" t="str">
        <x:f>IF(COUNT(O898,R898,U898,X898,AA898,AD898,AG898,AJ898)=8,O898*Guide!$E$5+R898*Guide!$E$6+U898*Guide!$E$7+X898*Guide!$E$8+AA898*Guide!$E$9+AD898*Guide!$E$10+AG898*Guide!$E$11+AJ898*Guide!$E$12,"")</x:f>
      </x:c>
      <x:c r="H898" s="4" t="str">
        <x:f>IF(COUNT(G898,F898)=2,G898-F898,"")</x:f>
      </x:c>
      <x:c r="I898" s="4" t="n">
        <x:f>IF(AND(ISNUMBER(F898),K898&gt;0),F898/K898,"")</x:f>
        <x:v>1.52</x:v>
      </x:c>
      <x:c r="J898" s="4" t="str">
        <x:f>IF(AND(ISNUMBER(G898),L898&gt;0),G898/L898,"")</x:f>
      </x:c>
      <x:c r="K898" s="10" t="n">
        <x:v>50</x:v>
      </x:c>
      <x:c r="L898" s="10"/>
      <x:c r="M898" s="10" t="str">
        <x:f>IF(COUNT(L898,K898)=2,L898-K898,"")</x:f>
      </x:c>
      <x:c r="N898" s="10" t="n">
        <x:v>3</x:v>
      </x:c>
      <x:c r="O898" s="10"/>
      <x:c r="P898" s="10" t="str">
        <x:f>IF(COUNT(O898,N898)=2,O898-N898,"")</x:f>
      </x:c>
      <x:c r="Q898" s="10" t="n">
        <x:v>5</x:v>
      </x:c>
      <x:c r="R898" s="10"/>
      <x:c r="S898" s="10" t="str">
        <x:f>IF(COUNT(R898,Q898)=2,R898-Q898,"")</x:f>
      </x:c>
      <x:c r="T898" s="10" t="n">
        <x:v>-2</x:v>
      </x:c>
      <x:c r="U898" s="10"/>
      <x:c r="V898" s="10" t="str">
        <x:f>IF(COUNT(U898,T898)=2,U898-T898,"")</x:f>
      </x:c>
      <x:c r="W898" s="10" t="n">
        <x:v>0</x:v>
      </x:c>
      <x:c r="X898" s="10" t="str">
        <x:f>IF(COUNT(AV898,AW898)=2,AV898+AW898,"")</x:f>
      </x:c>
      <x:c r="Y898" s="10" t="str">
        <x:f>IF(COUNT(X898,W898)=2,X898-W898,"")</x:f>
      </x:c>
      <x:c r="Z898" s="10" t="n">
        <x:v>0</x:v>
      </x:c>
      <x:c r="AA898" s="10" t="str">
        <x:f>IF(COUNT(AX898,AY898)=2,AX898+AY898,"")</x:f>
      </x:c>
      <x:c r="AB898" s="10" t="str">
        <x:f>IF(COUNT(AA898,Z898)=2,AA898-Z898,"")</x:f>
      </x:c>
      <x:c r="AC898" s="10" t="n">
        <x:v>25</x:v>
      </x:c>
      <x:c r="AD898" s="10"/>
      <x:c r="AE898" s="10" t="str">
        <x:f>IF(COUNT(AD898,AC898)=2,AD898-AC898,"")</x:f>
      </x:c>
      <x:c r="AF898" s="10" t="n">
        <x:v>137</x:v>
      </x:c>
      <x:c r="AG898" s="10"/>
      <x:c r="AH898" s="10" t="str">
        <x:f>IF(COUNT(AG898,AF898)=2,AG898-AF898,"")</x:f>
      </x:c>
      <x:c r="AI898" s="10" t="n">
        <x:v>14</x:v>
      </x:c>
      <x:c r="AJ898" s="10"/>
      <x:c r="AK898" s="10" t="str">
        <x:f>IF(COUNT(AJ898,AI898)=2,AJ898-AI898,"")</x:f>
      </x:c>
      <x:c r="AL898" s="10" t="n">
        <x:v>39</x:v>
      </x:c>
      <x:c r="AM898" s="10"/>
      <x:c r="AN898" s="4" t="str">
        <x:v>RW</x:v>
      </x:c>
      <x:c r="AO898" s="4"/>
      <x:c r="AP898" s="4" t="str">
        <x:v>SJ</x:v>
      </x:c>
      <x:c r="AQ898" s="4"/>
      <x:c r="AR898" s="4" t="n">
        <x:v>7.72</x:v>
      </x:c>
      <x:c r="AS898" s="4"/>
      <x:c r="AT898" s="4" t="n">
        <x:v>0.08</x:v>
      </x:c>
      <x:c r="AU898" s="4"/>
      <x:c r="AV898" s="10"/>
      <x:c r="AW898" s="10"/>
      <x:c r="AX898" s="10"/>
      <x:c r="AY898" s="10"/>
      <x:c r="AZ898" s="10" t="n">
        <x:v>276</x:v>
      </x:c>
      <x:c r="BA898" s="10" t="n">
        <x:v>387</x:v>
      </x:c>
      <x:c r="BB898" s="4" t="n">
        <x:v>41.6</x:v>
      </x:c>
      <x:c r="BC898" s="4" t="n">
        <x:v>-4.8</x:v>
      </x:c>
      <x:c r="BD898" s="10" t="n">
        <x:v>187</x:v>
      </x:c>
      <x:c r="BE898" s="10" t="n">
        <x:v>275</x:v>
      </x:c>
      <x:c r="BF898" s="4" t="n">
        <x:v>40.5</x:v>
      </x:c>
      <x:c r="BG898" s="4" t="n">
        <x:v>-5.4</x:v>
      </x:c>
      <x:c r="BH898" s="4" t="n">
        <x:v>7.2</x:v>
      </x:c>
      <x:c r="BI898" s="4" t="n">
        <x:v>89.3</x:v>
      </x:c>
      <x:c r="BJ898" s="4" t="n">
        <x:v>96.5</x:v>
      </x:c>
      <x:c r="BK898" s="4" t="n">
        <x:v>40</x:v>
      </x:c>
      <x:c r="BL898" s="4" t="n">
        <x:v>60</x:v>
      </x:c>
      <x:c r="BM898" s="4" t="n">
        <x:v>7.8</x:v>
      </x:c>
      <x:c r="BN898" s="4" t="n">
        <x:v>7.783333333333333</x:v>
      </x:c>
      <x:c r="BO898" s="10" t="n">
        <x:v>8</x:v>
      </x:c>
      <x:c r="BP898" s="10" t="n">
        <x:v>19</x:v>
      </x:c>
      <x:c r="BQ898" s="4" t="n">
        <x:v>-6</x:v>
      </x:c>
      <x:c r="BR898" s="10" t="n">
        <x:v>55</x:v>
      </x:c>
      <x:c r="BS898" s="4" t="n">
        <x:v>45.5</x:v>
      </x:c>
      <x:c r="BT898" s="10" t="n">
        <x:v>50</x:v>
      </x:c>
      <x:c r="BU898" s="4" t="str">
        <x:v>SJS</x:v>
      </x:c>
      <x:c r="BV898" s="10" t="n">
        <x:v>750</x:v>
      </x:c>
      <x:c r="BW898" s="10"/>
      <x:c r="BX898" s="10" t="n">
        <x:v>845</x:v>
      </x:c>
      <x:c r="BY898" s="4" t="str">
        <x:v>Ryan Reaves</x:v>
      </x:c>
      <x:c r="BZ898" s="4"/>
      <x:c r="CA898" s="4" t="str">
        <x:v>Ryan Reaves</x:v>
      </x:c>
      <x:c r="CB898" s="4" t="str">
        <x:v>reavery01</x:v>
      </x:c>
    </x:row>
    <x:row r="899" ht="22" customHeight="1">
      <x:c r="A899" s="4" t="str">
        <x:v>Ryan Suter</x:v>
      </x:c>
      <x:c r="B899" s="4" t="str">
        <x:v>ryansuter</x:v>
      </x:c>
      <x:c r="C899" s="10" t="n">
        <x:v>1</x:v>
      </x:c>
      <x:c r="D899" s="10" t="n">
        <x:v>0</x:v>
      </x:c>
      <x:c r="E899" s="10" t="n">
        <x:v>0</x:v>
      </x:c>
      <x:c r="F899" s="4" t="n">
        <x:f>IF(COUNT(N899,Q899,T899,W899,Z899,AC899,AF899,AI899)=8,N899*Guide!$E$5+Q899*Guide!$E$6+T899*Guide!$E$7+W899*Guide!$E$8+Z899*Guide!$E$9+AC899*Guide!$E$10+AF899*Guide!$E$11+AI899*Guide!$E$12,"")</x:f>
        <x:v>173.25</x:v>
      </x:c>
      <x:c r="G899" s="4" t="str">
        <x:f>IF(COUNT(O899,R899,U899,X899,AA899,AD899,AG899,AJ899)=8,O899*Guide!$E$5+R899*Guide!$E$6+U899*Guide!$E$7+X899*Guide!$E$8+AA899*Guide!$E$9+AD899*Guide!$E$10+AG899*Guide!$E$11+AJ899*Guide!$E$12,"")</x:f>
      </x:c>
      <x:c r="H899" s="4" t="str">
        <x:f>IF(COUNT(G899,F899)=2,G899-F899,"")</x:f>
      </x:c>
      <x:c r="I899" s="4" t="n">
        <x:f>IF(AND(ISNUMBER(F899),K899&gt;0),F899/K899,"")</x:f>
        <x:v>2.1128048780487805</x:v>
      </x:c>
      <x:c r="J899" s="4" t="str">
        <x:f>IF(AND(ISNUMBER(G899),L899&gt;0),G899/L899,"")</x:f>
      </x:c>
      <x:c r="K899" s="10" t="n">
        <x:v>82</x:v>
      </x:c>
      <x:c r="L899" s="10"/>
      <x:c r="M899" s="10" t="str">
        <x:f>IF(COUNT(L899,K899)=2,L899-K899,"")</x:f>
      </x:c>
      <x:c r="N899" s="10" t="n">
        <x:v>3</x:v>
      </x:c>
      <x:c r="O899" s="10"/>
      <x:c r="P899" s="10" t="str">
        <x:f>IF(COUNT(O899,N899)=2,O899-N899,"")</x:f>
      </x:c>
      <x:c r="Q899" s="10" t="n">
        <x:v>15</x:v>
      </x:c>
      <x:c r="R899" s="10"/>
      <x:c r="S899" s="10" t="str">
        <x:f>IF(COUNT(R899,Q899)=2,R899-Q899,"")</x:f>
      </x:c>
      <x:c r="T899" s="10" t="n">
        <x:v>2</x:v>
      </x:c>
      <x:c r="U899" s="10"/>
      <x:c r="V899" s="10" t="str">
        <x:f>IF(COUNT(U899,T899)=2,U899-T899,"")</x:f>
      </x:c>
      <x:c r="W899" s="10" t="n">
        <x:v>1</x:v>
      </x:c>
      <x:c r="X899" s="10" t="str">
        <x:f>IF(COUNT(AV899,AW899)=2,AV899+AW899,"")</x:f>
      </x:c>
      <x:c r="Y899" s="10" t="str">
        <x:f>IF(COUNT(X899,W899)=2,X899-W899,"")</x:f>
      </x:c>
      <x:c r="Z899" s="10" t="n">
        <x:v>1</x:v>
      </x:c>
      <x:c r="AA899" s="10" t="str">
        <x:f>IF(COUNT(AX899,AY899)=2,AX899+AY899,"")</x:f>
      </x:c>
      <x:c r="AB899" s="10" t="str">
        <x:f>IF(COUNT(AA899,Z899)=2,AA899-Z899,"")</x:f>
      </x:c>
      <x:c r="AC899" s="10" t="n">
        <x:v>69</x:v>
      </x:c>
      <x:c r="AD899" s="10"/>
      <x:c r="AE899" s="10" t="str">
        <x:f>IF(COUNT(AD899,AC899)=2,AD899-AC899,"")</x:f>
      </x:c>
      <x:c r="AF899" s="10" t="n">
        <x:v>45</x:v>
      </x:c>
      <x:c r="AG899" s="10"/>
      <x:c r="AH899" s="10" t="str">
        <x:f>IF(COUNT(AG899,AF899)=2,AG899-AF899,"")</x:f>
      </x:c>
      <x:c r="AI899" s="10" t="n">
        <x:v>109</x:v>
      </x:c>
      <x:c r="AJ899" s="10"/>
      <x:c r="AK899" s="10" t="str">
        <x:f>IF(COUNT(AJ899,AI899)=2,AJ899-AI899,"")</x:f>
      </x:c>
      <x:c r="AL899" s="10" t="n">
        <x:v>41</x:v>
      </x:c>
      <x:c r="AM899" s="10"/>
      <x:c r="AN899" s="4" t="str">
        <x:v>D</x:v>
      </x:c>
      <x:c r="AO899" s="4"/>
      <x:c r="AP899" s="4" t="str">
        <x:v>STL</x:v>
      </x:c>
      <x:c r="AQ899" s="4"/>
      <x:c r="AR899" s="4" t="n">
        <x:v>19.32</x:v>
      </x:c>
      <x:c r="AS899" s="4"/>
      <x:c r="AT899" s="4" t="n">
        <x:v>0.09</x:v>
      </x:c>
      <x:c r="AU899" s="4"/>
      <x:c r="AV899" s="10"/>
      <x:c r="AW899" s="10"/>
      <x:c r="AX899" s="10"/>
      <x:c r="AY899" s="10"/>
      <x:c r="AZ899" s="10"/>
      <x:c r="BA899" s="10"/>
      <x:c r="BB899" s="4"/>
      <x:c r="BC899" s="4"/>
      <x:c r="BD899" s="10"/>
      <x:c r="BE899" s="10"/>
      <x:c r="BF899" s="4"/>
      <x:c r="BG899" s="4"/>
      <x:c r="BH899" s="4"/>
      <x:c r="BI899" s="4"/>
      <x:c r="BJ899" s="4"/>
      <x:c r="BK899" s="4"/>
      <x:c r="BL899" s="4"/>
      <x:c r="BM899" s="4"/>
      <x:c r="BN899" s="4"/>
      <x:c r="BO899" s="10"/>
      <x:c r="BP899" s="10"/>
      <x:c r="BQ899" s="4"/>
      <x:c r="BR899" s="10"/>
      <x:c r="BS899" s="4"/>
      <x:c r="BT899" s="10"/>
      <x:c r="BU899" s="4"/>
      <x:c r="BV899" s="10" t="n">
        <x:v>566</x:v>
      </x:c>
      <x:c r="BW899" s="10"/>
      <x:c r="BX899" s="10"/>
      <x:c r="BY899" s="4" t="str">
        <x:v>Ryan Suter</x:v>
      </x:c>
      <x:c r="BZ899" s="4"/>
      <x:c r="CA899" s="4"/>
      <x:c r="CB899" s="4"/>
    </x:row>
    <x:row r="900" ht="22" customHeight="1">
      <x:c r="A900" s="4" t="str">
        <x:v>Ryan Tverberg</x:v>
      </x:c>
      <x:c r="B900" s="4" t="str">
        <x:v>ryantverberg</x:v>
      </x:c>
      <x:c r="C900" s="10" t="n">
        <x:v>0</x:v>
      </x:c>
      <x:c r="D900" s="10" t="n">
        <x:v>0</x:v>
      </x:c>
      <x:c r="E900" s="10" t="n">
        <x:v>1</x:v>
      </x:c>
      <x:c r="F900" s="4" t="str">
        <x:f>IF(COUNT(N900,Q900,T900,W900,Z900,AC900,AF900,AI900)=8,N900*Guide!$E$5+Q900*Guide!$E$6+T900*Guide!$E$7+W900*Guide!$E$8+Z900*Guide!$E$9+AC900*Guide!$E$10+AF900*Guide!$E$11+AI900*Guide!$E$12,"")</x:f>
      </x:c>
      <x:c r="G900" s="4" t="str">
        <x:f>IF(COUNT(O900,R900,U900,X900,AA900,AD900,AG900,AJ900)=8,O900*Guide!$E$5+R900*Guide!$E$6+U900*Guide!$E$7+X900*Guide!$E$8+AA900*Guide!$E$9+AD900*Guide!$E$10+AG900*Guide!$E$11+AJ900*Guide!$E$12,"")</x:f>
      </x:c>
      <x:c r="H900" s="4" t="str">
        <x:f>IF(COUNT(G900,F900)=2,G900-F900,"")</x:f>
      </x:c>
      <x:c r="I900" s="4" t="str">
        <x:f>IF(AND(ISNUMBER(F900),K900&gt;0),F900/K900,"")</x:f>
      </x:c>
      <x:c r="J900" s="4" t="str">
        <x:f>IF(AND(ISNUMBER(G900),L900&gt;0),G900/L900,"")</x:f>
      </x:c>
      <x:c r="K900" s="10"/>
      <x:c r="L900" s="10"/>
      <x:c r="M900" s="10" t="str">
        <x:f>IF(COUNT(L900,K900)=2,L900-K900,"")</x:f>
      </x:c>
      <x:c r="N900" s="10"/>
      <x:c r="O900" s="10"/>
      <x:c r="P900" s="10" t="str">
        <x:f>IF(COUNT(O900,N900)=2,O900-N900,"")</x:f>
      </x:c>
      <x:c r="Q900" s="10"/>
      <x:c r="R900" s="10"/>
      <x:c r="S900" s="10" t="str">
        <x:f>IF(COUNT(R900,Q900)=2,R900-Q900,"")</x:f>
      </x:c>
      <x:c r="T900" s="10"/>
      <x:c r="U900" s="10"/>
      <x:c r="V900" s="10" t="str">
        <x:f>IF(COUNT(U900,T900)=2,U900-T900,"")</x:f>
      </x:c>
      <x:c r="W900" s="10"/>
      <x:c r="X900" s="10" t="str">
        <x:f>IF(COUNT(AV900,AW900)=2,AV900+AW900,"")</x:f>
      </x:c>
      <x:c r="Y900" s="10" t="str">
        <x:f>IF(COUNT(X900,W900)=2,X900-W900,"")</x:f>
      </x:c>
      <x:c r="Z900" s="10"/>
      <x:c r="AA900" s="10" t="str">
        <x:f>IF(COUNT(AX900,AY900)=2,AX900+AY900,"")</x:f>
      </x:c>
      <x:c r="AB900" s="10" t="str">
        <x:f>IF(COUNT(AA900,Z900)=2,AA900-Z900,"")</x:f>
      </x:c>
      <x:c r="AC900" s="10"/>
      <x:c r="AD900" s="10"/>
      <x:c r="AE900" s="10" t="str">
        <x:f>IF(COUNT(AD900,AC900)=2,AD900-AC900,"")</x:f>
      </x:c>
      <x:c r="AF900" s="10"/>
      <x:c r="AG900" s="10"/>
      <x:c r="AH900" s="10" t="str">
        <x:f>IF(COUNT(AG900,AF900)=2,AG900-AF900,"")</x:f>
      </x:c>
      <x:c r="AI900" s="10"/>
      <x:c r="AJ900" s="10"/>
      <x:c r="AK900" s="10" t="str">
        <x:f>IF(COUNT(AJ900,AI900)=2,AJ900-AI900,"")</x:f>
      </x:c>
      <x:c r="AL900" s="10"/>
      <x:c r="AM900" s="10"/>
      <x:c r="AN900" s="4"/>
      <x:c r="AO900" s="4"/>
      <x:c r="AP900" s="4"/>
      <x:c r="AQ900" s="4"/>
      <x:c r="AR900" s="4"/>
      <x:c r="AS900" s="4"/>
      <x:c r="AT900" s="4"/>
      <x:c r="AU900" s="4"/>
      <x:c r="AV900" s="10"/>
      <x:c r="AW900" s="10"/>
      <x:c r="AX900" s="10"/>
      <x:c r="AY900" s="10"/>
      <x:c r="AZ900" s="10" t="n">
        <x:v>12</x:v>
      </x:c>
      <x:c r="BA900" s="10" t="n">
        <x:v>18</x:v>
      </x:c>
      <x:c r="BB900" s="4" t="n">
        <x:v>40</x:v>
      </x:c>
      <x:c r="BC900" s="4" t="n">
        <x:v>-6</x:v>
      </x:c>
      <x:c r="BD900" s="10" t="n">
        <x:v>10</x:v>
      </x:c>
      <x:c r="BE900" s="10" t="n">
        <x:v>13</x:v>
      </x:c>
      <x:c r="BF900" s="4" t="n">
        <x:v>43.5</x:v>
      </x:c>
      <x:c r="BG900" s="4" t="n">
        <x:v>-1.5</x:v>
      </x:c>
      <x:c r="BH900" s="4" t="n">
        <x:v>16.7</x:v>
      </x:c>
      <x:c r="BI900" s="4" t="n">
        <x:v>100</x:v>
      </x:c>
      <x:c r="BJ900" s="4" t="n">
        <x:v>116.7</x:v>
      </x:c>
      <x:c r="BK900" s="4" t="n">
        <x:v>66.7</x:v>
      </x:c>
      <x:c r="BL900" s="4" t="n">
        <x:v>33.3</x:v>
      </x:c>
      <x:c r="BM900" s="4" t="n">
        <x:v>9.866666666666667</x:v>
      </x:c>
      <x:c r="BN900" s="4" t="n">
        <x:v>9.866666666666667</x:v>
      </x:c>
      <x:c r="BO900" s="10" t="n">
        <x:v>0</x:v>
      </x:c>
      <x:c r="BP900" s="10" t="n">
        <x:v>1</x:v>
      </x:c>
      <x:c r="BQ900" s="4" t="n">
        <x:v>0.3</x:v>
      </x:c>
      <x:c r="BR900" s="10" t="n">
        <x:v>2</x:v>
      </x:c>
      <x:c r="BS900" s="4" t="n">
        <x:v>50</x:v>
      </x:c>
      <x:c r="BT900" s="10" t="n">
        <x:v>2</x:v>
      </x:c>
      <x:c r="BU900" s="4" t="str">
        <x:v>TOR</x:v>
      </x:c>
      <x:c r="BV900" s="10"/>
      <x:c r="BW900" s="10"/>
      <x:c r="BX900" s="10" t="n">
        <x:v>1039</x:v>
      </x:c>
      <x:c r="BY900" s="4"/>
      <x:c r="BZ900" s="4"/>
      <x:c r="CA900" s="4" t="str">
        <x:v>Ryan Tverberg</x:v>
      </x:c>
      <x:c r="CB900" s="4" t="str">
        <x:v>tverbry01</x:v>
      </x:c>
    </x:row>
    <x:row r="901" ht="22" customHeight="1">
      <x:c r="A901" s="4" t="str">
        <x:v>Ryan Ufko</x:v>
      </x:c>
      <x:c r="B901" s="4" t="str">
        <x:v>ryanufko</x:v>
      </x:c>
      <x:c r="C901" s="10" t="n">
        <x:v>0</x:v>
      </x:c>
      <x:c r="D901" s="10" t="n">
        <x:v>0</x:v>
      </x:c>
      <x:c r="E901" s="10" t="n">
        <x:v>1</x:v>
      </x:c>
      <x:c r="F901" s="4" t="str">
        <x:f>IF(COUNT(N901,Q901,T901,W901,Z901,AC901,AF901,AI901)=8,N901*Guide!$E$5+Q901*Guide!$E$6+T901*Guide!$E$7+W901*Guide!$E$8+Z901*Guide!$E$9+AC901*Guide!$E$10+AF901*Guide!$E$11+AI901*Guide!$E$12,"")</x:f>
      </x:c>
      <x:c r="G901" s="4" t="str">
        <x:f>IF(COUNT(O901,R901,U901,X901,AA901,AD901,AG901,AJ901)=8,O901*Guide!$E$5+R901*Guide!$E$6+U901*Guide!$E$7+X901*Guide!$E$8+AA901*Guide!$E$9+AD901*Guide!$E$10+AG901*Guide!$E$11+AJ901*Guide!$E$12,"")</x:f>
      </x:c>
      <x:c r="H901" s="4" t="str">
        <x:f>IF(COUNT(G901,F901)=2,G901-F901,"")</x:f>
      </x:c>
      <x:c r="I901" s="4" t="str">
        <x:f>IF(AND(ISNUMBER(F901),K901&gt;0),F901/K901,"")</x:f>
      </x:c>
      <x:c r="J901" s="4" t="str">
        <x:f>IF(AND(ISNUMBER(G901),L901&gt;0),G901/L901,"")</x:f>
      </x:c>
      <x:c r="K901" s="10"/>
      <x:c r="L901" s="10"/>
      <x:c r="M901" s="10" t="str">
        <x:f>IF(COUNT(L901,K901)=2,L901-K901,"")</x:f>
      </x:c>
      <x:c r="N901" s="10"/>
      <x:c r="O901" s="10"/>
      <x:c r="P901" s="10" t="str">
        <x:f>IF(COUNT(O901,N901)=2,O901-N901,"")</x:f>
      </x:c>
      <x:c r="Q901" s="10"/>
      <x:c r="R901" s="10"/>
      <x:c r="S901" s="10" t="str">
        <x:f>IF(COUNT(R901,Q901)=2,R901-Q901,"")</x:f>
      </x:c>
      <x:c r="T901" s="10"/>
      <x:c r="U901" s="10"/>
      <x:c r="V901" s="10" t="str">
        <x:f>IF(COUNT(U901,T901)=2,U901-T901,"")</x:f>
      </x:c>
      <x:c r="W901" s="10"/>
      <x:c r="X901" s="10" t="str">
        <x:f>IF(COUNT(AV901,AW901)=2,AV901+AW901,"")</x:f>
      </x:c>
      <x:c r="Y901" s="10" t="str">
        <x:f>IF(COUNT(X901,W901)=2,X901-W901,"")</x:f>
      </x:c>
      <x:c r="Z901" s="10"/>
      <x:c r="AA901" s="10" t="str">
        <x:f>IF(COUNT(AX901,AY901)=2,AX901+AY901,"")</x:f>
      </x:c>
      <x:c r="AB901" s="10" t="str">
        <x:f>IF(COUNT(AA901,Z901)=2,AA901-Z901,"")</x:f>
      </x:c>
      <x:c r="AC901" s="10"/>
      <x:c r="AD901" s="10"/>
      <x:c r="AE901" s="10" t="str">
        <x:f>IF(COUNT(AD901,AC901)=2,AD901-AC901,"")</x:f>
      </x:c>
      <x:c r="AF901" s="10"/>
      <x:c r="AG901" s="10"/>
      <x:c r="AH901" s="10" t="str">
        <x:f>IF(COUNT(AG901,AF901)=2,AG901-AF901,"")</x:f>
      </x:c>
      <x:c r="AI901" s="10"/>
      <x:c r="AJ901" s="10"/>
      <x:c r="AK901" s="10" t="str">
        <x:f>IF(COUNT(AJ901,AI901)=2,AJ901-AI901,"")</x:f>
      </x:c>
      <x:c r="AL901" s="10"/>
      <x:c r="AM901" s="10"/>
      <x:c r="AN901" s="4"/>
      <x:c r="AO901" s="4"/>
      <x:c r="AP901" s="4"/>
      <x:c r="AQ901" s="4"/>
      <x:c r="AR901" s="4"/>
      <x:c r="AS901" s="4"/>
      <x:c r="AT901" s="4"/>
      <x:c r="AU901" s="4"/>
      <x:c r="AV901" s="10"/>
      <x:c r="AW901" s="10"/>
      <x:c r="AX901" s="10"/>
      <x:c r="AY901" s="10"/>
      <x:c r="AZ901" s="10" t="n">
        <x:v>194</x:v>
      </x:c>
      <x:c r="BA901" s="10" t="n">
        <x:v>241</x:v>
      </x:c>
      <x:c r="BB901" s="4" t="n">
        <x:v>44.6</x:v>
      </x:c>
      <x:c r="BC901" s="4" t="n">
        <x:v>-0.1</x:v>
      </x:c>
      <x:c r="BD901" s="10" t="n">
        <x:v>135</x:v>
      </x:c>
      <x:c r="BE901" s="10" t="n">
        <x:v>182</x:v>
      </x:c>
      <x:c r="BF901" s="4" t="n">
        <x:v>42.6</x:v>
      </x:c>
      <x:c r="BG901" s="4" t="n">
        <x:v>-0.5</x:v>
      </x:c>
      <x:c r="BH901" s="4" t="n">
        <x:v>12.4</x:v>
      </x:c>
      <x:c r="BI901" s="4" t="n">
        <x:v>91.3</x:v>
      </x:c>
      <x:c r="BJ901" s="4" t="n">
        <x:v>103.6</x:v>
      </x:c>
      <x:c r="BK901" s="4" t="n">
        <x:v>56.8</x:v>
      </x:c>
      <x:c r="BL901" s="4" t="n">
        <x:v>43.2</x:v>
      </x:c>
      <x:c r="BM901" s="4" t="n">
        <x:v>13.883333333333333</x:v>
      </x:c>
      <x:c r="BN901" s="4" t="n">
        <x:v>12.233333333333333</x:v>
      </x:c>
      <x:c r="BO901" s="10" t="n">
        <x:v>3</x:v>
      </x:c>
      <x:c r="BP901" s="10" t="n">
        <x:v>12</x:v>
      </x:c>
      <x:c r="BQ901" s="4" t="n">
        <x:v>-2.1</x:v>
      </x:c>
      <x:c r="BR901" s="10" t="n">
        <x:v>33</x:v>
      </x:c>
      <x:c r="BS901" s="4" t="n">
        <x:v>33.3</x:v>
      </x:c>
      <x:c r="BT901" s="10" t="n">
        <x:v>18</x:v>
      </x:c>
      <x:c r="BU901" s="4" t="str">
        <x:v>NSH</x:v>
      </x:c>
      <x:c r="BV901" s="10"/>
      <x:c r="BW901" s="10"/>
      <x:c r="BX901" s="10" t="n">
        <x:v>1042</x:v>
      </x:c>
      <x:c r="BY901" s="4"/>
      <x:c r="BZ901" s="4"/>
      <x:c r="CA901" s="4" t="str">
        <x:v>Ryan Ufko</x:v>
      </x:c>
      <x:c r="CB901" s="4" t="str">
        <x:v>ufkory01</x:v>
      </x:c>
    </x:row>
    <x:row r="902" ht="22" customHeight="1">
      <x:c r="A902" s="4" t="str">
        <x:v>Ryan Winterton</x:v>
      </x:c>
      <x:c r="B902" s="4" t="str">
        <x:v>ryanwinterton</x:v>
      </x:c>
      <x:c r="C902" s="10" t="n">
        <x:v>0</x:v>
      </x:c>
      <x:c r="D902" s="10" t="n">
        <x:v>0</x:v>
      </x:c>
      <x:c r="E902" s="10" t="n">
        <x:v>1</x:v>
      </x:c>
      <x:c r="F902" s="4" t="str">
        <x:f>IF(COUNT(N902,Q902,T902,W902,Z902,AC902,AF902,AI902)=8,N902*Guide!$E$5+Q902*Guide!$E$6+T902*Guide!$E$7+W902*Guide!$E$8+Z902*Guide!$E$9+AC902*Guide!$E$10+AF902*Guide!$E$11+AI902*Guide!$E$12,"")</x:f>
      </x:c>
      <x:c r="G902" s="4" t="str">
        <x:f>IF(COUNT(O902,R902,U902,X902,AA902,AD902,AG902,AJ902)=8,O902*Guide!$E$5+R902*Guide!$E$6+U902*Guide!$E$7+X902*Guide!$E$8+AA902*Guide!$E$9+AD902*Guide!$E$10+AG902*Guide!$E$11+AJ902*Guide!$E$12,"")</x:f>
      </x:c>
      <x:c r="H902" s="4" t="str">
        <x:f>IF(COUNT(G902,F902)=2,G902-F902,"")</x:f>
      </x:c>
      <x:c r="I902" s="4" t="str">
        <x:f>IF(AND(ISNUMBER(F902),K902&gt;0),F902/K902,"")</x:f>
      </x:c>
      <x:c r="J902" s="4" t="str">
        <x:f>IF(AND(ISNUMBER(G902),L902&gt;0),G902/L902,"")</x:f>
      </x:c>
      <x:c r="K902" s="10"/>
      <x:c r="L902" s="10"/>
      <x:c r="M902" s="10" t="str">
        <x:f>IF(COUNT(L902,K902)=2,L902-K902,"")</x:f>
      </x:c>
      <x:c r="N902" s="10"/>
      <x:c r="O902" s="10"/>
      <x:c r="P902" s="10" t="str">
        <x:f>IF(COUNT(O902,N902)=2,O902-N902,"")</x:f>
      </x:c>
      <x:c r="Q902" s="10"/>
      <x:c r="R902" s="10"/>
      <x:c r="S902" s="10" t="str">
        <x:f>IF(COUNT(R902,Q902)=2,R902-Q902,"")</x:f>
      </x:c>
      <x:c r="T902" s="10"/>
      <x:c r="U902" s="10"/>
      <x:c r="V902" s="10" t="str">
        <x:f>IF(COUNT(U902,T902)=2,U902-T902,"")</x:f>
      </x:c>
      <x:c r="W902" s="10"/>
      <x:c r="X902" s="10" t="str">
        <x:f>IF(COUNT(AV902,AW902)=2,AV902+AW902,"")</x:f>
      </x:c>
      <x:c r="Y902" s="10" t="str">
        <x:f>IF(COUNT(X902,W902)=2,X902-W902,"")</x:f>
      </x:c>
      <x:c r="Z902" s="10"/>
      <x:c r="AA902" s="10" t="str">
        <x:f>IF(COUNT(AX902,AY902)=2,AX902+AY902,"")</x:f>
      </x:c>
      <x:c r="AB902" s="10" t="str">
        <x:f>IF(COUNT(AA902,Z902)=2,AA902-Z902,"")</x:f>
      </x:c>
      <x:c r="AC902" s="10"/>
      <x:c r="AD902" s="10"/>
      <x:c r="AE902" s="10" t="str">
        <x:f>IF(COUNT(AD902,AC902)=2,AD902-AC902,"")</x:f>
      </x:c>
      <x:c r="AF902" s="10"/>
      <x:c r="AG902" s="10"/>
      <x:c r="AH902" s="10" t="str">
        <x:f>IF(COUNT(AG902,AF902)=2,AG902-AF902,"")</x:f>
      </x:c>
      <x:c r="AI902" s="10"/>
      <x:c r="AJ902" s="10"/>
      <x:c r="AK902" s="10" t="str">
        <x:f>IF(COUNT(AJ902,AI902)=2,AJ902-AI902,"")</x:f>
      </x:c>
      <x:c r="AL902" s="10"/>
      <x:c r="AM902" s="10"/>
      <x:c r="AN902" s="4"/>
      <x:c r="AO902" s="4"/>
      <x:c r="AP902" s="4"/>
      <x:c r="AQ902" s="4"/>
      <x:c r="AR902" s="4"/>
      <x:c r="AS902" s="4"/>
      <x:c r="AT902" s="4"/>
      <x:c r="AU902" s="4"/>
      <x:c r="AV902" s="10"/>
      <x:c r="AW902" s="10"/>
      <x:c r="AX902" s="10"/>
      <x:c r="AY902" s="10"/>
      <x:c r="AZ902" s="10" t="n">
        <x:v>616</x:v>
      </x:c>
      <x:c r="BA902" s="10" t="n">
        <x:v>749</x:v>
      </x:c>
      <x:c r="BB902" s="4" t="n">
        <x:v>45.1</x:v>
      </x:c>
      <x:c r="BC902" s="4" t="n">
        <x:v>-0.6</x:v>
      </x:c>
      <x:c r="BD902" s="10" t="n">
        <x:v>458</x:v>
      </x:c>
      <x:c r="BE902" s="10" t="n">
        <x:v>548</x:v>
      </x:c>
      <x:c r="BF902" s="4" t="n">
        <x:v>45.5</x:v>
      </x:c>
      <x:c r="BG902" s="4" t="n">
        <x:v>-0.5</x:v>
      </x:c>
      <x:c r="BH902" s="4" t="n">
        <x:v>10.4</x:v>
      </x:c>
      <x:c r="BI902" s="4" t="n">
        <x:v>91.3</x:v>
      </x:c>
      <x:c r="BJ902" s="4" t="n">
        <x:v>101.7</x:v>
      </x:c>
      <x:c r="BK902" s="4" t="n">
        <x:v>36.5</x:v>
      </x:c>
      <x:c r="BL902" s="4" t="n">
        <x:v>63.5</x:v>
      </x:c>
      <x:c r="BM902" s="4" t="n">
        <x:v>11.983333333333333</x:v>
      </x:c>
      <x:c r="BN902" s="4" t="n">
        <x:v>10.983333333333333</x:v>
      </x:c>
      <x:c r="BO902" s="10" t="n">
        <x:v>21</x:v>
      </x:c>
      <x:c r="BP902" s="10" t="n">
        <x:v>37</x:v>
      </x:c>
      <x:c r="BQ902" s="4" t="n">
        <x:v>-0.8</x:v>
      </x:c>
      <x:c r="BR902" s="10" t="n">
        <x:v>159</x:v>
      </x:c>
      <x:c r="BS902" s="4" t="n">
        <x:v>54.7</x:v>
      </x:c>
      <x:c r="BT902" s="10" t="n">
        <x:v>68</x:v>
      </x:c>
      <x:c r="BU902" s="4" t="str">
        <x:v>SEA</x:v>
      </x:c>
      <x:c r="BV902" s="10"/>
      <x:c r="BW902" s="10"/>
      <x:c r="BX902" s="10" t="n">
        <x:v>1080</x:v>
      </x:c>
      <x:c r="BY902" s="4"/>
      <x:c r="BZ902" s="4"/>
      <x:c r="CA902" s="4" t="str">
        <x:v>Ryan Winterton</x:v>
      </x:c>
      <x:c r="CB902" s="4" t="str">
        <x:v>wintery01</x:v>
      </x:c>
    </x:row>
    <x:row r="903" ht="22" customHeight="1">
      <x:c r="A903" s="4" t="str">
        <x:v>Ryker Evans</x:v>
      </x:c>
      <x:c r="B903" s="4" t="str">
        <x:v>rykerevans</x:v>
      </x:c>
      <x:c r="C903" s="10" t="n">
        <x:v>1</x:v>
      </x:c>
      <x:c r="D903" s="10" t="n">
        <x:v>0</x:v>
      </x:c>
      <x:c r="E903" s="10" t="n">
        <x:v>1</x:v>
      </x:c>
      <x:c r="F903" s="4" t="n">
        <x:f>IF(COUNT(N903,Q903,T903,W903,Z903,AC903,AF903,AI903)=8,N903*Guide!$E$5+Q903*Guide!$E$6+T903*Guide!$E$7+W903*Guide!$E$8+Z903*Guide!$E$9+AC903*Guide!$E$10+AF903*Guide!$E$11+AI903*Guide!$E$12,"")</x:f>
        <x:v>200.75</x:v>
      </x:c>
      <x:c r="G903" s="4" t="str">
        <x:f>IF(COUNT(O903,R903,U903,X903,AA903,AD903,AG903,AJ903)=8,O903*Guide!$E$5+R903*Guide!$E$6+U903*Guide!$E$7+X903*Guide!$E$8+AA903*Guide!$E$9+AD903*Guide!$E$10+AG903*Guide!$E$11+AJ903*Guide!$E$12,"")</x:f>
      </x:c>
      <x:c r="H903" s="4" t="str">
        <x:f>IF(COUNT(G903,F903)=2,G903-F903,"")</x:f>
      </x:c>
      <x:c r="I903" s="4" t="n">
        <x:f>IF(AND(ISNUMBER(F903),K903&gt;0),F903/K903,"")</x:f>
        <x:v>2.607142857142857</x:v>
      </x:c>
      <x:c r="J903" s="4" t="str">
        <x:f>IF(AND(ISNUMBER(G903),L903&gt;0),G903/L903,"")</x:f>
      </x:c>
      <x:c r="K903" s="10" t="n">
        <x:v>77</x:v>
      </x:c>
      <x:c r="L903" s="10"/>
      <x:c r="M903" s="10" t="str">
        <x:f>IF(COUNT(L903,K903)=2,L903-K903,"")</x:f>
      </x:c>
      <x:c r="N903" s="10" t="n">
        <x:v>5</x:v>
      </x:c>
      <x:c r="O903" s="10"/>
      <x:c r="P903" s="10" t="str">
        <x:f>IF(COUNT(O903,N903)=2,O903-N903,"")</x:f>
      </x:c>
      <x:c r="Q903" s="10" t="n">
        <x:v>19</x:v>
      </x:c>
      <x:c r="R903" s="10"/>
      <x:c r="S903" s="10" t="str">
        <x:f>IF(COUNT(R903,Q903)=2,R903-Q903,"")</x:f>
      </x:c>
      <x:c r="T903" s="10" t="n">
        <x:v>-7</x:v>
      </x:c>
      <x:c r="U903" s="10"/>
      <x:c r="V903" s="10" t="str">
        <x:f>IF(COUNT(U903,T903)=2,U903-T903,"")</x:f>
      </x:c>
      <x:c r="W903" s="10" t="n">
        <x:v>5</x:v>
      </x:c>
      <x:c r="X903" s="10" t="str">
        <x:f>IF(COUNT(AV903,AW903)=2,AV903+AW903,"")</x:f>
      </x:c>
      <x:c r="Y903" s="10" t="str">
        <x:f>IF(COUNT(X903,W903)=2,X903-W903,"")</x:f>
      </x:c>
      <x:c r="Z903" s="10" t="n">
        <x:v>0</x:v>
      </x:c>
      <x:c r="AA903" s="10" t="str">
        <x:f>IF(COUNT(AX903,AY903)=2,AX903+AY903,"")</x:f>
      </x:c>
      <x:c r="AB903" s="10" t="str">
        <x:f>IF(COUNT(AA903,Z903)=2,AA903-Z903,"")</x:f>
      </x:c>
      <x:c r="AC903" s="10" t="n">
        <x:v>77</x:v>
      </x:c>
      <x:c r="AD903" s="10"/>
      <x:c r="AE903" s="10" t="str">
        <x:f>IF(COUNT(AD903,AC903)=2,AD903-AC903,"")</x:f>
      </x:c>
      <x:c r="AF903" s="10" t="n">
        <x:v>120</x:v>
      </x:c>
      <x:c r="AG903" s="10"/>
      <x:c r="AH903" s="10" t="str">
        <x:f>IF(COUNT(AG903,AF903)=2,AG903-AF903,"")</x:f>
      </x:c>
      <x:c r="AI903" s="10" t="n">
        <x:v>102</x:v>
      </x:c>
      <x:c r="AJ903" s="10"/>
      <x:c r="AK903" s="10" t="str">
        <x:f>IF(COUNT(AJ903,AI903)=2,AJ903-AI903,"")</x:f>
      </x:c>
      <x:c r="AL903" s="10" t="n">
        <x:v>24</x:v>
      </x:c>
      <x:c r="AM903" s="10"/>
      <x:c r="AN903" s="4" t="str">
        <x:v>D</x:v>
      </x:c>
      <x:c r="AO903" s="4"/>
      <x:c r="AP903" s="4" t="str">
        <x:v>SEA</x:v>
      </x:c>
      <x:c r="AQ903" s="4"/>
      <x:c r="AR903" s="4" t="n">
        <x:v>19.430000000000003</x:v>
      </x:c>
      <x:c r="AS903" s="4"/>
      <x:c r="AT903" s="4" t="n">
        <x:v>0.91</x:v>
      </x:c>
      <x:c r="AU903" s="4"/>
      <x:c r="AV903" s="10"/>
      <x:c r="AW903" s="10"/>
      <x:c r="AX903" s="10"/>
      <x:c r="AY903" s="10"/>
      <x:c r="AZ903" s="10" t="n">
        <x:v>898</x:v>
      </x:c>
      <x:c r="BA903" s="10" t="n">
        <x:v>1095</x:v>
      </x:c>
      <x:c r="BB903" s="4" t="n">
        <x:v>45.1</x:v>
      </x:c>
      <x:c r="BC903" s="4" t="n">
        <x:v>-0.5</x:v>
      </x:c>
      <x:c r="BD903" s="10" t="n">
        <x:v>677</x:v>
      </x:c>
      <x:c r="BE903" s="10" t="n">
        <x:v>793</x:v>
      </x:c>
      <x:c r="BF903" s="4" t="n">
        <x:v>46.1</x:v>
      </x:c>
      <x:c r="BG903" s="4" t="n">
        <x:v>0.3</x:v>
      </x:c>
      <x:c r="BH903" s="4" t="n">
        <x:v>11.6</x:v>
      </x:c>
      <x:c r="BI903" s="4" t="n">
        <x:v>90.9</x:v>
      </x:c>
      <x:c r="BJ903" s="4" t="n">
        <x:v>102.6</x:v>
      </x:c>
      <x:c r="BK903" s="4" t="n">
        <x:v>48.3</x:v>
      </x:c>
      <x:c r="BL903" s="4" t="n">
        <x:v>51.7</x:v>
      </x:c>
      <x:c r="BM903" s="4" t="n">
        <x:v>17.8</x:v>
      </x:c>
      <x:c r="BN903" s="4" t="n">
        <x:v>16.483333333333334</x:v>
      </x:c>
      <x:c r="BO903" s="10" t="n">
        <x:v>7</x:v>
      </x:c>
      <x:c r="BP903" s="10" t="n">
        <x:v>49</x:v>
      </x:c>
      <x:c r="BQ903" s="4" t="n">
        <x:v>-1.7</x:v>
      </x:c>
      <x:c r="BR903" s="10" t="n">
        <x:v>124</x:v>
      </x:c>
      <x:c r="BS903" s="4" t="n">
        <x:v>37.1</x:v>
      </x:c>
      <x:c r="BT903" s="10" t="n">
        <x:v>67</x:v>
      </x:c>
      <x:c r="BU903" s="4" t="str">
        <x:v>SEA</x:v>
      </x:c>
      <x:c r="BV903" s="10" t="n">
        <x:v>449</x:v>
      </x:c>
      <x:c r="BW903" s="10"/>
      <x:c r="BX903" s="10" t="n">
        <x:v>274</x:v>
      </x:c>
      <x:c r="BY903" s="4" t="str">
        <x:v>Ryker Evans</x:v>
      </x:c>
      <x:c r="BZ903" s="4"/>
      <x:c r="CA903" s="4" t="str">
        <x:v>Ryker Evans</x:v>
      </x:c>
      <x:c r="CB903" s="4" t="str">
        <x:v>evansry01</x:v>
      </x:c>
    </x:row>
    <x:row r="904" ht="22" customHeight="1">
      <x:c r="A904" s="4" t="str">
        <x:v>Sacha Boisvert</x:v>
      </x:c>
      <x:c r="B904" s="4" t="str">
        <x:v>sachaboisvert</x:v>
      </x:c>
      <x:c r="C904" s="10" t="n">
        <x:v>0</x:v>
      </x:c>
      <x:c r="D904" s="10" t="n">
        <x:v>0</x:v>
      </x:c>
      <x:c r="E904" s="10" t="n">
        <x:v>1</x:v>
      </x:c>
      <x:c r="F904" s="4" t="str">
        <x:f>IF(COUNT(N904,Q904,T904,W904,Z904,AC904,AF904,AI904)=8,N904*Guide!$E$5+Q904*Guide!$E$6+T904*Guide!$E$7+W904*Guide!$E$8+Z904*Guide!$E$9+AC904*Guide!$E$10+AF904*Guide!$E$11+AI904*Guide!$E$12,"")</x:f>
      </x:c>
      <x:c r="G904" s="4" t="str">
        <x:f>IF(COUNT(O904,R904,U904,X904,AA904,AD904,AG904,AJ904)=8,O904*Guide!$E$5+R904*Guide!$E$6+U904*Guide!$E$7+X904*Guide!$E$8+AA904*Guide!$E$9+AD904*Guide!$E$10+AG904*Guide!$E$11+AJ904*Guide!$E$12,"")</x:f>
      </x:c>
      <x:c r="H904" s="4" t="str">
        <x:f>IF(COUNT(G904,F904)=2,G904-F904,"")</x:f>
      </x:c>
      <x:c r="I904" s="4" t="str">
        <x:f>IF(AND(ISNUMBER(F904),K904&gt;0),F904/K904,"")</x:f>
      </x:c>
      <x:c r="J904" s="4" t="str">
        <x:f>IF(AND(ISNUMBER(G904),L904&gt;0),G904/L904,"")</x:f>
      </x:c>
      <x:c r="K904" s="10"/>
      <x:c r="L904" s="10"/>
      <x:c r="M904" s="10" t="str">
        <x:f>IF(COUNT(L904,K904)=2,L904-K904,"")</x:f>
      </x:c>
      <x:c r="N904" s="10"/>
      <x:c r="O904" s="10"/>
      <x:c r="P904" s="10" t="str">
        <x:f>IF(COUNT(O904,N904)=2,O904-N904,"")</x:f>
      </x:c>
      <x:c r="Q904" s="10"/>
      <x:c r="R904" s="10"/>
      <x:c r="S904" s="10" t="str">
        <x:f>IF(COUNT(R904,Q904)=2,R904-Q904,"")</x:f>
      </x:c>
      <x:c r="T904" s="10"/>
      <x:c r="U904" s="10"/>
      <x:c r="V904" s="10" t="str">
        <x:f>IF(COUNT(U904,T904)=2,U904-T904,"")</x:f>
      </x:c>
      <x:c r="W904" s="10"/>
      <x:c r="X904" s="10" t="str">
        <x:f>IF(COUNT(AV904,AW904)=2,AV904+AW904,"")</x:f>
      </x:c>
      <x:c r="Y904" s="10" t="str">
        <x:f>IF(COUNT(X904,W904)=2,X904-W904,"")</x:f>
      </x:c>
      <x:c r="Z904" s="10"/>
      <x:c r="AA904" s="10" t="str">
        <x:f>IF(COUNT(AX904,AY904)=2,AX904+AY904,"")</x:f>
      </x:c>
      <x:c r="AB904" s="10" t="str">
        <x:f>IF(COUNT(AA904,Z904)=2,AA904-Z904,"")</x:f>
      </x:c>
      <x:c r="AC904" s="10"/>
      <x:c r="AD904" s="10"/>
      <x:c r="AE904" s="10" t="str">
        <x:f>IF(COUNT(AD904,AC904)=2,AD904-AC904,"")</x:f>
      </x:c>
      <x:c r="AF904" s="10"/>
      <x:c r="AG904" s="10"/>
      <x:c r="AH904" s="10" t="str">
        <x:f>IF(COUNT(AG904,AF904)=2,AG904-AF904,"")</x:f>
      </x:c>
      <x:c r="AI904" s="10"/>
      <x:c r="AJ904" s="10"/>
      <x:c r="AK904" s="10" t="str">
        <x:f>IF(COUNT(AJ904,AI904)=2,AJ904-AI904,"")</x:f>
      </x:c>
      <x:c r="AL904" s="10"/>
      <x:c r="AM904" s="10"/>
      <x:c r="AN904" s="4"/>
      <x:c r="AO904" s="4"/>
      <x:c r="AP904" s="4"/>
      <x:c r="AQ904" s="4"/>
      <x:c r="AR904" s="4"/>
      <x:c r="AS904" s="4"/>
      <x:c r="AT904" s="4"/>
      <x:c r="AU904" s="4"/>
      <x:c r="AV904" s="10"/>
      <x:c r="AW904" s="10"/>
      <x:c r="AX904" s="10"/>
      <x:c r="AY904" s="10"/>
      <x:c r="AZ904" s="10" t="n">
        <x:v>41</x:v>
      </x:c>
      <x:c r="BA904" s="10" t="n">
        <x:v>53</x:v>
      </x:c>
      <x:c r="BB904" s="4" t="n">
        <x:v>43.6</x:v>
      </x:c>
      <x:c r="BC904" s="4" t="n">
        <x:v>-1.1</x:v>
      </x:c>
      <x:c r="BD904" s="10" t="n">
        <x:v>30</x:v>
      </x:c>
      <x:c r="BE904" s="10" t="n">
        <x:v>40</x:v>
      </x:c>
      <x:c r="BF904" s="4" t="n">
        <x:v>42.9</x:v>
      </x:c>
      <x:c r="BG904" s="4" t="n">
        <x:v>-1.6</x:v>
      </x:c>
      <x:c r="BH904" s="4" t="n">
        <x:v>11.8</x:v>
      </x:c>
      <x:c r="BI904" s="4" t="n">
        <x:v>88.5</x:v>
      </x:c>
      <x:c r="BJ904" s="4" t="n">
        <x:v>100.2</x:v>
      </x:c>
      <x:c r="BK904" s="4" t="n">
        <x:v>48</x:v>
      </x:c>
      <x:c r="BL904" s="4" t="n">
        <x:v>52</x:v>
      </x:c>
      <x:c r="BM904" s="4" t="n">
        <x:v>9.25</x:v>
      </x:c>
      <x:c r="BN904" s="4" t="n">
        <x:v>9.25</x:v>
      </x:c>
      <x:c r="BO904" s="10" t="n">
        <x:v>0</x:v>
      </x:c>
      <x:c r="BP904" s="10" t="n">
        <x:v>4</x:v>
      </x:c>
      <x:c r="BQ904" s="4" t="n">
        <x:v>-0.3</x:v>
      </x:c>
      <x:c r="BR904" s="10" t="n">
        <x:v>12</x:v>
      </x:c>
      <x:c r="BS904" s="4" t="n">
        <x:v>50</x:v>
      </x:c>
      <x:c r="BT904" s="10" t="n">
        <x:v>7</x:v>
      </x:c>
      <x:c r="BU904" s="4" t="str">
        <x:v>CHI</x:v>
      </x:c>
      <x:c r="BV904" s="10"/>
      <x:c r="BW904" s="10"/>
      <x:c r="BX904" s="10" t="n">
        <x:v>76</x:v>
      </x:c>
      <x:c r="BY904" s="4"/>
      <x:c r="BZ904" s="4"/>
      <x:c r="CA904" s="4" t="str">
        <x:v>Sacha Boisvert</x:v>
      </x:c>
      <x:c r="CB904" s="4" t="str">
        <x:v>boisvsa01</x:v>
      </x:c>
    </x:row>
    <x:row r="905" ht="22" customHeight="1">
      <x:c r="A905" s="4" t="str">
        <x:v>Sam Carrick</x:v>
      </x:c>
      <x:c r="B905" s="4" t="str">
        <x:v>samcarrick</x:v>
      </x:c>
      <x:c r="C905" s="10" t="n">
        <x:v>1</x:v>
      </x:c>
      <x:c r="D905" s="10" t="n">
        <x:v>0</x:v>
      </x:c>
      <x:c r="E905" s="10" t="n">
        <x:v>1</x:v>
      </x:c>
      <x:c r="F905" s="4" t="n">
        <x:f>IF(COUNT(N905,Q905,T905,W905,Z905,AC905,AF905,AI905)=8,N905*Guide!$E$5+Q905*Guide!$E$6+T905*Guide!$E$7+W905*Guide!$E$8+Z905*Guide!$E$9+AC905*Guide!$E$10+AF905*Guide!$E$11+AI905*Guide!$E$12,"")</x:f>
        <x:v>151.25</x:v>
      </x:c>
      <x:c r="G905" s="4" t="str">
        <x:f>IF(COUNT(O905,R905,U905,X905,AA905,AD905,AG905,AJ905)=8,O905*Guide!$E$5+R905*Guide!$E$6+U905*Guide!$E$7+X905*Guide!$E$8+AA905*Guide!$E$9+AD905*Guide!$E$10+AG905*Guide!$E$11+AJ905*Guide!$E$12,"")</x:f>
      </x:c>
      <x:c r="H905" s="4" t="str">
        <x:f>IF(COUNT(G905,F905)=2,G905-F905,"")</x:f>
      </x:c>
      <x:c r="I905" s="4" t="n">
        <x:f>IF(AND(ISNUMBER(F905),K905&gt;0),F905/K905,"")</x:f>
        <x:v>1.890625</x:v>
      </x:c>
      <x:c r="J905" s="4" t="str">
        <x:f>IF(AND(ISNUMBER(G905),L905&gt;0),G905/L905,"")</x:f>
      </x:c>
      <x:c r="K905" s="10" t="n">
        <x:v>80</x:v>
      </x:c>
      <x:c r="L905" s="10"/>
      <x:c r="M905" s="10" t="str">
        <x:f>IF(COUNT(L905,K905)=2,L905-K905,"")</x:f>
      </x:c>
      <x:c r="N905" s="10" t="n">
        <x:v>8</x:v>
      </x:c>
      <x:c r="O905" s="10"/>
      <x:c r="P905" s="10" t="str">
        <x:f>IF(COUNT(O905,N905)=2,O905-N905,"")</x:f>
      </x:c>
      <x:c r="Q905" s="10" t="n">
        <x:v>12</x:v>
      </x:c>
      <x:c r="R905" s="10"/>
      <x:c r="S905" s="10" t="str">
        <x:f>IF(COUNT(R905,Q905)=2,R905-Q905,"")</x:f>
      </x:c>
      <x:c r="T905" s="10" t="n">
        <x:v>-4</x:v>
      </x:c>
      <x:c r="U905" s="10"/>
      <x:c r="V905" s="10" t="str">
        <x:f>IF(COUNT(U905,T905)=2,U905-T905,"")</x:f>
      </x:c>
      <x:c r="W905" s="10" t="n">
        <x:v>0</x:v>
      </x:c>
      <x:c r="X905" s="10" t="str">
        <x:f>IF(COUNT(AV905,AW905)=2,AV905+AW905,"")</x:f>
      </x:c>
      <x:c r="Y905" s="10" t="str">
        <x:f>IF(COUNT(X905,W905)=2,X905-W905,"")</x:f>
      </x:c>
      <x:c r="Z905" s="10" t="n">
        <x:v>1</x:v>
      </x:c>
      <x:c r="AA905" s="10" t="str">
        <x:f>IF(COUNT(AX905,AY905)=2,AX905+AY905,"")</x:f>
      </x:c>
      <x:c r="AB905" s="10" t="str">
        <x:f>IF(COUNT(AA905,Z905)=2,AA905-Z905,"")</x:f>
      </x:c>
      <x:c r="AC905" s="10" t="n">
        <x:v>80</x:v>
      </x:c>
      <x:c r="AD905" s="10"/>
      <x:c r="AE905" s="10" t="str">
        <x:f>IF(COUNT(AD905,AC905)=2,AD905-AC905,"")</x:f>
      </x:c>
      <x:c r="AF905" s="10" t="n">
        <x:v>140</x:v>
      </x:c>
      <x:c r="AG905" s="10"/>
      <x:c r="AH905" s="10" t="str">
        <x:f>IF(COUNT(AG905,AF905)=2,AG905-AF905,"")</x:f>
      </x:c>
      <x:c r="AI905" s="10" t="n">
        <x:v>39</x:v>
      </x:c>
      <x:c r="AJ905" s="10"/>
      <x:c r="AK905" s="10" t="str">
        <x:f>IF(COUNT(AJ905,AI905)=2,AJ905-AI905,"")</x:f>
      </x:c>
      <x:c r="AL905" s="10" t="n">
        <x:v>33</x:v>
      </x:c>
      <x:c r="AM905" s="10"/>
      <x:c r="AN905" s="4" t="str">
        <x:v>C</x:v>
      </x:c>
      <x:c r="AO905" s="4"/>
      <x:c r="AP905" s="4" t="str">
        <x:v>NYR</x:v>
      </x:c>
      <x:c r="AQ905" s="4"/>
      <x:c r="AR905" s="4" t="n">
        <x:v>11.71</x:v>
      </x:c>
      <x:c r="AS905" s="4"/>
      <x:c r="AT905" s="4" t="n">
        <x:v>0.16</x:v>
      </x:c>
      <x:c r="AU905" s="4"/>
      <x:c r="AV905" s="10"/>
      <x:c r="AW905" s="10"/>
      <x:c r="AX905" s="10"/>
      <x:c r="AY905" s="10"/>
      <x:c r="AZ905" s="10" t="n">
        <x:v>619</x:v>
      </x:c>
      <x:c r="BA905" s="10" t="n">
        <x:v>691</x:v>
      </x:c>
      <x:c r="BB905" s="4" t="n">
        <x:v>47.3</x:v>
      </x:c>
      <x:c r="BC905" s="4" t="n">
        <x:v>-3.4</x:v>
      </x:c>
      <x:c r="BD905" s="10" t="n">
        <x:v>429</x:v>
      </x:c>
      <x:c r="BE905" s="10" t="n">
        <x:v>493</x:v>
      </x:c>
      <x:c r="BF905" s="4" t="n">
        <x:v>46.5</x:v>
      </x:c>
      <x:c r="BG905" s="4" t="n">
        <x:v>-3.5</x:v>
      </x:c>
      <x:c r="BH905" s="4" t="n">
        <x:v>9.6</x:v>
      </x:c>
      <x:c r="BI905" s="4" t="n">
        <x:v>92.2</x:v>
      </x:c>
      <x:c r="BJ905" s="4" t="n">
        <x:v>101.8</x:v>
      </x:c>
      <x:c r="BK905" s="4" t="n">
        <x:v>29.3</x:v>
      </x:c>
      <x:c r="BL905" s="4" t="n">
        <x:v>70.7</x:v>
      </x:c>
      <x:c r="BM905" s="4" t="n">
        <x:v>10.466666666666667</x:v>
      </x:c>
      <x:c r="BN905" s="4" t="n">
        <x:v>9.466666666666667</x:v>
      </x:c>
      <x:c r="BO905" s="10" t="n">
        <x:v>13</x:v>
      </x:c>
      <x:c r="BP905" s="10" t="n">
        <x:v>29</x:v>
      </x:c>
      <x:c r="BQ905" s="4" t="n">
        <x:v>-1.4</x:v>
      </x:c>
      <x:c r="BR905" s="10" t="n">
        <x:v>144</x:v>
      </x:c>
      <x:c r="BS905" s="4" t="n">
        <x:v>52.1</x:v>
      </x:c>
      <x:c r="BT905" s="10" t="n">
        <x:v>73</x:v>
      </x:c>
      <x:c r="BU905" s="4" t="str">
        <x:v>TOT</x:v>
      </x:c>
      <x:c r="BV905" s="10" t="n">
        <x:v>523</x:v>
      </x:c>
      <x:c r="BW905" s="10"/>
      <x:c r="BX905" s="10" t="n">
        <x:v>131</x:v>
      </x:c>
      <x:c r="BY905" s="4" t="str">
        <x:v>Sam Carrick</x:v>
      </x:c>
      <x:c r="BZ905" s="4"/>
      <x:c r="CA905" s="4" t="str">
        <x:v>Sam Carrick</x:v>
      </x:c>
      <x:c r="CB905" s="4" t="str">
        <x:v>carrisa01</x:v>
      </x:c>
    </x:row>
    <x:row r="906" ht="22" customHeight="1">
      <x:c r="A906" s="4" t="str">
        <x:v>Sam Colangelo</x:v>
      </x:c>
      <x:c r="B906" s="4" t="str">
        <x:v>samcolangelo</x:v>
      </x:c>
      <x:c r="C906" s="10" t="n">
        <x:v>1</x:v>
      </x:c>
      <x:c r="D906" s="10" t="n">
        <x:v>0</x:v>
      </x:c>
      <x:c r="E906" s="10" t="n">
        <x:v>1</x:v>
      </x:c>
      <x:c r="F906" s="4" t="n">
        <x:f>IF(COUNT(N906,Q906,T906,W906,Z906,AC906,AF906,AI906)=8,N906*Guide!$E$5+Q906*Guide!$E$6+T906*Guide!$E$7+W906*Guide!$E$8+Z906*Guide!$E$9+AC906*Guide!$E$10+AF906*Guide!$E$11+AI906*Guide!$E$12,"")</x:f>
        <x:v>226.75</x:v>
      </x:c>
      <x:c r="G906" s="4" t="str">
        <x:f>IF(COUNT(O906,R906,U906,X906,AA906,AD906,AG906,AJ906)=8,O906*Guide!$E$5+R906*Guide!$E$6+U906*Guide!$E$7+X906*Guide!$E$8+AA906*Guide!$E$9+AD906*Guide!$E$10+AG906*Guide!$E$11+AJ906*Guide!$E$12,"")</x:f>
      </x:c>
      <x:c r="H906" s="4" t="str">
        <x:f>IF(COUNT(G906,F906)=2,G906-F906,"")</x:f>
      </x:c>
      <x:c r="I906" s="4" t="n">
        <x:f>IF(AND(ISNUMBER(F906),K906&gt;0),F906/K906,"")</x:f>
        <x:v>3.064189189189189</x:v>
      </x:c>
      <x:c r="J906" s="4" t="str">
        <x:f>IF(AND(ISNUMBER(G906),L906&gt;0),G906/L906,"")</x:f>
      </x:c>
      <x:c r="K906" s="10" t="n">
        <x:v>74</x:v>
      </x:c>
      <x:c r="L906" s="10"/>
      <x:c r="M906" s="10" t="str">
        <x:f>IF(COUNT(L906,K906)=2,L906-K906,"")</x:f>
      </x:c>
      <x:c r="N906" s="10" t="n">
        <x:v>21</x:v>
      </x:c>
      <x:c r="O906" s="10"/>
      <x:c r="P906" s="10" t="str">
        <x:f>IF(COUNT(O906,N906)=2,O906-N906,"")</x:f>
      </x:c>
      <x:c r="Q906" s="10" t="n">
        <x:v>15</x:v>
      </x:c>
      <x:c r="R906" s="10"/>
      <x:c r="S906" s="10" t="str">
        <x:f>IF(COUNT(R906,Q906)=2,R906-Q906,"")</x:f>
      </x:c>
      <x:c r="T906" s="10" t="n">
        <x:v>-3</x:v>
      </x:c>
      <x:c r="U906" s="10"/>
      <x:c r="V906" s="10" t="str">
        <x:f>IF(COUNT(U906,T906)=2,U906-T906,"")</x:f>
      </x:c>
      <x:c r="W906" s="10" t="n">
        <x:v>7</x:v>
      </x:c>
      <x:c r="X906" s="10" t="str">
        <x:f>IF(COUNT(AV906,AW906)=2,AV906+AW906,"")</x:f>
      </x:c>
      <x:c r="Y906" s="10" t="str">
        <x:f>IF(COUNT(X906,W906)=2,X906-W906,"")</x:f>
      </x:c>
      <x:c r="Z906" s="10" t="n">
        <x:v>0</x:v>
      </x:c>
      <x:c r="AA906" s="10" t="str">
        <x:f>IF(COUNT(AX906,AY906)=2,AX906+AY906,"")</x:f>
      </x:c>
      <x:c r="AB906" s="10" t="str">
        <x:f>IF(COUNT(AA906,Z906)=2,AA906-Z906,"")</x:f>
      </x:c>
      <x:c r="AC906" s="10" t="n">
        <x:v>105</x:v>
      </x:c>
      <x:c r="AD906" s="10"/>
      <x:c r="AE906" s="10" t="str">
        <x:f>IF(COUNT(AD906,AC906)=2,AD906-AC906,"")</x:f>
      </x:c>
      <x:c r="AF906" s="10" t="n">
        <x:v>156</x:v>
      </x:c>
      <x:c r="AG906" s="10"/>
      <x:c r="AH906" s="10" t="str">
        <x:f>IF(COUNT(AG906,AF906)=2,AG906-AF906,"")</x:f>
      </x:c>
      <x:c r="AI906" s="10" t="n">
        <x:v>38</x:v>
      </x:c>
      <x:c r="AJ906" s="10"/>
      <x:c r="AK906" s="10" t="str">
        <x:f>IF(COUNT(AJ906,AI906)=2,AJ906-AI906,"")</x:f>
      </x:c>
      <x:c r="AL906" s="10" t="n">
        <x:v>24</x:v>
      </x:c>
      <x:c r="AM906" s="10"/>
      <x:c r="AN906" s="4" t="str">
        <x:v>RW</x:v>
      </x:c>
      <x:c r="AO906" s="4"/>
      <x:c r="AP906" s="4" t="str">
        <x:v>ANA</x:v>
      </x:c>
      <x:c r="AQ906" s="4"/>
      <x:c r="AR906" s="4" t="n">
        <x:v>12.940000000000001</x:v>
      </x:c>
      <x:c r="AS906" s="4"/>
      <x:c r="AT906" s="4" t="n">
        <x:v>1.3</x:v>
      </x:c>
      <x:c r="AU906" s="4"/>
      <x:c r="AV906" s="10"/>
      <x:c r="AW906" s="10"/>
      <x:c r="AX906" s="10"/>
      <x:c r="AY906" s="10"/>
      <x:c r="AZ906" s="10" t="n">
        <x:v>79</x:v>
      </x:c>
      <x:c r="BA906" s="10" t="n">
        <x:v>96</x:v>
      </x:c>
      <x:c r="BB906" s="4" t="n">
        <x:v>45.1</x:v>
      </x:c>
      <x:c r="BC906" s="4" t="n">
        <x:v>-6.4</x:v>
      </x:c>
      <x:c r="BD906" s="10" t="n">
        <x:v>49</x:v>
      </x:c>
      <x:c r="BE906" s="10" t="n">
        <x:v>76</x:v>
      </x:c>
      <x:c r="BF906" s="4" t="n">
        <x:v>39.2</x:v>
      </x:c>
      <x:c r="BG906" s="4" t="n">
        <x:v>-12.1</x:v>
      </x:c>
      <x:c r="BH906" s="4" t="n">
        <x:v>6.7</x:v>
      </x:c>
      <x:c r="BI906" s="4" t="n">
        <x:v>90.7</x:v>
      </x:c>
      <x:c r="BJ906" s="4" t="n">
        <x:v>97.4</x:v>
      </x:c>
      <x:c r="BK906" s="4" t="n">
        <x:v>50</x:v>
      </x:c>
      <x:c r="BL906" s="4" t="n">
        <x:v>50</x:v>
      </x:c>
      <x:c r="BM906" s="4" t="n">
        <x:v>10.183333333333334</x:v>
      </x:c>
      <x:c r="BN906" s="4" t="n">
        <x:v>9.733333333333333</x:v>
      </x:c>
      <x:c r="BO906" s="10" t="n">
        <x:v>1</x:v>
      </x:c>
      <x:c r="BP906" s="10" t="n">
        <x:v>8</x:v>
      </x:c>
      <x:c r="BQ906" s="4" t="n">
        <x:v>-2.5</x:v>
      </x:c>
      <x:c r="BR906" s="10" t="n">
        <x:v>17</x:v>
      </x:c>
      <x:c r="BS906" s="4" t="n">
        <x:v>41.2</x:v>
      </x:c>
      <x:c r="BT906" s="10" t="n">
        <x:v>9</x:v>
      </x:c>
      <x:c r="BU906" s="4" t="str">
        <x:v>ANA</x:v>
      </x:c>
      <x:c r="BV906" s="10" t="n">
        <x:v>296</x:v>
      </x:c>
      <x:c r="BW906" s="10"/>
      <x:c r="BX906" s="10" t="n">
        <x:v>164</x:v>
      </x:c>
      <x:c r="BY906" s="4" t="str">
        <x:v>Sam Colangelo</x:v>
      </x:c>
      <x:c r="BZ906" s="4"/>
      <x:c r="CA906" s="4" t="str">
        <x:v>Sam Colangelo</x:v>
      </x:c>
      <x:c r="CB906" s="4" t="str">
        <x:v>colansa01</x:v>
      </x:c>
    </x:row>
    <x:row r="907" ht="22" customHeight="1">
      <x:c r="A907" s="4" t="str">
        <x:v>Sam Dickinson</x:v>
      </x:c>
      <x:c r="B907" s="4" t="str">
        <x:v>samdickinson</x:v>
      </x:c>
      <x:c r="C907" s="10" t="n">
        <x:v>0</x:v>
      </x:c>
      <x:c r="D907" s="10" t="n">
        <x:v>0</x:v>
      </x:c>
      <x:c r="E907" s="10" t="n">
        <x:v>1</x:v>
      </x:c>
      <x:c r="F907" s="4" t="str">
        <x:f>IF(COUNT(N907,Q907,T907,W907,Z907,AC907,AF907,AI907)=8,N907*Guide!$E$5+Q907*Guide!$E$6+T907*Guide!$E$7+W907*Guide!$E$8+Z907*Guide!$E$9+AC907*Guide!$E$10+AF907*Guide!$E$11+AI907*Guide!$E$12,"")</x:f>
      </x:c>
      <x:c r="G907" s="4" t="str">
        <x:f>IF(COUNT(O907,R907,U907,X907,AA907,AD907,AG907,AJ907)=8,O907*Guide!$E$5+R907*Guide!$E$6+U907*Guide!$E$7+X907*Guide!$E$8+AA907*Guide!$E$9+AD907*Guide!$E$10+AG907*Guide!$E$11+AJ907*Guide!$E$12,"")</x:f>
      </x:c>
      <x:c r="H907" s="4" t="str">
        <x:f>IF(COUNT(G907,F907)=2,G907-F907,"")</x:f>
      </x:c>
      <x:c r="I907" s="4" t="str">
        <x:f>IF(AND(ISNUMBER(F907),K907&gt;0),F907/K907,"")</x:f>
      </x:c>
      <x:c r="J907" s="4" t="str">
        <x:f>IF(AND(ISNUMBER(G907),L907&gt;0),G907/L907,"")</x:f>
      </x:c>
      <x:c r="K907" s="10"/>
      <x:c r="L907" s="10"/>
      <x:c r="M907" s="10" t="str">
        <x:f>IF(COUNT(L907,K907)=2,L907-K907,"")</x:f>
      </x:c>
      <x:c r="N907" s="10"/>
      <x:c r="O907" s="10"/>
      <x:c r="P907" s="10" t="str">
        <x:f>IF(COUNT(O907,N907)=2,O907-N907,"")</x:f>
      </x:c>
      <x:c r="Q907" s="10"/>
      <x:c r="R907" s="10"/>
      <x:c r="S907" s="10" t="str">
        <x:f>IF(COUNT(R907,Q907)=2,R907-Q907,"")</x:f>
      </x:c>
      <x:c r="T907" s="10"/>
      <x:c r="U907" s="10"/>
      <x:c r="V907" s="10" t="str">
        <x:f>IF(COUNT(U907,T907)=2,U907-T907,"")</x:f>
      </x:c>
      <x:c r="W907" s="10"/>
      <x:c r="X907" s="10" t="str">
        <x:f>IF(COUNT(AV907,AW907)=2,AV907+AW907,"")</x:f>
      </x:c>
      <x:c r="Y907" s="10" t="str">
        <x:f>IF(COUNT(X907,W907)=2,X907-W907,"")</x:f>
      </x:c>
      <x:c r="Z907" s="10"/>
      <x:c r="AA907" s="10" t="str">
        <x:f>IF(COUNT(AX907,AY907)=2,AX907+AY907,"")</x:f>
      </x:c>
      <x:c r="AB907" s="10" t="str">
        <x:f>IF(COUNT(AA907,Z907)=2,AA907-Z907,"")</x:f>
      </x:c>
      <x:c r="AC907" s="10"/>
      <x:c r="AD907" s="10"/>
      <x:c r="AE907" s="10" t="str">
        <x:f>IF(COUNT(AD907,AC907)=2,AD907-AC907,"")</x:f>
      </x:c>
      <x:c r="AF907" s="10"/>
      <x:c r="AG907" s="10"/>
      <x:c r="AH907" s="10" t="str">
        <x:f>IF(COUNT(AG907,AF907)=2,AG907-AF907,"")</x:f>
      </x:c>
      <x:c r="AI907" s="10"/>
      <x:c r="AJ907" s="10"/>
      <x:c r="AK907" s="10" t="str">
        <x:f>IF(COUNT(AJ907,AI907)=2,AJ907-AI907,"")</x:f>
      </x:c>
      <x:c r="AL907" s="10"/>
      <x:c r="AM907" s="10"/>
      <x:c r="AN907" s="4"/>
      <x:c r="AO907" s="4"/>
      <x:c r="AP907" s="4"/>
      <x:c r="AQ907" s="4"/>
      <x:c r="AR907" s="4"/>
      <x:c r="AS907" s="4"/>
      <x:c r="AT907" s="4"/>
      <x:c r="AU907" s="4"/>
      <x:c r="AV907" s="10"/>
      <x:c r="AW907" s="10"/>
      <x:c r="AX907" s="10"/>
      <x:c r="AY907" s="10"/>
      <x:c r="AZ907" s="10" t="n">
        <x:v>988</x:v>
      </x:c>
      <x:c r="BA907" s="10" t="n">
        <x:v>1081</x:v>
      </x:c>
      <x:c r="BB907" s="4" t="n">
        <x:v>47.8</x:v>
      </x:c>
      <x:c r="BC907" s="4" t="n">
        <x:v>1</x:v>
      </x:c>
      <x:c r="BD907" s="10" t="n">
        <x:v>699</x:v>
      </x:c>
      <x:c r="BE907" s="10" t="n">
        <x:v>785</x:v>
      </x:c>
      <x:c r="BF907" s="4" t="n">
        <x:v>47.1</x:v>
      </x:c>
      <x:c r="BG907" s="4" t="n">
        <x:v>0.7</x:v>
      </x:c>
      <x:c r="BH907" s="4" t="n">
        <x:v>11.9</x:v>
      </x:c>
      <x:c r="BI907" s="4" t="n">
        <x:v>88</x:v>
      </x:c>
      <x:c r="BJ907" s="4" t="n">
        <x:v>99.9</x:v>
      </x:c>
      <x:c r="BK907" s="4" t="n">
        <x:v>46.7</x:v>
      </x:c>
      <x:c r="BL907" s="4" t="n">
        <x:v>53.3</x:v>
      </x:c>
      <x:c r="BM907" s="4" t="n">
        <x:v>16.75</x:v>
      </x:c>
      <x:c r="BN907" s="4" t="n">
        <x:v>15.55</x:v>
      </x:c>
      <x:c r="BO907" s="10" t="n">
        <x:v>20</x:v>
      </x:c>
      <x:c r="BP907" s="10" t="n">
        <x:v>83</x:v>
      </x:c>
      <x:c r="BQ907" s="4" t="n">
        <x:v>-4.4</x:v>
      </x:c>
      <x:c r="BR907" s="10" t="n">
        <x:v>199</x:v>
      </x:c>
      <x:c r="BS907" s="4" t="n">
        <x:v>36.2</x:v>
      </x:c>
      <x:c r="BT907" s="10" t="n">
        <x:v>72</x:v>
      </x:c>
      <x:c r="BU907" s="4" t="str">
        <x:v>SJS</x:v>
      </x:c>
      <x:c r="BV907" s="10"/>
      <x:c r="BW907" s="10"/>
      <x:c r="BX907" s="10" t="n">
        <x:v>219</x:v>
      </x:c>
      <x:c r="BY907" s="4"/>
      <x:c r="BZ907" s="4"/>
      <x:c r="CA907" s="4" t="str">
        <x:v>Sam Dickinson</x:v>
      </x:c>
      <x:c r="CB907" s="4" t="str">
        <x:v>dickisa01</x:v>
      </x:c>
    </x:row>
    <x:row r="908" ht="22" customHeight="1">
      <x:c r="A908" s="4" t="str">
        <x:v>Sam Lafferty</x:v>
      </x:c>
      <x:c r="B908" s="4" t="str">
        <x:v>samlafferty</x:v>
      </x:c>
      <x:c r="C908" s="10" t="n">
        <x:v>1</x:v>
      </x:c>
      <x:c r="D908" s="10" t="n">
        <x:v>0</x:v>
      </x:c>
      <x:c r="E908" s="10" t="n">
        <x:v>1</x:v>
      </x:c>
      <x:c r="F908" s="4" t="n">
        <x:f>IF(COUNT(N908,Q908,T908,W908,Z908,AC908,AF908,AI908)=8,N908*Guide!$E$5+Q908*Guide!$E$6+T908*Guide!$E$7+W908*Guide!$E$8+Z908*Guide!$E$9+AC908*Guide!$E$10+AF908*Guide!$E$11+AI908*Guide!$E$12,"")</x:f>
        <x:v>117.25</x:v>
      </x:c>
      <x:c r="G908" s="4" t="str">
        <x:f>IF(COUNT(O908,R908,U908,X908,AA908,AD908,AG908,AJ908)=8,O908*Guide!$E$5+R908*Guide!$E$6+U908*Guide!$E$7+X908*Guide!$E$8+AA908*Guide!$E$9+AD908*Guide!$E$10+AG908*Guide!$E$11+AJ908*Guide!$E$12,"")</x:f>
      </x:c>
      <x:c r="H908" s="4" t="str">
        <x:f>IF(COUNT(G908,F908)=2,G908-F908,"")</x:f>
      </x:c>
      <x:c r="I908" s="4" t="n">
        <x:f>IF(AND(ISNUMBER(F908),K908&gt;0),F908/K908,"")</x:f>
        <x:v>1.606164383561644</x:v>
      </x:c>
      <x:c r="J908" s="4" t="str">
        <x:f>IF(AND(ISNUMBER(G908),L908&gt;0),G908/L908,"")</x:f>
      </x:c>
      <x:c r="K908" s="10" t="n">
        <x:v>73</x:v>
      </x:c>
      <x:c r="L908" s="10"/>
      <x:c r="M908" s="10" t="str">
        <x:f>IF(COUNT(L908,K908)=2,L908-K908,"")</x:f>
      </x:c>
      <x:c r="N908" s="10" t="n">
        <x:v>8</x:v>
      </x:c>
      <x:c r="O908" s="10"/>
      <x:c r="P908" s="10" t="str">
        <x:f>IF(COUNT(O908,N908)=2,O908-N908,"")</x:f>
      </x:c>
      <x:c r="Q908" s="10" t="n">
        <x:v>9</x:v>
      </x:c>
      <x:c r="R908" s="10"/>
      <x:c r="S908" s="10" t="str">
        <x:f>IF(COUNT(R908,Q908)=2,R908-Q908,"")</x:f>
      </x:c>
      <x:c r="T908" s="10" t="n">
        <x:v>-7</x:v>
      </x:c>
      <x:c r="U908" s="10"/>
      <x:c r="V908" s="10" t="str">
        <x:f>IF(COUNT(U908,T908)=2,U908-T908,"")</x:f>
      </x:c>
      <x:c r="W908" s="10" t="n">
        <x:v>0</x:v>
      </x:c>
      <x:c r="X908" s="10" t="str">
        <x:f>IF(COUNT(AV908,AW908)=2,AV908+AW908,"")</x:f>
      </x:c>
      <x:c r="Y908" s="10" t="str">
        <x:f>IF(COUNT(X908,W908)=2,X908-W908,"")</x:f>
      </x:c>
      <x:c r="Z908" s="10" t="n">
        <x:v>1</x:v>
      </x:c>
      <x:c r="AA908" s="10" t="str">
        <x:f>IF(COUNT(AX908,AY908)=2,AX908+AY908,"")</x:f>
      </x:c>
      <x:c r="AB908" s="10" t="str">
        <x:f>IF(COUNT(AA908,Z908)=2,AA908-Z908,"")</x:f>
      </x:c>
      <x:c r="AC908" s="10" t="n">
        <x:v>61</x:v>
      </x:c>
      <x:c r="AD908" s="10"/>
      <x:c r="AE908" s="10" t="str">
        <x:f>IF(COUNT(AD908,AC908)=2,AD908-AC908,"")</x:f>
      </x:c>
      <x:c r="AF908" s="10" t="n">
        <x:v>113</x:v>
      </x:c>
      <x:c r="AG908" s="10"/>
      <x:c r="AH908" s="10" t="str">
        <x:f>IF(COUNT(AG908,AF908)=2,AG908-AF908,"")</x:f>
      </x:c>
      <x:c r="AI908" s="10" t="n">
        <x:v>25</x:v>
      </x:c>
      <x:c r="AJ908" s="10"/>
      <x:c r="AK908" s="10" t="str">
        <x:f>IF(COUNT(AJ908,AI908)=2,AJ908-AI908,"")</x:f>
      </x:c>
      <x:c r="AL908" s="10" t="n">
        <x:v>30</x:v>
      </x:c>
      <x:c r="AM908" s="10"/>
      <x:c r="AN908" s="4" t="str">
        <x:v>C,RW</x:v>
      </x:c>
      <x:c r="AO908" s="4"/>
      <x:c r="AP908" s="4" t="str">
        <x:v>CHI</x:v>
      </x:c>
      <x:c r="AQ908" s="4"/>
      <x:c r="AR908" s="4" t="n">
        <x:v>10.37</x:v>
      </x:c>
      <x:c r="AS908" s="4"/>
      <x:c r="AT908" s="4" t="n">
        <x:v>0.18</x:v>
      </x:c>
      <x:c r="AU908" s="4"/>
      <x:c r="AV908" s="10"/>
      <x:c r="AW908" s="10"/>
      <x:c r="AX908" s="10"/>
      <x:c r="AY908" s="10"/>
      <x:c r="AZ908" s="10" t="n">
        <x:v>172</x:v>
      </x:c>
      <x:c r="BA908" s="10" t="n">
        <x:v>191</x:v>
      </x:c>
      <x:c r="BB908" s="4" t="n">
        <x:v>47.4</x:v>
      </x:c>
      <x:c r="BC908" s="4" t="n">
        <x:v>2.1</x:v>
      </x:c>
      <x:c r="BD908" s="10" t="n">
        <x:v>121</x:v>
      </x:c>
      <x:c r="BE908" s="10" t="n">
        <x:v>148</x:v>
      </x:c>
      <x:c r="BF908" s="4" t="n">
        <x:v>45</x:v>
      </x:c>
      <x:c r="BG908" s="4" t="n">
        <x:v>-0.6</x:v>
      </x:c>
      <x:c r="BH908" s="4" t="n">
        <x:v>8.8</x:v>
      </x:c>
      <x:c r="BI908" s="4" t="n">
        <x:v>90.4</x:v>
      </x:c>
      <x:c r="BJ908" s="4" t="n">
        <x:v>99.2</x:v>
      </x:c>
      <x:c r="BK908" s="4" t="n">
        <x:v>54.5</x:v>
      </x:c>
      <x:c r="BL908" s="4" t="n">
        <x:v>45.5</x:v>
      </x:c>
      <x:c r="BM908" s="4" t="n">
        <x:v>8.6</x:v>
      </x:c>
      <x:c r="BN908" s="4" t="n">
        <x:v>8.583333333333334</x:v>
      </x:c>
      <x:c r="BO908" s="10" t="n">
        <x:v>2</x:v>
      </x:c>
      <x:c r="BP908" s="10" t="n">
        <x:v>15</x:v>
      </x:c>
      <x:c r="BQ908" s="4" t="n">
        <x:v>-2.7</x:v>
      </x:c>
      <x:c r="BR908" s="10" t="n">
        <x:v>20</x:v>
      </x:c>
      <x:c r="BS908" s="4" t="n">
        <x:v>45</x:v>
      </x:c>
      <x:c r="BT908" s="10" t="n">
        <x:v>29</x:v>
      </x:c>
      <x:c r="BU908" s="4" t="str">
        <x:v>CHI</x:v>
      </x:c>
      <x:c r="BV908" s="10" t="n">
        <x:v>592</x:v>
      </x:c>
      <x:c r="BW908" s="10"/>
      <x:c r="BX908" s="10" t="n">
        <x:v>565</x:v>
      </x:c>
      <x:c r="BY908" s="4" t="str">
        <x:v>Sam Lafferty</x:v>
      </x:c>
      <x:c r="BZ908" s="4"/>
      <x:c r="CA908" s="4" t="str">
        <x:v>Sam Lafferty</x:v>
      </x:c>
      <x:c r="CB908" s="4" t="str">
        <x:v>laffesa01</x:v>
      </x:c>
    </x:row>
    <x:row r="909" ht="22" customHeight="1">
      <x:c r="A909" s="4" t="str">
        <x:v>Sam Morton</x:v>
      </x:c>
      <x:c r="B909" s="4" t="str">
        <x:v>sammorton</x:v>
      </x:c>
      <x:c r="C909" s="10" t="n">
        <x:v>0</x:v>
      </x:c>
      <x:c r="D909" s="10" t="n">
        <x:v>0</x:v>
      </x:c>
      <x:c r="E909" s="10" t="n">
        <x:v>1</x:v>
      </x:c>
      <x:c r="F909" s="4" t="str">
        <x:f>IF(COUNT(N909,Q909,T909,W909,Z909,AC909,AF909,AI909)=8,N909*Guide!$E$5+Q909*Guide!$E$6+T909*Guide!$E$7+W909*Guide!$E$8+Z909*Guide!$E$9+AC909*Guide!$E$10+AF909*Guide!$E$11+AI909*Guide!$E$12,"")</x:f>
      </x:c>
      <x:c r="G909" s="4" t="str">
        <x:f>IF(COUNT(O909,R909,U909,X909,AA909,AD909,AG909,AJ909)=8,O909*Guide!$E$5+R909*Guide!$E$6+U909*Guide!$E$7+X909*Guide!$E$8+AA909*Guide!$E$9+AD909*Guide!$E$10+AG909*Guide!$E$11+AJ909*Guide!$E$12,"")</x:f>
      </x:c>
      <x:c r="H909" s="4" t="str">
        <x:f>IF(COUNT(G909,F909)=2,G909-F909,"")</x:f>
      </x:c>
      <x:c r="I909" s="4" t="str">
        <x:f>IF(AND(ISNUMBER(F909),K909&gt;0),F909/K909,"")</x:f>
      </x:c>
      <x:c r="J909" s="4" t="str">
        <x:f>IF(AND(ISNUMBER(G909),L909&gt;0),G909/L909,"")</x:f>
      </x:c>
      <x:c r="K909" s="10"/>
      <x:c r="L909" s="10"/>
      <x:c r="M909" s="10" t="str">
        <x:f>IF(COUNT(L909,K909)=2,L909-K909,"")</x:f>
      </x:c>
      <x:c r="N909" s="10"/>
      <x:c r="O909" s="10"/>
      <x:c r="P909" s="10" t="str">
        <x:f>IF(COUNT(O909,N909)=2,O909-N909,"")</x:f>
      </x:c>
      <x:c r="Q909" s="10"/>
      <x:c r="R909" s="10"/>
      <x:c r="S909" s="10" t="str">
        <x:f>IF(COUNT(R909,Q909)=2,R909-Q909,"")</x:f>
      </x:c>
      <x:c r="T909" s="10"/>
      <x:c r="U909" s="10"/>
      <x:c r="V909" s="10" t="str">
        <x:f>IF(COUNT(U909,T909)=2,U909-T909,"")</x:f>
      </x:c>
      <x:c r="W909" s="10"/>
      <x:c r="X909" s="10" t="str">
        <x:f>IF(COUNT(AV909,AW909)=2,AV909+AW909,"")</x:f>
      </x:c>
      <x:c r="Y909" s="10" t="str">
        <x:f>IF(COUNT(X909,W909)=2,X909-W909,"")</x:f>
      </x:c>
      <x:c r="Z909" s="10"/>
      <x:c r="AA909" s="10" t="str">
        <x:f>IF(COUNT(AX909,AY909)=2,AX909+AY909,"")</x:f>
      </x:c>
      <x:c r="AB909" s="10" t="str">
        <x:f>IF(COUNT(AA909,Z909)=2,AA909-Z909,"")</x:f>
      </x:c>
      <x:c r="AC909" s="10"/>
      <x:c r="AD909" s="10"/>
      <x:c r="AE909" s="10" t="str">
        <x:f>IF(COUNT(AD909,AC909)=2,AD909-AC909,"")</x:f>
      </x:c>
      <x:c r="AF909" s="10"/>
      <x:c r="AG909" s="10"/>
      <x:c r="AH909" s="10" t="str">
        <x:f>IF(COUNT(AG909,AF909)=2,AG909-AF909,"")</x:f>
      </x:c>
      <x:c r="AI909" s="10"/>
      <x:c r="AJ909" s="10"/>
      <x:c r="AK909" s="10" t="str">
        <x:f>IF(COUNT(AJ909,AI909)=2,AJ909-AI909,"")</x:f>
      </x:c>
      <x:c r="AL909" s="10"/>
      <x:c r="AM909" s="10"/>
      <x:c r="AN909" s="4"/>
      <x:c r="AO909" s="4"/>
      <x:c r="AP909" s="4"/>
      <x:c r="AQ909" s="4"/>
      <x:c r="AR909" s="4"/>
      <x:c r="AS909" s="4"/>
      <x:c r="AT909" s="4"/>
      <x:c r="AU909" s="4"/>
      <x:c r="AV909" s="10"/>
      <x:c r="AW909" s="10"/>
      <x:c r="AX909" s="10"/>
      <x:c r="AY909" s="10"/>
      <x:c r="AZ909" s="10" t="n">
        <x:v>21</x:v>
      </x:c>
      <x:c r="BA909" s="10" t="n">
        <x:v>24</x:v>
      </x:c>
      <x:c r="BB909" s="4" t="n">
        <x:v>46.7</x:v>
      </x:c>
      <x:c r="BC909" s="4" t="n">
        <x:v>-7.8</x:v>
      </x:c>
      <x:c r="BD909" s="10" t="n">
        <x:v>14</x:v>
      </x:c>
      <x:c r="BE909" s="10" t="n">
        <x:v>17</x:v>
      </x:c>
      <x:c r="BF909" s="4" t="n">
        <x:v>45.2</x:v>
      </x:c>
      <x:c r="BG909" s="4" t="n">
        <x:v>-8.7</x:v>
      </x:c>
      <x:c r="BH909" s="4" t="n">
        <x:v>0</x:v>
      </x:c>
      <x:c r="BI909" s="4" t="n">
        <x:v>90.9</x:v>
      </x:c>
      <x:c r="BJ909" s="4" t="n">
        <x:v>90.9</x:v>
      </x:c>
      <x:c r="BK909" s="4" t="n">
        <x:v>25</x:v>
      </x:c>
      <x:c r="BL909" s="4" t="n">
        <x:v>75</x:v>
      </x:c>
      <x:c r="BM909" s="4" t="n">
        <x:v>9.333333333333334</x:v>
      </x:c>
      <x:c r="BN909" s="4" t="n">
        <x:v>8.033333333333333</x:v>
      </x:c>
      <x:c r="BO909" s="10" t="n">
        <x:v>1</x:v>
      </x:c>
      <x:c r="BP909" s="10" t="n">
        <x:v>2</x:v>
      </x:c>
      <x:c r="BQ909" s="4" t="n">
        <x:v>-0.3</x:v>
      </x:c>
      <x:c r="BR909" s="10" t="n">
        <x:v>7</x:v>
      </x:c>
      <x:c r="BS909" s="4" t="n">
        <x:v>42.9</x:v>
      </x:c>
      <x:c r="BT909" s="10" t="n">
        <x:v>3</x:v>
      </x:c>
      <x:c r="BU909" s="4" t="str">
        <x:v>CGY</x:v>
      </x:c>
      <x:c r="BV909" s="10"/>
      <x:c r="BW909" s="10"/>
      <x:c r="BX909" s="10" t="n">
        <x:v>716</x:v>
      </x:c>
      <x:c r="BY909" s="4"/>
      <x:c r="BZ909" s="4"/>
      <x:c r="CA909" s="4" t="str">
        <x:v>Sam Morton</x:v>
      </x:c>
      <x:c r="CB909" s="4" t="str">
        <x:v>mortosa01</x:v>
      </x:c>
    </x:row>
    <x:row r="910" ht="22" customHeight="1">
      <x:c r="A910" s="4" t="str">
        <x:v>Sam Rinzel</x:v>
      </x:c>
      <x:c r="B910" s="4" t="str">
        <x:v>samrinzel</x:v>
      </x:c>
      <x:c r="C910" s="10" t="n">
        <x:v>1</x:v>
      </x:c>
      <x:c r="D910" s="10" t="n">
        <x:v>0</x:v>
      </x:c>
      <x:c r="E910" s="10" t="n">
        <x:v>1</x:v>
      </x:c>
      <x:c r="F910" s="4" t="n">
        <x:f>IF(COUNT(N910,Q910,T910,W910,Z910,AC910,AF910,AI910)=8,N910*Guide!$E$5+Q910*Guide!$E$6+T910*Guide!$E$7+W910*Guide!$E$8+Z910*Guide!$E$9+AC910*Guide!$E$10+AF910*Guide!$E$11+AI910*Guide!$E$12,"")</x:f>
        <x:v>254.25</x:v>
      </x:c>
      <x:c r="G910" s="4" t="str">
        <x:f>IF(COUNT(O910,R910,U910,X910,AA910,AD910,AG910,AJ910)=8,O910*Guide!$E$5+R910*Guide!$E$6+U910*Guide!$E$7+X910*Guide!$E$8+AA910*Guide!$E$9+AD910*Guide!$E$10+AG910*Guide!$E$11+AJ910*Guide!$E$12,"")</x:f>
      </x:c>
      <x:c r="H910" s="4" t="str">
        <x:f>IF(COUNT(G910,F910)=2,G910-F910,"")</x:f>
      </x:c>
      <x:c r="I910" s="4" t="n">
        <x:f>IF(AND(ISNUMBER(F910),K910&gt;0),F910/K910,"")</x:f>
        <x:v>3.3453947368421053</x:v>
      </x:c>
      <x:c r="J910" s="4" t="str">
        <x:f>IF(AND(ISNUMBER(G910),L910&gt;0),G910/L910,"")</x:f>
      </x:c>
      <x:c r="K910" s="10" t="n">
        <x:v>76</x:v>
      </x:c>
      <x:c r="L910" s="10"/>
      <x:c r="M910" s="10" t="str">
        <x:f>IF(COUNT(L910,K910)=2,L910-K910,"")</x:f>
      </x:c>
      <x:c r="N910" s="10" t="n">
        <x:v>7</x:v>
      </x:c>
      <x:c r="O910" s="10"/>
      <x:c r="P910" s="10" t="str">
        <x:f>IF(COUNT(O910,N910)=2,O910-N910,"")</x:f>
      </x:c>
      <x:c r="Q910" s="10" t="n">
        <x:v>31</x:v>
      </x:c>
      <x:c r="R910" s="10"/>
      <x:c r="S910" s="10" t="str">
        <x:f>IF(COUNT(R910,Q910)=2,R910-Q910,"")</x:f>
      </x:c>
      <x:c r="T910" s="10" t="n">
        <x:v>-12</x:v>
      </x:c>
      <x:c r="U910" s="10"/>
      <x:c r="V910" s="10" t="str">
        <x:f>IF(COUNT(U910,T910)=2,U910-T910,"")</x:f>
      </x:c>
      <x:c r="W910" s="10" t="n">
        <x:v>12</x:v>
      </x:c>
      <x:c r="X910" s="10" t="str">
        <x:f>IF(COUNT(AV910,AW910)=2,AV910+AW910,"")</x:f>
      </x:c>
      <x:c r="Y910" s="10" t="str">
        <x:f>IF(COUNT(X910,W910)=2,X910-W910,"")</x:f>
      </x:c>
      <x:c r="Z910" s="10" t="n">
        <x:v>0</x:v>
      </x:c>
      <x:c r="AA910" s="10" t="str">
        <x:f>IF(COUNT(AX910,AY910)=2,AX910+AY910,"")</x:f>
      </x:c>
      <x:c r="AB910" s="10" t="str">
        <x:f>IF(COUNT(AA910,Z910)=2,AA910-Z910,"")</x:f>
      </x:c>
      <x:c r="AC910" s="10" t="n">
        <x:v>161</x:v>
      </x:c>
      <x:c r="AD910" s="10"/>
      <x:c r="AE910" s="10" t="str">
        <x:f>IF(COUNT(AD910,AC910)=2,AD910-AC910,"")</x:f>
      </x:c>
      <x:c r="AF910" s="10" t="n">
        <x:v>108</x:v>
      </x:c>
      <x:c r="AG910" s="10"/>
      <x:c r="AH910" s="10" t="str">
        <x:f>IF(COUNT(AG910,AF910)=2,AG910-AF910,"")</x:f>
      </x:c>
      <x:c r="AI910" s="10" t="n">
        <x:v>88</x:v>
      </x:c>
      <x:c r="AJ910" s="10"/>
      <x:c r="AK910" s="10" t="str">
        <x:f>IF(COUNT(AJ910,AI910)=2,AJ910-AI910,"")</x:f>
      </x:c>
      <x:c r="AL910" s="10" t="n">
        <x:v>21</x:v>
      </x:c>
      <x:c r="AM910" s="10"/>
      <x:c r="AN910" s="4" t="str">
        <x:v>D</x:v>
      </x:c>
      <x:c r="AO910" s="4"/>
      <x:c r="AP910" s="4" t="str">
        <x:v>CHI</x:v>
      </x:c>
      <x:c r="AQ910" s="4"/>
      <x:c r="AR910" s="4" t="n">
        <x:v>22.25</x:v>
      </x:c>
      <x:c r="AS910" s="4"/>
      <x:c r="AT910" s="4" t="n">
        <x:v>2.5</x:v>
      </x:c>
      <x:c r="AU910" s="4"/>
      <x:c r="AV910" s="10"/>
      <x:c r="AW910" s="10"/>
      <x:c r="AX910" s="10"/>
      <x:c r="AY910" s="10"/>
      <x:c r="AZ910" s="10" t="n">
        <x:v>742</x:v>
      </x:c>
      <x:c r="BA910" s="10" t="n">
        <x:v>905</x:v>
      </x:c>
      <x:c r="BB910" s="4" t="n">
        <x:v>45.1</x:v>
      </x:c>
      <x:c r="BC910" s="4" t="n">
        <x:v>-0.1</x:v>
      </x:c>
      <x:c r="BD910" s="10" t="n">
        <x:v>565</x:v>
      </x:c>
      <x:c r="BE910" s="10" t="n">
        <x:v>688</x:v>
      </x:c>
      <x:c r="BF910" s="4" t="n">
        <x:v>45.1</x:v>
      </x:c>
      <x:c r="BG910" s="4" t="n">
        <x:v>0.3</x:v>
      </x:c>
      <x:c r="BH910" s="4" t="n">
        <x:v>10.7</x:v>
      </x:c>
      <x:c r="BI910" s="4" t="n">
        <x:v>90.1</x:v>
      </x:c>
      <x:c r="BJ910" s="4" t="n">
        <x:v>100.8</x:v>
      </x:c>
      <x:c r="BK910" s="4" t="n">
        <x:v>58.2</x:v>
      </x:c>
      <x:c r="BL910" s="4" t="n">
        <x:v>41.8</x:v>
      </x:c>
      <x:c r="BM910" s="4" t="n">
        <x:v>18.266666666666666</x:v>
      </x:c>
      <x:c r="BN910" s="4" t="n">
        <x:v>16.033333333333335</x:v>
      </x:c>
      <x:c r="BO910" s="10" t="n">
        <x:v>13</x:v>
      </x:c>
      <x:c r="BP910" s="10" t="n">
        <x:v>67</x:v>
      </x:c>
      <x:c r="BQ910" s="4" t="n">
        <x:v>-15</x:v>
      </x:c>
      <x:c r="BR910" s="10" t="n">
        <x:v>200</x:v>
      </x:c>
      <x:c r="BS910" s="4" t="n">
        <x:v>41.5</x:v>
      </x:c>
      <x:c r="BT910" s="10" t="n">
        <x:v>54</x:v>
      </x:c>
      <x:c r="BU910" s="4" t="str">
        <x:v>CHI</x:v>
      </x:c>
      <x:c r="BV910" s="10" t="n">
        <x:v>269</x:v>
      </x:c>
      <x:c r="BW910" s="10"/>
      <x:c r="BX910" s="10" t="n">
        <x:v>862</x:v>
      </x:c>
      <x:c r="BY910" s="4" t="str">
        <x:v>Sam Rinzel</x:v>
      </x:c>
      <x:c r="BZ910" s="4"/>
      <x:c r="CA910" s="4" t="str">
        <x:v>Sam Rinzel</x:v>
      </x:c>
      <x:c r="CB910" s="4" t="str">
        <x:v>rinzesa01</x:v>
      </x:c>
    </x:row>
    <x:row r="911" ht="22" customHeight="1">
      <x:c r="A911" s="4" t="str">
        <x:v>Sammy Blais</x:v>
      </x:c>
      <x:c r="B911" s="4" t="str">
        <x:v>sammyblais</x:v>
      </x:c>
      <x:c r="C911" s="10" t="n">
        <x:v>1</x:v>
      </x:c>
      <x:c r="D911" s="10" t="n">
        <x:v>0</x:v>
      </x:c>
      <x:c r="E911" s="10" t="n">
        <x:v>1</x:v>
      </x:c>
      <x:c r="F911" s="4" t="n">
        <x:f>IF(COUNT(N911,Q911,T911,W911,Z911,AC911,AF911,AI911)=8,N911*Guide!$E$5+Q911*Guide!$E$6+T911*Guide!$E$7+W911*Guide!$E$8+Z911*Guide!$E$9+AC911*Guide!$E$10+AF911*Guide!$E$11+AI911*Guide!$E$12,"")</x:f>
        <x:v>53.25</x:v>
      </x:c>
      <x:c r="G911" s="4" t="str">
        <x:f>IF(COUNT(O911,R911,U911,X911,AA911,AD911,AG911,AJ911)=8,O911*Guide!$E$5+R911*Guide!$E$6+U911*Guide!$E$7+X911*Guide!$E$8+AA911*Guide!$E$9+AD911*Guide!$E$10+AG911*Guide!$E$11+AJ911*Guide!$E$12,"")</x:f>
      </x:c>
      <x:c r="H911" s="4" t="str">
        <x:f>IF(COUNT(G911,F911)=2,G911-F911,"")</x:f>
      </x:c>
      <x:c r="I911" s="4" t="n">
        <x:f>IF(AND(ISNUMBER(F911),K911&gt;0),F911/K911,"")</x:f>
        <x:v>2.13</x:v>
      </x:c>
      <x:c r="J911" s="4" t="str">
        <x:f>IF(AND(ISNUMBER(G911),L911&gt;0),G911/L911,"")</x:f>
      </x:c>
      <x:c r="K911" s="10" t="n">
        <x:v>25</x:v>
      </x:c>
      <x:c r="L911" s="10"/>
      <x:c r="M911" s="10" t="str">
        <x:f>IF(COUNT(L911,K911)=2,L911-K911,"")</x:f>
      </x:c>
      <x:c r="N911" s="10" t="n">
        <x:v>2</x:v>
      </x:c>
      <x:c r="O911" s="10"/>
      <x:c r="P911" s="10" t="str">
        <x:f>IF(COUNT(O911,N911)=2,O911-N911,"")</x:f>
      </x:c>
      <x:c r="Q911" s="10" t="n">
        <x:v>4</x:v>
      </x:c>
      <x:c r="R911" s="10"/>
      <x:c r="S911" s="10" t="str">
        <x:f>IF(COUNT(R911,Q911)=2,R911-Q911,"")</x:f>
      </x:c>
      <x:c r="T911" s="10" t="n">
        <x:v>-2</x:v>
      </x:c>
      <x:c r="U911" s="10"/>
      <x:c r="V911" s="10" t="str">
        <x:f>IF(COUNT(U911,T911)=2,U911-T911,"")</x:f>
      </x:c>
      <x:c r="W911" s="10" t="n">
        <x:v>0</x:v>
      </x:c>
      <x:c r="X911" s="10" t="str">
        <x:f>IF(COUNT(AV911,AW911)=2,AV911+AW911,"")</x:f>
      </x:c>
      <x:c r="Y911" s="10" t="str">
        <x:f>IF(COUNT(X911,W911)=2,X911-W911,"")</x:f>
      </x:c>
      <x:c r="Z911" s="10" t="n">
        <x:v>0</x:v>
      </x:c>
      <x:c r="AA911" s="10" t="str">
        <x:f>IF(COUNT(AX911,AY911)=2,AX911+AY911,"")</x:f>
      </x:c>
      <x:c r="AB911" s="10" t="str">
        <x:f>IF(COUNT(AA911,Z911)=2,AA911-Z911,"")</x:f>
      </x:c>
      <x:c r="AC911" s="10" t="n">
        <x:v>17</x:v>
      </x:c>
      <x:c r="AD911" s="10"/>
      <x:c r="AE911" s="10" t="str">
        <x:f>IF(COUNT(AD911,AC911)=2,AD911-AC911,"")</x:f>
      </x:c>
      <x:c r="AF911" s="10" t="n">
        <x:v>91</x:v>
      </x:c>
      <x:c r="AG911" s="10"/>
      <x:c r="AH911" s="10" t="str">
        <x:f>IF(COUNT(AG911,AF911)=2,AG911-AF911,"")</x:f>
      </x:c>
      <x:c r="AI911" s="10" t="n">
        <x:v>11</x:v>
      </x:c>
      <x:c r="AJ911" s="10"/>
      <x:c r="AK911" s="10" t="str">
        <x:f>IF(COUNT(AJ911,AI911)=2,AJ911-AI911,"")</x:f>
      </x:c>
      <x:c r="AL911" s="10" t="n">
        <x:v>29</x:v>
      </x:c>
      <x:c r="AM911" s="10"/>
      <x:c r="AN911" s="4" t="str">
        <x:v>LW</x:v>
      </x:c>
      <x:c r="AO911" s="4"/>
      <x:c r="AP911" s="4" t="str">
        <x:v>MTL</x:v>
      </x:c>
      <x:c r="AQ911" s="4"/>
      <x:c r="AR911" s="4" t="n">
        <x:v>10.18</x:v>
      </x:c>
      <x:c r="AS911" s="4"/>
      <x:c r="AT911" s="4" t="n">
        <x:v>0.26</x:v>
      </x:c>
      <x:c r="AU911" s="4"/>
      <x:c r="AV911" s="10"/>
      <x:c r="AW911" s="10"/>
      <x:c r="AX911" s="10"/>
      <x:c r="AY911" s="10"/>
      <x:c r="AZ911" s="10" t="n">
        <x:v>137</x:v>
      </x:c>
      <x:c r="BA911" s="10" t="n">
        <x:v>151</x:v>
      </x:c>
      <x:c r="BB911" s="4" t="n">
        <x:v>47.6</x:v>
      </x:c>
      <x:c r="BC911" s="4" t="n">
        <x:v>-0.3</x:v>
      </x:c>
      <x:c r="BD911" s="10" t="n">
        <x:v>107</x:v>
      </x:c>
      <x:c r="BE911" s="10" t="n">
        <x:v>99</x:v>
      </x:c>
      <x:c r="BF911" s="4" t="n">
        <x:v>51.9</x:v>
      </x:c>
      <x:c r="BG911" s="4" t="n">
        <x:v>2</x:v>
      </x:c>
      <x:c r="BH911" s="4" t="n">
        <x:v>10.3</x:v>
      </x:c>
      <x:c r="BI911" s="4" t="n">
        <x:v>91.3</x:v>
      </x:c>
      <x:c r="BJ911" s="4" t="n">
        <x:v>101.6</x:v>
      </x:c>
      <x:c r="BK911" s="4" t="n">
        <x:v>51.9</x:v>
      </x:c>
      <x:c r="BL911" s="4" t="n">
        <x:v>48.1</x:v>
      </x:c>
      <x:c r="BM911" s="4" t="n">
        <x:v>8.433333333333334</x:v>
      </x:c>
      <x:c r="BN911" s="4" t="n">
        <x:v>8.366666666666667</x:v>
      </x:c>
      <x:c r="BO911" s="10" t="n">
        <x:v>4</x:v>
      </x:c>
      <x:c r="BP911" s="10" t="n">
        <x:v>2</x:v>
      </x:c>
      <x:c r="BQ911" s="4" t="n">
        <x:v>0.4</x:v>
      </x:c>
      <x:c r="BR911" s="10" t="n">
        <x:v>28</x:v>
      </x:c>
      <x:c r="BS911" s="4" t="n">
        <x:v>64.3</x:v>
      </x:c>
      <x:c r="BT911" s="10" t="n">
        <x:v>21</x:v>
      </x:c>
      <x:c r="BU911" s="4" t="str">
        <x:v>TOT</x:v>
      </x:c>
      <x:c r="BV911" s="10" t="n">
        <x:v>762</x:v>
      </x:c>
      <x:c r="BW911" s="10"/>
      <x:c r="BX911" s="10" t="n">
        <x:v>64</x:v>
      </x:c>
      <x:c r="BY911" s="4" t="str">
        <x:v>Sammy Blais</x:v>
      </x:c>
      <x:c r="BZ911" s="4"/>
      <x:c r="CA911" s="4" t="str">
        <x:v>Sammy Blais</x:v>
      </x:c>
      <x:c r="CB911" s="4" t="str">
        <x:v>blaissa01</x:v>
      </x:c>
    </x:row>
    <x:row r="912" ht="22" customHeight="1">
      <x:c r="A912" s="4" t="str">
        <x:v>Samuel Bolduc</x:v>
      </x:c>
      <x:c r="B912" s="4" t="str">
        <x:v>samuelbolduc</x:v>
      </x:c>
      <x:c r="C912" s="10" t="n">
        <x:v>1</x:v>
      </x:c>
      <x:c r="D912" s="10" t="n">
        <x:v>0</x:v>
      </x:c>
      <x:c r="E912" s="10" t="n">
        <x:v>0</x:v>
      </x:c>
      <x:c r="F912" s="4" t="n">
        <x:f>IF(COUNT(N912,Q912,T912,W912,Z912,AC912,AF912,AI912)=8,N912*Guide!$E$5+Q912*Guide!$E$6+T912*Guide!$E$7+W912*Guide!$E$8+Z912*Guide!$E$9+AC912*Guide!$E$10+AF912*Guide!$E$11+AI912*Guide!$E$12,"")</x:f>
        <x:v>119.25</x:v>
      </x:c>
      <x:c r="G912" s="4" t="str">
        <x:f>IF(COUNT(O912,R912,U912,X912,AA912,AD912,AG912,AJ912)=8,O912*Guide!$E$5+R912*Guide!$E$6+U912*Guide!$E$7+X912*Guide!$E$8+AA912*Guide!$E$9+AD912*Guide!$E$10+AG912*Guide!$E$11+AJ912*Guide!$E$12,"")</x:f>
      </x:c>
      <x:c r="H912" s="4" t="str">
        <x:f>IF(COUNT(G912,F912)=2,G912-F912,"")</x:f>
      </x:c>
      <x:c r="I912" s="4" t="n">
        <x:f>IF(AND(ISNUMBER(F912),K912&gt;0),F912/K912,"")</x:f>
        <x:v>1.9233870967741935</x:v>
      </x:c>
      <x:c r="J912" s="4" t="str">
        <x:f>IF(AND(ISNUMBER(G912),L912&gt;0),G912/L912,"")</x:f>
      </x:c>
      <x:c r="K912" s="10" t="n">
        <x:v>62</x:v>
      </x:c>
      <x:c r="L912" s="10"/>
      <x:c r="M912" s="10" t="str">
        <x:f>IF(COUNT(L912,K912)=2,L912-K912,"")</x:f>
      </x:c>
      <x:c r="N912" s="10" t="n">
        <x:v>3</x:v>
      </x:c>
      <x:c r="O912" s="10"/>
      <x:c r="P912" s="10" t="str">
        <x:f>IF(COUNT(O912,N912)=2,O912-N912,"")</x:f>
      </x:c>
      <x:c r="Q912" s="10" t="n">
        <x:v>10</x:v>
      </x:c>
      <x:c r="R912" s="10"/>
      <x:c r="S912" s="10" t="str">
        <x:f>IF(COUNT(R912,Q912)=2,R912-Q912,"")</x:f>
      </x:c>
      <x:c r="T912" s="10" t="n">
        <x:v>-2</x:v>
      </x:c>
      <x:c r="U912" s="10"/>
      <x:c r="V912" s="10" t="str">
        <x:f>IF(COUNT(U912,T912)=2,U912-T912,"")</x:f>
      </x:c>
      <x:c r="W912" s="10" t="n">
        <x:v>2</x:v>
      </x:c>
      <x:c r="X912" s="10" t="str">
        <x:f>IF(COUNT(AV912,AW912)=2,AV912+AW912,"")</x:f>
      </x:c>
      <x:c r="Y912" s="10" t="str">
        <x:f>IF(COUNT(X912,W912)=2,X912-W912,"")</x:f>
      </x:c>
      <x:c r="Z912" s="10" t="n">
        <x:v>0</x:v>
      </x:c>
      <x:c r="AA912" s="10" t="str">
        <x:f>IF(COUNT(AX912,AY912)=2,AX912+AY912,"")</x:f>
      </x:c>
      <x:c r="AB912" s="10" t="str">
        <x:f>IF(COUNT(AA912,Z912)=2,AA912-Z912,"")</x:f>
      </x:c>
      <x:c r="AC912" s="10" t="n">
        <x:v>59</x:v>
      </x:c>
      <x:c r="AD912" s="10"/>
      <x:c r="AE912" s="10" t="str">
        <x:f>IF(COUNT(AD912,AC912)=2,AD912-AC912,"")</x:f>
      </x:c>
      <x:c r="AF912" s="10" t="n">
        <x:v>64</x:v>
      </x:c>
      <x:c r="AG912" s="10"/>
      <x:c r="AH912" s="10" t="str">
        <x:f>IF(COUNT(AG912,AF912)=2,AG912-AF912,"")</x:f>
      </x:c>
      <x:c r="AI912" s="10" t="n">
        <x:v>62</x:v>
      </x:c>
      <x:c r="AJ912" s="10"/>
      <x:c r="AK912" s="10" t="str">
        <x:f>IF(COUNT(AJ912,AI912)=2,AJ912-AI912,"")</x:f>
      </x:c>
      <x:c r="AL912" s="10" t="n">
        <x:v>25</x:v>
      </x:c>
      <x:c r="AM912" s="10"/>
      <x:c r="AN912" s="4" t="str">
        <x:v>D</x:v>
      </x:c>
      <x:c r="AO912" s="4"/>
      <x:c r="AP912" s="4" t="str">
        <x:v>NYI</x:v>
      </x:c>
      <x:c r="AQ912" s="4"/>
      <x:c r="AR912" s="4" t="n">
        <x:v>13.59</x:v>
      </x:c>
      <x:c r="AS912" s="4"/>
      <x:c r="AT912" s="4" t="n">
        <x:v>0.49</x:v>
      </x:c>
      <x:c r="AU912" s="4"/>
      <x:c r="AV912" s="10"/>
      <x:c r="AW912" s="10"/>
      <x:c r="AX912" s="10"/>
      <x:c r="AY912" s="10"/>
      <x:c r="AZ912" s="10"/>
      <x:c r="BA912" s="10"/>
      <x:c r="BB912" s="4"/>
      <x:c r="BC912" s="4"/>
      <x:c r="BD912" s="10"/>
      <x:c r="BE912" s="10"/>
      <x:c r="BF912" s="4"/>
      <x:c r="BG912" s="4"/>
      <x:c r="BH912" s="4"/>
      <x:c r="BI912" s="4"/>
      <x:c r="BJ912" s="4"/>
      <x:c r="BK912" s="4"/>
      <x:c r="BL912" s="4"/>
      <x:c r="BM912" s="4"/>
      <x:c r="BN912" s="4"/>
      <x:c r="BO912" s="10"/>
      <x:c r="BP912" s="10"/>
      <x:c r="BQ912" s="4"/>
      <x:c r="BR912" s="10"/>
      <x:c r="BS912" s="4"/>
      <x:c r="BT912" s="10"/>
      <x:c r="BU912" s="4"/>
      <x:c r="BV912" s="10" t="n">
        <x:v>669</x:v>
      </x:c>
      <x:c r="BW912" s="10"/>
      <x:c r="BX912" s="10"/>
      <x:c r="BY912" s="4" t="str">
        <x:v>Samuel Bolduc</x:v>
      </x:c>
      <x:c r="BZ912" s="4"/>
      <x:c r="CA912" s="4"/>
      <x:c r="CB912" s="4"/>
    </x:row>
    <x:row r="913" ht="22" customHeight="1">
      <x:c r="A913" s="4" t="str">
        <x:v>Samuel Helenius</x:v>
      </x:c>
      <x:c r="B913" s="4" t="str">
        <x:v>samuelhelenius</x:v>
      </x:c>
      <x:c r="C913" s="10" t="n">
        <x:v>1</x:v>
      </x:c>
      <x:c r="D913" s="10" t="n">
        <x:v>0</x:v>
      </x:c>
      <x:c r="E913" s="10" t="n">
        <x:v>1</x:v>
      </x:c>
      <x:c r="F913" s="4" t="n">
        <x:f>IF(COUNT(N913,Q913,T913,W913,Z913,AC913,AF913,AI913)=8,N913*Guide!$E$5+Q913*Guide!$E$6+T913*Guide!$E$7+W913*Guide!$E$8+Z913*Guide!$E$9+AC913*Guide!$E$10+AF913*Guide!$E$11+AI913*Guide!$E$12,"")</x:f>
        <x:v>119</x:v>
      </x:c>
      <x:c r="G913" s="4" t="str">
        <x:f>IF(COUNT(O913,R913,U913,X913,AA913,AD913,AG913,AJ913)=8,O913*Guide!$E$5+R913*Guide!$E$6+U913*Guide!$E$7+X913*Guide!$E$8+AA913*Guide!$E$9+AD913*Guide!$E$10+AG913*Guide!$E$11+AJ913*Guide!$E$12,"")</x:f>
      </x:c>
      <x:c r="H913" s="4" t="str">
        <x:f>IF(COUNT(G913,F913)=2,G913-F913,"")</x:f>
      </x:c>
      <x:c r="I913" s="4" t="n">
        <x:f>IF(AND(ISNUMBER(F913),K913&gt;0),F913/K913,"")</x:f>
        <x:v>1.9833333333333334</x:v>
      </x:c>
      <x:c r="J913" s="4" t="str">
        <x:f>IF(AND(ISNUMBER(G913),L913&gt;0),G913/L913,"")</x:f>
      </x:c>
      <x:c r="K913" s="10" t="n">
        <x:v>60</x:v>
      </x:c>
      <x:c r="L913" s="10"/>
      <x:c r="M913" s="10" t="str">
        <x:f>IF(COUNT(L913,K913)=2,L913-K913,"")</x:f>
      </x:c>
      <x:c r="N913" s="10" t="n">
        <x:v>7</x:v>
      </x:c>
      <x:c r="O913" s="10"/>
      <x:c r="P913" s="10" t="str">
        <x:f>IF(COUNT(O913,N913)=2,O913-N913,"")</x:f>
      </x:c>
      <x:c r="Q913" s="10" t="n">
        <x:v>7</x:v>
      </x:c>
      <x:c r="R913" s="10"/>
      <x:c r="S913" s="10" t="str">
        <x:f>IF(COUNT(R913,Q913)=2,R913-Q913,"")</x:f>
      </x:c>
      <x:c r="T913" s="10" t="n">
        <x:v>-1</x:v>
      </x:c>
      <x:c r="U913" s="10"/>
      <x:c r="V913" s="10" t="str">
        <x:f>IF(COUNT(U913,T913)=2,U913-T913,"")</x:f>
      </x:c>
      <x:c r="W913" s="10" t="n">
        <x:v>0</x:v>
      </x:c>
      <x:c r="X913" s="10" t="str">
        <x:f>IF(COUNT(AV913,AW913)=2,AV913+AW913,"")</x:f>
      </x:c>
      <x:c r="Y913" s="10" t="str">
        <x:f>IF(COUNT(X913,W913)=2,X913-W913,"")</x:f>
      </x:c>
      <x:c r="Z913" s="10" t="n">
        <x:v>0</x:v>
      </x:c>
      <x:c r="AA913" s="10" t="str">
        <x:f>IF(COUNT(AX913,AY913)=2,AX913+AY913,"")</x:f>
      </x:c>
      <x:c r="AB913" s="10" t="str">
        <x:f>IF(COUNT(AA913,Z913)=2,AA913-Z913,"")</x:f>
      </x:c>
      <x:c r="AC913" s="10" t="n">
        <x:v>43</x:v>
      </x:c>
      <x:c r="AD913" s="10"/>
      <x:c r="AE913" s="10" t="str">
        <x:f>IF(COUNT(AD913,AC913)=2,AD913-AC913,"")</x:f>
      </x:c>
      <x:c r="AF913" s="10" t="n">
        <x:v>181</x:v>
      </x:c>
      <x:c r="AG913" s="10"/>
      <x:c r="AH913" s="10" t="str">
        <x:f>IF(COUNT(AG913,AF913)=2,AG913-AF913,"")</x:f>
      </x:c>
      <x:c r="AI913" s="10" t="n">
        <x:v>20</x:v>
      </x:c>
      <x:c r="AJ913" s="10"/>
      <x:c r="AK913" s="10" t="str">
        <x:f>IF(COUNT(AJ913,AI913)=2,AJ913-AI913,"")</x:f>
      </x:c>
      <x:c r="AL913" s="10" t="n">
        <x:v>23</x:v>
      </x:c>
      <x:c r="AM913" s="10"/>
      <x:c r="AN913" s="4" t="str">
        <x:v>C</x:v>
      </x:c>
      <x:c r="AO913" s="4"/>
      <x:c r="AP913" s="4" t="str">
        <x:v>LA</x:v>
      </x:c>
      <x:c r="AQ913" s="4"/>
      <x:c r="AR913" s="4" t="n">
        <x:v>9.09</x:v>
      </x:c>
      <x:c r="AS913" s="4"/>
      <x:c r="AT913" s="4" t="n">
        <x:v>0.12</x:v>
      </x:c>
      <x:c r="AU913" s="4"/>
      <x:c r="AV913" s="10"/>
      <x:c r="AW913" s="10"/>
      <x:c r="AX913" s="10"/>
      <x:c r="AY913" s="10"/>
      <x:c r="AZ913" s="10" t="n">
        <x:v>376</x:v>
      </x:c>
      <x:c r="BA913" s="10" t="n">
        <x:v>414</x:v>
      </x:c>
      <x:c r="BB913" s="4" t="n">
        <x:v>47.6</x:v>
      </x:c>
      <x:c r="BC913" s="4" t="n">
        <x:v>-4.6</x:v>
      </x:c>
      <x:c r="BD913" s="10" t="n">
        <x:v>253</x:v>
      </x:c>
      <x:c r="BE913" s="10" t="n">
        <x:v>267</x:v>
      </x:c>
      <x:c r="BF913" s="4" t="n">
        <x:v>48.7</x:v>
      </x:c>
      <x:c r="BG913" s="4" t="n">
        <x:v>-3.4</x:v>
      </x:c>
      <x:c r="BH913" s="4" t="n">
        <x:v>7.2</x:v>
      </x:c>
      <x:c r="BI913" s="4" t="n">
        <x:v>90.1</x:v>
      </x:c>
      <x:c r="BJ913" s="4" t="n">
        <x:v>97.3</x:v>
      </x:c>
      <x:c r="BK913" s="4" t="n">
        <x:v>34.6</x:v>
      </x:c>
      <x:c r="BL913" s="4" t="n">
        <x:v>65.4</x:v>
      </x:c>
      <x:c r="BM913" s="4" t="n">
        <x:v>7.983333333333333</x:v>
      </x:c>
      <x:c r="BN913" s="4" t="n">
        <x:v>7.95</x:v>
      </x:c>
      <x:c r="BO913" s="10" t="n">
        <x:v>4</x:v>
      </x:c>
      <x:c r="BP913" s="10" t="n">
        <x:v>14</x:v>
      </x:c>
      <x:c r="BQ913" s="4" t="n">
        <x:v>-0.2</x:v>
      </x:c>
      <x:c r="BR913" s="10" t="n">
        <x:v>84</x:v>
      </x:c>
      <x:c r="BS913" s="4" t="n">
        <x:v>45.2</x:v>
      </x:c>
      <x:c r="BT913" s="10" t="n">
        <x:v>53</x:v>
      </x:c>
      <x:c r="BU913" s="4" t="str">
        <x:v>LAK</x:v>
      </x:c>
      <x:c r="BV913" s="10" t="n">
        <x:v>653</x:v>
      </x:c>
      <x:c r="BW913" s="10"/>
      <x:c r="BX913" s="10" t="n">
        <x:v>408</x:v>
      </x:c>
      <x:c r="BY913" s="4" t="str">
        <x:v>Samuel Helenius</x:v>
      </x:c>
      <x:c r="BZ913" s="4"/>
      <x:c r="CA913" s="4" t="str">
        <x:v>Samuel Helenius</x:v>
      </x:c>
      <x:c r="CB913" s="4" t="str">
        <x:v>helensa02</x:v>
      </x:c>
    </x:row>
    <x:row r="914" ht="22" customHeight="1">
      <x:c r="A914" s="4" t="str">
        <x:v>Samuel Honzek</x:v>
      </x:c>
      <x:c r="B914" s="4" t="str">
        <x:v>samuelhonzek</x:v>
      </x:c>
      <x:c r="C914" s="10" t="n">
        <x:v>0</x:v>
      </x:c>
      <x:c r="D914" s="10" t="n">
        <x:v>0</x:v>
      </x:c>
      <x:c r="E914" s="10" t="n">
        <x:v>1</x:v>
      </x:c>
      <x:c r="F914" s="4" t="str">
        <x:f>IF(COUNT(N914,Q914,T914,W914,Z914,AC914,AF914,AI914)=8,N914*Guide!$E$5+Q914*Guide!$E$6+T914*Guide!$E$7+W914*Guide!$E$8+Z914*Guide!$E$9+AC914*Guide!$E$10+AF914*Guide!$E$11+AI914*Guide!$E$12,"")</x:f>
      </x:c>
      <x:c r="G914" s="4" t="str">
        <x:f>IF(COUNT(O914,R914,U914,X914,AA914,AD914,AG914,AJ914)=8,O914*Guide!$E$5+R914*Guide!$E$6+U914*Guide!$E$7+X914*Guide!$E$8+AA914*Guide!$E$9+AD914*Guide!$E$10+AG914*Guide!$E$11+AJ914*Guide!$E$12,"")</x:f>
      </x:c>
      <x:c r="H914" s="4" t="str">
        <x:f>IF(COUNT(G914,F914)=2,G914-F914,"")</x:f>
      </x:c>
      <x:c r="I914" s="4" t="str">
        <x:f>IF(AND(ISNUMBER(F914),K914&gt;0),F914/K914,"")</x:f>
      </x:c>
      <x:c r="J914" s="4" t="str">
        <x:f>IF(AND(ISNUMBER(G914),L914&gt;0),G914/L914,"")</x:f>
      </x:c>
      <x:c r="K914" s="10"/>
      <x:c r="L914" s="10"/>
      <x:c r="M914" s="10" t="str">
        <x:f>IF(COUNT(L914,K914)=2,L914-K914,"")</x:f>
      </x:c>
      <x:c r="N914" s="10"/>
      <x:c r="O914" s="10"/>
      <x:c r="P914" s="10" t="str">
        <x:f>IF(COUNT(O914,N914)=2,O914-N914,"")</x:f>
      </x:c>
      <x:c r="Q914" s="10"/>
      <x:c r="R914" s="10"/>
      <x:c r="S914" s="10" t="str">
        <x:f>IF(COUNT(R914,Q914)=2,R914-Q914,"")</x:f>
      </x:c>
      <x:c r="T914" s="10"/>
      <x:c r="U914" s="10"/>
      <x:c r="V914" s="10" t="str">
        <x:f>IF(COUNT(U914,T914)=2,U914-T914,"")</x:f>
      </x:c>
      <x:c r="W914" s="10"/>
      <x:c r="X914" s="10" t="str">
        <x:f>IF(COUNT(AV914,AW914)=2,AV914+AW914,"")</x:f>
      </x:c>
      <x:c r="Y914" s="10" t="str">
        <x:f>IF(COUNT(X914,W914)=2,X914-W914,"")</x:f>
      </x:c>
      <x:c r="Z914" s="10"/>
      <x:c r="AA914" s="10" t="str">
        <x:f>IF(COUNT(AX914,AY914)=2,AX914+AY914,"")</x:f>
      </x:c>
      <x:c r="AB914" s="10" t="str">
        <x:f>IF(COUNT(AA914,Z914)=2,AA914-Z914,"")</x:f>
      </x:c>
      <x:c r="AC914" s="10"/>
      <x:c r="AD914" s="10"/>
      <x:c r="AE914" s="10" t="str">
        <x:f>IF(COUNT(AD914,AC914)=2,AD914-AC914,"")</x:f>
      </x:c>
      <x:c r="AF914" s="10"/>
      <x:c r="AG914" s="10"/>
      <x:c r="AH914" s="10" t="str">
        <x:f>IF(COUNT(AG914,AF914)=2,AG914-AF914,"")</x:f>
      </x:c>
      <x:c r="AI914" s="10"/>
      <x:c r="AJ914" s="10"/>
      <x:c r="AK914" s="10" t="str">
        <x:f>IF(COUNT(AJ914,AI914)=2,AJ914-AI914,"")</x:f>
      </x:c>
      <x:c r="AL914" s="10"/>
      <x:c r="AM914" s="10"/>
      <x:c r="AN914" s="4"/>
      <x:c r="AO914" s="4"/>
      <x:c r="AP914" s="4"/>
      <x:c r="AQ914" s="4"/>
      <x:c r="AR914" s="4"/>
      <x:c r="AS914" s="4"/>
      <x:c r="AT914" s="4"/>
      <x:c r="AU914" s="4"/>
      <x:c r="AV914" s="10"/>
      <x:c r="AW914" s="10"/>
      <x:c r="AX914" s="10"/>
      <x:c r="AY914" s="10"/>
      <x:c r="AZ914" s="10" t="n">
        <x:v>204</x:v>
      </x:c>
      <x:c r="BA914" s="10" t="n">
        <x:v>163</x:v>
      </x:c>
      <x:c r="BB914" s="4" t="n">
        <x:v>55.6</x:v>
      </x:c>
      <x:c r="BC914" s="4" t="n">
        <x:v>1.8</x:v>
      </x:c>
      <x:c r="BD914" s="10" t="n">
        <x:v>148</x:v>
      </x:c>
      <x:c r="BE914" s="10" t="n">
        <x:v>113</x:v>
      </x:c>
      <x:c r="BF914" s="4" t="n">
        <x:v>56.7</x:v>
      </x:c>
      <x:c r="BG914" s="4" t="n">
        <x:v>3.7</x:v>
      </x:c>
      <x:c r="BH914" s="4" t="n">
        <x:v>9.7</x:v>
      </x:c>
      <x:c r="BI914" s="4" t="n">
        <x:v>88.3</x:v>
      </x:c>
      <x:c r="BJ914" s="4" t="n">
        <x:v>98</x:v>
      </x:c>
      <x:c r="BK914" s="4" t="n">
        <x:v>33.5</x:v>
      </x:c>
      <x:c r="BL914" s="4" t="n">
        <x:v>66.5</x:v>
      </x:c>
      <x:c r="BM914" s="4" t="n">
        <x:v>12.35</x:v>
      </x:c>
      <x:c r="BN914" s="4" t="n">
        <x:v>10.95</x:v>
      </x:c>
      <x:c r="BO914" s="10" t="n">
        <x:v>1</x:v>
      </x:c>
      <x:c r="BP914" s="10" t="n">
        <x:v>9</x:v>
      </x:c>
      <x:c r="BQ914" s="4" t="n">
        <x:v>1.5</x:v>
      </x:c>
      <x:c r="BR914" s="10" t="n">
        <x:v>42</x:v>
      </x:c>
      <x:c r="BS914" s="4" t="n">
        <x:v>52.4</x:v>
      </x:c>
      <x:c r="BT914" s="10" t="n">
        <x:v>18</x:v>
      </x:c>
      <x:c r="BU914" s="4" t="str">
        <x:v>CGY</x:v>
      </x:c>
      <x:c r="BV914" s="10"/>
      <x:c r="BW914" s="10"/>
      <x:c r="BX914" s="10" t="n">
        <x:v>425</x:v>
      </x:c>
      <x:c r="BY914" s="4"/>
      <x:c r="BZ914" s="4"/>
      <x:c r="CA914" s="4" t="str">
        <x:v>Samuel Honzek</x:v>
      </x:c>
      <x:c r="CB914" s="4" t="str">
        <x:v>honzesa01</x:v>
      </x:c>
    </x:row>
    <x:row r="915" ht="22" customHeight="1">
      <x:c r="A915" s="4" t="str">
        <x:v>Samuel Poulin</x:v>
      </x:c>
      <x:c r="B915" s="4" t="str">
        <x:v>samuelpoulin</x:v>
      </x:c>
      <x:c r="C915" s="10" t="n">
        <x:v>0</x:v>
      </x:c>
      <x:c r="D915" s="10" t="n">
        <x:v>0</x:v>
      </x:c>
      <x:c r="E915" s="10" t="n">
        <x:v>1</x:v>
      </x:c>
      <x:c r="F915" s="4" t="str">
        <x:f>IF(COUNT(N915,Q915,T915,W915,Z915,AC915,AF915,AI915)=8,N915*Guide!$E$5+Q915*Guide!$E$6+T915*Guide!$E$7+W915*Guide!$E$8+Z915*Guide!$E$9+AC915*Guide!$E$10+AF915*Guide!$E$11+AI915*Guide!$E$12,"")</x:f>
      </x:c>
      <x:c r="G915" s="4" t="str">
        <x:f>IF(COUNT(O915,R915,U915,X915,AA915,AD915,AG915,AJ915)=8,O915*Guide!$E$5+R915*Guide!$E$6+U915*Guide!$E$7+X915*Guide!$E$8+AA915*Guide!$E$9+AD915*Guide!$E$10+AG915*Guide!$E$11+AJ915*Guide!$E$12,"")</x:f>
      </x:c>
      <x:c r="H915" s="4" t="str">
        <x:f>IF(COUNT(G915,F915)=2,G915-F915,"")</x:f>
      </x:c>
      <x:c r="I915" s="4" t="str">
        <x:f>IF(AND(ISNUMBER(F915),K915&gt;0),F915/K915,"")</x:f>
      </x:c>
      <x:c r="J915" s="4" t="str">
        <x:f>IF(AND(ISNUMBER(G915),L915&gt;0),G915/L915,"")</x:f>
      </x:c>
      <x:c r="K915" s="10"/>
      <x:c r="L915" s="10"/>
      <x:c r="M915" s="10" t="str">
        <x:f>IF(COUNT(L915,K915)=2,L915-K915,"")</x:f>
      </x:c>
      <x:c r="N915" s="10"/>
      <x:c r="O915" s="10"/>
      <x:c r="P915" s="10" t="str">
        <x:f>IF(COUNT(O915,N915)=2,O915-N915,"")</x:f>
      </x:c>
      <x:c r="Q915" s="10"/>
      <x:c r="R915" s="10"/>
      <x:c r="S915" s="10" t="str">
        <x:f>IF(COUNT(R915,Q915)=2,R915-Q915,"")</x:f>
      </x:c>
      <x:c r="T915" s="10"/>
      <x:c r="U915" s="10"/>
      <x:c r="V915" s="10" t="str">
        <x:f>IF(COUNT(U915,T915)=2,U915-T915,"")</x:f>
      </x:c>
      <x:c r="W915" s="10"/>
      <x:c r="X915" s="10" t="str">
        <x:f>IF(COUNT(AV915,AW915)=2,AV915+AW915,"")</x:f>
      </x:c>
      <x:c r="Y915" s="10" t="str">
        <x:f>IF(COUNT(X915,W915)=2,X915-W915,"")</x:f>
      </x:c>
      <x:c r="Z915" s="10"/>
      <x:c r="AA915" s="10" t="str">
        <x:f>IF(COUNT(AX915,AY915)=2,AX915+AY915,"")</x:f>
      </x:c>
      <x:c r="AB915" s="10" t="str">
        <x:f>IF(COUNT(AA915,Z915)=2,AA915-Z915,"")</x:f>
      </x:c>
      <x:c r="AC915" s="10"/>
      <x:c r="AD915" s="10"/>
      <x:c r="AE915" s="10" t="str">
        <x:f>IF(COUNT(AD915,AC915)=2,AD915-AC915,"")</x:f>
      </x:c>
      <x:c r="AF915" s="10"/>
      <x:c r="AG915" s="10"/>
      <x:c r="AH915" s="10" t="str">
        <x:f>IF(COUNT(AG915,AF915)=2,AG915-AF915,"")</x:f>
      </x:c>
      <x:c r="AI915" s="10"/>
      <x:c r="AJ915" s="10"/>
      <x:c r="AK915" s="10" t="str">
        <x:f>IF(COUNT(AJ915,AI915)=2,AJ915-AI915,"")</x:f>
      </x:c>
      <x:c r="AL915" s="10"/>
      <x:c r="AM915" s="10"/>
      <x:c r="AN915" s="4"/>
      <x:c r="AO915" s="4"/>
      <x:c r="AP915" s="4"/>
      <x:c r="AQ915" s="4"/>
      <x:c r="AR915" s="4"/>
      <x:c r="AS915" s="4"/>
      <x:c r="AT915" s="4"/>
      <x:c r="AU915" s="4"/>
      <x:c r="AV915" s="10"/>
      <x:c r="AW915" s="10"/>
      <x:c r="AX915" s="10"/>
      <x:c r="AY915" s="10"/>
      <x:c r="AZ915" s="10" t="n">
        <x:v>29</x:v>
      </x:c>
      <x:c r="BA915" s="10" t="n">
        <x:v>24</x:v>
      </x:c>
      <x:c r="BB915" s="4" t="n">
        <x:v>54.7</x:v>
      </x:c>
      <x:c r="BC915" s="4" t="n">
        <x:v>1.2</x:v>
      </x:c>
      <x:c r="BD915" s="10" t="n">
        <x:v>21</x:v>
      </x:c>
      <x:c r="BE915" s="10" t="n">
        <x:v>11</x:v>
      </x:c>
      <x:c r="BF915" s="4" t="n">
        <x:v>65.6</x:v>
      </x:c>
      <x:c r="BG915" s="4" t="n">
        <x:v>12.7</x:v>
      </x:c>
      <x:c r="BH915" s="4" t="n">
        <x:v>0</x:v>
      </x:c>
      <x:c r="BI915" s="4" t="n">
        <x:v>75</x:v>
      </x:c>
      <x:c r="BJ915" s="4" t="n">
        <x:v>75</x:v>
      </x:c>
      <x:c r="BK915" s="4" t="n">
        <x:v>40</x:v>
      </x:c>
      <x:c r="BL915" s="4" t="n">
        <x:v>60</x:v>
      </x:c>
      <x:c r="BM915" s="4" t="n">
        <x:v>13.816666666666666</x:v>
      </x:c>
      <x:c r="BN915" s="4" t="n">
        <x:v>13.25</x:v>
      </x:c>
      <x:c r="BO915" s="10" t="n">
        <x:v>1</x:v>
      </x:c>
      <x:c r="BP915" s="10" t="n">
        <x:v>1</x:v>
      </x:c>
      <x:c r="BQ915" s="4" t="n">
        <x:v>0.5</x:v>
      </x:c>
      <x:c r="BR915" s="10" t="n">
        <x:v>6</x:v>
      </x:c>
      <x:c r="BS915" s="4" t="n">
        <x:v>16.7</x:v>
      </x:c>
      <x:c r="BT915" s="10" t="n">
        <x:v>2</x:v>
      </x:c>
      <x:c r="BU915" s="4" t="str">
        <x:v>PIT</x:v>
      </x:c>
      <x:c r="BV915" s="10"/>
      <x:c r="BW915" s="10"/>
      <x:c r="BX915" s="10" t="n">
        <x:v>829</x:v>
      </x:c>
      <x:c r="BY915" s="4"/>
      <x:c r="BZ915" s="4"/>
      <x:c r="CA915" s="4" t="str">
        <x:v>Samuel Poulin</x:v>
      </x:c>
      <x:c r="CB915" s="4" t="str">
        <x:v>poulisa01</x:v>
      </x:c>
    </x:row>
    <x:row r="916" ht="22" customHeight="1">
      <x:c r="A916" s="4" t="str">
        <x:v>Sandis Vilmanis</x:v>
      </x:c>
      <x:c r="B916" s="4" t="str">
        <x:v>sandisvilmanis</x:v>
      </x:c>
      <x:c r="C916" s="10" t="n">
        <x:v>0</x:v>
      </x:c>
      <x:c r="D916" s="10" t="n">
        <x:v>0</x:v>
      </x:c>
      <x:c r="E916" s="10" t="n">
        <x:v>1</x:v>
      </x:c>
      <x:c r="F916" s="4" t="str">
        <x:f>IF(COUNT(N916,Q916,T916,W916,Z916,AC916,AF916,AI916)=8,N916*Guide!$E$5+Q916*Guide!$E$6+T916*Guide!$E$7+W916*Guide!$E$8+Z916*Guide!$E$9+AC916*Guide!$E$10+AF916*Guide!$E$11+AI916*Guide!$E$12,"")</x:f>
      </x:c>
      <x:c r="G916" s="4" t="str">
        <x:f>IF(COUNT(O916,R916,U916,X916,AA916,AD916,AG916,AJ916)=8,O916*Guide!$E$5+R916*Guide!$E$6+U916*Guide!$E$7+X916*Guide!$E$8+AA916*Guide!$E$9+AD916*Guide!$E$10+AG916*Guide!$E$11+AJ916*Guide!$E$12,"")</x:f>
      </x:c>
      <x:c r="H916" s="4" t="str">
        <x:f>IF(COUNT(G916,F916)=2,G916-F916,"")</x:f>
      </x:c>
      <x:c r="I916" s="4" t="str">
        <x:f>IF(AND(ISNUMBER(F916),K916&gt;0),F916/K916,"")</x:f>
      </x:c>
      <x:c r="J916" s="4" t="str">
        <x:f>IF(AND(ISNUMBER(G916),L916&gt;0),G916/L916,"")</x:f>
      </x:c>
      <x:c r="K916" s="10"/>
      <x:c r="L916" s="10"/>
      <x:c r="M916" s="10" t="str">
        <x:f>IF(COUNT(L916,K916)=2,L916-K916,"")</x:f>
      </x:c>
      <x:c r="N916" s="10"/>
      <x:c r="O916" s="10"/>
      <x:c r="P916" s="10" t="str">
        <x:f>IF(COUNT(O916,N916)=2,O916-N916,"")</x:f>
      </x:c>
      <x:c r="Q916" s="10"/>
      <x:c r="R916" s="10"/>
      <x:c r="S916" s="10" t="str">
        <x:f>IF(COUNT(R916,Q916)=2,R916-Q916,"")</x:f>
      </x:c>
      <x:c r="T916" s="10"/>
      <x:c r="U916" s="10"/>
      <x:c r="V916" s="10" t="str">
        <x:f>IF(COUNT(U916,T916)=2,U916-T916,"")</x:f>
      </x:c>
      <x:c r="W916" s="10"/>
      <x:c r="X916" s="10" t="str">
        <x:f>IF(COUNT(AV916,AW916)=2,AV916+AW916,"")</x:f>
      </x:c>
      <x:c r="Y916" s="10" t="str">
        <x:f>IF(COUNT(X916,W916)=2,X916-W916,"")</x:f>
      </x:c>
      <x:c r="Z916" s="10"/>
      <x:c r="AA916" s="10" t="str">
        <x:f>IF(COUNT(AX916,AY916)=2,AX916+AY916,"")</x:f>
      </x:c>
      <x:c r="AB916" s="10" t="str">
        <x:f>IF(COUNT(AA916,Z916)=2,AA916-Z916,"")</x:f>
      </x:c>
      <x:c r="AC916" s="10"/>
      <x:c r="AD916" s="10"/>
      <x:c r="AE916" s="10" t="str">
        <x:f>IF(COUNT(AD916,AC916)=2,AD916-AC916,"")</x:f>
      </x:c>
      <x:c r="AF916" s="10"/>
      <x:c r="AG916" s="10"/>
      <x:c r="AH916" s="10" t="str">
        <x:f>IF(COUNT(AG916,AF916)=2,AG916-AF916,"")</x:f>
      </x:c>
      <x:c r="AI916" s="10"/>
      <x:c r="AJ916" s="10"/>
      <x:c r="AK916" s="10" t="str">
        <x:f>IF(COUNT(AJ916,AI916)=2,AJ916-AI916,"")</x:f>
      </x:c>
      <x:c r="AL916" s="10"/>
      <x:c r="AM916" s="10"/>
      <x:c r="AN916" s="4"/>
      <x:c r="AO916" s="4"/>
      <x:c r="AP916" s="4"/>
      <x:c r="AQ916" s="4"/>
      <x:c r="AR916" s="4"/>
      <x:c r="AS916" s="4"/>
      <x:c r="AT916" s="4"/>
      <x:c r="AU916" s="4"/>
      <x:c r="AV916" s="10"/>
      <x:c r="AW916" s="10"/>
      <x:c r="AX916" s="10"/>
      <x:c r="AY916" s="10"/>
      <x:c r="AZ916" s="10" t="n">
        <x:v>176</x:v>
      </x:c>
      <x:c r="BA916" s="10" t="n">
        <x:v>155</x:v>
      </x:c>
      <x:c r="BB916" s="4" t="n">
        <x:v>53.2</x:v>
      </x:c>
      <x:c r="BC916" s="4" t="n">
        <x:v>-0.5</x:v>
      </x:c>
      <x:c r="BD916" s="10" t="n">
        <x:v>131</x:v>
      </x:c>
      <x:c r="BE916" s="10" t="n">
        <x:v>118</x:v>
      </x:c>
      <x:c r="BF916" s="4" t="n">
        <x:v>52.6</x:v>
      </x:c>
      <x:c r="BG916" s="4" t="n">
        <x:v>0.5</x:v>
      </x:c>
      <x:c r="BH916" s="4" t="n">
        <x:v>8.6</x:v>
      </x:c>
      <x:c r="BI916" s="4" t="n">
        <x:v>88.2</x:v>
      </x:c>
      <x:c r="BJ916" s="4" t="n">
        <x:v>96.9</x:v>
      </x:c>
      <x:c r="BK916" s="4" t="n">
        <x:v>65.3</x:v>
      </x:c>
      <x:c r="BL916" s="4" t="n">
        <x:v>34.7</x:v>
      </x:c>
      <x:c r="BM916" s="4" t="n">
        <x:v>10.4</x:v>
      </x:c>
      <x:c r="BN916" s="4" t="n">
        <x:v>10.066666666666666</x:v>
      </x:c>
      <x:c r="BO916" s="10" t="n">
        <x:v>5</x:v>
      </x:c>
      <x:c r="BP916" s="10" t="n">
        <x:v>11</x:v>
      </x:c>
      <x:c r="BQ916" s="4" t="n">
        <x:v>0.9</x:v>
      </x:c>
      <x:c r="BR916" s="10" t="n">
        <x:v>30</x:v>
      </x:c>
      <x:c r="BS916" s="4" t="n">
        <x:v>50</x:v>
      </x:c>
      <x:c r="BT916" s="10" t="n">
        <x:v>19</x:v>
      </x:c>
      <x:c r="BU916" s="4" t="str">
        <x:v>FLA</x:v>
      </x:c>
      <x:c r="BV916" s="10"/>
      <x:c r="BW916" s="10"/>
      <x:c r="BX916" s="10" t="n">
        <x:v>1056</x:v>
      </x:c>
      <x:c r="BY916" s="4"/>
      <x:c r="BZ916" s="4"/>
      <x:c r="CA916" s="4" t="str">
        <x:v>Sandis Vilmanis</x:v>
      </x:c>
      <x:c r="CB916" s="4" t="str">
        <x:v>vilmasa01</x:v>
      </x:c>
    </x:row>
    <x:row r="917" ht="22" customHeight="1">
      <x:c r="A917" s="4" t="str">
        <x:v>Santeri Hatakka</x:v>
      </x:c>
      <x:c r="B917" s="4" t="str">
        <x:v>santerihatakka</x:v>
      </x:c>
      <x:c r="C917" s="10" t="n">
        <x:v>1</x:v>
      </x:c>
      <x:c r="D917" s="10" t="n">
        <x:v>0</x:v>
      </x:c>
      <x:c r="E917" s="10" t="n">
        <x:v>0</x:v>
      </x:c>
      <x:c r="F917" s="4" t="n">
        <x:f>IF(COUNT(N917,Q917,T917,W917,Z917,AC917,AF917,AI917)=8,N917*Guide!$E$5+Q917*Guide!$E$6+T917*Guide!$E$7+W917*Guide!$E$8+Z917*Guide!$E$9+AC917*Guide!$E$10+AF917*Guide!$E$11+AI917*Guide!$E$12,"")</x:f>
        <x:v>90.5</x:v>
      </x:c>
      <x:c r="G917" s="4" t="str">
        <x:f>IF(COUNT(O917,R917,U917,X917,AA917,AD917,AG917,AJ917)=8,O917*Guide!$E$5+R917*Guide!$E$6+U917*Guide!$E$7+X917*Guide!$E$8+AA917*Guide!$E$9+AD917*Guide!$E$10+AG917*Guide!$E$11+AJ917*Guide!$E$12,"")</x:f>
      </x:c>
      <x:c r="H917" s="4" t="str">
        <x:f>IF(COUNT(G917,F917)=2,G917-F917,"")</x:f>
      </x:c>
      <x:c r="I917" s="4" t="n">
        <x:f>IF(AND(ISNUMBER(F917),K917&gt;0),F917/K917,"")</x:f>
        <x:v>1.7745098039215685</x:v>
      </x:c>
      <x:c r="J917" s="4" t="str">
        <x:f>IF(AND(ISNUMBER(G917),L917&gt;0),G917/L917,"")</x:f>
      </x:c>
      <x:c r="K917" s="10" t="n">
        <x:v>51</x:v>
      </x:c>
      <x:c r="L917" s="10"/>
      <x:c r="M917" s="10" t="str">
        <x:f>IF(COUNT(L917,K917)=2,L917-K917,"")</x:f>
      </x:c>
      <x:c r="N917" s="10" t="n">
        <x:v>2</x:v>
      </x:c>
      <x:c r="O917" s="10"/>
      <x:c r="P917" s="10" t="str">
        <x:f>IF(COUNT(O917,N917)=2,O917-N917,"")</x:f>
      </x:c>
      <x:c r="Q917" s="10" t="n">
        <x:v>9</x:v>
      </x:c>
      <x:c r="R917" s="10"/>
      <x:c r="S917" s="10" t="str">
        <x:f>IF(COUNT(R917,Q917)=2,R917-Q917,"")</x:f>
      </x:c>
      <x:c r="T917" s="10" t="n">
        <x:v>0</x:v>
      </x:c>
      <x:c r="U917" s="10"/>
      <x:c r="V917" s="10" t="str">
        <x:f>IF(COUNT(U917,T917)=2,U917-T917,"")</x:f>
      </x:c>
      <x:c r="W917" s="10" t="n">
        <x:v>0</x:v>
      </x:c>
      <x:c r="X917" s="10" t="str">
        <x:f>IF(COUNT(AV917,AW917)=2,AV917+AW917,"")</x:f>
      </x:c>
      <x:c r="Y917" s="10" t="str">
        <x:f>IF(COUNT(X917,W917)=2,X917-W917,"")</x:f>
      </x:c>
      <x:c r="Z917" s="10" t="n">
        <x:v>0</x:v>
      </x:c>
      <x:c r="AA917" s="10" t="str">
        <x:f>IF(COUNT(AX917,AY917)=2,AX917+AY917,"")</x:f>
      </x:c>
      <x:c r="AB917" s="10" t="str">
        <x:f>IF(COUNT(AA917,Z917)=2,AA917-Z917,"")</x:f>
      </x:c>
      <x:c r="AC917" s="10" t="n">
        <x:v>47</x:v>
      </x:c>
      <x:c r="AD917" s="10"/>
      <x:c r="AE917" s="10" t="str">
        <x:f>IF(COUNT(AD917,AC917)=2,AD917-AC917,"")</x:f>
      </x:c>
      <x:c r="AF917" s="10" t="n">
        <x:v>37</x:v>
      </x:c>
      <x:c r="AG917" s="10"/>
      <x:c r="AH917" s="10" t="str">
        <x:f>IF(COUNT(AG917,AF917)=2,AG917-AF917,"")</x:f>
      </x:c>
      <x:c r="AI917" s="10" t="n">
        <x:v>46</x:v>
      </x:c>
      <x:c r="AJ917" s="10"/>
      <x:c r="AK917" s="10" t="str">
        <x:f>IF(COUNT(AJ917,AI917)=2,AJ917-AI917,"")</x:f>
      </x:c>
      <x:c r="AL917" s="10" t="n">
        <x:v>25</x:v>
      </x:c>
      <x:c r="AM917" s="10"/>
      <x:c r="AN917" s="4" t="str">
        <x:v>D</x:v>
      </x:c>
      <x:c r="AO917" s="4"/>
      <x:c r="AP917" s="4" t="str">
        <x:v>NJ</x:v>
      </x:c>
      <x:c r="AQ917" s="4"/>
      <x:c r="AR917" s="4" t="n">
        <x:v>13.19</x:v>
      </x:c>
      <x:c r="AS917" s="4"/>
      <x:c r="AT917" s="4" t="n">
        <x:v>0</x:v>
      </x:c>
      <x:c r="AU917" s="4"/>
      <x:c r="AV917" s="10"/>
      <x:c r="AW917" s="10"/>
      <x:c r="AX917" s="10"/>
      <x:c r="AY917" s="10"/>
      <x:c r="AZ917" s="10"/>
      <x:c r="BA917" s="10"/>
      <x:c r="BB917" s="4"/>
      <x:c r="BC917" s="4"/>
      <x:c r="BD917" s="10"/>
      <x:c r="BE917" s="10"/>
      <x:c r="BF917" s="4"/>
      <x:c r="BG917" s="4"/>
      <x:c r="BH917" s="4"/>
      <x:c r="BI917" s="4"/>
      <x:c r="BJ917" s="4"/>
      <x:c r="BK917" s="4"/>
      <x:c r="BL917" s="4"/>
      <x:c r="BM917" s="4"/>
      <x:c r="BN917" s="4"/>
      <x:c r="BO917" s="10"/>
      <x:c r="BP917" s="10"/>
      <x:c r="BQ917" s="4"/>
      <x:c r="BR917" s="10"/>
      <x:c r="BS917" s="4"/>
      <x:c r="BT917" s="10"/>
      <x:c r="BU917" s="4"/>
      <x:c r="BV917" s="10" t="n">
        <x:v>714</x:v>
      </x:c>
      <x:c r="BW917" s="10"/>
      <x:c r="BX917" s="10"/>
      <x:c r="BY917" s="4" t="str">
        <x:v>Santeri Hatakka</x:v>
      </x:c>
      <x:c r="BZ917" s="4"/>
      <x:c r="CA917" s="4"/>
      <x:c r="CB917" s="4"/>
    </x:row>
    <x:row r="918" ht="22" customHeight="1">
      <x:c r="A918" s="4" t="str">
        <x:v>Scott Mayfield</x:v>
      </x:c>
      <x:c r="B918" s="4" t="str">
        <x:v>scottmayfield</x:v>
      </x:c>
      <x:c r="C918" s="10" t="n">
        <x:v>1</x:v>
      </x:c>
      <x:c r="D918" s="10" t="n">
        <x:v>0</x:v>
      </x:c>
      <x:c r="E918" s="10" t="n">
        <x:v>1</x:v>
      </x:c>
      <x:c r="F918" s="4" t="n">
        <x:f>IF(COUNT(N918,Q918,T918,W918,Z918,AC918,AF918,AI918)=8,N918*Guide!$E$5+Q918*Guide!$E$6+T918*Guide!$E$7+W918*Guide!$E$8+Z918*Guide!$E$9+AC918*Guide!$E$10+AF918*Guide!$E$11+AI918*Guide!$E$12,"")</x:f>
        <x:v>164.25</x:v>
      </x:c>
      <x:c r="G918" s="4" t="str">
        <x:f>IF(COUNT(O918,R918,U918,X918,AA918,AD918,AG918,AJ918)=8,O918*Guide!$E$5+R918*Guide!$E$6+U918*Guide!$E$7+X918*Guide!$E$8+AA918*Guide!$E$9+AD918*Guide!$E$10+AG918*Guide!$E$11+AJ918*Guide!$E$12,"")</x:f>
      </x:c>
      <x:c r="H918" s="4" t="str">
        <x:f>IF(COUNT(G918,F918)=2,G918-F918,"")</x:f>
      </x:c>
      <x:c r="I918" s="4" t="n">
        <x:f>IF(AND(ISNUMBER(F918),K918&gt;0),F918/K918,"")</x:f>
        <x:v>2.4154411764705883</x:v>
      </x:c>
      <x:c r="J918" s="4" t="str">
        <x:f>IF(AND(ISNUMBER(G918),L918&gt;0),G918/L918,"")</x:f>
      </x:c>
      <x:c r="K918" s="10" t="n">
        <x:v>68</x:v>
      </x:c>
      <x:c r="L918" s="10"/>
      <x:c r="M918" s="10" t="str">
        <x:f>IF(COUNT(L918,K918)=2,L918-K918,"")</x:f>
      </x:c>
      <x:c r="N918" s="10" t="n">
        <x:v>2</x:v>
      </x:c>
      <x:c r="O918" s="10"/>
      <x:c r="P918" s="10" t="str">
        <x:f>IF(COUNT(O918,N918)=2,O918-N918,"")</x:f>
      </x:c>
      <x:c r="Q918" s="10" t="n">
        <x:v>11</x:v>
      </x:c>
      <x:c r="R918" s="10"/>
      <x:c r="S918" s="10" t="str">
        <x:f>IF(COUNT(R918,Q918)=2,R918-Q918,"")</x:f>
      </x:c>
      <x:c r="T918" s="10" t="n">
        <x:v>-2</x:v>
      </x:c>
      <x:c r="U918" s="10"/>
      <x:c r="V918" s="10" t="str">
        <x:f>IF(COUNT(U918,T918)=2,U918-T918,"")</x:f>
      </x:c>
      <x:c r="W918" s="10" t="n">
        <x:v>0</x:v>
      </x:c>
      <x:c r="X918" s="10" t="str">
        <x:f>IF(COUNT(AV918,AW918)=2,AV918+AW918,"")</x:f>
      </x:c>
      <x:c r="Y918" s="10" t="str">
        <x:f>IF(COUNT(X918,W918)=2,X918-W918,"")</x:f>
      </x:c>
      <x:c r="Z918" s="10" t="n">
        <x:v>1</x:v>
      </x:c>
      <x:c r="AA918" s="10" t="str">
        <x:f>IF(COUNT(AX918,AY918)=2,AX918+AY918,"")</x:f>
      </x:c>
      <x:c r="AB918" s="10" t="str">
        <x:f>IF(COUNT(AA918,Z918)=2,AA918-Z918,"")</x:f>
      </x:c>
      <x:c r="AC918" s="10" t="n">
        <x:v>55</x:v>
      </x:c>
      <x:c r="AD918" s="10"/>
      <x:c r="AE918" s="10" t="str">
        <x:f>IF(COUNT(AD918,AC918)=2,AD918-AC918,"")</x:f>
      </x:c>
      <x:c r="AF918" s="10" t="n">
        <x:v>86</x:v>
      </x:c>
      <x:c r="AG918" s="10"/>
      <x:c r="AH918" s="10" t="str">
        <x:f>IF(COUNT(AG918,AF918)=2,AG918-AF918,"")</x:f>
      </x:c>
      <x:c r="AI918" s="10" t="n">
        <x:v>116</x:v>
      </x:c>
      <x:c r="AJ918" s="10"/>
      <x:c r="AK918" s="10" t="str">
        <x:f>IF(COUNT(AJ918,AI918)=2,AJ918-AI918,"")</x:f>
      </x:c>
      <x:c r="AL918" s="10" t="n">
        <x:v>33</x:v>
      </x:c>
      <x:c r="AM918" s="10"/>
      <x:c r="AN918" s="4" t="str">
        <x:v>D</x:v>
      </x:c>
      <x:c r="AO918" s="4"/>
      <x:c r="AP918" s="4" t="str">
        <x:v>NYI</x:v>
      </x:c>
      <x:c r="AQ918" s="4"/>
      <x:c r="AR918" s="4" t="n">
        <x:v>17.39</x:v>
      </x:c>
      <x:c r="AS918" s="4"/>
      <x:c r="AT918" s="4" t="n">
        <x:v>0.04</x:v>
      </x:c>
      <x:c r="AU918" s="4"/>
      <x:c r="AV918" s="10"/>
      <x:c r="AW918" s="10"/>
      <x:c r="AX918" s="10"/>
      <x:c r="AY918" s="10"/>
      <x:c r="AZ918" s="10" t="n">
        <x:v>953</x:v>
      </x:c>
      <x:c r="BA918" s="10" t="n">
        <x:v>1149</x:v>
      </x:c>
      <x:c r="BB918" s="4" t="n">
        <x:v>45.3</x:v>
      </x:c>
      <x:c r="BC918" s="4" t="n">
        <x:v>-5.7</x:v>
      </x:c>
      <x:c r="BD918" s="10" t="n">
        <x:v>697</x:v>
      </x:c>
      <x:c r="BE918" s="10" t="n">
        <x:v>797</x:v>
      </x:c>
      <x:c r="BF918" s="4" t="n">
        <x:v>46.7</x:v>
      </x:c>
      <x:c r="BG918" s="4" t="n">
        <x:v>-4.5</x:v>
      </x:c>
      <x:c r="BH918" s="4" t="n">
        <x:v>8.9</x:v>
      </x:c>
      <x:c r="BI918" s="4" t="n">
        <x:v>89.2</x:v>
      </x:c>
      <x:c r="BJ918" s="4" t="n">
        <x:v>98.2</x:v>
      </x:c>
      <x:c r="BK918" s="4" t="n">
        <x:v>51.2</x:v>
      </x:c>
      <x:c r="BL918" s="4" t="n">
        <x:v>48.8</x:v>
      </x:c>
      <x:c r="BM918" s="4" t="n">
        <x:v>16.466666666666665</x:v>
      </x:c>
      <x:c r="BN918" s="4" t="n">
        <x:v>14.85</x:v>
      </x:c>
      <x:c r="BO918" s="10" t="n">
        <x:v>20</x:v>
      </x:c>
      <x:c r="BP918" s="10" t="n">
        <x:v>68</x:v>
      </x:c>
      <x:c r="BQ918" s="4" t="n">
        <x:v>-12.3</x:v>
      </x:c>
      <x:c r="BR918" s="10" t="n">
        <x:v>187</x:v>
      </x:c>
      <x:c r="BS918" s="4" t="n">
        <x:v>38</x:v>
      </x:c>
      <x:c r="BT918" s="10" t="n">
        <x:v>80</x:v>
      </x:c>
      <x:c r="BU918" s="4" t="str">
        <x:v>NYI</x:v>
      </x:c>
      <x:c r="BV918" s="10" t="n">
        <x:v>665</x:v>
      </x:c>
      <x:c r="BW918" s="10"/>
      <x:c r="BX918" s="10" t="n">
        <x:v>659</x:v>
      </x:c>
      <x:c r="BY918" s="4" t="str">
        <x:v>Scott Mayfield</x:v>
      </x:c>
      <x:c r="BZ918" s="4"/>
      <x:c r="CA918" s="4" t="str">
        <x:v>Scott Mayfield</x:v>
      </x:c>
      <x:c r="CB918" s="4" t="str">
        <x:v>mayfisc01</x:v>
      </x:c>
    </x:row>
    <x:row r="919" ht="22" customHeight="1">
      <x:c r="A919" s="4" t="str">
        <x:v>Scott Morrow</x:v>
      </x:c>
      <x:c r="B919" s="4" t="str">
        <x:v>scottmorrow</x:v>
      </x:c>
      <x:c r="C919" s="10" t="n">
        <x:v>1</x:v>
      </x:c>
      <x:c r="D919" s="10" t="n">
        <x:v>0</x:v>
      </x:c>
      <x:c r="E919" s="10" t="n">
        <x:v>1</x:v>
      </x:c>
      <x:c r="F919" s="4" t="n">
        <x:f>IF(COUNT(N919,Q919,T919,W919,Z919,AC919,AF919,AI919)=8,N919*Guide!$E$5+Q919*Guide!$E$6+T919*Guide!$E$7+W919*Guide!$E$8+Z919*Guide!$E$9+AC919*Guide!$E$10+AF919*Guide!$E$11+AI919*Guide!$E$12,"")</x:f>
        <x:v>156.5</x:v>
      </x:c>
      <x:c r="G919" s="4" t="str">
        <x:f>IF(COUNT(O919,R919,U919,X919,AA919,AD919,AG919,AJ919)=8,O919*Guide!$E$5+R919*Guide!$E$6+U919*Guide!$E$7+X919*Guide!$E$8+AA919*Guide!$E$9+AD919*Guide!$E$10+AG919*Guide!$E$11+AJ919*Guide!$E$12,"")</x:f>
      </x:c>
      <x:c r="H919" s="4" t="str">
        <x:f>IF(COUNT(G919,F919)=2,G919-F919,"")</x:f>
      </x:c>
      <x:c r="I919" s="4" t="n">
        <x:f>IF(AND(ISNUMBER(F919),K919&gt;0),F919/K919,"")</x:f>
        <x:v>2.2357142857142858</x:v>
      </x:c>
      <x:c r="J919" s="4" t="str">
        <x:f>IF(AND(ISNUMBER(G919),L919&gt;0),G919/L919,"")</x:f>
      </x:c>
      <x:c r="K919" s="10" t="n">
        <x:v>70</x:v>
      </x:c>
      <x:c r="L919" s="10"/>
      <x:c r="M919" s="10" t="str">
        <x:f>IF(COUNT(L919,K919)=2,L919-K919,"")</x:f>
      </x:c>
      <x:c r="N919" s="10" t="n">
        <x:v>5</x:v>
      </x:c>
      <x:c r="O919" s="10"/>
      <x:c r="P919" s="10" t="str">
        <x:f>IF(COUNT(O919,N919)=2,O919-N919,"")</x:f>
      </x:c>
      <x:c r="Q919" s="10" t="n">
        <x:v>17</x:v>
      </x:c>
      <x:c r="R919" s="10"/>
      <x:c r="S919" s="10" t="str">
        <x:f>IF(COUNT(R919,Q919)=2,R919-Q919,"")</x:f>
      </x:c>
      <x:c r="T919" s="10" t="n">
        <x:v>0</x:v>
      </x:c>
      <x:c r="U919" s="10"/>
      <x:c r="V919" s="10" t="str">
        <x:f>IF(COUNT(U919,T919)=2,U919-T919,"")</x:f>
      </x:c>
      <x:c r="W919" s="10" t="n">
        <x:v>0</x:v>
      </x:c>
      <x:c r="X919" s="10" t="str">
        <x:f>IF(COUNT(AV919,AW919)=2,AV919+AW919,"")</x:f>
      </x:c>
      <x:c r="Y919" s="10" t="str">
        <x:f>IF(COUNT(X919,W919)=2,X919-W919,"")</x:f>
      </x:c>
      <x:c r="Z919" s="10" t="n">
        <x:v>0</x:v>
      </x:c>
      <x:c r="AA919" s="10" t="str">
        <x:f>IF(COUNT(AX919,AY919)=2,AX919+AY919,"")</x:f>
      </x:c>
      <x:c r="AB919" s="10" t="str">
        <x:f>IF(COUNT(AA919,Z919)=2,AA919-Z919,"")</x:f>
      </x:c>
      <x:c r="AC919" s="10" t="n">
        <x:v>96</x:v>
      </x:c>
      <x:c r="AD919" s="10"/>
      <x:c r="AE919" s="10" t="str">
        <x:f>IF(COUNT(AD919,AC919)=2,AD919-AC919,"")</x:f>
      </x:c>
      <x:c r="AF919" s="10" t="n">
        <x:v>15</x:v>
      </x:c>
      <x:c r="AG919" s="10"/>
      <x:c r="AH919" s="10" t="str">
        <x:f>IF(COUNT(AG919,AF919)=2,AG919-AF919,"")</x:f>
      </x:c>
      <x:c r="AI919" s="10" t="n">
        <x:v>77</x:v>
      </x:c>
      <x:c r="AJ919" s="10"/>
      <x:c r="AK919" s="10" t="str">
        <x:f>IF(COUNT(AJ919,AI919)=2,AJ919-AI919,"")</x:f>
      </x:c>
      <x:c r="AL919" s="10" t="n">
        <x:v>23</x:v>
      </x:c>
      <x:c r="AM919" s="10"/>
      <x:c r="AN919" s="4" t="str">
        <x:v>D</x:v>
      </x:c>
      <x:c r="AO919" s="4"/>
      <x:c r="AP919" s="4" t="str">
        <x:v>NYR</x:v>
      </x:c>
      <x:c r="AQ919" s="4"/>
      <x:c r="AR919" s="4" t="n">
        <x:v>15.19</x:v>
      </x:c>
      <x:c r="AS919" s="4"/>
      <x:c r="AT919" s="4" t="n">
        <x:v>0</x:v>
      </x:c>
      <x:c r="AU919" s="4"/>
      <x:c r="AV919" s="10"/>
      <x:c r="AW919" s="10"/>
      <x:c r="AX919" s="10"/>
      <x:c r="AY919" s="10"/>
      <x:c r="AZ919" s="10" t="n">
        <x:v>416</x:v>
      </x:c>
      <x:c r="BA919" s="10" t="n">
        <x:v>411</x:v>
      </x:c>
      <x:c r="BB919" s="4" t="n">
        <x:v>50.3</x:v>
      </x:c>
      <x:c r="BC919" s="4" t="n">
        <x:v>2.9</x:v>
      </x:c>
      <x:c r="BD919" s="10" t="n">
        <x:v>285</x:v>
      </x:c>
      <x:c r="BE919" s="10" t="n">
        <x:v>304</x:v>
      </x:c>
      <x:c r="BF919" s="4" t="n">
        <x:v>48.4</x:v>
      </x:c>
      <x:c r="BG919" s="4" t="n">
        <x:v>2.1</x:v>
      </x:c>
      <x:c r="BH919" s="4" t="n">
        <x:v>7</x:v>
      </x:c>
      <x:c r="BI919" s="4" t="n">
        <x:v>91.2</x:v>
      </x:c>
      <x:c r="BJ919" s="4" t="n">
        <x:v>98.2</x:v>
      </x:c>
      <x:c r="BK919" s="4" t="n">
        <x:v>49.8</x:v>
      </x:c>
      <x:c r="BL919" s="4" t="n">
        <x:v>50.2</x:v>
      </x:c>
      <x:c r="BM919" s="4" t="n">
        <x:v>15.666666666666666</x:v>
      </x:c>
      <x:c r="BN919" s="4" t="n">
        <x:v>14.216666666666667</x:v>
      </x:c>
      <x:c r="BO919" s="10" t="n">
        <x:v>5</x:v>
      </x:c>
      <x:c r="BP919" s="10" t="n">
        <x:v>21</x:v>
      </x:c>
      <x:c r="BQ919" s="4" t="n">
        <x:v>-3</x:v>
      </x:c>
      <x:c r="BR919" s="10" t="n">
        <x:v>91</x:v>
      </x:c>
      <x:c r="BS919" s="4" t="n">
        <x:v>26.4</x:v>
      </x:c>
      <x:c r="BT919" s="10" t="n">
        <x:v>29</x:v>
      </x:c>
      <x:c r="BU919" s="4" t="str">
        <x:v>NYR</x:v>
      </x:c>
      <x:c r="BV919" s="10" t="n">
        <x:v>484</x:v>
      </x:c>
      <x:c r="BW919" s="10"/>
      <x:c r="BX919" s="10" t="n">
        <x:v>715</x:v>
      </x:c>
      <x:c r="BY919" s="4" t="str">
        <x:v>Scott Morrow</x:v>
      </x:c>
      <x:c r="BZ919" s="4"/>
      <x:c r="CA919" s="4" t="str">
        <x:v>Scott Morrow</x:v>
      </x:c>
      <x:c r="CB919" s="4" t="str">
        <x:v>morrosc02</x:v>
      </x:c>
    </x:row>
    <x:row r="920" ht="22" customHeight="1">
      <x:c r="A920" s="4" t="str">
        <x:v>Scott Perunovich</x:v>
      </x:c>
      <x:c r="B920" s="4" t="str">
        <x:v>scottperunovich</x:v>
      </x:c>
      <x:c r="C920" s="10" t="n">
        <x:v>1</x:v>
      </x:c>
      <x:c r="D920" s="10" t="n">
        <x:v>0</x:v>
      </x:c>
      <x:c r="E920" s="10" t="n">
        <x:v>0</x:v>
      </x:c>
      <x:c r="F920" s="4" t="n">
        <x:f>IF(COUNT(N920,Q920,T920,W920,Z920,AC920,AF920,AI920)=8,N920*Guide!$E$5+Q920*Guide!$E$6+T920*Guide!$E$7+W920*Guide!$E$8+Z920*Guide!$E$9+AC920*Guide!$E$10+AF920*Guide!$E$11+AI920*Guide!$E$12,"")</x:f>
        <x:v>104</x:v>
      </x:c>
      <x:c r="G920" s="4" t="str">
        <x:f>IF(COUNT(O920,R920,U920,X920,AA920,AD920,AG920,AJ920)=8,O920*Guide!$E$5+R920*Guide!$E$6+U920*Guide!$E$7+X920*Guide!$E$8+AA920*Guide!$E$9+AD920*Guide!$E$10+AG920*Guide!$E$11+AJ920*Guide!$E$12,"")</x:f>
      </x:c>
      <x:c r="H920" s="4" t="str">
        <x:f>IF(COUNT(G920,F920)=2,G920-F920,"")</x:f>
      </x:c>
      <x:c r="I920" s="4" t="n">
        <x:f>IF(AND(ISNUMBER(F920),K920&gt;0),F920/K920,"")</x:f>
        <x:v>2.08</x:v>
      </x:c>
      <x:c r="J920" s="4" t="str">
        <x:f>IF(AND(ISNUMBER(G920),L920&gt;0),G920/L920,"")</x:f>
      </x:c>
      <x:c r="K920" s="10" t="n">
        <x:v>50</x:v>
      </x:c>
      <x:c r="L920" s="10"/>
      <x:c r="M920" s="10" t="str">
        <x:f>IF(COUNT(L920,K920)=2,L920-K920,"")</x:f>
      </x:c>
      <x:c r="N920" s="10" t="n">
        <x:v>2</x:v>
      </x:c>
      <x:c r="O920" s="10"/>
      <x:c r="P920" s="10" t="str">
        <x:f>IF(COUNT(O920,N920)=2,O920-N920,"")</x:f>
      </x:c>
      <x:c r="Q920" s="10" t="n">
        <x:v>13</x:v>
      </x:c>
      <x:c r="R920" s="10"/>
      <x:c r="S920" s="10" t="str">
        <x:f>IF(COUNT(R920,Q920)=2,R920-Q920,"")</x:f>
      </x:c>
      <x:c r="T920" s="10" t="n">
        <x:v>1</x:v>
      </x:c>
      <x:c r="U920" s="10"/>
      <x:c r="V920" s="10" t="str">
        <x:f>IF(COUNT(U920,T920)=2,U920-T920,"")</x:f>
      </x:c>
      <x:c r="W920" s="10" t="n">
        <x:v>3</x:v>
      </x:c>
      <x:c r="X920" s="10" t="str">
        <x:f>IF(COUNT(AV920,AW920)=2,AV920+AW920,"")</x:f>
      </x:c>
      <x:c r="Y920" s="10" t="str">
        <x:f>IF(COUNT(X920,W920)=2,X920-W920,"")</x:f>
      </x:c>
      <x:c r="Z920" s="10" t="n">
        <x:v>0</x:v>
      </x:c>
      <x:c r="AA920" s="10" t="str">
        <x:f>IF(COUNT(AX920,AY920)=2,AX920+AY920,"")</x:f>
      </x:c>
      <x:c r="AB920" s="10" t="str">
        <x:f>IF(COUNT(AA920,Z920)=2,AA920-Z920,"")</x:f>
      </x:c>
      <x:c r="AC920" s="10" t="n">
        <x:v>33</x:v>
      </x:c>
      <x:c r="AD920" s="10"/>
      <x:c r="AE920" s="10" t="str">
        <x:f>IF(COUNT(AD920,AC920)=2,AD920-AC920,"")</x:f>
      </x:c>
      <x:c r="AF920" s="10" t="n">
        <x:v>23</x:v>
      </x:c>
      <x:c r="AG920" s="10"/>
      <x:c r="AH920" s="10" t="str">
        <x:f>IF(COUNT(AG920,AF920)=2,AG920-AF920,"")</x:f>
      </x:c>
      <x:c r="AI920" s="10" t="n">
        <x:v>52</x:v>
      </x:c>
      <x:c r="AJ920" s="10"/>
      <x:c r="AK920" s="10" t="str">
        <x:f>IF(COUNT(AJ920,AI920)=2,AJ920-AI920,"")</x:f>
      </x:c>
      <x:c r="AL920" s="10" t="n">
        <x:v>27</x:v>
      </x:c>
      <x:c r="AM920" s="10"/>
      <x:c r="AN920" s="4" t="str">
        <x:v>D</x:v>
      </x:c>
      <x:c r="AO920" s="4"/>
      <x:c r="AP920" s="4" t="str">
        <x:v>STL</x:v>
      </x:c>
      <x:c r="AQ920" s="4"/>
      <x:c r="AR920" s="4" t="n">
        <x:v>15.97</x:v>
      </x:c>
      <x:c r="AS920" s="4"/>
      <x:c r="AT920" s="4" t="n">
        <x:v>1.22</x:v>
      </x:c>
      <x:c r="AU920" s="4"/>
      <x:c r="AV920" s="10"/>
      <x:c r="AW920" s="10"/>
      <x:c r="AX920" s="10"/>
      <x:c r="AY920" s="10"/>
      <x:c r="AZ920" s="10"/>
      <x:c r="BA920" s="10"/>
      <x:c r="BB920" s="4"/>
      <x:c r="BC920" s="4"/>
      <x:c r="BD920" s="10"/>
      <x:c r="BE920" s="10"/>
      <x:c r="BF920" s="4"/>
      <x:c r="BG920" s="4"/>
      <x:c r="BH920" s="4"/>
      <x:c r="BI920" s="4"/>
      <x:c r="BJ920" s="4"/>
      <x:c r="BK920" s="4"/>
      <x:c r="BL920" s="4"/>
      <x:c r="BM920" s="4"/>
      <x:c r="BN920" s="4"/>
      <x:c r="BO920" s="10"/>
      <x:c r="BP920" s="10"/>
      <x:c r="BQ920" s="4"/>
      <x:c r="BR920" s="10"/>
      <x:c r="BS920" s="4"/>
      <x:c r="BT920" s="10"/>
      <x:c r="BU920" s="4"/>
      <x:c r="BV920" s="10" t="n">
        <x:v>635</x:v>
      </x:c>
      <x:c r="BW920" s="10"/>
      <x:c r="BX920" s="10"/>
      <x:c r="BY920" s="4" t="str">
        <x:v>Scott Perunovich</x:v>
      </x:c>
      <x:c r="BZ920" s="4"/>
      <x:c r="CA920" s="4"/>
      <x:c r="CB920" s="4"/>
    </x:row>
    <x:row r="921" ht="22" customHeight="1">
      <x:c r="A921" s="4" t="str">
        <x:v>Scott Sabourin</x:v>
      </x:c>
      <x:c r="B921" s="4" t="str">
        <x:v>scottsabourin</x:v>
      </x:c>
      <x:c r="C921" s="10" t="n">
        <x:v>0</x:v>
      </x:c>
      <x:c r="D921" s="10" t="n">
        <x:v>0</x:v>
      </x:c>
      <x:c r="E921" s="10" t="n">
        <x:v>1</x:v>
      </x:c>
      <x:c r="F921" s="4" t="str">
        <x:f>IF(COUNT(N921,Q921,T921,W921,Z921,AC921,AF921,AI921)=8,N921*Guide!$E$5+Q921*Guide!$E$6+T921*Guide!$E$7+W921*Guide!$E$8+Z921*Guide!$E$9+AC921*Guide!$E$10+AF921*Guide!$E$11+AI921*Guide!$E$12,"")</x:f>
      </x:c>
      <x:c r="G921" s="4" t="str">
        <x:f>IF(COUNT(O921,R921,U921,X921,AA921,AD921,AG921,AJ921)=8,O921*Guide!$E$5+R921*Guide!$E$6+U921*Guide!$E$7+X921*Guide!$E$8+AA921*Guide!$E$9+AD921*Guide!$E$10+AG921*Guide!$E$11+AJ921*Guide!$E$12,"")</x:f>
      </x:c>
      <x:c r="H921" s="4" t="str">
        <x:f>IF(COUNT(G921,F921)=2,G921-F921,"")</x:f>
      </x:c>
      <x:c r="I921" s="4" t="str">
        <x:f>IF(AND(ISNUMBER(F921),K921&gt;0),F921/K921,"")</x:f>
      </x:c>
      <x:c r="J921" s="4" t="str">
        <x:f>IF(AND(ISNUMBER(G921),L921&gt;0),G921/L921,"")</x:f>
      </x:c>
      <x:c r="K921" s="10"/>
      <x:c r="L921" s="10"/>
      <x:c r="M921" s="10" t="str">
        <x:f>IF(COUNT(L921,K921)=2,L921-K921,"")</x:f>
      </x:c>
      <x:c r="N921" s="10"/>
      <x:c r="O921" s="10"/>
      <x:c r="P921" s="10" t="str">
        <x:f>IF(COUNT(O921,N921)=2,O921-N921,"")</x:f>
      </x:c>
      <x:c r="Q921" s="10"/>
      <x:c r="R921" s="10"/>
      <x:c r="S921" s="10" t="str">
        <x:f>IF(COUNT(R921,Q921)=2,R921-Q921,"")</x:f>
      </x:c>
      <x:c r="T921" s="10"/>
      <x:c r="U921" s="10"/>
      <x:c r="V921" s="10" t="str">
        <x:f>IF(COUNT(U921,T921)=2,U921-T921,"")</x:f>
      </x:c>
      <x:c r="W921" s="10"/>
      <x:c r="X921" s="10" t="str">
        <x:f>IF(COUNT(AV921,AW921)=2,AV921+AW921,"")</x:f>
      </x:c>
      <x:c r="Y921" s="10" t="str">
        <x:f>IF(COUNT(X921,W921)=2,X921-W921,"")</x:f>
      </x:c>
      <x:c r="Z921" s="10"/>
      <x:c r="AA921" s="10" t="str">
        <x:f>IF(COUNT(AX921,AY921)=2,AX921+AY921,"")</x:f>
      </x:c>
      <x:c r="AB921" s="10" t="str">
        <x:f>IF(COUNT(AA921,Z921)=2,AA921-Z921,"")</x:f>
      </x:c>
      <x:c r="AC921" s="10"/>
      <x:c r="AD921" s="10"/>
      <x:c r="AE921" s="10" t="str">
        <x:f>IF(COUNT(AD921,AC921)=2,AD921-AC921,"")</x:f>
      </x:c>
      <x:c r="AF921" s="10"/>
      <x:c r="AG921" s="10"/>
      <x:c r="AH921" s="10" t="str">
        <x:f>IF(COUNT(AG921,AF921)=2,AG921-AF921,"")</x:f>
      </x:c>
      <x:c r="AI921" s="10"/>
      <x:c r="AJ921" s="10"/>
      <x:c r="AK921" s="10" t="str">
        <x:f>IF(COUNT(AJ921,AI921)=2,AJ921-AI921,"")</x:f>
      </x:c>
      <x:c r="AL921" s="10"/>
      <x:c r="AM921" s="10"/>
      <x:c r="AN921" s="4"/>
      <x:c r="AO921" s="4"/>
      <x:c r="AP921" s="4"/>
      <x:c r="AQ921" s="4"/>
      <x:c r="AR921" s="4"/>
      <x:c r="AS921" s="4"/>
      <x:c r="AT921" s="4"/>
      <x:c r="AU921" s="4"/>
      <x:c r="AV921" s="10"/>
      <x:c r="AW921" s="10"/>
      <x:c r="AX921" s="10"/>
      <x:c r="AY921" s="10"/>
      <x:c r="AZ921" s="10" t="n">
        <x:v>173</x:v>
      </x:c>
      <x:c r="BA921" s="10" t="n">
        <x:v>191</x:v>
      </x:c>
      <x:c r="BB921" s="4" t="n">
        <x:v>47.5</x:v>
      </x:c>
      <x:c r="BC921" s="4" t="n">
        <x:v>-6.4</x:v>
      </x:c>
      <x:c r="BD921" s="10" t="n">
        <x:v>134</x:v>
      </x:c>
      <x:c r="BE921" s="10" t="n">
        <x:v>146</x:v>
      </x:c>
      <x:c r="BF921" s="4" t="n">
        <x:v>47.9</x:v>
      </x:c>
      <x:c r="BG921" s="4" t="n">
        <x:v>-5.8</x:v>
      </x:c>
      <x:c r="BH921" s="4" t="n">
        <x:v>9.3</x:v>
      </x:c>
      <x:c r="BI921" s="4" t="n">
        <x:v>91.9</x:v>
      </x:c>
      <x:c r="BJ921" s="4" t="n">
        <x:v>101.2</x:v>
      </x:c>
      <x:c r="BK921" s="4" t="n">
        <x:v>42.9</x:v>
      </x:c>
      <x:c r="BL921" s="4" t="n">
        <x:v>57.1</x:v>
      </x:c>
      <x:c r="BM921" s="4" t="n">
        <x:v>7.95</x:v>
      </x:c>
      <x:c r="BN921" s="4" t="n">
        <x:v>7.95</x:v>
      </x:c>
      <x:c r="BO921" s="10" t="n">
        <x:v>1</x:v>
      </x:c>
      <x:c r="BP921" s="10" t="n">
        <x:v>10</x:v>
      </x:c>
      <x:c r="BQ921" s="4" t="n">
        <x:v>1.1</x:v>
      </x:c>
      <x:c r="BR921" s="10" t="n">
        <x:v>34</x:v>
      </x:c>
      <x:c r="BS921" s="4" t="n">
        <x:v>32.4</x:v>
      </x:c>
      <x:c r="BT921" s="10" t="n">
        <x:v>26</x:v>
      </x:c>
      <x:c r="BU921" s="4" t="str">
        <x:v>TBL</x:v>
      </x:c>
      <x:c r="BV921" s="10"/>
      <x:c r="BW921" s="10"/>
      <x:c r="BX921" s="10" t="n">
        <x:v>888</x:v>
      </x:c>
      <x:c r="BY921" s="4"/>
      <x:c r="BZ921" s="4"/>
      <x:c r="CA921" s="4" t="str">
        <x:v>Scott Sabourin</x:v>
      </x:c>
      <x:c r="CB921" s="4" t="str">
        <x:v>sabousc01</x:v>
      </x:c>
    </x:row>
    <x:row r="922" ht="22" customHeight="1">
      <x:c r="A922" s="4" t="str">
        <x:v>Seamus Casey</x:v>
      </x:c>
      <x:c r="B922" s="4" t="str">
        <x:v>seamuscasey</x:v>
      </x:c>
      <x:c r="C922" s="10" t="n">
        <x:v>1</x:v>
      </x:c>
      <x:c r="D922" s="10" t="n">
        <x:v>0</x:v>
      </x:c>
      <x:c r="E922" s="10" t="n">
        <x:v>1</x:v>
      </x:c>
      <x:c r="F922" s="4" t="n">
        <x:f>IF(COUNT(N922,Q922,T922,W922,Z922,AC922,AF922,AI922)=8,N922*Guide!$E$5+Q922*Guide!$E$6+T922*Guide!$E$7+W922*Guide!$E$8+Z922*Guide!$E$9+AC922*Guide!$E$10+AF922*Guide!$E$11+AI922*Guide!$E$12,"")</x:f>
        <x:v>58</x:v>
      </x:c>
      <x:c r="G922" s="4" t="str">
        <x:f>IF(COUNT(O922,R922,U922,X922,AA922,AD922,AG922,AJ922)=8,O922*Guide!$E$5+R922*Guide!$E$6+U922*Guide!$E$7+X922*Guide!$E$8+AA922*Guide!$E$9+AD922*Guide!$E$10+AG922*Guide!$E$11+AJ922*Guide!$E$12,"")</x:f>
      </x:c>
      <x:c r="H922" s="4" t="str">
        <x:f>IF(COUNT(G922,F922)=2,G922-F922,"")</x:f>
      </x:c>
      <x:c r="I922" s="4" t="n">
        <x:f>IF(AND(ISNUMBER(F922),K922&gt;0),F922/K922,"")</x:f>
        <x:v>1.6111111111111112</x:v>
      </x:c>
      <x:c r="J922" s="4" t="str">
        <x:f>IF(AND(ISNUMBER(G922),L922&gt;0),G922/L922,"")</x:f>
      </x:c>
      <x:c r="K922" s="10" t="n">
        <x:v>36</x:v>
      </x:c>
      <x:c r="L922" s="10"/>
      <x:c r="M922" s="10" t="str">
        <x:f>IF(COUNT(L922,K922)=2,L922-K922,"")</x:f>
      </x:c>
      <x:c r="N922" s="10" t="n">
        <x:v>2</x:v>
      </x:c>
      <x:c r="O922" s="10"/>
      <x:c r="P922" s="10" t="str">
        <x:f>IF(COUNT(O922,N922)=2,O922-N922,"")</x:f>
      </x:c>
      <x:c r="Q922" s="10" t="n">
        <x:v>6</x:v>
      </x:c>
      <x:c r="R922" s="10"/>
      <x:c r="S922" s="10" t="str">
        <x:f>IF(COUNT(R922,Q922)=2,R922-Q922,"")</x:f>
      </x:c>
      <x:c r="T922" s="10" t="n">
        <x:v>0</x:v>
      </x:c>
      <x:c r="U922" s="10"/>
      <x:c r="V922" s="10" t="str">
        <x:f>IF(COUNT(U922,T922)=2,U922-T922,"")</x:f>
      </x:c>
      <x:c r="W922" s="10" t="n">
        <x:v>0</x:v>
      </x:c>
      <x:c r="X922" s="10" t="str">
        <x:f>IF(COUNT(AV922,AW922)=2,AV922+AW922,"")</x:f>
      </x:c>
      <x:c r="Y922" s="10" t="str">
        <x:f>IF(COUNT(X922,W922)=2,X922-W922,"")</x:f>
      </x:c>
      <x:c r="Z922" s="10" t="n">
        <x:v>0</x:v>
      </x:c>
      <x:c r="AA922" s="10" t="str">
        <x:f>IF(COUNT(AX922,AY922)=2,AX922+AY922,"")</x:f>
      </x:c>
      <x:c r="AB922" s="10" t="str">
        <x:f>IF(COUNT(AA922,Z922)=2,AA922-Z922,"")</x:f>
      </x:c>
      <x:c r="AC922" s="10" t="n">
        <x:v>27</x:v>
      </x:c>
      <x:c r="AD922" s="10"/>
      <x:c r="AE922" s="10" t="str">
        <x:f>IF(COUNT(AD922,AC922)=2,AD922-AC922,"")</x:f>
      </x:c>
      <x:c r="AF922" s="10" t="n">
        <x:v>20</x:v>
      </x:c>
      <x:c r="AG922" s="10"/>
      <x:c r="AH922" s="10" t="str">
        <x:f>IF(COUNT(AG922,AF922)=2,AG922-AF922,"")</x:f>
      </x:c>
      <x:c r="AI922" s="10" t="n">
        <x:v>27</x:v>
      </x:c>
      <x:c r="AJ922" s="10"/>
      <x:c r="AK922" s="10" t="str">
        <x:f>IF(COUNT(AJ922,AI922)=2,AJ922-AI922,"")</x:f>
      </x:c>
      <x:c r="AL922" s="10" t="n">
        <x:v>22</x:v>
      </x:c>
      <x:c r="AM922" s="10"/>
      <x:c r="AN922" s="4" t="str">
        <x:v>D</x:v>
      </x:c>
      <x:c r="AO922" s="4"/>
      <x:c r="AP922" s="4" t="str">
        <x:v>NJ</x:v>
      </x:c>
      <x:c r="AQ922" s="4"/>
      <x:c r="AR922" s="4" t="n">
        <x:v>11.52</x:v>
      </x:c>
      <x:c r="AS922" s="4"/>
      <x:c r="AT922" s="4" t="n">
        <x:v>0</x:v>
      </x:c>
      <x:c r="AU922" s="4"/>
      <x:c r="AV922" s="10"/>
      <x:c r="AW922" s="10"/>
      <x:c r="AX922" s="10"/>
      <x:c r="AY922" s="10"/>
      <x:c r="AZ922" s="10" t="n">
        <x:v>34</x:v>
      </x:c>
      <x:c r="BA922" s="10" t="n">
        <x:v>31</x:v>
      </x:c>
      <x:c r="BB922" s="4" t="n">
        <x:v>52.3</x:v>
      </x:c>
      <x:c r="BC922" s="4" t="n">
        <x:v>-4.6</x:v>
      </x:c>
      <x:c r="BD922" s="10" t="n">
        <x:v>20</x:v>
      </x:c>
      <x:c r="BE922" s="10" t="n">
        <x:v>27</x:v>
      </x:c>
      <x:c r="BF922" s="4" t="n">
        <x:v>42.6</x:v>
      </x:c>
      <x:c r="BG922" s="4" t="n">
        <x:v>-11.1</x:v>
      </x:c>
      <x:c r="BH922" s="4" t="n">
        <x:v>0</x:v>
      </x:c>
      <x:c r="BI922" s="4" t="n">
        <x:v>85</x:v>
      </x:c>
      <x:c r="BJ922" s="4" t="n">
        <x:v>85</x:v>
      </x:c>
      <x:c r="BK922" s="4" t="n">
        <x:v>75.9</x:v>
      </x:c>
      <x:c r="BL922" s="4" t="n">
        <x:v>24.1</x:v>
      </x:c>
      <x:c r="BM922" s="4" t="n">
        <x:v>18.016666666666666</x:v>
      </x:c>
      <x:c r="BN922" s="4" t="n">
        <x:v>18.016666666666666</x:v>
      </x:c>
      <x:c r="BO922" s="10" t="n">
        <x:v>2</x:v>
      </x:c>
      <x:c r="BP922" s="10" t="n">
        <x:v>3</x:v>
      </x:c>
      <x:c r="BQ922" s="4" t="n">
        <x:v>-1.2</x:v>
      </x:c>
      <x:c r="BR922" s="10" t="n">
        <x:v>8</x:v>
      </x:c>
      <x:c r="BS922" s="4" t="n">
        <x:v>50</x:v>
      </x:c>
      <x:c r="BT922" s="10" t="n">
        <x:v>2</x:v>
      </x:c>
      <x:c r="BU922" s="4" t="str">
        <x:v>NJD</x:v>
      </x:c>
      <x:c r="BV922" s="10" t="n">
        <x:v>751</x:v>
      </x:c>
      <x:c r="BW922" s="10"/>
      <x:c r="BX922" s="10" t="n">
        <x:v>136</x:v>
      </x:c>
      <x:c r="BY922" s="4" t="str">
        <x:v>Seamus Casey</x:v>
      </x:c>
      <x:c r="BZ922" s="4"/>
      <x:c r="CA922" s="4" t="str">
        <x:v>Seamus Casey</x:v>
      </x:c>
      <x:c r="CB922" s="4" t="str">
        <x:v>caseyse01</x:v>
      </x:c>
    </x:row>
    <x:row r="923" ht="22" customHeight="1">
      <x:c r="A923" s="4" t="str">
        <x:v>Sebastian Aho (D)</x:v>
      </x:c>
      <x:c r="B923" s="4" t="str">
        <x:v>sebastianahod</x:v>
      </x:c>
      <x:c r="C923" s="10" t="n">
        <x:v>1</x:v>
      </x:c>
      <x:c r="D923" s="10" t="n">
        <x:v>0</x:v>
      </x:c>
      <x:c r="E923" s="10" t="n">
        <x:v>0</x:v>
      </x:c>
      <x:c r="F923" s="4" t="n">
        <x:f>IF(COUNT(N923,Q923,T923,W923,Z923,AC923,AF923,AI923)=8,N923*Guide!$E$5+Q923*Guide!$E$6+T923*Guide!$E$7+W923*Guide!$E$8+Z923*Guide!$E$9+AC923*Guide!$E$10+AF923*Guide!$E$11+AI923*Guide!$E$12,"")</x:f>
        <x:v>85.25</x:v>
      </x:c>
      <x:c r="G923" s="4" t="str">
        <x:f>IF(COUNT(O923,R923,U923,X923,AA923,AD923,AG923,AJ923)=8,O923*Guide!$E$5+R923*Guide!$E$6+U923*Guide!$E$7+X923*Guide!$E$8+AA923*Guide!$E$9+AD923*Guide!$E$10+AG923*Guide!$E$11+AJ923*Guide!$E$12,"")</x:f>
      </x:c>
      <x:c r="H923" s="4" t="str">
        <x:f>IF(COUNT(G923,F923)=2,G923-F923,"")</x:f>
      </x:c>
      <x:c r="I923" s="4" t="n">
        <x:f>IF(AND(ISNUMBER(F923),K923&gt;0),F923/K923,"")</x:f>
        <x:v>2.0792682926829267</x:v>
      </x:c>
      <x:c r="J923" s="4" t="str">
        <x:f>IF(AND(ISNUMBER(G923),L923&gt;0),G923/L923,"")</x:f>
      </x:c>
      <x:c r="K923" s="10" t="n">
        <x:v>41</x:v>
      </x:c>
      <x:c r="L923" s="10"/>
      <x:c r="M923" s="10" t="str">
        <x:f>IF(COUNT(L923,K923)=2,L923-K923,"")</x:f>
      </x:c>
      <x:c r="N923" s="10" t="n">
        <x:v>2</x:v>
      </x:c>
      <x:c r="O923" s="10"/>
      <x:c r="P923" s="10" t="str">
        <x:f>IF(COUNT(O923,N923)=2,O923-N923,"")</x:f>
      </x:c>
      <x:c r="Q923" s="10" t="n">
        <x:v>9</x:v>
      </x:c>
      <x:c r="R923" s="10"/>
      <x:c r="S923" s="10" t="str">
        <x:f>IF(COUNT(R923,Q923)=2,R923-Q923,"")</x:f>
      </x:c>
      <x:c r="T923" s="10" t="n">
        <x:v>0</x:v>
      </x:c>
      <x:c r="U923" s="10"/>
      <x:c r="V923" s="10" t="str">
        <x:f>IF(COUNT(U923,T923)=2,U923-T923,"")</x:f>
      </x:c>
      <x:c r="W923" s="10" t="n">
        <x:v>2</x:v>
      </x:c>
      <x:c r="X923" s="10" t="str">
        <x:f>IF(COUNT(AV923,AW923)=2,AV923+AW923,"")</x:f>
      </x:c>
      <x:c r="Y923" s="10" t="str">
        <x:f>IF(COUNT(X923,W923)=2,X923-W923,"")</x:f>
      </x:c>
      <x:c r="Z923" s="10" t="n">
        <x:v>0</x:v>
      </x:c>
      <x:c r="AA923" s="10" t="str">
        <x:f>IF(COUNT(AX923,AY923)=2,AX923+AY923,"")</x:f>
      </x:c>
      <x:c r="AB923" s="10" t="str">
        <x:f>IF(COUNT(AA923,Z923)=2,AA923-Z923,"")</x:f>
      </x:c>
      <x:c r="AC923" s="10" t="n">
        <x:v>38</x:v>
      </x:c>
      <x:c r="AD923" s="10"/>
      <x:c r="AE923" s="10" t="str">
        <x:f>IF(COUNT(AD923,AC923)=2,AD923-AC923,"")</x:f>
      </x:c>
      <x:c r="AF923" s="10" t="n">
        <x:v>23</x:v>
      </x:c>
      <x:c r="AG923" s="10"/>
      <x:c r="AH923" s="10" t="str">
        <x:f>IF(COUNT(AG923,AF923)=2,AG923-AF923,"")</x:f>
      </x:c>
      <x:c r="AI923" s="10" t="n">
        <x:v>44</x:v>
      </x:c>
      <x:c r="AJ923" s="10"/>
      <x:c r="AK923" s="10" t="str">
        <x:f>IF(COUNT(AJ923,AI923)=2,AJ923-AI923,"")</x:f>
      </x:c>
      <x:c r="AL923" s="10" t="n">
        <x:v>29</x:v>
      </x:c>
      <x:c r="AM923" s="10"/>
      <x:c r="AN923" s="4" t="str">
        <x:v>D</x:v>
      </x:c>
      <x:c r="AO923" s="4"/>
      <x:c r="AP923" s="4" t="str">
        <x:v>PIT</x:v>
      </x:c>
      <x:c r="AQ923" s="4"/>
      <x:c r="AR923" s="4" t="n">
        <x:v>16.619999999999997</x:v>
      </x:c>
      <x:c r="AS923" s="4"/>
      <x:c r="AT923" s="4" t="n">
        <x:v>0.83</x:v>
      </x:c>
      <x:c r="AU923" s="4"/>
      <x:c r="AV923" s="10"/>
      <x:c r="AW923" s="10"/>
      <x:c r="AX923" s="10"/>
      <x:c r="AY923" s="10"/>
      <x:c r="AZ923" s="10"/>
      <x:c r="BA923" s="10"/>
      <x:c r="BB923" s="4"/>
      <x:c r="BC923" s="4"/>
      <x:c r="BD923" s="10"/>
      <x:c r="BE923" s="10"/>
      <x:c r="BF923" s="4"/>
      <x:c r="BG923" s="4"/>
      <x:c r="BH923" s="4"/>
      <x:c r="BI923" s="4"/>
      <x:c r="BJ923" s="4"/>
      <x:c r="BK923" s="4"/>
      <x:c r="BL923" s="4"/>
      <x:c r="BM923" s="4"/>
      <x:c r="BN923" s="4"/>
      <x:c r="BO923" s="10"/>
      <x:c r="BP923" s="10"/>
      <x:c r="BQ923" s="4"/>
      <x:c r="BR923" s="10"/>
      <x:c r="BS923" s="4"/>
      <x:c r="BT923" s="10"/>
      <x:c r="BU923" s="4"/>
      <x:c r="BV923" s="10" t="n">
        <x:v>716</x:v>
      </x:c>
      <x:c r="BW923" s="10"/>
      <x:c r="BX923" s="10"/>
      <x:c r="BY923" s="4" t="str">
        <x:v>Sebastian Aho (D)</x:v>
      </x:c>
      <x:c r="BZ923" s="4"/>
      <x:c r="CA923" s="4"/>
      <x:c r="CB923" s="4"/>
    </x:row>
    <x:row r="924" ht="22" customHeight="1">
      <x:c r="A924" s="4" t="str">
        <x:v>Shakir Mukhamadullin</x:v>
      </x:c>
      <x:c r="B924" s="4" t="str">
        <x:v>shakirmukhamadullin</x:v>
      </x:c>
      <x:c r="C924" s="10" t="n">
        <x:v>1</x:v>
      </x:c>
      <x:c r="D924" s="10" t="n">
        <x:v>0</x:v>
      </x:c>
      <x:c r="E924" s="10" t="n">
        <x:v>1</x:v>
      </x:c>
      <x:c r="F924" s="4" t="n">
        <x:f>IF(COUNT(N924,Q924,T924,W924,Z924,AC924,AF924,AI924)=8,N924*Guide!$E$5+Q924*Guide!$E$6+T924*Guide!$E$7+W924*Guide!$E$8+Z924*Guide!$E$9+AC924*Guide!$E$10+AF924*Guide!$E$11+AI924*Guide!$E$12,"")</x:f>
        <x:v>171.75</x:v>
      </x:c>
      <x:c r="G924" s="4" t="str">
        <x:f>IF(COUNT(O924,R924,U924,X924,AA924,AD924,AG924,AJ924)=8,O924*Guide!$E$5+R924*Guide!$E$6+U924*Guide!$E$7+X924*Guide!$E$8+AA924*Guide!$E$9+AD924*Guide!$E$10+AG924*Guide!$E$11+AJ924*Guide!$E$12,"")</x:f>
      </x:c>
      <x:c r="H924" s="4" t="str">
        <x:f>IF(COUNT(G924,F924)=2,G924-F924,"")</x:f>
      </x:c>
      <x:c r="I924" s="4" t="n">
        <x:f>IF(AND(ISNUMBER(F924),K924&gt;0),F924/K924,"")</x:f>
        <x:v>2.525735294117647</x:v>
      </x:c>
      <x:c r="J924" s="4" t="str">
        <x:f>IF(AND(ISNUMBER(G924),L924&gt;0),G924/L924,"")</x:f>
      </x:c>
      <x:c r="K924" s="10" t="n">
        <x:v>68</x:v>
      </x:c>
      <x:c r="L924" s="10"/>
      <x:c r="M924" s="10" t="str">
        <x:f>IF(COUNT(L924,K924)=2,L924-K924,"")</x:f>
      </x:c>
      <x:c r="N924" s="10" t="n">
        <x:v>5</x:v>
      </x:c>
      <x:c r="O924" s="10"/>
      <x:c r="P924" s="10" t="str">
        <x:f>IF(COUNT(O924,N924)=2,O924-N924,"")</x:f>
      </x:c>
      <x:c r="Q924" s="10" t="n">
        <x:v>15</x:v>
      </x:c>
      <x:c r="R924" s="10"/>
      <x:c r="S924" s="10" t="str">
        <x:f>IF(COUNT(R924,Q924)=2,R924-Q924,"")</x:f>
      </x:c>
      <x:c r="T924" s="10" t="n">
        <x:v>-4</x:v>
      </x:c>
      <x:c r="U924" s="10"/>
      <x:c r="V924" s="10" t="str">
        <x:f>IF(COUNT(U924,T924)=2,U924-T924,"")</x:f>
      </x:c>
      <x:c r="W924" s="10" t="n">
        <x:v>3</x:v>
      </x:c>
      <x:c r="X924" s="10" t="str">
        <x:f>IF(COUNT(AV924,AW924)=2,AV924+AW924,"")</x:f>
      </x:c>
      <x:c r="Y924" s="10" t="str">
        <x:f>IF(COUNT(X924,W924)=2,X924-W924,"")</x:f>
      </x:c>
      <x:c r="Z924" s="10" t="n">
        <x:v>0</x:v>
      </x:c>
      <x:c r="AA924" s="10" t="str">
        <x:f>IF(COUNT(AX924,AY924)=2,AX924+AY924,"")</x:f>
      </x:c>
      <x:c r="AB924" s="10" t="str">
        <x:f>IF(COUNT(AA924,Z924)=2,AA924-Z924,"")</x:f>
      </x:c>
      <x:c r="AC924" s="10" t="n">
        <x:v>77</x:v>
      </x:c>
      <x:c r="AD924" s="10"/>
      <x:c r="AE924" s="10" t="str">
        <x:f>IF(COUNT(AD924,AC924)=2,AD924-AC924,"")</x:f>
      </x:c>
      <x:c r="AF924" s="10" t="n">
        <x:v>57</x:v>
      </x:c>
      <x:c r="AG924" s="10"/>
      <x:c r="AH924" s="10" t="str">
        <x:f>IF(COUNT(AG924,AF924)=2,AG924-AF924,"")</x:f>
      </x:c>
      <x:c r="AI924" s="10" t="n">
        <x:v>99</x:v>
      </x:c>
      <x:c r="AJ924" s="10"/>
      <x:c r="AK924" s="10" t="str">
        <x:f>IF(COUNT(AJ924,AI924)=2,AJ924-AI924,"")</x:f>
      </x:c>
      <x:c r="AL924" s="10" t="n">
        <x:v>24</x:v>
      </x:c>
      <x:c r="AM924" s="10"/>
      <x:c r="AN924" s="4" t="str">
        <x:v>D</x:v>
      </x:c>
      <x:c r="AO924" s="4"/>
      <x:c r="AP924" s="4" t="str">
        <x:v>SJ</x:v>
      </x:c>
      <x:c r="AQ924" s="4"/>
      <x:c r="AR924" s="4" t="n">
        <x:v>18.060000000000002</x:v>
      </x:c>
      <x:c r="AS924" s="4"/>
      <x:c r="AT924" s="4" t="n">
        <x:v>0.64</x:v>
      </x:c>
      <x:c r="AU924" s="4"/>
      <x:c r="AV924" s="10"/>
      <x:c r="AW924" s="10"/>
      <x:c r="AX924" s="10"/>
      <x:c r="AY924" s="10"/>
      <x:c r="AZ924" s="10" t="n">
        <x:v>614</x:v>
      </x:c>
      <x:c r="BA924" s="10" t="n">
        <x:v>753</x:v>
      </x:c>
      <x:c r="BB924" s="4" t="n">
        <x:v>44.9</x:v>
      </x:c>
      <x:c r="BC924" s="4" t="n">
        <x:v>-4.7</x:v>
      </x:c>
      <x:c r="BD924" s="10" t="n">
        <x:v>445</x:v>
      </x:c>
      <x:c r="BE924" s="10" t="n">
        <x:v>534</x:v>
      </x:c>
      <x:c r="BF924" s="4" t="n">
        <x:v>45.5</x:v>
      </x:c>
      <x:c r="BG924" s="4" t="n">
        <x:v>-3.4</x:v>
      </x:c>
      <x:c r="BH924" s="4" t="n">
        <x:v>9.9</x:v>
      </x:c>
      <x:c r="BI924" s="4" t="n">
        <x:v>90.1</x:v>
      </x:c>
      <x:c r="BJ924" s="4" t="n">
        <x:v>100</x:v>
      </x:c>
      <x:c r="BK924" s="4" t="n">
        <x:v>42.9</x:v>
      </x:c>
      <x:c r="BL924" s="4" t="n">
        <x:v>57.1</x:v>
      </x:c>
      <x:c r="BM924" s="4" t="n">
        <x:v>17.15</x:v>
      </x:c>
      <x:c r="BN924" s="4" t="n">
        <x:v>15.683333333333334</x:v>
      </x:c>
      <x:c r="BO924" s="10" t="n">
        <x:v>7</x:v>
      </x:c>
      <x:c r="BP924" s="10" t="n">
        <x:v>61</x:v>
      </x:c>
      <x:c r="BQ924" s="4" t="n">
        <x:v>-1.6</x:v>
      </x:c>
      <x:c r="BR924" s="10" t="n">
        <x:v>114</x:v>
      </x:c>
      <x:c r="BS924" s="4" t="n">
        <x:v>43</x:v>
      </x:c>
      <x:c r="BT924" s="10" t="n">
        <x:v>50</x:v>
      </x:c>
      <x:c r="BU924" s="4" t="str">
        <x:v>SJS</x:v>
      </x:c>
      <x:c r="BV924" s="10" t="n">
        <x:v>522</x:v>
      </x:c>
      <x:c r="BW924" s="10"/>
      <x:c r="BX924" s="10" t="n">
        <x:v>720</x:v>
      </x:c>
      <x:c r="BY924" s="4" t="str">
        <x:v>Shakir Mukhamadullin</x:v>
      </x:c>
      <x:c r="BZ924" s="4"/>
      <x:c r="CA924" s="4" t="str">
        <x:v>Shakir Mukhamadullin</x:v>
      </x:c>
      <x:c r="CB924" s="4" t="str">
        <x:v>mukhash01</x:v>
      </x:c>
    </x:row>
    <x:row r="925" ht="22" customHeight="1">
      <x:c r="A925" s="4" t="str">
        <x:v>Shane Lachance</x:v>
      </x:c>
      <x:c r="B925" s="4" t="str">
        <x:v>shanelachance</x:v>
      </x:c>
      <x:c r="C925" s="10" t="n">
        <x:v>0</x:v>
      </x:c>
      <x:c r="D925" s="10" t="n">
        <x:v>0</x:v>
      </x:c>
      <x:c r="E925" s="10" t="n">
        <x:v>1</x:v>
      </x:c>
      <x:c r="F925" s="4" t="str">
        <x:f>IF(COUNT(N925,Q925,T925,W925,Z925,AC925,AF925,AI925)=8,N925*Guide!$E$5+Q925*Guide!$E$6+T925*Guide!$E$7+W925*Guide!$E$8+Z925*Guide!$E$9+AC925*Guide!$E$10+AF925*Guide!$E$11+AI925*Guide!$E$12,"")</x:f>
      </x:c>
      <x:c r="G925" s="4" t="str">
        <x:f>IF(COUNT(O925,R925,U925,X925,AA925,AD925,AG925,AJ925)=8,O925*Guide!$E$5+R925*Guide!$E$6+U925*Guide!$E$7+X925*Guide!$E$8+AA925*Guide!$E$9+AD925*Guide!$E$10+AG925*Guide!$E$11+AJ925*Guide!$E$12,"")</x:f>
      </x:c>
      <x:c r="H925" s="4" t="str">
        <x:f>IF(COUNT(G925,F925)=2,G925-F925,"")</x:f>
      </x:c>
      <x:c r="I925" s="4" t="str">
        <x:f>IF(AND(ISNUMBER(F925),K925&gt;0),F925/K925,"")</x:f>
      </x:c>
      <x:c r="J925" s="4" t="str">
        <x:f>IF(AND(ISNUMBER(G925),L925&gt;0),G925/L925,"")</x:f>
      </x:c>
      <x:c r="K925" s="10"/>
      <x:c r="L925" s="10"/>
      <x:c r="M925" s="10" t="str">
        <x:f>IF(COUNT(L925,K925)=2,L925-K925,"")</x:f>
      </x:c>
      <x:c r="N925" s="10"/>
      <x:c r="O925" s="10"/>
      <x:c r="P925" s="10" t="str">
        <x:f>IF(COUNT(O925,N925)=2,O925-N925,"")</x:f>
      </x:c>
      <x:c r="Q925" s="10"/>
      <x:c r="R925" s="10"/>
      <x:c r="S925" s="10" t="str">
        <x:f>IF(COUNT(R925,Q925)=2,R925-Q925,"")</x:f>
      </x:c>
      <x:c r="T925" s="10"/>
      <x:c r="U925" s="10"/>
      <x:c r="V925" s="10" t="str">
        <x:f>IF(COUNT(U925,T925)=2,U925-T925,"")</x:f>
      </x:c>
      <x:c r="W925" s="10"/>
      <x:c r="X925" s="10" t="str">
        <x:f>IF(COUNT(AV925,AW925)=2,AV925+AW925,"")</x:f>
      </x:c>
      <x:c r="Y925" s="10" t="str">
        <x:f>IF(COUNT(X925,W925)=2,X925-W925,"")</x:f>
      </x:c>
      <x:c r="Z925" s="10"/>
      <x:c r="AA925" s="10" t="str">
        <x:f>IF(COUNT(AX925,AY925)=2,AX925+AY925,"")</x:f>
      </x:c>
      <x:c r="AB925" s="10" t="str">
        <x:f>IF(COUNT(AA925,Z925)=2,AA925-Z925,"")</x:f>
      </x:c>
      <x:c r="AC925" s="10"/>
      <x:c r="AD925" s="10"/>
      <x:c r="AE925" s="10" t="str">
        <x:f>IF(COUNT(AD925,AC925)=2,AD925-AC925,"")</x:f>
      </x:c>
      <x:c r="AF925" s="10"/>
      <x:c r="AG925" s="10"/>
      <x:c r="AH925" s="10" t="str">
        <x:f>IF(COUNT(AG925,AF925)=2,AG925-AF925,"")</x:f>
      </x:c>
      <x:c r="AI925" s="10"/>
      <x:c r="AJ925" s="10"/>
      <x:c r="AK925" s="10" t="str">
        <x:f>IF(COUNT(AJ925,AI925)=2,AJ925-AI925,"")</x:f>
      </x:c>
      <x:c r="AL925" s="10"/>
      <x:c r="AM925" s="10"/>
      <x:c r="AN925" s="4"/>
      <x:c r="AO925" s="4"/>
      <x:c r="AP925" s="4"/>
      <x:c r="AQ925" s="4"/>
      <x:c r="AR925" s="4"/>
      <x:c r="AS925" s="4"/>
      <x:c r="AT925" s="4"/>
      <x:c r="AU925" s="4"/>
      <x:c r="AV925" s="10"/>
      <x:c r="AW925" s="10"/>
      <x:c r="AX925" s="10"/>
      <x:c r="AY925" s="10"/>
      <x:c r="AZ925" s="10" t="n">
        <x:v>4</x:v>
      </x:c>
      <x:c r="BA925" s="10" t="n">
        <x:v>11</x:v>
      </x:c>
      <x:c r="BB925" s="4" t="n">
        <x:v>26.7</x:v>
      </x:c>
      <x:c r="BC925" s="4" t="n">
        <x:v>-20.4</x:v>
      </x:c>
      <x:c r="BD925" s="10" t="n">
        <x:v>4</x:v>
      </x:c>
      <x:c r="BE925" s="10" t="n">
        <x:v>6</x:v>
      </x:c>
      <x:c r="BF925" s="4" t="n">
        <x:v>40</x:v>
      </x:c>
      <x:c r="BG925" s="4" t="n">
        <x:v>-7.9</x:v>
      </x:c>
      <x:c r="BH925" s="4" t="n">
        <x:v>0</x:v>
      </x:c>
      <x:c r="BI925" s="4" t="n">
        <x:v>100</x:v>
      </x:c>
      <x:c r="BJ925" s="4" t="n">
        <x:v>100</x:v>
      </x:c>
      <x:c r="BK925" s="4" t="n">
        <x:v>75</x:v>
      </x:c>
      <x:c r="BL925" s="4" t="n">
        <x:v>25</x:v>
      </x:c>
      <x:c r="BM925" s="4" t="n">
        <x:v>7.416666666666667</x:v>
      </x:c>
      <x:c r="BN925" s="4" t="n">
        <x:v>7.416666666666667</x:v>
      </x:c>
      <x:c r="BO925" s="10" t="n">
        <x:v>0</x:v>
      </x:c>
      <x:c r="BP925" s="10" t="n">
        <x:v>0</x:v>
      </x:c>
      <x:c r="BQ925" s="4" t="n">
        <x:v>-0.2</x:v>
      </x:c>
      <x:c r="BR925" s="10" t="n">
        <x:v>0</x:v>
      </x:c>
      <x:c r="BS925" s="4"/>
      <x:c r="BT925" s="10" t="n">
        <x:v>1</x:v>
      </x:c>
      <x:c r="BU925" s="4" t="str">
        <x:v>NJD</x:v>
      </x:c>
      <x:c r="BV925" s="10"/>
      <x:c r="BW925" s="10"/>
      <x:c r="BX925" s="10" t="n">
        <x:v>561</x:v>
      </x:c>
      <x:c r="BY925" s="4"/>
      <x:c r="BZ925" s="4"/>
      <x:c r="CA925" s="4" t="str">
        <x:v>Shane Lachance</x:v>
      </x:c>
      <x:c r="CB925" s="4" t="str">
        <x:v>lachash01</x:v>
      </x:c>
    </x:row>
    <x:row r="926" ht="22" customHeight="1">
      <x:c r="A926" s="4" t="str">
        <x:v>Sheldon Dries</x:v>
      </x:c>
      <x:c r="B926" s="4" t="str">
        <x:v>sheldondries</x:v>
      </x:c>
      <x:c r="C926" s="10" t="n">
        <x:v>0</x:v>
      </x:c>
      <x:c r="D926" s="10" t="n">
        <x:v>0</x:v>
      </x:c>
      <x:c r="E926" s="10" t="n">
        <x:v>1</x:v>
      </x:c>
      <x:c r="F926" s="4" t="str">
        <x:f>IF(COUNT(N926,Q926,T926,W926,Z926,AC926,AF926,AI926)=8,N926*Guide!$E$5+Q926*Guide!$E$6+T926*Guide!$E$7+W926*Guide!$E$8+Z926*Guide!$E$9+AC926*Guide!$E$10+AF926*Guide!$E$11+AI926*Guide!$E$12,"")</x:f>
      </x:c>
      <x:c r="G926" s="4" t="str">
        <x:f>IF(COUNT(O926,R926,U926,X926,AA926,AD926,AG926,AJ926)=8,O926*Guide!$E$5+R926*Guide!$E$6+U926*Guide!$E$7+X926*Guide!$E$8+AA926*Guide!$E$9+AD926*Guide!$E$10+AG926*Guide!$E$11+AJ926*Guide!$E$12,"")</x:f>
      </x:c>
      <x:c r="H926" s="4" t="str">
        <x:f>IF(COUNT(G926,F926)=2,G926-F926,"")</x:f>
      </x:c>
      <x:c r="I926" s="4" t="str">
        <x:f>IF(AND(ISNUMBER(F926),K926&gt;0),F926/K926,"")</x:f>
      </x:c>
      <x:c r="J926" s="4" t="str">
        <x:f>IF(AND(ISNUMBER(G926),L926&gt;0),G926/L926,"")</x:f>
      </x:c>
      <x:c r="K926" s="10"/>
      <x:c r="L926" s="10"/>
      <x:c r="M926" s="10" t="str">
        <x:f>IF(COUNT(L926,K926)=2,L926-K926,"")</x:f>
      </x:c>
      <x:c r="N926" s="10"/>
      <x:c r="O926" s="10"/>
      <x:c r="P926" s="10" t="str">
        <x:f>IF(COUNT(O926,N926)=2,O926-N926,"")</x:f>
      </x:c>
      <x:c r="Q926" s="10"/>
      <x:c r="R926" s="10"/>
      <x:c r="S926" s="10" t="str">
        <x:f>IF(COUNT(R926,Q926)=2,R926-Q926,"")</x:f>
      </x:c>
      <x:c r="T926" s="10"/>
      <x:c r="U926" s="10"/>
      <x:c r="V926" s="10" t="str">
        <x:f>IF(COUNT(U926,T926)=2,U926-T926,"")</x:f>
      </x:c>
      <x:c r="W926" s="10"/>
      <x:c r="X926" s="10" t="str">
        <x:f>IF(COUNT(AV926,AW926)=2,AV926+AW926,"")</x:f>
      </x:c>
      <x:c r="Y926" s="10" t="str">
        <x:f>IF(COUNT(X926,W926)=2,X926-W926,"")</x:f>
      </x:c>
      <x:c r="Z926" s="10"/>
      <x:c r="AA926" s="10" t="str">
        <x:f>IF(COUNT(AX926,AY926)=2,AX926+AY926,"")</x:f>
      </x:c>
      <x:c r="AB926" s="10" t="str">
        <x:f>IF(COUNT(AA926,Z926)=2,AA926-Z926,"")</x:f>
      </x:c>
      <x:c r="AC926" s="10"/>
      <x:c r="AD926" s="10"/>
      <x:c r="AE926" s="10" t="str">
        <x:f>IF(COUNT(AD926,AC926)=2,AD926-AC926,"")</x:f>
      </x:c>
      <x:c r="AF926" s="10"/>
      <x:c r="AG926" s="10"/>
      <x:c r="AH926" s="10" t="str">
        <x:f>IF(COUNT(AG926,AF926)=2,AG926-AF926,"")</x:f>
      </x:c>
      <x:c r="AI926" s="10"/>
      <x:c r="AJ926" s="10"/>
      <x:c r="AK926" s="10" t="str">
        <x:f>IF(COUNT(AJ926,AI926)=2,AJ926-AI926,"")</x:f>
      </x:c>
      <x:c r="AL926" s="10"/>
      <x:c r="AM926" s="10"/>
      <x:c r="AN926" s="4"/>
      <x:c r="AO926" s="4"/>
      <x:c r="AP926" s="4"/>
      <x:c r="AQ926" s="4"/>
      <x:c r="AR926" s="4"/>
      <x:c r="AS926" s="4"/>
      <x:c r="AT926" s="4"/>
      <x:c r="AU926" s="4"/>
      <x:c r="AV926" s="10"/>
      <x:c r="AW926" s="10"/>
      <x:c r="AX926" s="10"/>
      <x:c r="AY926" s="10"/>
      <x:c r="AZ926" s="10" t="n">
        <x:v>15</x:v>
      </x:c>
      <x:c r="BA926" s="10" t="n">
        <x:v>38</x:v>
      </x:c>
      <x:c r="BB926" s="4" t="n">
        <x:v>28.3</x:v>
      </x:c>
      <x:c r="BC926" s="4" t="n">
        <x:v>-22.5</x:v>
      </x:c>
      <x:c r="BD926" s="10" t="n">
        <x:v>12</x:v>
      </x:c>
      <x:c r="BE926" s="10" t="n">
        <x:v>27</x:v>
      </x:c>
      <x:c r="BF926" s="4" t="n">
        <x:v>30.8</x:v>
      </x:c>
      <x:c r="BG926" s="4" t="n">
        <x:v>-22.2</x:v>
      </x:c>
      <x:c r="BH926" s="4" t="n">
        <x:v>0</x:v>
      </x:c>
      <x:c r="BI926" s="4" t="n">
        <x:v>100</x:v>
      </x:c>
      <x:c r="BJ926" s="4" t="n">
        <x:v>100</x:v>
      </x:c>
      <x:c r="BK926" s="4" t="n">
        <x:v>38.5</x:v>
      </x:c>
      <x:c r="BL926" s="4" t="n">
        <x:v>61.5</x:v>
      </x:c>
      <x:c r="BM926" s="4" t="n">
        <x:v>6.966666666666667</x:v>
      </x:c>
      <x:c r="BN926" s="4" t="n">
        <x:v>6.25</x:v>
      </x:c>
      <x:c r="BO926" s="10" t="n">
        <x:v>3</x:v>
      </x:c>
      <x:c r="BP926" s="10" t="n">
        <x:v>1</x:v>
      </x:c>
      <x:c r="BQ926" s="4" t="n">
        <x:v>-0.4</x:v>
      </x:c>
      <x:c r="BR926" s="10" t="n">
        <x:v>4</x:v>
      </x:c>
      <x:c r="BS926" s="4" t="n">
        <x:v>50</x:v>
      </x:c>
      <x:c r="BT926" s="10" t="n">
        <x:v>5</x:v>
      </x:c>
      <x:c r="BU926" s="4" t="str">
        <x:v>DET</x:v>
      </x:c>
      <x:c r="BV926" s="10"/>
      <x:c r="BW926" s="10"/>
      <x:c r="BX926" s="10" t="n">
        <x:v>236</x:v>
      </x:c>
      <x:c r="BY926" s="4"/>
      <x:c r="BZ926" s="4"/>
      <x:c r="CA926" s="4" t="str">
        <x:v>Sheldon Dries</x:v>
      </x:c>
      <x:c r="CB926" s="4" t="str">
        <x:v>driessh01</x:v>
      </x:c>
    </x:row>
    <x:row r="927" ht="22" customHeight="1">
      <x:c r="A927" s="4" t="str">
        <x:v>Simon Benoit</x:v>
      </x:c>
      <x:c r="B927" s="4" t="str">
        <x:v>simonbenoit</x:v>
      </x:c>
      <x:c r="C927" s="10" t="n">
        <x:v>1</x:v>
      </x:c>
      <x:c r="D927" s="10" t="n">
        <x:v>0</x:v>
      </x:c>
      <x:c r="E927" s="10" t="n">
        <x:v>1</x:v>
      </x:c>
      <x:c r="F927" s="4" t="n">
        <x:f>IF(COUNT(N927,Q927,T927,W927,Z927,AC927,AF927,AI927)=8,N927*Guide!$E$5+Q927*Guide!$E$6+T927*Guide!$E$7+W927*Guide!$E$8+Z927*Guide!$E$9+AC927*Guide!$E$10+AF927*Guide!$E$11+AI927*Guide!$E$12,"")</x:f>
        <x:v>168.5</x:v>
      </x:c>
      <x:c r="G927" s="4" t="str">
        <x:f>IF(COUNT(O927,R927,U927,X927,AA927,AD927,AG927,AJ927)=8,O927*Guide!$E$5+R927*Guide!$E$6+U927*Guide!$E$7+X927*Guide!$E$8+AA927*Guide!$E$9+AD927*Guide!$E$10+AG927*Guide!$E$11+AJ927*Guide!$E$12,"")</x:f>
      </x:c>
      <x:c r="H927" s="4" t="str">
        <x:f>IF(COUNT(G927,F927)=2,G927-F927,"")</x:f>
      </x:c>
      <x:c r="I927" s="4" t="n">
        <x:f>IF(AND(ISNUMBER(F927),K927&gt;0),F927/K927,"")</x:f>
        <x:v>2.188311688311688</x:v>
      </x:c>
      <x:c r="J927" s="4" t="str">
        <x:f>IF(AND(ISNUMBER(G927),L927&gt;0),G927/L927,"")</x:f>
      </x:c>
      <x:c r="K927" s="10" t="n">
        <x:v>77</x:v>
      </x:c>
      <x:c r="L927" s="10"/>
      <x:c r="M927" s="10" t="str">
        <x:f>IF(COUNT(L927,K927)=2,L927-K927,"")</x:f>
      </x:c>
      <x:c r="N927" s="10" t="n">
        <x:v>2</x:v>
      </x:c>
      <x:c r="O927" s="10"/>
      <x:c r="P927" s="10" t="str">
        <x:f>IF(COUNT(O927,N927)=2,O927-N927,"")</x:f>
      </x:c>
      <x:c r="Q927" s="10" t="n">
        <x:v>8</x:v>
      </x:c>
      <x:c r="R927" s="10"/>
      <x:c r="S927" s="10" t="str">
        <x:f>IF(COUNT(R927,Q927)=2,R927-Q927,"")</x:f>
      </x:c>
      <x:c r="T927" s="10" t="n">
        <x:v>-5</x:v>
      </x:c>
      <x:c r="U927" s="10"/>
      <x:c r="V927" s="10" t="str">
        <x:f>IF(COUNT(U927,T927)=2,U927-T927,"")</x:f>
      </x:c>
      <x:c r="W927" s="10" t="n">
        <x:v>0</x:v>
      </x:c>
      <x:c r="X927" s="10" t="str">
        <x:f>IF(COUNT(AV927,AW927)=2,AV927+AW927,"")</x:f>
      </x:c>
      <x:c r="Y927" s="10" t="str">
        <x:f>IF(COUNT(X927,W927)=2,X927-W927,"")</x:f>
      </x:c>
      <x:c r="Z927" s="10" t="n">
        <x:v>0</x:v>
      </x:c>
      <x:c r="AA927" s="10" t="str">
        <x:f>IF(COUNT(AX927,AY927)=2,AX927+AY927,"")</x:f>
      </x:c>
      <x:c r="AB927" s="10" t="str">
        <x:f>IF(COUNT(AA927,Z927)=2,AA927-Z927,"")</x:f>
      </x:c>
      <x:c r="AC927" s="10" t="n">
        <x:v>51</x:v>
      </x:c>
      <x:c r="AD927" s="10"/>
      <x:c r="AE927" s="10" t="str">
        <x:f>IF(COUNT(AD927,AC927)=2,AD927-AC927,"")</x:f>
      </x:c>
      <x:c r="AF927" s="10" t="n">
        <x:v>194</x:v>
      </x:c>
      <x:c r="AG927" s="10"/>
      <x:c r="AH927" s="10" t="str">
        <x:f>IF(COUNT(AG927,AF927)=2,AG927-AF927,"")</x:f>
      </x:c>
      <x:c r="AI927" s="10" t="n">
        <x:v>107</x:v>
      </x:c>
      <x:c r="AJ927" s="10"/>
      <x:c r="AK927" s="10" t="str">
        <x:f>IF(COUNT(AJ927,AI927)=2,AJ927-AI927,"")</x:f>
      </x:c>
      <x:c r="AL927" s="10" t="n">
        <x:v>27</x:v>
      </x:c>
      <x:c r="AM927" s="10"/>
      <x:c r="AN927" s="4" t="str">
        <x:v>D</x:v>
      </x:c>
      <x:c r="AO927" s="4"/>
      <x:c r="AP927" s="4" t="str">
        <x:v>TOR</x:v>
      </x:c>
      <x:c r="AQ927" s="4"/>
      <x:c r="AR927" s="4" t="n">
        <x:v>16.69</x:v>
      </x:c>
      <x:c r="AS927" s="4"/>
      <x:c r="AT927" s="4" t="n">
        <x:v>0.04</x:v>
      </x:c>
      <x:c r="AU927" s="4"/>
      <x:c r="AV927" s="10"/>
      <x:c r="AW927" s="10"/>
      <x:c r="AX927" s="10"/>
      <x:c r="AY927" s="10"/>
      <x:c r="AZ927" s="10" t="n">
        <x:v>828</x:v>
      </x:c>
      <x:c r="BA927" s="10" t="n">
        <x:v>1264</x:v>
      </x:c>
      <x:c r="BB927" s="4" t="n">
        <x:v>39.6</x:v>
      </x:c>
      <x:c r="BC927" s="4" t="n">
        <x:v>-6.8</x:v>
      </x:c>
      <x:c r="BD927" s="10" t="n">
        <x:v>612</x:v>
      </x:c>
      <x:c r="BE927" s="10" t="n">
        <x:v>901</x:v>
      </x:c>
      <x:c r="BF927" s="4" t="n">
        <x:v>40.4</x:v>
      </x:c>
      <x:c r="BG927" s="4" t="n">
        <x:v>-6.2</x:v>
      </x:c>
      <x:c r="BH927" s="4" t="n">
        <x:v>8.8</x:v>
      </x:c>
      <x:c r="BI927" s="4" t="n">
        <x:v>90.3</x:v>
      </x:c>
      <x:c r="BJ927" s="4" t="n">
        <x:v>99</x:v>
      </x:c>
      <x:c r="BK927" s="4" t="n">
        <x:v>28.5</x:v>
      </x:c>
      <x:c r="BL927" s="4" t="n">
        <x:v>71.5</x:v>
      </x:c>
      <x:c r="BM927" s="4" t="n">
        <x:v>17.3</x:v>
      </x:c>
      <x:c r="BN927" s="4" t="n">
        <x:v>15.4</x:v>
      </x:c>
      <x:c r="BO927" s="10" t="n">
        <x:v>12</x:v>
      </x:c>
      <x:c r="BP927" s="10" t="n">
        <x:v>68</x:v>
      </x:c>
      <x:c r="BQ927" s="4" t="n">
        <x:v>-22.8</x:v>
      </x:c>
      <x:c r="BR927" s="10" t="n">
        <x:v>146</x:v>
      </x:c>
      <x:c r="BS927" s="4" t="n">
        <x:v>41.1</x:v>
      </x:c>
      <x:c r="BT927" s="10" t="n">
        <x:v>73</x:v>
      </x:c>
      <x:c r="BU927" s="4" t="str">
        <x:v>TOR</x:v>
      </x:c>
      <x:c r="BV927" s="10" t="n">
        <x:v>724</x:v>
      </x:c>
      <x:c r="BW927" s="10"/>
      <x:c r="BX927" s="10" t="n">
        <x:v>49</x:v>
      </x:c>
      <x:c r="BY927" s="4" t="str">
        <x:v>Simon Benoit</x:v>
      </x:c>
      <x:c r="BZ927" s="4"/>
      <x:c r="CA927" s="4" t="str">
        <x:v>Simon Benoit</x:v>
      </x:c>
      <x:c r="CB927" s="4" t="str">
        <x:v>benoisi01</x:v>
      </x:c>
    </x:row>
    <x:row r="928" ht="22" customHeight="1">
      <x:c r="A928" s="4" t="str">
        <x:v>Simon Lundmark</x:v>
      </x:c>
      <x:c r="B928" s="4" t="str">
        <x:v>simonlundmark</x:v>
      </x:c>
      <x:c r="C928" s="10" t="n">
        <x:v>0</x:v>
      </x:c>
      <x:c r="D928" s="10" t="n">
        <x:v>0</x:v>
      </x:c>
      <x:c r="E928" s="10" t="n">
        <x:v>1</x:v>
      </x:c>
      <x:c r="F928" s="4" t="str">
        <x:f>IF(COUNT(N928,Q928,T928,W928,Z928,AC928,AF928,AI928)=8,N928*Guide!$E$5+Q928*Guide!$E$6+T928*Guide!$E$7+W928*Guide!$E$8+Z928*Guide!$E$9+AC928*Guide!$E$10+AF928*Guide!$E$11+AI928*Guide!$E$12,"")</x:f>
      </x:c>
      <x:c r="G928" s="4" t="str">
        <x:f>IF(COUNT(O928,R928,U928,X928,AA928,AD928,AG928,AJ928)=8,O928*Guide!$E$5+R928*Guide!$E$6+U928*Guide!$E$7+X928*Guide!$E$8+AA928*Guide!$E$9+AD928*Guide!$E$10+AG928*Guide!$E$11+AJ928*Guide!$E$12,"")</x:f>
      </x:c>
      <x:c r="H928" s="4" t="str">
        <x:f>IF(COUNT(G928,F928)=2,G928-F928,"")</x:f>
      </x:c>
      <x:c r="I928" s="4" t="str">
        <x:f>IF(AND(ISNUMBER(F928),K928&gt;0),F928/K928,"")</x:f>
      </x:c>
      <x:c r="J928" s="4" t="str">
        <x:f>IF(AND(ISNUMBER(G928),L928&gt;0),G928/L928,"")</x:f>
      </x:c>
      <x:c r="K928" s="10"/>
      <x:c r="L928" s="10"/>
      <x:c r="M928" s="10" t="str">
        <x:f>IF(COUNT(L928,K928)=2,L928-K928,"")</x:f>
      </x:c>
      <x:c r="N928" s="10"/>
      <x:c r="O928" s="10"/>
      <x:c r="P928" s="10" t="str">
        <x:f>IF(COUNT(O928,N928)=2,O928-N928,"")</x:f>
      </x:c>
      <x:c r="Q928" s="10"/>
      <x:c r="R928" s="10"/>
      <x:c r="S928" s="10" t="str">
        <x:f>IF(COUNT(R928,Q928)=2,R928-Q928,"")</x:f>
      </x:c>
      <x:c r="T928" s="10"/>
      <x:c r="U928" s="10"/>
      <x:c r="V928" s="10" t="str">
        <x:f>IF(COUNT(U928,T928)=2,U928-T928,"")</x:f>
      </x:c>
      <x:c r="W928" s="10"/>
      <x:c r="X928" s="10" t="str">
        <x:f>IF(COUNT(AV928,AW928)=2,AV928+AW928,"")</x:f>
      </x:c>
      <x:c r="Y928" s="10" t="str">
        <x:f>IF(COUNT(X928,W928)=2,X928-W928,"")</x:f>
      </x:c>
      <x:c r="Z928" s="10"/>
      <x:c r="AA928" s="10" t="str">
        <x:f>IF(COUNT(AX928,AY928)=2,AX928+AY928,"")</x:f>
      </x:c>
      <x:c r="AB928" s="10" t="str">
        <x:f>IF(COUNT(AA928,Z928)=2,AA928-Z928,"")</x:f>
      </x:c>
      <x:c r="AC928" s="10"/>
      <x:c r="AD928" s="10"/>
      <x:c r="AE928" s="10" t="str">
        <x:f>IF(COUNT(AD928,AC928)=2,AD928-AC928,"")</x:f>
      </x:c>
      <x:c r="AF928" s="10"/>
      <x:c r="AG928" s="10"/>
      <x:c r="AH928" s="10" t="str">
        <x:f>IF(COUNT(AG928,AF928)=2,AG928-AF928,"")</x:f>
      </x:c>
      <x:c r="AI928" s="10"/>
      <x:c r="AJ928" s="10"/>
      <x:c r="AK928" s="10" t="str">
        <x:f>IF(COUNT(AJ928,AI928)=2,AJ928-AI928,"")</x:f>
      </x:c>
      <x:c r="AL928" s="10"/>
      <x:c r="AM928" s="10"/>
      <x:c r="AN928" s="4"/>
      <x:c r="AO928" s="4"/>
      <x:c r="AP928" s="4"/>
      <x:c r="AQ928" s="4"/>
      <x:c r="AR928" s="4"/>
      <x:c r="AS928" s="4"/>
      <x:c r="AT928" s="4"/>
      <x:c r="AU928" s="4"/>
      <x:c r="AV928" s="10"/>
      <x:c r="AW928" s="10"/>
      <x:c r="AX928" s="10"/>
      <x:c r="AY928" s="10"/>
      <x:c r="AZ928" s="10" t="n">
        <x:v>12</x:v>
      </x:c>
      <x:c r="BA928" s="10" t="n">
        <x:v>16</x:v>
      </x:c>
      <x:c r="BB928" s="4" t="n">
        <x:v>42.9</x:v>
      </x:c>
      <x:c r="BC928" s="4" t="n">
        <x:v>-15.2</x:v>
      </x:c>
      <x:c r="BD928" s="10" t="n">
        <x:v>11</x:v>
      </x:c>
      <x:c r="BE928" s="10" t="n">
        <x:v>12</x:v>
      </x:c>
      <x:c r="BF928" s="4" t="n">
        <x:v>47.8</x:v>
      </x:c>
      <x:c r="BG928" s="4" t="n">
        <x:v>-4.6</x:v>
      </x:c>
      <x:c r="BH928" s="4" t="n">
        <x:v>14.3</x:v>
      </x:c>
      <x:c r="BI928" s="4" t="n">
        <x:v>100</x:v>
      </x:c>
      <x:c r="BJ928" s="4" t="n">
        <x:v>114.3</x:v>
      </x:c>
      <x:c r="BK928" s="4" t="n">
        <x:v>60</x:v>
      </x:c>
      <x:c r="BL928" s="4" t="n">
        <x:v>40</x:v>
      </x:c>
      <x:c r="BM928" s="4" t="n">
        <x:v>16.75</x:v>
      </x:c>
      <x:c r="BN928" s="4" t="n">
        <x:v>16.75</x:v>
      </x:c>
      <x:c r="BO928" s="10" t="n">
        <x:v>0</x:v>
      </x:c>
      <x:c r="BP928" s="10" t="n">
        <x:v>0</x:v>
      </x:c>
      <x:c r="BQ928" s="4" t="n">
        <x:v>-0.5</x:v>
      </x:c>
      <x:c r="BR928" s="10" t="n">
        <x:v>1</x:v>
      </x:c>
      <x:c r="BS928" s="4" t="n">
        <x:v>100</x:v>
      </x:c>
      <x:c r="BT928" s="10" t="n">
        <x:v>1</x:v>
      </x:c>
      <x:c r="BU928" s="4" t="str">
        <x:v>TBL</x:v>
      </x:c>
      <x:c r="BV928" s="10"/>
      <x:c r="BW928" s="10"/>
      <x:c r="BX928" s="10" t="n">
        <x:v>614</x:v>
      </x:c>
      <x:c r="BY928" s="4"/>
      <x:c r="BZ928" s="4"/>
      <x:c r="CA928" s="4" t="str">
        <x:v>Simon Lundmark</x:v>
      </x:c>
      <x:c r="CB928" s="4" t="str">
        <x:v>lundmsi01</x:v>
      </x:c>
    </x:row>
    <x:row r="929" ht="22" customHeight="1">
      <x:c r="A929" s="4" t="str">
        <x:v>Skyler Brind'Amour</x:v>
      </x:c>
      <x:c r="B929" s="4" t="str">
        <x:v>skylerbrindamour</x:v>
      </x:c>
      <x:c r="C929" s="10" t="n">
        <x:v>0</x:v>
      </x:c>
      <x:c r="D929" s="10" t="n">
        <x:v>0</x:v>
      </x:c>
      <x:c r="E929" s="10" t="n">
        <x:v>1</x:v>
      </x:c>
      <x:c r="F929" s="4" t="str">
        <x:f>IF(COUNT(N929,Q929,T929,W929,Z929,AC929,AF929,AI929)=8,N929*Guide!$E$5+Q929*Guide!$E$6+T929*Guide!$E$7+W929*Guide!$E$8+Z929*Guide!$E$9+AC929*Guide!$E$10+AF929*Guide!$E$11+AI929*Guide!$E$12,"")</x:f>
      </x:c>
      <x:c r="G929" s="4" t="str">
        <x:f>IF(COUNT(O929,R929,U929,X929,AA929,AD929,AG929,AJ929)=8,O929*Guide!$E$5+R929*Guide!$E$6+U929*Guide!$E$7+X929*Guide!$E$8+AA929*Guide!$E$9+AD929*Guide!$E$10+AG929*Guide!$E$11+AJ929*Guide!$E$12,"")</x:f>
      </x:c>
      <x:c r="H929" s="4" t="str">
        <x:f>IF(COUNT(G929,F929)=2,G929-F929,"")</x:f>
      </x:c>
      <x:c r="I929" s="4" t="str">
        <x:f>IF(AND(ISNUMBER(F929),K929&gt;0),F929/K929,"")</x:f>
      </x:c>
      <x:c r="J929" s="4" t="str">
        <x:f>IF(AND(ISNUMBER(G929),L929&gt;0),G929/L929,"")</x:f>
      </x:c>
      <x:c r="K929" s="10"/>
      <x:c r="L929" s="10"/>
      <x:c r="M929" s="10" t="str">
        <x:f>IF(COUNT(L929,K929)=2,L929-K929,"")</x:f>
      </x:c>
      <x:c r="N929" s="10"/>
      <x:c r="O929" s="10"/>
      <x:c r="P929" s="10" t="str">
        <x:f>IF(COUNT(O929,N929)=2,O929-N929,"")</x:f>
      </x:c>
      <x:c r="Q929" s="10"/>
      <x:c r="R929" s="10"/>
      <x:c r="S929" s="10" t="str">
        <x:f>IF(COUNT(R929,Q929)=2,R929-Q929,"")</x:f>
      </x:c>
      <x:c r="T929" s="10"/>
      <x:c r="U929" s="10"/>
      <x:c r="V929" s="10" t="str">
        <x:f>IF(COUNT(U929,T929)=2,U929-T929,"")</x:f>
      </x:c>
      <x:c r="W929" s="10"/>
      <x:c r="X929" s="10" t="str">
        <x:f>IF(COUNT(AV929,AW929)=2,AV929+AW929,"")</x:f>
      </x:c>
      <x:c r="Y929" s="10" t="str">
        <x:f>IF(COUNT(X929,W929)=2,X929-W929,"")</x:f>
      </x:c>
      <x:c r="Z929" s="10"/>
      <x:c r="AA929" s="10" t="str">
        <x:f>IF(COUNT(AX929,AY929)=2,AX929+AY929,"")</x:f>
      </x:c>
      <x:c r="AB929" s="10" t="str">
        <x:f>IF(COUNT(AA929,Z929)=2,AA929-Z929,"")</x:f>
      </x:c>
      <x:c r="AC929" s="10"/>
      <x:c r="AD929" s="10"/>
      <x:c r="AE929" s="10" t="str">
        <x:f>IF(COUNT(AD929,AC929)=2,AD929-AC929,"")</x:f>
      </x:c>
      <x:c r="AF929" s="10"/>
      <x:c r="AG929" s="10"/>
      <x:c r="AH929" s="10" t="str">
        <x:f>IF(COUNT(AG929,AF929)=2,AG929-AF929,"")</x:f>
      </x:c>
      <x:c r="AI929" s="10"/>
      <x:c r="AJ929" s="10"/>
      <x:c r="AK929" s="10" t="str">
        <x:f>IF(COUNT(AJ929,AI929)=2,AJ929-AI929,"")</x:f>
      </x:c>
      <x:c r="AL929" s="10"/>
      <x:c r="AM929" s="10"/>
      <x:c r="AN929" s="4"/>
      <x:c r="AO929" s="4"/>
      <x:c r="AP929" s="4"/>
      <x:c r="AQ929" s="4"/>
      <x:c r="AR929" s="4"/>
      <x:c r="AS929" s="4"/>
      <x:c r="AT929" s="4"/>
      <x:c r="AU929" s="4"/>
      <x:c r="AV929" s="10"/>
      <x:c r="AW929" s="10"/>
      <x:c r="AX929" s="10"/>
      <x:c r="AY929" s="10"/>
      <x:c r="AZ929" s="10" t="n">
        <x:v>49</x:v>
      </x:c>
      <x:c r="BA929" s="10" t="n">
        <x:v>43</x:v>
      </x:c>
      <x:c r="BB929" s="4" t="n">
        <x:v>53.3</x:v>
      </x:c>
      <x:c r="BC929" s="4" t="n">
        <x:v>0.5</x:v>
      </x:c>
      <x:c r="BD929" s="10" t="n">
        <x:v>27</x:v>
      </x:c>
      <x:c r="BE929" s="10" t="n">
        <x:v>36</x:v>
      </x:c>
      <x:c r="BF929" s="4" t="n">
        <x:v>42.9</x:v>
      </x:c>
      <x:c r="BG929" s="4" t="n">
        <x:v>-13.2</x:v>
      </x:c>
      <x:c r="BH929" s="4" t="n">
        <x:v>0</x:v>
      </x:c>
      <x:c r="BI929" s="4" t="n">
        <x:v>91.3</x:v>
      </x:c>
      <x:c r="BJ929" s="4" t="n">
        <x:v>91.3</x:v>
      </x:c>
      <x:c r="BK929" s="4" t="n">
        <x:v>66.7</x:v>
      </x:c>
      <x:c r="BL929" s="4" t="n">
        <x:v>33.3</x:v>
      </x:c>
      <x:c r="BM929" s="4" t="n">
        <x:v>15.016666666666667</x:v>
      </x:c>
      <x:c r="BN929" s="4" t="n">
        <x:v>12.8</x:v>
      </x:c>
      <x:c r="BO929" s="10" t="n">
        <x:v>0</x:v>
      </x:c>
      <x:c r="BP929" s="10" t="n">
        <x:v>2</x:v>
      </x:c>
      <x:c r="BQ929" s="4" t="n">
        <x:v>-1.9</x:v>
      </x:c>
      <x:c r="BR929" s="10" t="n">
        <x:v>10</x:v>
      </x:c>
      <x:c r="BS929" s="4" t="n">
        <x:v>20</x:v>
      </x:c>
      <x:c r="BT929" s="10" t="n">
        <x:v>4</x:v>
      </x:c>
      <x:c r="BU929" s="4" t="str">
        <x:v>CAR</x:v>
      </x:c>
      <x:c r="BV929" s="10"/>
      <x:c r="BW929" s="10"/>
      <x:c r="BX929" s="10" t="n">
        <x:v>91</x:v>
      </x:c>
      <x:c r="BY929" s="4"/>
      <x:c r="BZ929" s="4"/>
      <x:c r="CA929" s="4" t="str">
        <x:v>Skyler Brind'Amour</x:v>
      </x:c>
      <x:c r="CB929" s="4" t="str">
        <x:v>brindsk01</x:v>
      </x:c>
    </x:row>
    <x:row r="930" ht="22" customHeight="1">
      <x:c r="A930" s="4" t="str">
        <x:v>Sonny Milano</x:v>
      </x:c>
      <x:c r="B930" s="4" t="str">
        <x:v>sonnymilano</x:v>
      </x:c>
      <x:c r="C930" s="10" t="n">
        <x:v>1</x:v>
      </x:c>
      <x:c r="D930" s="10" t="n">
        <x:v>0</x:v>
      </x:c>
      <x:c r="E930" s="10" t="n">
        <x:v>1</x:v>
      </x:c>
      <x:c r="F930" s="4" t="n">
        <x:f>IF(COUNT(N930,Q930,T930,W930,Z930,AC930,AF930,AI930)=8,N930*Guide!$E$5+Q930*Guide!$E$6+T930*Guide!$E$7+W930*Guide!$E$8+Z930*Guide!$E$9+AC930*Guide!$E$10+AF930*Guide!$E$11+AI930*Guide!$E$12,"")</x:f>
        <x:v>172.25</x:v>
      </x:c>
      <x:c r="G930" s="4" t="str">
        <x:f>IF(COUNT(O930,R930,U930,X930,AA930,AD930,AG930,AJ930)=8,O930*Guide!$E$5+R930*Guide!$E$6+U930*Guide!$E$7+X930*Guide!$E$8+AA930*Guide!$E$9+AD930*Guide!$E$10+AG930*Guide!$E$11+AJ930*Guide!$E$12,"")</x:f>
      </x:c>
      <x:c r="H930" s="4" t="str">
        <x:f>IF(COUNT(G930,F930)=2,G930-F930,"")</x:f>
      </x:c>
      <x:c r="I930" s="4" t="n">
        <x:f>IF(AND(ISNUMBER(F930),K930&gt;0),F930/K930,"")</x:f>
        <x:v>2.2083333333333335</x:v>
      </x:c>
      <x:c r="J930" s="4" t="str">
        <x:f>IF(AND(ISNUMBER(G930),L930&gt;0),G930/L930,"")</x:f>
      </x:c>
      <x:c r="K930" s="10" t="n">
        <x:v>78</x:v>
      </x:c>
      <x:c r="L930" s="10"/>
      <x:c r="M930" s="10" t="str">
        <x:f>IF(COUNT(L930,K930)=2,L930-K930,"")</x:f>
      </x:c>
      <x:c r="N930" s="10" t="n">
        <x:v>16</x:v>
      </x:c>
      <x:c r="O930" s="10"/>
      <x:c r="P930" s="10" t="str">
        <x:f>IF(COUNT(O930,N930)=2,O930-N930,"")</x:f>
      </x:c>
      <x:c r="Q930" s="10" t="n">
        <x:v>18</x:v>
      </x:c>
      <x:c r="R930" s="10"/>
      <x:c r="S930" s="10" t="str">
        <x:f>IF(COUNT(R930,Q930)=2,R930-Q930,"")</x:f>
      </x:c>
      <x:c r="T930" s="10" t="n">
        <x:v>1</x:v>
      </x:c>
      <x:c r="U930" s="10"/>
      <x:c r="V930" s="10" t="str">
        <x:f>IF(COUNT(U930,T930)=2,U930-T930,"")</x:f>
      </x:c>
      <x:c r="W930" s="10" t="n">
        <x:v>5</x:v>
      </x:c>
      <x:c r="X930" s="10" t="str">
        <x:f>IF(COUNT(AV930,AW930)=2,AV930+AW930,"")</x:f>
      </x:c>
      <x:c r="Y930" s="10" t="str">
        <x:f>IF(COUNT(X930,W930)=2,X930-W930,"")</x:f>
      </x:c>
      <x:c r="Z930" s="10" t="n">
        <x:v>0</x:v>
      </x:c>
      <x:c r="AA930" s="10" t="str">
        <x:f>IF(COUNT(AX930,AY930)=2,AX930+AY930,"")</x:f>
      </x:c>
      <x:c r="AB930" s="10" t="str">
        <x:f>IF(COUNT(AA930,Z930)=2,AA930-Z930,"")</x:f>
      </x:c>
      <x:c r="AC930" s="10" t="n">
        <x:v>79</x:v>
      </x:c>
      <x:c r="AD930" s="10"/>
      <x:c r="AE930" s="10" t="str">
        <x:f>IF(COUNT(AD930,AC930)=2,AD930-AC930,"")</x:f>
      </x:c>
      <x:c r="AF930" s="10" t="n">
        <x:v>39</x:v>
      </x:c>
      <x:c r="AG930" s="10"/>
      <x:c r="AH930" s="10" t="str">
        <x:f>IF(COUNT(AG930,AF930)=2,AG930-AF930,"")</x:f>
      </x:c>
      <x:c r="AI930" s="10" t="n">
        <x:v>25</x:v>
      </x:c>
      <x:c r="AJ930" s="10"/>
      <x:c r="AK930" s="10" t="str">
        <x:f>IF(COUNT(AJ930,AI930)=2,AJ930-AI930,"")</x:f>
      </x:c>
      <x:c r="AL930" s="10" t="n">
        <x:v>29</x:v>
      </x:c>
      <x:c r="AM930" s="10"/>
      <x:c r="AN930" s="4" t="str">
        <x:v>LW</x:v>
      </x:c>
      <x:c r="AO930" s="4"/>
      <x:c r="AP930" s="4" t="str">
        <x:v>WSH</x:v>
      </x:c>
      <x:c r="AQ930" s="4"/>
      <x:c r="AR930" s="4" t="n">
        <x:v>12.61</x:v>
      </x:c>
      <x:c r="AS930" s="4"/>
      <x:c r="AT930" s="4" t="n">
        <x:v>0.77</x:v>
      </x:c>
      <x:c r="AU930" s="4"/>
      <x:c r="AV930" s="10"/>
      <x:c r="AW930" s="10"/>
      <x:c r="AX930" s="10"/>
      <x:c r="AY930" s="10"/>
      <x:c r="AZ930" s="10" t="n">
        <x:v>242</x:v>
      </x:c>
      <x:c r="BA930" s="10" t="n">
        <x:v>220</x:v>
      </x:c>
      <x:c r="BB930" s="4" t="n">
        <x:v>52.4</x:v>
      </x:c>
      <x:c r="BC930" s="4" t="n">
        <x:v>0.3</x:v>
      </x:c>
      <x:c r="BD930" s="10" t="n">
        <x:v>178</x:v>
      </x:c>
      <x:c r="BE930" s="10" t="n">
        <x:v>154</x:v>
      </x:c>
      <x:c r="BF930" s="4" t="n">
        <x:v>53.6</x:v>
      </x:c>
      <x:c r="BG930" s="4" t="n">
        <x:v>0.6</x:v>
      </x:c>
      <x:c r="BH930" s="4" t="n">
        <x:v>10</x:v>
      </x:c>
      <x:c r="BI930" s="4" t="n">
        <x:v>90.4</x:v>
      </x:c>
      <x:c r="BJ930" s="4" t="n">
        <x:v>100.4</x:v>
      </x:c>
      <x:c r="BK930" s="4" t="n">
        <x:v>57.9</x:v>
      </x:c>
      <x:c r="BL930" s="4" t="n">
        <x:v>42.1</x:v>
      </x:c>
      <x:c r="BM930" s="4" t="n">
        <x:v>8.883333333333333</x:v>
      </x:c>
      <x:c r="BN930" s="4" t="n">
        <x:v>7.833333333333333</x:v>
      </x:c>
      <x:c r="BO930" s="10" t="n">
        <x:v>4</x:v>
      </x:c>
      <x:c r="BP930" s="10" t="n">
        <x:v>19</x:v>
      </x:c>
      <x:c r="BQ930" s="4" t="n">
        <x:v>2.2</x:v>
      </x:c>
      <x:c r="BR930" s="10" t="n">
        <x:v>57</x:v>
      </x:c>
      <x:c r="BS930" s="4" t="n">
        <x:v>57.9</x:v>
      </x:c>
      <x:c r="BT930" s="10" t="n">
        <x:v>31</x:v>
      </x:c>
      <x:c r="BU930" s="4" t="str">
        <x:v>WSH</x:v>
      </x:c>
      <x:c r="BV930" s="10" t="n">
        <x:v>321</x:v>
      </x:c>
      <x:c r="BW930" s="10"/>
      <x:c r="BX930" s="10" t="n">
        <x:v>697</x:v>
      </x:c>
      <x:c r="BY930" s="4" t="str">
        <x:v>Sonny Milano</x:v>
      </x:c>
      <x:c r="BZ930" s="4"/>
      <x:c r="CA930" s="4" t="str">
        <x:v>Sonny Milano</x:v>
      </x:c>
      <x:c r="CB930" s="4" t="str">
        <x:v>milanso01</x:v>
      </x:c>
    </x:row>
    <x:row r="931" ht="22" customHeight="1">
      <x:c r="A931" s="4" t="str">
        <x:v>Spencer Stastney</x:v>
      </x:c>
      <x:c r="B931" s="4" t="str">
        <x:v>spencerstastney</x:v>
      </x:c>
      <x:c r="C931" s="10" t="n">
        <x:v>1</x:v>
      </x:c>
      <x:c r="D931" s="10" t="n">
        <x:v>0</x:v>
      </x:c>
      <x:c r="E931" s="10" t="n">
        <x:v>1</x:v>
      </x:c>
      <x:c r="F931" s="4" t="n">
        <x:f>IF(COUNT(N931,Q931,T931,W931,Z931,AC931,AF931,AI931)=8,N931*Guide!$E$5+Q931*Guide!$E$6+T931*Guide!$E$7+W931*Guide!$E$8+Z931*Guide!$E$9+AC931*Guide!$E$10+AF931*Guide!$E$11+AI931*Guide!$E$12,"")</x:f>
        <x:v>146</x:v>
      </x:c>
      <x:c r="G931" s="4" t="str">
        <x:f>IF(COUNT(O931,R931,U931,X931,AA931,AD931,AG931,AJ931)=8,O931*Guide!$E$5+R931*Guide!$E$6+U931*Guide!$E$7+X931*Guide!$E$8+AA931*Guide!$E$9+AD931*Guide!$E$10+AG931*Guide!$E$11+AJ931*Guide!$E$12,"")</x:f>
      </x:c>
      <x:c r="H931" s="4" t="str">
        <x:f>IF(COUNT(G931,F931)=2,G931-F931,"")</x:f>
      </x:c>
      <x:c r="I931" s="4" t="n">
        <x:f>IF(AND(ISNUMBER(F931),K931&gt;0),F931/K931,"")</x:f>
        <x:v>2.085714285714286</x:v>
      </x:c>
      <x:c r="J931" s="4" t="str">
        <x:f>IF(AND(ISNUMBER(G931),L931&gt;0),G931/L931,"")</x:f>
      </x:c>
      <x:c r="K931" s="10" t="n">
        <x:v>70</x:v>
      </x:c>
      <x:c r="L931" s="10"/>
      <x:c r="M931" s="10" t="str">
        <x:f>IF(COUNT(L931,K931)=2,L931-K931,"")</x:f>
      </x:c>
      <x:c r="N931" s="10" t="n">
        <x:v>4</x:v>
      </x:c>
      <x:c r="O931" s="10"/>
      <x:c r="P931" s="10" t="str">
        <x:f>IF(COUNT(O931,N931)=2,O931-N931,"")</x:f>
      </x:c>
      <x:c r="Q931" s="10" t="n">
        <x:v>14</x:v>
      </x:c>
      <x:c r="R931" s="10"/>
      <x:c r="S931" s="10" t="str">
        <x:f>IF(COUNT(R931,Q931)=2,R931-Q931,"")</x:f>
      </x:c>
      <x:c r="T931" s="10" t="n">
        <x:v>0</x:v>
      </x:c>
      <x:c r="U931" s="10"/>
      <x:c r="V931" s="10" t="str">
        <x:f>IF(COUNT(U931,T931)=2,U931-T931,"")</x:f>
      </x:c>
      <x:c r="W931" s="10" t="n">
        <x:v>0</x:v>
      </x:c>
      <x:c r="X931" s="10" t="str">
        <x:f>IF(COUNT(AV931,AW931)=2,AV931+AW931,"")</x:f>
      </x:c>
      <x:c r="Y931" s="10" t="str">
        <x:f>IF(COUNT(X931,W931)=2,X931-W931,"")</x:f>
      </x:c>
      <x:c r="Z931" s="10" t="n">
        <x:v>0</x:v>
      </x:c>
      <x:c r="AA931" s="10" t="str">
        <x:f>IF(COUNT(AX931,AY931)=2,AX931+AY931,"")</x:f>
      </x:c>
      <x:c r="AB931" s="10" t="str">
        <x:f>IF(COUNT(AA931,Z931)=2,AA931-Z931,"")</x:f>
      </x:c>
      <x:c r="AC931" s="10" t="n">
        <x:v>59</x:v>
      </x:c>
      <x:c r="AD931" s="10"/>
      <x:c r="AE931" s="10" t="str">
        <x:f>IF(COUNT(AD931,AC931)=2,AD931-AC931,"")</x:f>
      </x:c>
      <x:c r="AF931" s="10" t="n">
        <x:v>23</x:v>
      </x:c>
      <x:c r="AG931" s="10"/>
      <x:c r="AH931" s="10" t="str">
        <x:f>IF(COUNT(AG931,AF931)=2,AG931-AF931,"")</x:f>
      </x:c>
      <x:c r="AI931" s="10" t="n">
        <x:v>90</x:v>
      </x:c>
      <x:c r="AJ931" s="10"/>
      <x:c r="AK931" s="10" t="str">
        <x:f>IF(COUNT(AJ931,AI931)=2,AJ931-AI931,"")</x:f>
      </x:c>
      <x:c r="AL931" s="10" t="n">
        <x:v>26</x:v>
      </x:c>
      <x:c r="AM931" s="10"/>
      <x:c r="AN931" s="4" t="str">
        <x:v>D</x:v>
      </x:c>
      <x:c r="AO931" s="4"/>
      <x:c r="AP931" s="4" t="str">
        <x:v>NSH</x:v>
      </x:c>
      <x:c r="AQ931" s="4"/>
      <x:c r="AR931" s="4" t="n">
        <x:v>17.89</x:v>
      </x:c>
      <x:c r="AS931" s="4"/>
      <x:c r="AT931" s="4" t="n">
        <x:v>0.07</x:v>
      </x:c>
      <x:c r="AU931" s="4"/>
      <x:c r="AV931" s="10"/>
      <x:c r="AW931" s="10"/>
      <x:c r="AX931" s="10"/>
      <x:c r="AY931" s="10"/>
      <x:c r="AZ931" s="10" t="n">
        <x:v>839</x:v>
      </x:c>
      <x:c r="BA931" s="10" t="n">
        <x:v>815</x:v>
      </x:c>
      <x:c r="BB931" s="4" t="n">
        <x:v>50.7</x:v>
      </x:c>
      <x:c r="BC931" s="4" t="n">
        <x:v>-1.1</x:v>
      </x:c>
      <x:c r="BD931" s="10" t="n">
        <x:v>606</x:v>
      </x:c>
      <x:c r="BE931" s="10" t="n">
        <x:v>584</x:v>
      </x:c>
      <x:c r="BF931" s="4" t="n">
        <x:v>50.9</x:v>
      </x:c>
      <x:c r="BG931" s="4" t="n">
        <x:v>-0.2</x:v>
      </x:c>
      <x:c r="BH931" s="4" t="n">
        <x:v>7.2</x:v>
      </x:c>
      <x:c r="BI931" s="4" t="n">
        <x:v>89.6</x:v>
      </x:c>
      <x:c r="BJ931" s="4" t="n">
        <x:v>96.7</x:v>
      </x:c>
      <x:c r="BK931" s="4" t="n">
        <x:v>49.4</x:v>
      </x:c>
      <x:c r="BL931" s="4" t="n">
        <x:v>50.6</x:v>
      </x:c>
      <x:c r="BM931" s="4" t="n">
        <x:v>15.5</x:v>
      </x:c>
      <x:c r="BN931" s="4" t="n">
        <x:v>14</x:v>
      </x:c>
      <x:c r="BO931" s="10" t="n">
        <x:v>19</x:v>
      </x:c>
      <x:c r="BP931" s="10" t="n">
        <x:v>66</x:v>
      </x:c>
      <x:c r="BQ931" s="4" t="n">
        <x:v>-4.1</x:v>
      </x:c>
      <x:c r="BR931" s="10" t="n">
        <x:v>123</x:v>
      </x:c>
      <x:c r="BS931" s="4" t="n">
        <x:v>45.5</x:v>
      </x:c>
      <x:c r="BT931" s="10" t="n">
        <x:v>66</x:v>
      </x:c>
      <x:c r="BU931" s="4" t="str">
        <x:v>TOT</x:v>
      </x:c>
      <x:c r="BV931" s="10" t="n">
        <x:v>571</x:v>
      </x:c>
      <x:c r="BW931" s="10"/>
      <x:c r="BX931" s="10" t="n">
        <x:v>973</x:v>
      </x:c>
      <x:c r="BY931" s="4" t="str">
        <x:v>Spencer Stastney</x:v>
      </x:c>
      <x:c r="BZ931" s="4"/>
      <x:c r="CA931" s="4" t="str">
        <x:v>Spencer Stastney</x:v>
      </x:c>
      <x:c r="CB931" s="4" t="str">
        <x:v>stastsp01</x:v>
      </x:c>
    </x:row>
    <x:row r="932" ht="22" customHeight="1">
      <x:c r="A932" s="4" t="str">
        <x:v>Stefan Noesen</x:v>
      </x:c>
      <x:c r="B932" s="4" t="str">
        <x:v>stefannoesen</x:v>
      </x:c>
      <x:c r="C932" s="10" t="n">
        <x:v>1</x:v>
      </x:c>
      <x:c r="D932" s="10" t="n">
        <x:v>0</x:v>
      </x:c>
      <x:c r="E932" s="10" t="n">
        <x:v>1</x:v>
      </x:c>
      <x:c r="F932" s="4" t="n">
        <x:f>IF(COUNT(N932,Q932,T932,W932,Z932,AC932,AF932,AI932)=8,N932*Guide!$E$5+Q932*Guide!$E$6+T932*Guide!$E$7+W932*Guide!$E$8+Z932*Guide!$E$9+AC932*Guide!$E$10+AF932*Guide!$E$11+AI932*Guide!$E$12,"")</x:f>
        <x:v>258.75</x:v>
      </x:c>
      <x:c r="G932" s="4" t="str">
        <x:f>IF(COUNT(O932,R932,U932,X932,AA932,AD932,AG932,AJ932)=8,O932*Guide!$E$5+R932*Guide!$E$6+U932*Guide!$E$7+X932*Guide!$E$8+AA932*Guide!$E$9+AD932*Guide!$E$10+AG932*Guide!$E$11+AJ932*Guide!$E$12,"")</x:f>
      </x:c>
      <x:c r="H932" s="4" t="str">
        <x:f>IF(COUNT(G932,F932)=2,G932-F932,"")</x:f>
      </x:c>
      <x:c r="I932" s="4" t="n">
        <x:f>IF(AND(ISNUMBER(F932),K932&gt;0),F932/K932,"")</x:f>
        <x:v>3.3173076923076925</x:v>
      </x:c>
      <x:c r="J932" s="4" t="str">
        <x:f>IF(AND(ISNUMBER(G932),L932&gt;0),G932/L932,"")</x:f>
      </x:c>
      <x:c r="K932" s="10" t="n">
        <x:v>78</x:v>
      </x:c>
      <x:c r="L932" s="10"/>
      <x:c r="M932" s="10" t="str">
        <x:f>IF(COUNT(L932,K932)=2,L932-K932,"")</x:f>
      </x:c>
      <x:c r="N932" s="10" t="n">
        <x:v>20</x:v>
      </x:c>
      <x:c r="O932" s="10"/>
      <x:c r="P932" s="10" t="str">
        <x:f>IF(COUNT(O932,N932)=2,O932-N932,"")</x:f>
      </x:c>
      <x:c r="Q932" s="10" t="n">
        <x:v>23</x:v>
      </x:c>
      <x:c r="R932" s="10"/>
      <x:c r="S932" s="10" t="str">
        <x:f>IF(COUNT(R932,Q932)=2,R932-Q932,"")</x:f>
      </x:c>
      <x:c r="T932" s="10" t="n">
        <x:v>4</x:v>
      </x:c>
      <x:c r="U932" s="10"/>
      <x:c r="V932" s="10" t="str">
        <x:f>IF(COUNT(U932,T932)=2,U932-T932,"")</x:f>
      </x:c>
      <x:c r="W932" s="10" t="n">
        <x:v>16</x:v>
      </x:c>
      <x:c r="X932" s="10" t="str">
        <x:f>IF(COUNT(AV932,AW932)=2,AV932+AW932,"")</x:f>
      </x:c>
      <x:c r="Y932" s="10" t="str">
        <x:f>IF(COUNT(X932,W932)=2,X932-W932,"")</x:f>
      </x:c>
      <x:c r="Z932" s="10" t="n">
        <x:v>0</x:v>
      </x:c>
      <x:c r="AA932" s="10" t="str">
        <x:f>IF(COUNT(AX932,AY932)=2,AX932+AY932,"")</x:f>
      </x:c>
      <x:c r="AB932" s="10" t="str">
        <x:f>IF(COUNT(AA932,Z932)=2,AA932-Z932,"")</x:f>
      </x:c>
      <x:c r="AC932" s="10" t="n">
        <x:v>143</x:v>
      </x:c>
      <x:c r="AD932" s="10"/>
      <x:c r="AE932" s="10" t="str">
        <x:f>IF(COUNT(AD932,AC932)=2,AD932-AC932,"")</x:f>
      </x:c>
      <x:c r="AF932" s="10" t="n">
        <x:v>135</x:v>
      </x:c>
      <x:c r="AG932" s="10"/>
      <x:c r="AH932" s="10" t="str">
        <x:f>IF(COUNT(AG932,AF932)=2,AG932-AF932,"")</x:f>
      </x:c>
      <x:c r="AI932" s="10" t="n">
        <x:v>27</x:v>
      </x:c>
      <x:c r="AJ932" s="10"/>
      <x:c r="AK932" s="10" t="str">
        <x:f>IF(COUNT(AJ932,AI932)=2,AJ932-AI932,"")</x:f>
      </x:c>
      <x:c r="AL932" s="10" t="n">
        <x:v>32</x:v>
      </x:c>
      <x:c r="AM932" s="10"/>
      <x:c r="AN932" s="4" t="str">
        <x:v>LW,RW</x:v>
      </x:c>
      <x:c r="AO932" s="4"/>
      <x:c r="AP932" s="4" t="str">
        <x:v>NJ</x:v>
      </x:c>
      <x:c r="AQ932" s="4"/>
      <x:c r="AR932" s="4" t="n">
        <x:v>14.759999999999998</x:v>
      </x:c>
      <x:c r="AS932" s="4"/>
      <x:c r="AT932" s="4" t="n">
        <x:v>2.04</x:v>
      </x:c>
      <x:c r="AU932" s="4"/>
      <x:c r="AV932" s="10"/>
      <x:c r="AW932" s="10"/>
      <x:c r="AX932" s="10"/>
      <x:c r="AY932" s="10"/>
      <x:c r="AZ932" s="10" t="n">
        <x:v>342</x:v>
      </x:c>
      <x:c r="BA932" s="10" t="n">
        <x:v>365</x:v>
      </x:c>
      <x:c r="BB932" s="4" t="n">
        <x:v>48.4</x:v>
      </x:c>
      <x:c r="BC932" s="4" t="n">
        <x:v>-3.7</x:v>
      </x:c>
      <x:c r="BD932" s="10" t="n">
        <x:v>240</x:v>
      </x:c>
      <x:c r="BE932" s="10" t="n">
        <x:v>270</x:v>
      </x:c>
      <x:c r="BF932" s="4" t="n">
        <x:v>47.1</x:v>
      </x:c>
      <x:c r="BG932" s="4" t="n">
        <x:v>-4.8</x:v>
      </x:c>
      <x:c r="BH932" s="4" t="n">
        <x:v>3.4</x:v>
      </x:c>
      <x:c r="BI932" s="4" t="n">
        <x:v>90.5</x:v>
      </x:c>
      <x:c r="BJ932" s="4" t="n">
        <x:v>93.9</x:v>
      </x:c>
      <x:c r="BK932" s="4" t="n">
        <x:v>49</x:v>
      </x:c>
      <x:c r="BL932" s="4" t="n">
        <x:v>51</x:v>
      </x:c>
      <x:c r="BM932" s="4" t="n">
        <x:v>11.75</x:v>
      </x:c>
      <x:c r="BN932" s="4" t="n">
        <x:v>10.083333333333334</x:v>
      </x:c>
      <x:c r="BO932" s="10" t="n">
        <x:v>3</x:v>
      </x:c>
      <x:c r="BP932" s="10" t="n">
        <x:v>23</x:v>
      </x:c>
      <x:c r="BQ932" s="4" t="n">
        <x:v>-1.7</x:v>
      </x:c>
      <x:c r="BR932" s="10" t="n">
        <x:v>93</x:v>
      </x:c>
      <x:c r="BS932" s="4" t="n">
        <x:v>55.9</x:v>
      </x:c>
      <x:c r="BT932" s="10" t="n">
        <x:v>38</x:v>
      </x:c>
      <x:c r="BU932" s="4" t="str">
        <x:v>NJD</x:v>
      </x:c>
      <x:c r="BV932" s="10" t="n">
        <x:v>213</x:v>
      </x:c>
      <x:c r="BW932" s="10"/>
      <x:c r="BX932" s="10" t="n">
        <x:v>742</x:v>
      </x:c>
      <x:c r="BY932" s="4" t="str">
        <x:v>Stefan Noesen</x:v>
      </x:c>
      <x:c r="BZ932" s="4"/>
      <x:c r="CA932" s="4" t="str">
        <x:v>Stefan Noesen</x:v>
      </x:c>
      <x:c r="CB932" s="4" t="str">
        <x:v>noesest01</x:v>
      </x:c>
    </x:row>
    <x:row r="933" ht="22" customHeight="1">
      <x:c r="A933" s="4" t="str">
        <x:v>Stephen Halliday</x:v>
      </x:c>
      <x:c r="B933" s="4" t="str">
        <x:v>stephenhalliday</x:v>
      </x:c>
      <x:c r="C933" s="10" t="n">
        <x:v>0</x:v>
      </x:c>
      <x:c r="D933" s="10" t="n">
        <x:v>0</x:v>
      </x:c>
      <x:c r="E933" s="10" t="n">
        <x:v>1</x:v>
      </x:c>
      <x:c r="F933" s="4" t="str">
        <x:f>IF(COUNT(N933,Q933,T933,W933,Z933,AC933,AF933,AI933)=8,N933*Guide!$E$5+Q933*Guide!$E$6+T933*Guide!$E$7+W933*Guide!$E$8+Z933*Guide!$E$9+AC933*Guide!$E$10+AF933*Guide!$E$11+AI933*Guide!$E$12,"")</x:f>
      </x:c>
      <x:c r="G933" s="4" t="str">
        <x:f>IF(COUNT(O933,R933,U933,X933,AA933,AD933,AG933,AJ933)=8,O933*Guide!$E$5+R933*Guide!$E$6+U933*Guide!$E$7+X933*Guide!$E$8+AA933*Guide!$E$9+AD933*Guide!$E$10+AG933*Guide!$E$11+AJ933*Guide!$E$12,"")</x:f>
      </x:c>
      <x:c r="H933" s="4" t="str">
        <x:f>IF(COUNT(G933,F933)=2,G933-F933,"")</x:f>
      </x:c>
      <x:c r="I933" s="4" t="str">
        <x:f>IF(AND(ISNUMBER(F933),K933&gt;0),F933/K933,"")</x:f>
      </x:c>
      <x:c r="J933" s="4" t="str">
        <x:f>IF(AND(ISNUMBER(G933),L933&gt;0),G933/L933,"")</x:f>
      </x:c>
      <x:c r="K933" s="10"/>
      <x:c r="L933" s="10"/>
      <x:c r="M933" s="10" t="str">
        <x:f>IF(COUNT(L933,K933)=2,L933-K933,"")</x:f>
      </x:c>
      <x:c r="N933" s="10"/>
      <x:c r="O933" s="10"/>
      <x:c r="P933" s="10" t="str">
        <x:f>IF(COUNT(O933,N933)=2,O933-N933,"")</x:f>
      </x:c>
      <x:c r="Q933" s="10"/>
      <x:c r="R933" s="10"/>
      <x:c r="S933" s="10" t="str">
        <x:f>IF(COUNT(R933,Q933)=2,R933-Q933,"")</x:f>
      </x:c>
      <x:c r="T933" s="10"/>
      <x:c r="U933" s="10"/>
      <x:c r="V933" s="10" t="str">
        <x:f>IF(COUNT(U933,T933)=2,U933-T933,"")</x:f>
      </x:c>
      <x:c r="W933" s="10"/>
      <x:c r="X933" s="10" t="str">
        <x:f>IF(COUNT(AV933,AW933)=2,AV933+AW933,"")</x:f>
      </x:c>
      <x:c r="Y933" s="10" t="str">
        <x:f>IF(COUNT(X933,W933)=2,X933-W933,"")</x:f>
      </x:c>
      <x:c r="Z933" s="10"/>
      <x:c r="AA933" s="10" t="str">
        <x:f>IF(COUNT(AX933,AY933)=2,AX933+AY933,"")</x:f>
      </x:c>
      <x:c r="AB933" s="10" t="str">
        <x:f>IF(COUNT(AA933,Z933)=2,AA933-Z933,"")</x:f>
      </x:c>
      <x:c r="AC933" s="10"/>
      <x:c r="AD933" s="10"/>
      <x:c r="AE933" s="10" t="str">
        <x:f>IF(COUNT(AD933,AC933)=2,AD933-AC933,"")</x:f>
      </x:c>
      <x:c r="AF933" s="10"/>
      <x:c r="AG933" s="10"/>
      <x:c r="AH933" s="10" t="str">
        <x:f>IF(COUNT(AG933,AF933)=2,AG933-AF933,"")</x:f>
      </x:c>
      <x:c r="AI933" s="10"/>
      <x:c r="AJ933" s="10"/>
      <x:c r="AK933" s="10" t="str">
        <x:f>IF(COUNT(AJ933,AI933)=2,AJ933-AI933,"")</x:f>
      </x:c>
      <x:c r="AL933" s="10"/>
      <x:c r="AM933" s="10"/>
      <x:c r="AN933" s="4"/>
      <x:c r="AO933" s="4"/>
      <x:c r="AP933" s="4"/>
      <x:c r="AQ933" s="4"/>
      <x:c r="AR933" s="4"/>
      <x:c r="AS933" s="4"/>
      <x:c r="AT933" s="4"/>
      <x:c r="AU933" s="4"/>
      <x:c r="AV933" s="10"/>
      <x:c r="AW933" s="10"/>
      <x:c r="AX933" s="10"/>
      <x:c r="AY933" s="10"/>
      <x:c r="AZ933" s="10" t="n">
        <x:v>211</x:v>
      </x:c>
      <x:c r="BA933" s="10" t="n">
        <x:v>160</x:v>
      </x:c>
      <x:c r="BB933" s="4" t="n">
        <x:v>56.9</x:v>
      </x:c>
      <x:c r="BC933" s="4" t="n">
        <x:v>3.6</x:v>
      </x:c>
      <x:c r="BD933" s="10" t="n">
        <x:v>147</x:v>
      </x:c>
      <x:c r="BE933" s="10" t="n">
        <x:v>119</x:v>
      </x:c>
      <x:c r="BF933" s="4" t="n">
        <x:v>55.3</x:v>
      </x:c>
      <x:c r="BG933" s="4" t="n">
        <x:v>0.7</x:v>
      </x:c>
      <x:c r="BH933" s="4" t="n">
        <x:v>8.7</x:v>
      </x:c>
      <x:c r="BI933" s="4" t="n">
        <x:v>91</x:v>
      </x:c>
      <x:c r="BJ933" s="4" t="n">
        <x:v>99.7</x:v>
      </x:c>
      <x:c r="BK933" s="4" t="n">
        <x:v>59.6</x:v>
      </x:c>
      <x:c r="BL933" s="4" t="n">
        <x:v>40.4</x:v>
      </x:c>
      <x:c r="BM933" s="4" t="n">
        <x:v>8.516666666666667</x:v>
      </x:c>
      <x:c r="BN933" s="4" t="n">
        <x:v>6.583333333333333</x:v>
      </x:c>
      <x:c r="BO933" s="10" t="n">
        <x:v>2</x:v>
      </x:c>
      <x:c r="BP933" s="10" t="n">
        <x:v>16</x:v>
      </x:c>
      <x:c r="BQ933" s="4" t="n">
        <x:v>4.4</x:v>
      </x:c>
      <x:c r="BR933" s="10" t="n">
        <x:v>58</x:v>
      </x:c>
      <x:c r="BS933" s="4" t="n">
        <x:v>58.6</x:v>
      </x:c>
      <x:c r="BT933" s="10" t="n">
        <x:v>30</x:v>
      </x:c>
      <x:c r="BU933" s="4" t="str">
        <x:v>OTT</x:v>
      </x:c>
      <x:c r="BV933" s="10"/>
      <x:c r="BW933" s="10"/>
      <x:c r="BX933" s="10" t="n">
        <x:v>381</x:v>
      </x:c>
      <x:c r="BY933" s="4"/>
      <x:c r="BZ933" s="4"/>
      <x:c r="CA933" s="4" t="str">
        <x:v>Stephen Halliday</x:v>
      </x:c>
      <x:c r="CB933" s="4" t="str">
        <x:v>hallist01</x:v>
      </x:c>
    </x:row>
    <x:row r="934" ht="22" customHeight="1">
      <x:c r="A934" s="4" t="str">
        <x:v>Steven Santini</x:v>
      </x:c>
      <x:c r="B934" s="4" t="str">
        <x:v>stevensantini</x:v>
      </x:c>
      <x:c r="C934" s="10" t="n">
        <x:v>0</x:v>
      </x:c>
      <x:c r="D934" s="10" t="n">
        <x:v>0</x:v>
      </x:c>
      <x:c r="E934" s="10" t="n">
        <x:v>1</x:v>
      </x:c>
      <x:c r="F934" s="4" t="str">
        <x:f>IF(COUNT(N934,Q934,T934,W934,Z934,AC934,AF934,AI934)=8,N934*Guide!$E$5+Q934*Guide!$E$6+T934*Guide!$E$7+W934*Guide!$E$8+Z934*Guide!$E$9+AC934*Guide!$E$10+AF934*Guide!$E$11+AI934*Guide!$E$12,"")</x:f>
      </x:c>
      <x:c r="G934" s="4" t="str">
        <x:f>IF(COUNT(O934,R934,U934,X934,AA934,AD934,AG934,AJ934)=8,O934*Guide!$E$5+R934*Guide!$E$6+U934*Guide!$E$7+X934*Guide!$E$8+AA934*Guide!$E$9+AD934*Guide!$E$10+AG934*Guide!$E$11+AJ934*Guide!$E$12,"")</x:f>
      </x:c>
      <x:c r="H934" s="4" t="str">
        <x:f>IF(COUNT(G934,F934)=2,G934-F934,"")</x:f>
      </x:c>
      <x:c r="I934" s="4" t="str">
        <x:f>IF(AND(ISNUMBER(F934),K934&gt;0),F934/K934,"")</x:f>
      </x:c>
      <x:c r="J934" s="4" t="str">
        <x:f>IF(AND(ISNUMBER(G934),L934&gt;0),G934/L934,"")</x:f>
      </x:c>
      <x:c r="K934" s="10"/>
      <x:c r="L934" s="10"/>
      <x:c r="M934" s="10" t="str">
        <x:f>IF(COUNT(L934,K934)=2,L934-K934,"")</x:f>
      </x:c>
      <x:c r="N934" s="10"/>
      <x:c r="O934" s="10"/>
      <x:c r="P934" s="10" t="str">
        <x:f>IF(COUNT(O934,N934)=2,O934-N934,"")</x:f>
      </x:c>
      <x:c r="Q934" s="10"/>
      <x:c r="R934" s="10"/>
      <x:c r="S934" s="10" t="str">
        <x:f>IF(COUNT(R934,Q934)=2,R934-Q934,"")</x:f>
      </x:c>
      <x:c r="T934" s="10"/>
      <x:c r="U934" s="10"/>
      <x:c r="V934" s="10" t="str">
        <x:f>IF(COUNT(U934,T934)=2,U934-T934,"")</x:f>
      </x:c>
      <x:c r="W934" s="10"/>
      <x:c r="X934" s="10" t="str">
        <x:f>IF(COUNT(AV934,AW934)=2,AV934+AW934,"")</x:f>
      </x:c>
      <x:c r="Y934" s="10" t="str">
        <x:f>IF(COUNT(X934,W934)=2,X934-W934,"")</x:f>
      </x:c>
      <x:c r="Z934" s="10"/>
      <x:c r="AA934" s="10" t="str">
        <x:f>IF(COUNT(AX934,AY934)=2,AX934+AY934,"")</x:f>
      </x:c>
      <x:c r="AB934" s="10" t="str">
        <x:f>IF(COUNT(AA934,Z934)=2,AA934-Z934,"")</x:f>
      </x:c>
      <x:c r="AC934" s="10"/>
      <x:c r="AD934" s="10"/>
      <x:c r="AE934" s="10" t="str">
        <x:f>IF(COUNT(AD934,AC934)=2,AD934-AC934,"")</x:f>
      </x:c>
      <x:c r="AF934" s="10"/>
      <x:c r="AG934" s="10"/>
      <x:c r="AH934" s="10" t="str">
        <x:f>IF(COUNT(AG934,AF934)=2,AG934-AF934,"")</x:f>
      </x:c>
      <x:c r="AI934" s="10"/>
      <x:c r="AJ934" s="10"/>
      <x:c r="AK934" s="10" t="str">
        <x:f>IF(COUNT(AJ934,AI934)=2,AJ934-AI934,"")</x:f>
      </x:c>
      <x:c r="AL934" s="10"/>
      <x:c r="AM934" s="10"/>
      <x:c r="AN934" s="4"/>
      <x:c r="AO934" s="4"/>
      <x:c r="AP934" s="4"/>
      <x:c r="AQ934" s="4"/>
      <x:c r="AR934" s="4"/>
      <x:c r="AS934" s="4"/>
      <x:c r="AT934" s="4"/>
      <x:c r="AU934" s="4"/>
      <x:c r="AV934" s="10"/>
      <x:c r="AW934" s="10"/>
      <x:c r="AX934" s="10"/>
      <x:c r="AY934" s="10"/>
      <x:c r="AZ934" s="10" t="n">
        <x:v>87</x:v>
      </x:c>
      <x:c r="BA934" s="10" t="n">
        <x:v>107</x:v>
      </x:c>
      <x:c r="BB934" s="4" t="n">
        <x:v>44.8</x:v>
      </x:c>
      <x:c r="BC934" s="4" t="n">
        <x:v>-12</x:v>
      </x:c>
      <x:c r="BD934" s="10" t="n">
        <x:v>55</x:v>
      </x:c>
      <x:c r="BE934" s="10" t="n">
        <x:v>81</x:v>
      </x:c>
      <x:c r="BF934" s="4" t="n">
        <x:v>40.4</x:v>
      </x:c>
      <x:c r="BG934" s="4" t="n">
        <x:v>-14.9</x:v>
      </x:c>
      <x:c r="BH934" s="4" t="n">
        <x:v>10</x:v>
      </x:c>
      <x:c r="BI934" s="4" t="n">
        <x:v>93.8</x:v>
      </x:c>
      <x:c r="BJ934" s="4" t="n">
        <x:v>103.8</x:v>
      </x:c>
      <x:c r="BK934" s="4" t="n">
        <x:v>47.1</x:v>
      </x:c>
      <x:c r="BL934" s="4" t="n">
        <x:v>52.9</x:v>
      </x:c>
      <x:c r="BM934" s="4" t="n">
        <x:v>10.333333333333334</x:v>
      </x:c>
      <x:c r="BN934" s="4" t="n">
        <x:v>10.15</x:v>
      </x:c>
      <x:c r="BO934" s="10" t="n">
        <x:v>0</x:v>
      </x:c>
      <x:c r="BP934" s="10" t="n">
        <x:v>7</x:v>
      </x:c>
      <x:c r="BQ934" s="4" t="n">
        <x:v>0.6</x:v>
      </x:c>
      <x:c r="BR934" s="10" t="n">
        <x:v>21</x:v>
      </x:c>
      <x:c r="BS934" s="4" t="n">
        <x:v>19</x:v>
      </x:c>
      <x:c r="BT934" s="10" t="n">
        <x:v>12</x:v>
      </x:c>
      <x:c r="BU934" s="4" t="str">
        <x:v>TBL</x:v>
      </x:c>
      <x:c r="BV934" s="10"/>
      <x:c r="BW934" s="10"/>
      <x:c r="BX934" s="10" t="n">
        <x:v>898</x:v>
      </x:c>
      <x:c r="BY934" s="4"/>
      <x:c r="BZ934" s="4"/>
      <x:c r="CA934" s="4" t="str">
        <x:v>Steven Santini</x:v>
      </x:c>
      <x:c r="CB934" s="4" t="str">
        <x:v>santist01</x:v>
      </x:c>
    </x:row>
    <x:row r="935" ht="22" customHeight="1">
      <x:c r="A935" s="4" t="str">
        <x:v>T.J. Tynan</x:v>
      </x:c>
      <x:c r="B935" s="4" t="str">
        <x:v>tjtynan</x:v>
      </x:c>
      <x:c r="C935" s="10" t="n">
        <x:v>0</x:v>
      </x:c>
      <x:c r="D935" s="10" t="n">
        <x:v>0</x:v>
      </x:c>
      <x:c r="E935" s="10" t="n">
        <x:v>1</x:v>
      </x:c>
      <x:c r="F935" s="4" t="str">
        <x:f>IF(COUNT(N935,Q935,T935,W935,Z935,AC935,AF935,AI935)=8,N935*Guide!$E$5+Q935*Guide!$E$6+T935*Guide!$E$7+W935*Guide!$E$8+Z935*Guide!$E$9+AC935*Guide!$E$10+AF935*Guide!$E$11+AI935*Guide!$E$12,"")</x:f>
      </x:c>
      <x:c r="G935" s="4" t="str">
        <x:f>IF(COUNT(O935,R935,U935,X935,AA935,AD935,AG935,AJ935)=8,O935*Guide!$E$5+R935*Guide!$E$6+U935*Guide!$E$7+X935*Guide!$E$8+AA935*Guide!$E$9+AD935*Guide!$E$10+AG935*Guide!$E$11+AJ935*Guide!$E$12,"")</x:f>
      </x:c>
      <x:c r="H935" s="4" t="str">
        <x:f>IF(COUNT(G935,F935)=2,G935-F935,"")</x:f>
      </x:c>
      <x:c r="I935" s="4" t="str">
        <x:f>IF(AND(ISNUMBER(F935),K935&gt;0),F935/K935,"")</x:f>
      </x:c>
      <x:c r="J935" s="4" t="str">
        <x:f>IF(AND(ISNUMBER(G935),L935&gt;0),G935/L935,"")</x:f>
      </x:c>
      <x:c r="K935" s="10"/>
      <x:c r="L935" s="10"/>
      <x:c r="M935" s="10" t="str">
        <x:f>IF(COUNT(L935,K935)=2,L935-K935,"")</x:f>
      </x:c>
      <x:c r="N935" s="10"/>
      <x:c r="O935" s="10"/>
      <x:c r="P935" s="10" t="str">
        <x:f>IF(COUNT(O935,N935)=2,O935-N935,"")</x:f>
      </x:c>
      <x:c r="Q935" s="10"/>
      <x:c r="R935" s="10"/>
      <x:c r="S935" s="10" t="str">
        <x:f>IF(COUNT(R935,Q935)=2,R935-Q935,"")</x:f>
      </x:c>
      <x:c r="T935" s="10"/>
      <x:c r="U935" s="10"/>
      <x:c r="V935" s="10" t="str">
        <x:f>IF(COUNT(U935,T935)=2,U935-T935,"")</x:f>
      </x:c>
      <x:c r="W935" s="10"/>
      <x:c r="X935" s="10" t="str">
        <x:f>IF(COUNT(AV935,AW935)=2,AV935+AW935,"")</x:f>
      </x:c>
      <x:c r="Y935" s="10" t="str">
        <x:f>IF(COUNT(X935,W935)=2,X935-W935,"")</x:f>
      </x:c>
      <x:c r="Z935" s="10"/>
      <x:c r="AA935" s="10" t="str">
        <x:f>IF(COUNT(AX935,AY935)=2,AX935+AY935,"")</x:f>
      </x:c>
      <x:c r="AB935" s="10" t="str">
        <x:f>IF(COUNT(AA935,Z935)=2,AA935-Z935,"")</x:f>
      </x:c>
      <x:c r="AC935" s="10"/>
      <x:c r="AD935" s="10"/>
      <x:c r="AE935" s="10" t="str">
        <x:f>IF(COUNT(AD935,AC935)=2,AD935-AC935,"")</x:f>
      </x:c>
      <x:c r="AF935" s="10"/>
      <x:c r="AG935" s="10"/>
      <x:c r="AH935" s="10" t="str">
        <x:f>IF(COUNT(AG935,AF935)=2,AG935-AF935,"")</x:f>
      </x:c>
      <x:c r="AI935" s="10"/>
      <x:c r="AJ935" s="10"/>
      <x:c r="AK935" s="10" t="str">
        <x:f>IF(COUNT(AJ935,AI935)=2,AJ935-AI935,"")</x:f>
      </x:c>
      <x:c r="AL935" s="10"/>
      <x:c r="AM935" s="10"/>
      <x:c r="AN935" s="4"/>
      <x:c r="AO935" s="4"/>
      <x:c r="AP935" s="4"/>
      <x:c r="AQ935" s="4"/>
      <x:c r="AR935" s="4"/>
      <x:c r="AS935" s="4"/>
      <x:c r="AT935" s="4"/>
      <x:c r="AU935" s="4"/>
      <x:c r="AV935" s="10"/>
      <x:c r="AW935" s="10"/>
      <x:c r="AX935" s="10"/>
      <x:c r="AY935" s="10"/>
      <x:c r="AZ935" s="10" t="n">
        <x:v>9</x:v>
      </x:c>
      <x:c r="BA935" s="10" t="n">
        <x:v>17</x:v>
      </x:c>
      <x:c r="BB935" s="4" t="n">
        <x:v>34.6</x:v>
      </x:c>
      <x:c r="BC935" s="4" t="n">
        <x:v>-15.9</x:v>
      </x:c>
      <x:c r="BD935" s="10" t="n">
        <x:v>6</x:v>
      </x:c>
      <x:c r="BE935" s="10" t="n">
        <x:v>14</x:v>
      </x:c>
      <x:c r="BF935" s="4" t="n">
        <x:v>30</x:v>
      </x:c>
      <x:c r="BG935" s="4" t="n">
        <x:v>-17.8</x:v>
      </x:c>
      <x:c r="BH935" s="4" t="n">
        <x:v>25</x:v>
      </x:c>
      <x:c r="BI935" s="4" t="n">
        <x:v>100</x:v>
      </x:c>
      <x:c r="BJ935" s="4" t="n">
        <x:v>125</x:v>
      </x:c>
      <x:c r="BK935" s="4" t="n">
        <x:v>40</x:v>
      </x:c>
      <x:c r="BL935" s="4" t="n">
        <x:v>60</x:v>
      </x:c>
      <x:c r="BM935" s="4" t="n">
        <x:v>8.216666666666667</x:v>
      </x:c>
      <x:c r="BN935" s="4" t="n">
        <x:v>8.216666666666667</x:v>
      </x:c>
      <x:c r="BO935" s="10" t="n">
        <x:v>0</x:v>
      </x:c>
      <x:c r="BP935" s="10" t="n">
        <x:v>0</x:v>
      </x:c>
      <x:c r="BQ935" s="4" t="n">
        <x:v>-0.7</x:v>
      </x:c>
      <x:c r="BR935" s="10" t="n">
        <x:v>1</x:v>
      </x:c>
      <x:c r="BS935" s="4" t="n">
        <x:v>100</x:v>
      </x:c>
      <x:c r="BT935" s="10" t="n">
        <x:v>1</x:v>
      </x:c>
      <x:c r="BU935" s="4" t="str">
        <x:v>COL</x:v>
      </x:c>
      <x:c r="BV935" s="10"/>
      <x:c r="BW935" s="10"/>
      <x:c r="BX935" s="10" t="n">
        <x:v>1040</x:v>
      </x:c>
      <x:c r="BY935" s="4"/>
      <x:c r="BZ935" s="4"/>
      <x:c r="CA935" s="4" t="str">
        <x:v>T.J. Tynan</x:v>
      </x:c>
      <x:c r="CB935" s="4" t="str">
        <x:v>tynant.01</x:v>
      </x:c>
    </x:row>
    <x:row r="936" ht="22" customHeight="1">
      <x:c r="A936" s="4" t="str">
        <x:v>Tanner Laczynski</x:v>
      </x:c>
      <x:c r="B936" s="4" t="str">
        <x:v>tannerlaczynski</x:v>
      </x:c>
      <x:c r="C936" s="10" t="n">
        <x:v>0</x:v>
      </x:c>
      <x:c r="D936" s="10" t="n">
        <x:v>0</x:v>
      </x:c>
      <x:c r="E936" s="10" t="n">
        <x:v>1</x:v>
      </x:c>
      <x:c r="F936" s="4" t="str">
        <x:f>IF(COUNT(N936,Q936,T936,W936,Z936,AC936,AF936,AI936)=8,N936*Guide!$E$5+Q936*Guide!$E$6+T936*Guide!$E$7+W936*Guide!$E$8+Z936*Guide!$E$9+AC936*Guide!$E$10+AF936*Guide!$E$11+AI936*Guide!$E$12,"")</x:f>
      </x:c>
      <x:c r="G936" s="4" t="str">
        <x:f>IF(COUNT(O936,R936,U936,X936,AA936,AD936,AG936,AJ936)=8,O936*Guide!$E$5+R936*Guide!$E$6+U936*Guide!$E$7+X936*Guide!$E$8+AA936*Guide!$E$9+AD936*Guide!$E$10+AG936*Guide!$E$11+AJ936*Guide!$E$12,"")</x:f>
      </x:c>
      <x:c r="H936" s="4" t="str">
        <x:f>IF(COUNT(G936,F936)=2,G936-F936,"")</x:f>
      </x:c>
      <x:c r="I936" s="4" t="str">
        <x:f>IF(AND(ISNUMBER(F936),K936&gt;0),F936/K936,"")</x:f>
      </x:c>
      <x:c r="J936" s="4" t="str">
        <x:f>IF(AND(ISNUMBER(G936),L936&gt;0),G936/L936,"")</x:f>
      </x:c>
      <x:c r="K936" s="10"/>
      <x:c r="L936" s="10"/>
      <x:c r="M936" s="10" t="str">
        <x:f>IF(COUNT(L936,K936)=2,L936-K936,"")</x:f>
      </x:c>
      <x:c r="N936" s="10"/>
      <x:c r="O936" s="10"/>
      <x:c r="P936" s="10" t="str">
        <x:f>IF(COUNT(O936,N936)=2,O936-N936,"")</x:f>
      </x:c>
      <x:c r="Q936" s="10"/>
      <x:c r="R936" s="10"/>
      <x:c r="S936" s="10" t="str">
        <x:f>IF(COUNT(R936,Q936)=2,R936-Q936,"")</x:f>
      </x:c>
      <x:c r="T936" s="10"/>
      <x:c r="U936" s="10"/>
      <x:c r="V936" s="10" t="str">
        <x:f>IF(COUNT(U936,T936)=2,U936-T936,"")</x:f>
      </x:c>
      <x:c r="W936" s="10"/>
      <x:c r="X936" s="10" t="str">
        <x:f>IF(COUNT(AV936,AW936)=2,AV936+AW936,"")</x:f>
      </x:c>
      <x:c r="Y936" s="10" t="str">
        <x:f>IF(COUNT(X936,W936)=2,X936-W936,"")</x:f>
      </x:c>
      <x:c r="Z936" s="10"/>
      <x:c r="AA936" s="10" t="str">
        <x:f>IF(COUNT(AX936,AY936)=2,AX936+AY936,"")</x:f>
      </x:c>
      <x:c r="AB936" s="10" t="str">
        <x:f>IF(COUNT(AA936,Z936)=2,AA936-Z936,"")</x:f>
      </x:c>
      <x:c r="AC936" s="10"/>
      <x:c r="AD936" s="10"/>
      <x:c r="AE936" s="10" t="str">
        <x:f>IF(COUNT(AD936,AC936)=2,AD936-AC936,"")</x:f>
      </x:c>
      <x:c r="AF936" s="10"/>
      <x:c r="AG936" s="10"/>
      <x:c r="AH936" s="10" t="str">
        <x:f>IF(COUNT(AG936,AF936)=2,AG936-AF936,"")</x:f>
      </x:c>
      <x:c r="AI936" s="10"/>
      <x:c r="AJ936" s="10"/>
      <x:c r="AK936" s="10" t="str">
        <x:f>IF(COUNT(AJ936,AI936)=2,AJ936-AI936,"")</x:f>
      </x:c>
      <x:c r="AL936" s="10"/>
      <x:c r="AM936" s="10"/>
      <x:c r="AN936" s="4"/>
      <x:c r="AO936" s="4"/>
      <x:c r="AP936" s="4"/>
      <x:c r="AQ936" s="4"/>
      <x:c r="AR936" s="4"/>
      <x:c r="AS936" s="4"/>
      <x:c r="AT936" s="4"/>
      <x:c r="AU936" s="4"/>
      <x:c r="AV936" s="10"/>
      <x:c r="AW936" s="10"/>
      <x:c r="AX936" s="10"/>
      <x:c r="AY936" s="10"/>
      <x:c r="AZ936" s="10" t="n">
        <x:v>94</x:v>
      </x:c>
      <x:c r="BA936" s="10" t="n">
        <x:v>96</x:v>
      </x:c>
      <x:c r="BB936" s="4" t="n">
        <x:v>49.5</x:v>
      </x:c>
      <x:c r="BC936" s="4" t="n">
        <x:v>-1.2</x:v>
      </x:c>
      <x:c r="BD936" s="10" t="n">
        <x:v>65</x:v>
      </x:c>
      <x:c r="BE936" s="10" t="n">
        <x:v>68</x:v>
      </x:c>
      <x:c r="BF936" s="4" t="n">
        <x:v>48.9</x:v>
      </x:c>
      <x:c r="BG936" s="4" t="n">
        <x:v>-1.2</x:v>
      </x:c>
      <x:c r="BH936" s="4" t="n">
        <x:v>11.4</x:v>
      </x:c>
      <x:c r="BI936" s="4" t="n">
        <x:v>89.1</x:v>
      </x:c>
      <x:c r="BJ936" s="4" t="n">
        <x:v>100.5</x:v>
      </x:c>
      <x:c r="BK936" s="4" t="n">
        <x:v>44.7</x:v>
      </x:c>
      <x:c r="BL936" s="4" t="n">
        <x:v>55.3</x:v>
      </x:c>
      <x:c r="BM936" s="4" t="n">
        <x:v>10.766666666666667</x:v>
      </x:c>
      <x:c r="BN936" s="4" t="n">
        <x:v>9.983333333333333</x:v>
      </x:c>
      <x:c r="BO936" s="10" t="n">
        <x:v>3</x:v>
      </x:c>
      <x:c r="BP936" s="10" t="n">
        <x:v>5</x:v>
      </x:c>
      <x:c r="BQ936" s="4" t="n">
        <x:v>-1.2</x:v>
      </x:c>
      <x:c r="BR936" s="10" t="n">
        <x:v>24</x:v>
      </x:c>
      <x:c r="BS936" s="4" t="n">
        <x:v>50</x:v>
      </x:c>
      <x:c r="BT936" s="10" t="n">
        <x:v>10</x:v>
      </x:c>
      <x:c r="BU936" s="4" t="str">
        <x:v>VEG</x:v>
      </x:c>
      <x:c r="BV936" s="10"/>
      <x:c r="BW936" s="10"/>
      <x:c r="BX936" s="10" t="n">
        <x:v>563</x:v>
      </x:c>
      <x:c r="BY936" s="4"/>
      <x:c r="BZ936" s="4"/>
      <x:c r="CA936" s="4" t="str">
        <x:v>Tanner Laczynski</x:v>
      </x:c>
      <x:c r="CB936" s="4" t="str">
        <x:v>laczyta01</x:v>
      </x:c>
    </x:row>
    <x:row r="937" ht="22" customHeight="1">
      <x:c r="A937" s="4" t="str">
        <x:v>Tanner Pearson</x:v>
      </x:c>
      <x:c r="B937" s="4" t="str">
        <x:v>tannerpearson</x:v>
      </x:c>
      <x:c r="C937" s="10" t="n">
        <x:v>1</x:v>
      </x:c>
      <x:c r="D937" s="10" t="n">
        <x:v>0</x:v>
      </x:c>
      <x:c r="E937" s="10" t="n">
        <x:v>1</x:v>
      </x:c>
      <x:c r="F937" s="4" t="n">
        <x:f>IF(COUNT(N937,Q937,T937,W937,Z937,AC937,AF937,AI937)=8,N937*Guide!$E$5+Q937*Guide!$E$6+T937*Guide!$E$7+W937*Guide!$E$8+Z937*Guide!$E$9+AC937*Guide!$E$10+AF937*Guide!$E$11+AI937*Guide!$E$12,"")</x:f>
        <x:v>152</x:v>
      </x:c>
      <x:c r="G937" s="4" t="str">
        <x:f>IF(COUNT(O937,R937,U937,X937,AA937,AD937,AG937,AJ937)=8,O937*Guide!$E$5+R937*Guide!$E$6+U937*Guide!$E$7+X937*Guide!$E$8+AA937*Guide!$E$9+AD937*Guide!$E$10+AG937*Guide!$E$11+AJ937*Guide!$E$12,"")</x:f>
      </x:c>
      <x:c r="H937" s="4" t="str">
        <x:f>IF(COUNT(G937,F937)=2,G937-F937,"")</x:f>
      </x:c>
      <x:c r="I937" s="4" t="n">
        <x:f>IF(AND(ISNUMBER(F937),K937&gt;0),F937/K937,"")</x:f>
        <x:v>1.9487179487179487</x:v>
      </x:c>
      <x:c r="J937" s="4" t="str">
        <x:f>IF(AND(ISNUMBER(G937),L937&gt;0),G937/L937,"")</x:f>
      </x:c>
      <x:c r="K937" s="10" t="n">
        <x:v>78</x:v>
      </x:c>
      <x:c r="L937" s="10"/>
      <x:c r="M937" s="10" t="str">
        <x:f>IF(COUNT(L937,K937)=2,L937-K937,"")</x:f>
      </x:c>
      <x:c r="N937" s="10" t="n">
        <x:v>10</x:v>
      </x:c>
      <x:c r="O937" s="10"/>
      <x:c r="P937" s="10" t="str">
        <x:f>IF(COUNT(O937,N937)=2,O937-N937,"")</x:f>
      </x:c>
      <x:c r="Q937" s="10" t="n">
        <x:v>13</x:v>
      </x:c>
      <x:c r="R937" s="10"/>
      <x:c r="S937" s="10" t="str">
        <x:f>IF(COUNT(R937,Q937)=2,R937-Q937,"")</x:f>
      </x:c>
      <x:c r="T937" s="10" t="n">
        <x:v>-5</x:v>
      </x:c>
      <x:c r="U937" s="10"/>
      <x:c r="V937" s="10" t="str">
        <x:f>IF(COUNT(U937,T937)=2,U937-T937,"")</x:f>
      </x:c>
      <x:c r="W937" s="10" t="n">
        <x:v>0</x:v>
      </x:c>
      <x:c r="X937" s="10" t="str">
        <x:f>IF(COUNT(AV937,AW937)=2,AV937+AW937,"")</x:f>
      </x:c>
      <x:c r="Y937" s="10" t="str">
        <x:f>IF(COUNT(X937,W937)=2,X937-W937,"")</x:f>
      </x:c>
      <x:c r="Z937" s="10" t="n">
        <x:v>0</x:v>
      </x:c>
      <x:c r="AA937" s="10" t="str">
        <x:f>IF(COUNT(AX937,AY937)=2,AX937+AY937,"")</x:f>
      </x:c>
      <x:c r="AB937" s="10" t="str">
        <x:f>IF(COUNT(AA937,Z937)=2,AA937-Z937,"")</x:f>
      </x:c>
      <x:c r="AC937" s="10" t="n">
        <x:v>95</x:v>
      </x:c>
      <x:c r="AD937" s="10"/>
      <x:c r="AE937" s="10" t="str">
        <x:f>IF(COUNT(AD937,AC937)=2,AD937-AC937,"")</x:f>
      </x:c>
      <x:c r="AF937" s="10" t="n">
        <x:v>88</x:v>
      </x:c>
      <x:c r="AG937" s="10"/>
      <x:c r="AH937" s="10" t="str">
        <x:f>IF(COUNT(AG937,AF937)=2,AG937-AF937,"")</x:f>
      </x:c>
      <x:c r="AI937" s="10" t="n">
        <x:v>43</x:v>
      </x:c>
      <x:c r="AJ937" s="10"/>
      <x:c r="AK937" s="10" t="str">
        <x:f>IF(COUNT(AJ937,AI937)=2,AJ937-AI937,"")</x:f>
      </x:c>
      <x:c r="AL937" s="10" t="n">
        <x:v>33</x:v>
      </x:c>
      <x:c r="AM937" s="10"/>
      <x:c r="AN937" s="4" t="str">
        <x:v>LW</x:v>
      </x:c>
      <x:c r="AO937" s="4"/>
      <x:c r="AP937" s="4" t="str">
        <x:v>WPG</x:v>
      </x:c>
      <x:c r="AQ937" s="4"/>
      <x:c r="AR937" s="4" t="n">
        <x:v>11.71</x:v>
      </x:c>
      <x:c r="AS937" s="4"/>
      <x:c r="AT937" s="4" t="n">
        <x:v>0.14</x:v>
      </x:c>
      <x:c r="AU937" s="4"/>
      <x:c r="AV937" s="10"/>
      <x:c r="AW937" s="10"/>
      <x:c r="AX937" s="10"/>
      <x:c r="AY937" s="10"/>
      <x:c r="AZ937" s="10" t="n">
        <x:v>473</x:v>
      </x:c>
      <x:c r="BA937" s="10" t="n">
        <x:v>569</x:v>
      </x:c>
      <x:c r="BB937" s="4" t="n">
        <x:v>45.4</x:v>
      </x:c>
      <x:c r="BC937" s="4" t="n">
        <x:v>-3.9</x:v>
      </x:c>
      <x:c r="BD937" s="10" t="n">
        <x:v>353</x:v>
      </x:c>
      <x:c r="BE937" s="10" t="n">
        <x:v>402</x:v>
      </x:c>
      <x:c r="BF937" s="4" t="n">
        <x:v>46.8</x:v>
      </x:c>
      <x:c r="BG937" s="4" t="n">
        <x:v>-2</x:v>
      </x:c>
      <x:c r="BH937" s="4" t="n">
        <x:v>10.5</x:v>
      </x:c>
      <x:c r="BI937" s="4" t="n">
        <x:v>94.4</x:v>
      </x:c>
      <x:c r="BJ937" s="4" t="n">
        <x:v>104.8</x:v>
      </x:c>
      <x:c r="BK937" s="4" t="n">
        <x:v>30.6</x:v>
      </x:c>
      <x:c r="BL937" s="4" t="n">
        <x:v>69.4</x:v>
      </x:c>
      <x:c r="BM937" s="4" t="n">
        <x:v>10.833333333333334</x:v>
      </x:c>
      <x:c r="BN937" s="4" t="n">
        <x:v>9.683333333333334</x:v>
      </x:c>
      <x:c r="BO937" s="10" t="n">
        <x:v>6</x:v>
      </x:c>
      <x:c r="BP937" s="10" t="n">
        <x:v>28</x:v>
      </x:c>
      <x:c r="BQ937" s="4" t="n">
        <x:v>-3.4</x:v>
      </x:c>
      <x:c r="BR937" s="10" t="n">
        <x:v>102</x:v>
      </x:c>
      <x:c r="BS937" s="4" t="n">
        <x:v>51</x:v>
      </x:c>
      <x:c r="BT937" s="10" t="n">
        <x:v>56</x:v>
      </x:c>
      <x:c r="BU937" s="4" t="str">
        <x:v>TOT</x:v>
      </x:c>
      <x:c r="BV937" s="10" t="n">
        <x:v>471</x:v>
      </x:c>
      <x:c r="BW937" s="10"/>
      <x:c r="BX937" s="10" t="n">
        <x:v>788</x:v>
      </x:c>
      <x:c r="BY937" s="4" t="str">
        <x:v>Tanner Pearson</x:v>
      </x:c>
      <x:c r="BZ937" s="4"/>
      <x:c r="CA937" s="4" t="str">
        <x:v>Tanner Pearson</x:v>
      </x:c>
      <x:c r="CB937" s="4" t="str">
        <x:v>pearsta01</x:v>
      </x:c>
    </x:row>
    <x:row r="938" ht="22" customHeight="1">
      <x:c r="A938" s="4" t="str">
        <x:v>Taylor Makar</x:v>
      </x:c>
      <x:c r="B938" s="4" t="str">
        <x:v>taylormakar</x:v>
      </x:c>
      <x:c r="C938" s="10" t="n">
        <x:v>0</x:v>
      </x:c>
      <x:c r="D938" s="10" t="n">
        <x:v>0</x:v>
      </x:c>
      <x:c r="E938" s="10" t="n">
        <x:v>1</x:v>
      </x:c>
      <x:c r="F938" s="4" t="str">
        <x:f>IF(COUNT(N938,Q938,T938,W938,Z938,AC938,AF938,AI938)=8,N938*Guide!$E$5+Q938*Guide!$E$6+T938*Guide!$E$7+W938*Guide!$E$8+Z938*Guide!$E$9+AC938*Guide!$E$10+AF938*Guide!$E$11+AI938*Guide!$E$12,"")</x:f>
      </x:c>
      <x:c r="G938" s="4" t="str">
        <x:f>IF(COUNT(O938,R938,U938,X938,AA938,AD938,AG938,AJ938)=8,O938*Guide!$E$5+R938*Guide!$E$6+U938*Guide!$E$7+X938*Guide!$E$8+AA938*Guide!$E$9+AD938*Guide!$E$10+AG938*Guide!$E$11+AJ938*Guide!$E$12,"")</x:f>
      </x:c>
      <x:c r="H938" s="4" t="str">
        <x:f>IF(COUNT(G938,F938)=2,G938-F938,"")</x:f>
      </x:c>
      <x:c r="I938" s="4" t="str">
        <x:f>IF(AND(ISNUMBER(F938),K938&gt;0),F938/K938,"")</x:f>
      </x:c>
      <x:c r="J938" s="4" t="str">
        <x:f>IF(AND(ISNUMBER(G938),L938&gt;0),G938/L938,"")</x:f>
      </x:c>
      <x:c r="K938" s="10"/>
      <x:c r="L938" s="10"/>
      <x:c r="M938" s="10" t="str">
        <x:f>IF(COUNT(L938,K938)=2,L938-K938,"")</x:f>
      </x:c>
      <x:c r="N938" s="10"/>
      <x:c r="O938" s="10"/>
      <x:c r="P938" s="10" t="str">
        <x:f>IF(COUNT(O938,N938)=2,O938-N938,"")</x:f>
      </x:c>
      <x:c r="Q938" s="10"/>
      <x:c r="R938" s="10"/>
      <x:c r="S938" s="10" t="str">
        <x:f>IF(COUNT(R938,Q938)=2,R938-Q938,"")</x:f>
      </x:c>
      <x:c r="T938" s="10"/>
      <x:c r="U938" s="10"/>
      <x:c r="V938" s="10" t="str">
        <x:f>IF(COUNT(U938,T938)=2,U938-T938,"")</x:f>
      </x:c>
      <x:c r="W938" s="10"/>
      <x:c r="X938" s="10" t="str">
        <x:f>IF(COUNT(AV938,AW938)=2,AV938+AW938,"")</x:f>
      </x:c>
      <x:c r="Y938" s="10" t="str">
        <x:f>IF(COUNT(X938,W938)=2,X938-W938,"")</x:f>
      </x:c>
      <x:c r="Z938" s="10"/>
      <x:c r="AA938" s="10" t="str">
        <x:f>IF(COUNT(AX938,AY938)=2,AX938+AY938,"")</x:f>
      </x:c>
      <x:c r="AB938" s="10" t="str">
        <x:f>IF(COUNT(AA938,Z938)=2,AA938-Z938,"")</x:f>
      </x:c>
      <x:c r="AC938" s="10"/>
      <x:c r="AD938" s="10"/>
      <x:c r="AE938" s="10" t="str">
        <x:f>IF(COUNT(AD938,AC938)=2,AD938-AC938,"")</x:f>
      </x:c>
      <x:c r="AF938" s="10"/>
      <x:c r="AG938" s="10"/>
      <x:c r="AH938" s="10" t="str">
        <x:f>IF(COUNT(AG938,AF938)=2,AG938-AF938,"")</x:f>
      </x:c>
      <x:c r="AI938" s="10"/>
      <x:c r="AJ938" s="10"/>
      <x:c r="AK938" s="10" t="str">
        <x:f>IF(COUNT(AJ938,AI938)=2,AJ938-AI938,"")</x:f>
      </x:c>
      <x:c r="AL938" s="10"/>
      <x:c r="AM938" s="10"/>
      <x:c r="AN938" s="4"/>
      <x:c r="AO938" s="4"/>
      <x:c r="AP938" s="4"/>
      <x:c r="AQ938" s="4"/>
      <x:c r="AR938" s="4"/>
      <x:c r="AS938" s="4"/>
      <x:c r="AT938" s="4"/>
      <x:c r="AU938" s="4"/>
      <x:c r="AV938" s="10"/>
      <x:c r="AW938" s="10"/>
      <x:c r="AX938" s="10"/>
      <x:c r="AY938" s="10"/>
      <x:c r="AZ938" s="10" t="n">
        <x:v>74</x:v>
      </x:c>
      <x:c r="BA938" s="10" t="n">
        <x:v>74</x:v>
      </x:c>
      <x:c r="BB938" s="4" t="n">
        <x:v>50</x:v>
      </x:c>
      <x:c r="BC938" s="4" t="n">
        <x:v>-8.2</x:v>
      </x:c>
      <x:c r="BD938" s="10" t="n">
        <x:v>50</x:v>
      </x:c>
      <x:c r="BE938" s="10" t="n">
        <x:v>55</x:v>
      </x:c>
      <x:c r="BF938" s="4" t="n">
        <x:v>47.6</x:v>
      </x:c>
      <x:c r="BG938" s="4" t="n">
        <x:v>-10.1</x:v>
      </x:c>
      <x:c r="BH938" s="4" t="n">
        <x:v>3.3</x:v>
      </x:c>
      <x:c r="BI938" s="4" t="n">
        <x:v>97.1</x:v>
      </x:c>
      <x:c r="BJ938" s="4" t="n">
        <x:v>100.4</x:v>
      </x:c>
      <x:c r="BK938" s="4" t="n">
        <x:v>59.4</x:v>
      </x:c>
      <x:c r="BL938" s="4" t="n">
        <x:v>40.6</x:v>
      </x:c>
      <x:c r="BM938" s="4" t="n">
        <x:v>6.216666666666667</x:v>
      </x:c>
      <x:c r="BN938" s="4" t="n">
        <x:v>6.216666666666667</x:v>
      </x:c>
      <x:c r="BO938" s="10" t="n">
        <x:v>1</x:v>
      </x:c>
      <x:c r="BP938" s="10" t="n">
        <x:v>1</x:v>
      </x:c>
      <x:c r="BQ938" s="4" t="n">
        <x:v>-1</x:v>
      </x:c>
      <x:c r="BR938" s="10" t="n">
        <x:v>15</x:v>
      </x:c>
      <x:c r="BS938" s="4" t="n">
        <x:v>46.7</x:v>
      </x:c>
      <x:c r="BT938" s="10" t="n">
        <x:v>12</x:v>
      </x:c>
      <x:c r="BU938" s="4" t="str">
        <x:v>COL</x:v>
      </x:c>
      <x:c r="BV938" s="10"/>
      <x:c r="BW938" s="10"/>
      <x:c r="BX938" s="10" t="n">
        <x:v>632</x:v>
      </x:c>
      <x:c r="BY938" s="4"/>
      <x:c r="BZ938" s="4"/>
      <x:c r="CA938" s="4" t="str">
        <x:v>Taylor Makar</x:v>
      </x:c>
      <x:c r="CB938" s="4" t="str">
        <x:v>makarta01</x:v>
      </x:c>
    </x:row>
    <x:row r="939" ht="22" customHeight="1">
      <x:c r="A939" s="4" t="str">
        <x:v>Taylor Ward</x:v>
      </x:c>
      <x:c r="B939" s="4" t="str">
        <x:v>taylorward</x:v>
      </x:c>
      <x:c r="C939" s="10" t="n">
        <x:v>0</x:v>
      </x:c>
      <x:c r="D939" s="10" t="n">
        <x:v>0</x:v>
      </x:c>
      <x:c r="E939" s="10" t="n">
        <x:v>1</x:v>
      </x:c>
      <x:c r="F939" s="4" t="str">
        <x:f>IF(COUNT(N939,Q939,T939,W939,Z939,AC939,AF939,AI939)=8,N939*Guide!$E$5+Q939*Guide!$E$6+T939*Guide!$E$7+W939*Guide!$E$8+Z939*Guide!$E$9+AC939*Guide!$E$10+AF939*Guide!$E$11+AI939*Guide!$E$12,"")</x:f>
      </x:c>
      <x:c r="G939" s="4" t="str">
        <x:f>IF(COUNT(O939,R939,U939,X939,AA939,AD939,AG939,AJ939)=8,O939*Guide!$E$5+R939*Guide!$E$6+U939*Guide!$E$7+X939*Guide!$E$8+AA939*Guide!$E$9+AD939*Guide!$E$10+AG939*Guide!$E$11+AJ939*Guide!$E$12,"")</x:f>
      </x:c>
      <x:c r="H939" s="4" t="str">
        <x:f>IF(COUNT(G939,F939)=2,G939-F939,"")</x:f>
      </x:c>
      <x:c r="I939" s="4" t="str">
        <x:f>IF(AND(ISNUMBER(F939),K939&gt;0),F939/K939,"")</x:f>
      </x:c>
      <x:c r="J939" s="4" t="str">
        <x:f>IF(AND(ISNUMBER(G939),L939&gt;0),G939/L939,"")</x:f>
      </x:c>
      <x:c r="K939" s="10"/>
      <x:c r="L939" s="10"/>
      <x:c r="M939" s="10" t="str">
        <x:f>IF(COUNT(L939,K939)=2,L939-K939,"")</x:f>
      </x:c>
      <x:c r="N939" s="10"/>
      <x:c r="O939" s="10"/>
      <x:c r="P939" s="10" t="str">
        <x:f>IF(COUNT(O939,N939)=2,O939-N939,"")</x:f>
      </x:c>
      <x:c r="Q939" s="10"/>
      <x:c r="R939" s="10"/>
      <x:c r="S939" s="10" t="str">
        <x:f>IF(COUNT(R939,Q939)=2,R939-Q939,"")</x:f>
      </x:c>
      <x:c r="T939" s="10"/>
      <x:c r="U939" s="10"/>
      <x:c r="V939" s="10" t="str">
        <x:f>IF(COUNT(U939,T939)=2,U939-T939,"")</x:f>
      </x:c>
      <x:c r="W939" s="10"/>
      <x:c r="X939" s="10" t="str">
        <x:f>IF(COUNT(AV939,AW939)=2,AV939+AW939,"")</x:f>
      </x:c>
      <x:c r="Y939" s="10" t="str">
        <x:f>IF(COUNT(X939,W939)=2,X939-W939,"")</x:f>
      </x:c>
      <x:c r="Z939" s="10"/>
      <x:c r="AA939" s="10" t="str">
        <x:f>IF(COUNT(AX939,AY939)=2,AX939+AY939,"")</x:f>
      </x:c>
      <x:c r="AB939" s="10" t="str">
        <x:f>IF(COUNT(AA939,Z939)=2,AA939-Z939,"")</x:f>
      </x:c>
      <x:c r="AC939" s="10"/>
      <x:c r="AD939" s="10"/>
      <x:c r="AE939" s="10" t="str">
        <x:f>IF(COUNT(AD939,AC939)=2,AD939-AC939,"")</x:f>
      </x:c>
      <x:c r="AF939" s="10"/>
      <x:c r="AG939" s="10"/>
      <x:c r="AH939" s="10" t="str">
        <x:f>IF(COUNT(AG939,AF939)=2,AG939-AF939,"")</x:f>
      </x:c>
      <x:c r="AI939" s="10"/>
      <x:c r="AJ939" s="10"/>
      <x:c r="AK939" s="10" t="str">
        <x:f>IF(COUNT(AJ939,AI939)=2,AJ939-AI939,"")</x:f>
      </x:c>
      <x:c r="AL939" s="10"/>
      <x:c r="AM939" s="10"/>
      <x:c r="AN939" s="4"/>
      <x:c r="AO939" s="4"/>
      <x:c r="AP939" s="4"/>
      <x:c r="AQ939" s="4"/>
      <x:c r="AR939" s="4"/>
      <x:c r="AS939" s="4"/>
      <x:c r="AT939" s="4"/>
      <x:c r="AU939" s="4"/>
      <x:c r="AV939" s="10"/>
      <x:c r="AW939" s="10"/>
      <x:c r="AX939" s="10"/>
      <x:c r="AY939" s="10"/>
      <x:c r="AZ939" s="10" t="n">
        <x:v>324</x:v>
      </x:c>
      <x:c r="BA939" s="10" t="n">
        <x:v>335</x:v>
      </x:c>
      <x:c r="BB939" s="4" t="n">
        <x:v>49.2</x:v>
      </x:c>
      <x:c r="BC939" s="4" t="n">
        <x:v>-2.4</x:v>
      </x:c>
      <x:c r="BD939" s="10" t="n">
        <x:v>212</x:v>
      </x:c>
      <x:c r="BE939" s="10" t="n">
        <x:v>215</x:v>
      </x:c>
      <x:c r="BF939" s="4" t="n">
        <x:v>49.6</x:v>
      </x:c>
      <x:c r="BG939" s="4" t="n">
        <x:v>-2</x:v>
      </x:c>
      <x:c r="BH939" s="4" t="n">
        <x:v>9.6</x:v>
      </x:c>
      <x:c r="BI939" s="4" t="n">
        <x:v>92.5</x:v>
      </x:c>
      <x:c r="BJ939" s="4" t="n">
        <x:v>102</x:v>
      </x:c>
      <x:c r="BK939" s="4" t="n">
        <x:v>32.8</x:v>
      </x:c>
      <x:c r="BL939" s="4" t="n">
        <x:v>67.2</x:v>
      </x:c>
      <x:c r="BM939" s="4" t="n">
        <x:v>9.466666666666667</x:v>
      </x:c>
      <x:c r="BN939" s="4" t="n">
        <x:v>8.85</x:v>
      </x:c>
      <x:c r="BO939" s="10" t="n">
        <x:v>2</x:v>
      </x:c>
      <x:c r="BP939" s="10" t="n">
        <x:v>20</x:v>
      </x:c>
      <x:c r="BQ939" s="4" t="n">
        <x:v>-2</x:v>
      </x:c>
      <x:c r="BR939" s="10" t="n">
        <x:v>99</x:v>
      </x:c>
      <x:c r="BS939" s="4" t="n">
        <x:v>38.4</x:v>
      </x:c>
      <x:c r="BT939" s="10" t="n">
        <x:v>36</x:v>
      </x:c>
      <x:c r="BU939" s="4" t="str">
        <x:v>LAK</x:v>
      </x:c>
      <x:c r="BV939" s="10"/>
      <x:c r="BW939" s="10"/>
      <x:c r="BX939" s="10" t="n">
        <x:v>1062</x:v>
      </x:c>
      <x:c r="BY939" s="4"/>
      <x:c r="BZ939" s="4"/>
      <x:c r="CA939" s="4" t="str">
        <x:v>Taylor Ward</x:v>
      </x:c>
      <x:c r="CB939" s="4" t="str">
        <x:v>wardta01</x:v>
      </x:c>
    </x:row>
    <x:row r="940" ht="22" customHeight="1">
      <x:c r="A940" s="4" t="str">
        <x:v>Teddy Blueger</x:v>
      </x:c>
      <x:c r="B940" s="4" t="str">
        <x:v>teddyblueger</x:v>
      </x:c>
      <x:c r="C940" s="10" t="n">
        <x:v>1</x:v>
      </x:c>
      <x:c r="D940" s="10" t="n">
        <x:v>0</x:v>
      </x:c>
      <x:c r="E940" s="10" t="n">
        <x:v>1</x:v>
      </x:c>
      <x:c r="F940" s="4" t="n">
        <x:f>IF(COUNT(N940,Q940,T940,W940,Z940,AC940,AF940,AI940)=8,N940*Guide!$E$5+Q940*Guide!$E$6+T940*Guide!$E$7+W940*Guide!$E$8+Z940*Guide!$E$9+AC940*Guide!$E$10+AF940*Guide!$E$11+AI940*Guide!$E$12,"")</x:f>
        <x:v>179.75</x:v>
      </x:c>
      <x:c r="G940" s="4" t="str">
        <x:f>IF(COUNT(O940,R940,U940,X940,AA940,AD940,AG940,AJ940)=8,O940*Guide!$E$5+R940*Guide!$E$6+U940*Guide!$E$7+X940*Guide!$E$8+AA940*Guide!$E$9+AD940*Guide!$E$10+AG940*Guide!$E$11+AJ940*Guide!$E$12,"")</x:f>
      </x:c>
      <x:c r="H940" s="4" t="str">
        <x:f>IF(COUNT(G940,F940)=2,G940-F940,"")</x:f>
      </x:c>
      <x:c r="I940" s="4" t="n">
        <x:f>IF(AND(ISNUMBER(F940),K940&gt;0),F940/K940,"")</x:f>
        <x:v>2.246875</x:v>
      </x:c>
      <x:c r="J940" s="4" t="str">
        <x:f>IF(AND(ISNUMBER(G940),L940&gt;0),G940/L940,"")</x:f>
      </x:c>
      <x:c r="K940" s="10" t="n">
        <x:v>80</x:v>
      </x:c>
      <x:c r="L940" s="10"/>
      <x:c r="M940" s="10" t="str">
        <x:f>IF(COUNT(L940,K940)=2,L940-K940,"")</x:f>
      </x:c>
      <x:c r="N940" s="10" t="n">
        <x:v>9</x:v>
      </x:c>
      <x:c r="O940" s="10"/>
      <x:c r="P940" s="10" t="str">
        <x:f>IF(COUNT(O940,N940)=2,O940-N940,"")</x:f>
      </x:c>
      <x:c r="Q940" s="10" t="n">
        <x:v>18</x:v>
      </x:c>
      <x:c r="R940" s="10"/>
      <x:c r="S940" s="10" t="str">
        <x:f>IF(COUNT(R940,Q940)=2,R940-Q940,"")</x:f>
      </x:c>
      <x:c r="T940" s="10" t="n">
        <x:v>-2</x:v>
      </x:c>
      <x:c r="U940" s="10"/>
      <x:c r="V940" s="10" t="str">
        <x:f>IF(COUNT(U940,T940)=2,U940-T940,"")</x:f>
      </x:c>
      <x:c r="W940" s="10" t="n">
        <x:v>1</x:v>
      </x:c>
      <x:c r="X940" s="10" t="str">
        <x:f>IF(COUNT(AV940,AW940)=2,AV940+AW940,"")</x:f>
      </x:c>
      <x:c r="Y940" s="10" t="str">
        <x:f>IF(COUNT(X940,W940)=2,X940-W940,"")</x:f>
      </x:c>
      <x:c r="Z940" s="10" t="n">
        <x:v>2</x:v>
      </x:c>
      <x:c r="AA940" s="10" t="str">
        <x:f>IF(COUNT(AX940,AY940)=2,AX940+AY940,"")</x:f>
      </x:c>
      <x:c r="AB940" s="10" t="str">
        <x:f>IF(COUNT(AA940,Z940)=2,AA940-Z940,"")</x:f>
      </x:c>
      <x:c r="AC940" s="10" t="n">
        <x:v>96</x:v>
      </x:c>
      <x:c r="AD940" s="10"/>
      <x:c r="AE940" s="10" t="str">
        <x:f>IF(COUNT(AD940,AC940)=2,AD940-AC940,"")</x:f>
      </x:c>
      <x:c r="AF940" s="10" t="n">
        <x:v>99</x:v>
      </x:c>
      <x:c r="AG940" s="10"/>
      <x:c r="AH940" s="10" t="str">
        <x:f>IF(COUNT(AG940,AF940)=2,AG940-AF940,"")</x:f>
      </x:c>
      <x:c r="AI940" s="10" t="n">
        <x:v>48</x:v>
      </x:c>
      <x:c r="AJ940" s="10"/>
      <x:c r="AK940" s="10" t="str">
        <x:f>IF(COUNT(AJ940,AI940)=2,AJ940-AI940,"")</x:f>
      </x:c>
      <x:c r="AL940" s="10" t="n">
        <x:v>31</x:v>
      </x:c>
      <x:c r="AM940" s="10"/>
      <x:c r="AN940" s="4" t="str">
        <x:v>C</x:v>
      </x:c>
      <x:c r="AO940" s="4"/>
      <x:c r="AP940" s="4" t="str">
        <x:v>VAN</x:v>
      </x:c>
      <x:c r="AQ940" s="4"/>
      <x:c r="AR940" s="4" t="n">
        <x:v>14.07</x:v>
      </x:c>
      <x:c r="AS940" s="4"/>
      <x:c r="AT940" s="4" t="n">
        <x:v>0.17</x:v>
      </x:c>
      <x:c r="AU940" s="4"/>
      <x:c r="AV940" s="10"/>
      <x:c r="AW940" s="10"/>
      <x:c r="AX940" s="10"/>
      <x:c r="AY940" s="10"/>
      <x:c r="AZ940" s="10" t="n">
        <x:v>389</x:v>
      </x:c>
      <x:c r="BA940" s="10" t="n">
        <x:v>513</x:v>
      </x:c>
      <x:c r="BB940" s="4" t="n">
        <x:v>43.1</x:v>
      </x:c>
      <x:c r="BC940" s="4" t="n">
        <x:v>-0.3</x:v>
      </x:c>
      <x:c r="BD940" s="10" t="n">
        <x:v>285</x:v>
      </x:c>
      <x:c r="BE940" s="10" t="n">
        <x:v>383</x:v>
      </x:c>
      <x:c r="BF940" s="4" t="n">
        <x:v>42.7</x:v>
      </x:c>
      <x:c r="BG940" s="4" t="n">
        <x:v>-1.2</x:v>
      </x:c>
      <x:c r="BH940" s="4" t="n">
        <x:v>11</x:v>
      </x:c>
      <x:c r="BI940" s="4" t="n">
        <x:v>86</x:v>
      </x:c>
      <x:c r="BJ940" s="4" t="n">
        <x:v>97</x:v>
      </x:c>
      <x:c r="BK940" s="4" t="n">
        <x:v>28.4</x:v>
      </x:c>
      <x:c r="BL940" s="4" t="n">
        <x:v>71.6</x:v>
      </x:c>
      <x:c r="BM940" s="4" t="n">
        <x:v>16.516666666666666</x:v>
      </x:c>
      <x:c r="BN940" s="4" t="n">
        <x:v>14.533333333333333</x:v>
      </x:c>
      <x:c r="BO940" s="10" t="n">
        <x:v>8</x:v>
      </x:c>
      <x:c r="BP940" s="10" t="n">
        <x:v>26</x:v>
      </x:c>
      <x:c r="BQ940" s="4" t="n">
        <x:v>-7.7</x:v>
      </x:c>
      <x:c r="BR940" s="10" t="n">
        <x:v>99</x:v>
      </x:c>
      <x:c r="BS940" s="4" t="n">
        <x:v>51.5</x:v>
      </x:c>
      <x:c r="BT940" s="10" t="n">
        <x:v>35</x:v>
      </x:c>
      <x:c r="BU940" s="4" t="str">
        <x:v>VAN</x:v>
      </x:c>
      <x:c r="BV940" s="10" t="n">
        <x:v>409</x:v>
      </x:c>
      <x:c r="BW940" s="10"/>
      <x:c r="BX940" s="10" t="n">
        <x:v>72</x:v>
      </x:c>
      <x:c r="BY940" s="4" t="str">
        <x:v>Teddy Blueger</x:v>
      </x:c>
      <x:c r="BZ940" s="4"/>
      <x:c r="CA940" s="4" t="str">
        <x:v>Teddy Blueger</x:v>
      </x:c>
      <x:c r="CB940" s="4" t="str">
        <x:v>bluegte01</x:v>
      </x:c>
    </x:row>
    <x:row r="941" ht="22" customHeight="1">
      <x:c r="A941" s="4" t="str">
        <x:v>Theo Lindstein</x:v>
      </x:c>
      <x:c r="B941" s="4" t="str">
        <x:v>theolindstein</x:v>
      </x:c>
      <x:c r="C941" s="10" t="n">
        <x:v>0</x:v>
      </x:c>
      <x:c r="D941" s="10" t="n">
        <x:v>0</x:v>
      </x:c>
      <x:c r="E941" s="10" t="n">
        <x:v>1</x:v>
      </x:c>
      <x:c r="F941" s="4" t="str">
        <x:f>IF(COUNT(N941,Q941,T941,W941,Z941,AC941,AF941,AI941)=8,N941*Guide!$E$5+Q941*Guide!$E$6+T941*Guide!$E$7+W941*Guide!$E$8+Z941*Guide!$E$9+AC941*Guide!$E$10+AF941*Guide!$E$11+AI941*Guide!$E$12,"")</x:f>
      </x:c>
      <x:c r="G941" s="4" t="str">
        <x:f>IF(COUNT(O941,R941,U941,X941,AA941,AD941,AG941,AJ941)=8,O941*Guide!$E$5+R941*Guide!$E$6+U941*Guide!$E$7+X941*Guide!$E$8+AA941*Guide!$E$9+AD941*Guide!$E$10+AG941*Guide!$E$11+AJ941*Guide!$E$12,"")</x:f>
      </x:c>
      <x:c r="H941" s="4" t="str">
        <x:f>IF(COUNT(G941,F941)=2,G941-F941,"")</x:f>
      </x:c>
      <x:c r="I941" s="4" t="str">
        <x:f>IF(AND(ISNUMBER(F941),K941&gt;0),F941/K941,"")</x:f>
      </x:c>
      <x:c r="J941" s="4" t="str">
        <x:f>IF(AND(ISNUMBER(G941),L941&gt;0),G941/L941,"")</x:f>
      </x:c>
      <x:c r="K941" s="10"/>
      <x:c r="L941" s="10"/>
      <x:c r="M941" s="10" t="str">
        <x:f>IF(COUNT(L941,K941)=2,L941-K941,"")</x:f>
      </x:c>
      <x:c r="N941" s="10"/>
      <x:c r="O941" s="10"/>
      <x:c r="P941" s="10" t="str">
        <x:f>IF(COUNT(O941,N941)=2,O941-N941,"")</x:f>
      </x:c>
      <x:c r="Q941" s="10"/>
      <x:c r="R941" s="10"/>
      <x:c r="S941" s="10" t="str">
        <x:f>IF(COUNT(R941,Q941)=2,R941-Q941,"")</x:f>
      </x:c>
      <x:c r="T941" s="10"/>
      <x:c r="U941" s="10"/>
      <x:c r="V941" s="10" t="str">
        <x:f>IF(COUNT(U941,T941)=2,U941-T941,"")</x:f>
      </x:c>
      <x:c r="W941" s="10"/>
      <x:c r="X941" s="10" t="str">
        <x:f>IF(COUNT(AV941,AW941)=2,AV941+AW941,"")</x:f>
      </x:c>
      <x:c r="Y941" s="10" t="str">
        <x:f>IF(COUNT(X941,W941)=2,X941-W941,"")</x:f>
      </x:c>
      <x:c r="Z941" s="10"/>
      <x:c r="AA941" s="10" t="str">
        <x:f>IF(COUNT(AX941,AY941)=2,AX941+AY941,"")</x:f>
      </x:c>
      <x:c r="AB941" s="10" t="str">
        <x:f>IF(COUNT(AA941,Z941)=2,AA941-Z941,"")</x:f>
      </x:c>
      <x:c r="AC941" s="10"/>
      <x:c r="AD941" s="10"/>
      <x:c r="AE941" s="10" t="str">
        <x:f>IF(COUNT(AD941,AC941)=2,AD941-AC941,"")</x:f>
      </x:c>
      <x:c r="AF941" s="10"/>
      <x:c r="AG941" s="10"/>
      <x:c r="AH941" s="10" t="str">
        <x:f>IF(COUNT(AG941,AF941)=2,AG941-AF941,"")</x:f>
      </x:c>
      <x:c r="AI941" s="10"/>
      <x:c r="AJ941" s="10"/>
      <x:c r="AK941" s="10" t="str">
        <x:f>IF(COUNT(AJ941,AI941)=2,AJ941-AI941,"")</x:f>
      </x:c>
      <x:c r="AL941" s="10"/>
      <x:c r="AM941" s="10"/>
      <x:c r="AN941" s="4"/>
      <x:c r="AO941" s="4"/>
      <x:c r="AP941" s="4"/>
      <x:c r="AQ941" s="4"/>
      <x:c r="AR941" s="4"/>
      <x:c r="AS941" s="4"/>
      <x:c r="AT941" s="4"/>
      <x:c r="AU941" s="4"/>
      <x:c r="AV941" s="10"/>
      <x:c r="AW941" s="10"/>
      <x:c r="AX941" s="10"/>
      <x:c r="AY941" s="10"/>
      <x:c r="AZ941" s="10" t="n">
        <x:v>253</x:v>
      </x:c>
      <x:c r="BA941" s="10" t="n">
        <x:v>228</x:v>
      </x:c>
      <x:c r="BB941" s="4" t="n">
        <x:v>52.6</x:v>
      </x:c>
      <x:c r="BC941" s="4" t="n">
        <x:v>3.8</x:v>
      </x:c>
      <x:c r="BD941" s="10" t="n">
        <x:v>176</x:v>
      </x:c>
      <x:c r="BE941" s="10" t="n">
        <x:v>162</x:v>
      </x:c>
      <x:c r="BF941" s="4" t="n">
        <x:v>52.1</x:v>
      </x:c>
      <x:c r="BG941" s="4" t="n">
        <x:v>4.9</x:v>
      </x:c>
      <x:c r="BH941" s="4" t="n">
        <x:v>8.7</x:v>
      </x:c>
      <x:c r="BI941" s="4" t="n">
        <x:v>95.2</x:v>
      </x:c>
      <x:c r="BJ941" s="4" t="n">
        <x:v>103.9</x:v>
      </x:c>
      <x:c r="BK941" s="4" t="n">
        <x:v>47.6</x:v>
      </x:c>
      <x:c r="BL941" s="4" t="n">
        <x:v>52.4</x:v>
      </x:c>
      <x:c r="BM941" s="4" t="n">
        <x:v>15.766666666666667</x:v>
      </x:c>
      <x:c r="BN941" s="4" t="n">
        <x:v>15.266666666666667</x:v>
      </x:c>
      <x:c r="BO941" s="10" t="n">
        <x:v>1</x:v>
      </x:c>
      <x:c r="BP941" s="10" t="n">
        <x:v>9</x:v>
      </x:c>
      <x:c r="BQ941" s="4" t="n">
        <x:v>4</x:v>
      </x:c>
      <x:c r="BR941" s="10" t="n">
        <x:v>50</x:v>
      </x:c>
      <x:c r="BS941" s="4" t="n">
        <x:v>40</x:v>
      </x:c>
      <x:c r="BT941" s="10" t="n">
        <x:v>17</x:v>
      </x:c>
      <x:c r="BU941" s="4" t="str">
        <x:v>STL</x:v>
      </x:c>
      <x:c r="BV941" s="10"/>
      <x:c r="BW941" s="10"/>
      <x:c r="BX941" s="10" t="n">
        <x:v>602</x:v>
      </x:c>
      <x:c r="BY941" s="4"/>
      <x:c r="BZ941" s="4"/>
      <x:c r="CA941" s="4" t="str">
        <x:v>Theo Lindstein</x:v>
      </x:c>
      <x:c r="CB941" s="4" t="str">
        <x:v>lindsth01</x:v>
      </x:c>
    </x:row>
    <x:row r="942" ht="22" customHeight="1">
      <x:c r="A942" s="4" t="str">
        <x:v>Thomas Bordeleau</x:v>
      </x:c>
      <x:c r="B942" s="4" t="str">
        <x:v>thomasbordeleau</x:v>
      </x:c>
      <x:c r="C942" s="10" t="n">
        <x:v>1</x:v>
      </x:c>
      <x:c r="D942" s="10" t="n">
        <x:v>0</x:v>
      </x:c>
      <x:c r="E942" s="10" t="n">
        <x:v>0</x:v>
      </x:c>
      <x:c r="F942" s="4" t="n">
        <x:f>IF(COUNT(N942,Q942,T942,W942,Z942,AC942,AF942,AI942)=8,N942*Guide!$E$5+Q942*Guide!$E$6+T942*Guide!$E$7+W942*Guide!$E$8+Z942*Guide!$E$9+AC942*Guide!$E$10+AF942*Guide!$E$11+AI942*Guide!$E$12,"")</x:f>
        <x:v>120</x:v>
      </x:c>
      <x:c r="G942" s="4" t="str">
        <x:f>IF(COUNT(O942,R942,U942,X942,AA942,AD942,AG942,AJ942)=8,O942*Guide!$E$5+R942*Guide!$E$6+U942*Guide!$E$7+X942*Guide!$E$8+AA942*Guide!$E$9+AD942*Guide!$E$10+AG942*Guide!$E$11+AJ942*Guide!$E$12,"")</x:f>
      </x:c>
      <x:c r="H942" s="4" t="str">
        <x:f>IF(COUNT(G942,F942)=2,G942-F942,"")</x:f>
      </x:c>
      <x:c r="I942" s="4" t="n">
        <x:f>IF(AND(ISNUMBER(F942),K942&gt;0),F942/K942,"")</x:f>
        <x:v>2.142857142857143</x:v>
      </x:c>
      <x:c r="J942" s="4" t="str">
        <x:f>IF(AND(ISNUMBER(G942),L942&gt;0),G942/L942,"")</x:f>
      </x:c>
      <x:c r="K942" s="10" t="n">
        <x:v>56</x:v>
      </x:c>
      <x:c r="L942" s="10"/>
      <x:c r="M942" s="10" t="str">
        <x:f>IF(COUNT(L942,K942)=2,L942-K942,"")</x:f>
      </x:c>
      <x:c r="N942" s="10" t="n">
        <x:v>9</x:v>
      </x:c>
      <x:c r="O942" s="10"/>
      <x:c r="P942" s="10" t="str">
        <x:f>IF(COUNT(O942,N942)=2,O942-N942,"")</x:f>
      </x:c>
      <x:c r="Q942" s="10" t="n">
        <x:v>11</x:v>
      </x:c>
      <x:c r="R942" s="10"/>
      <x:c r="S942" s="10" t="str">
        <x:f>IF(COUNT(R942,Q942)=2,R942-Q942,"")</x:f>
      </x:c>
      <x:c r="T942" s="10" t="n">
        <x:v>-6</x:v>
      </x:c>
      <x:c r="U942" s="10"/>
      <x:c r="V942" s="10" t="str">
        <x:f>IF(COUNT(U942,T942)=2,U942-T942,"")</x:f>
      </x:c>
      <x:c r="W942" s="10" t="n">
        <x:v>2</x:v>
      </x:c>
      <x:c r="X942" s="10" t="str">
        <x:f>IF(COUNT(AV942,AW942)=2,AV942+AW942,"")</x:f>
      </x:c>
      <x:c r="Y942" s="10" t="str">
        <x:f>IF(COUNT(X942,W942)=2,X942-W942,"")</x:f>
      </x:c>
      <x:c r="Z942" s="10" t="n">
        <x:v>0</x:v>
      </x:c>
      <x:c r="AA942" s="10" t="str">
        <x:f>IF(COUNT(AX942,AY942)=2,AX942+AY942,"")</x:f>
      </x:c>
      <x:c r="AB942" s="10" t="str">
        <x:f>IF(COUNT(AA942,Z942)=2,AA942-Z942,"")</x:f>
      </x:c>
      <x:c r="AC942" s="10" t="n">
        <x:v>81</x:v>
      </x:c>
      <x:c r="AD942" s="10"/>
      <x:c r="AE942" s="10" t="str">
        <x:f>IF(COUNT(AD942,AC942)=2,AD942-AC942,"")</x:f>
      </x:c>
      <x:c r="AF942" s="10" t="n">
        <x:v>25</x:v>
      </x:c>
      <x:c r="AG942" s="10"/>
      <x:c r="AH942" s="10" t="str">
        <x:f>IF(COUNT(AG942,AF942)=2,AG942-AF942,"")</x:f>
      </x:c>
      <x:c r="AI942" s="10" t="n">
        <x:v>38</x:v>
      </x:c>
      <x:c r="AJ942" s="10"/>
      <x:c r="AK942" s="10" t="str">
        <x:f>IF(COUNT(AJ942,AI942)=2,AJ942-AI942,"")</x:f>
      </x:c>
      <x:c r="AL942" s="10" t="n">
        <x:v>24</x:v>
      </x:c>
      <x:c r="AM942" s="10"/>
      <x:c r="AN942" s="4" t="str">
        <x:v>C</x:v>
      </x:c>
      <x:c r="AO942" s="4"/>
      <x:c r="AP942" s="4" t="str">
        <x:v>SJ</x:v>
      </x:c>
      <x:c r="AQ942" s="4"/>
      <x:c r="AR942" s="4" t="n">
        <x:v>13.21</x:v>
      </x:c>
      <x:c r="AS942" s="4"/>
      <x:c r="AT942" s="4" t="n">
        <x:v>0.5</x:v>
      </x:c>
      <x:c r="AU942" s="4"/>
      <x:c r="AV942" s="10"/>
      <x:c r="AW942" s="10"/>
      <x:c r="AX942" s="10"/>
      <x:c r="AY942" s="10"/>
      <x:c r="AZ942" s="10"/>
      <x:c r="BA942" s="10"/>
      <x:c r="BB942" s="4"/>
      <x:c r="BC942" s="4"/>
      <x:c r="BD942" s="10"/>
      <x:c r="BE942" s="10"/>
      <x:c r="BF942" s="4"/>
      <x:c r="BG942" s="4"/>
      <x:c r="BH942" s="4"/>
      <x:c r="BI942" s="4"/>
      <x:c r="BJ942" s="4"/>
      <x:c r="BK942" s="4"/>
      <x:c r="BL942" s="4"/>
      <x:c r="BM942" s="4"/>
      <x:c r="BN942" s="4"/>
      <x:c r="BO942" s="10"/>
      <x:c r="BP942" s="10"/>
      <x:c r="BQ942" s="4"/>
      <x:c r="BR942" s="10"/>
      <x:c r="BS942" s="4"/>
      <x:c r="BT942" s="10"/>
      <x:c r="BU942" s="4"/>
      <x:c r="BV942" s="10" t="n">
        <x:v>530</x:v>
      </x:c>
      <x:c r="BW942" s="10"/>
      <x:c r="BX942" s="10"/>
      <x:c r="BY942" s="4" t="str">
        <x:v>Thomas Bordeleau</x:v>
      </x:c>
      <x:c r="BZ942" s="4"/>
      <x:c r="CA942" s="4"/>
      <x:c r="CB942" s="4"/>
    </x:row>
    <x:row r="943" ht="22" customHeight="1">
      <x:c r="A943" s="4" t="str">
        <x:v>Tim Washe</x:v>
      </x:c>
      <x:c r="B943" s="4" t="str">
        <x:v>timwashe</x:v>
      </x:c>
      <x:c r="C943" s="10" t="n">
        <x:v>0</x:v>
      </x:c>
      <x:c r="D943" s="10" t="n">
        <x:v>0</x:v>
      </x:c>
      <x:c r="E943" s="10" t="n">
        <x:v>1</x:v>
      </x:c>
      <x:c r="F943" s="4" t="str">
        <x:f>IF(COUNT(N943,Q943,T943,W943,Z943,AC943,AF943,AI943)=8,N943*Guide!$E$5+Q943*Guide!$E$6+T943*Guide!$E$7+W943*Guide!$E$8+Z943*Guide!$E$9+AC943*Guide!$E$10+AF943*Guide!$E$11+AI943*Guide!$E$12,"")</x:f>
      </x:c>
      <x:c r="G943" s="4" t="str">
        <x:f>IF(COUNT(O943,R943,U943,X943,AA943,AD943,AG943,AJ943)=8,O943*Guide!$E$5+R943*Guide!$E$6+U943*Guide!$E$7+X943*Guide!$E$8+AA943*Guide!$E$9+AD943*Guide!$E$10+AG943*Guide!$E$11+AJ943*Guide!$E$12,"")</x:f>
      </x:c>
      <x:c r="H943" s="4" t="str">
        <x:f>IF(COUNT(G943,F943)=2,G943-F943,"")</x:f>
      </x:c>
      <x:c r="I943" s="4" t="str">
        <x:f>IF(AND(ISNUMBER(F943),K943&gt;0),F943/K943,"")</x:f>
      </x:c>
      <x:c r="J943" s="4" t="str">
        <x:f>IF(AND(ISNUMBER(G943),L943&gt;0),G943/L943,"")</x:f>
      </x:c>
      <x:c r="K943" s="10"/>
      <x:c r="L943" s="10"/>
      <x:c r="M943" s="10" t="str">
        <x:f>IF(COUNT(L943,K943)=2,L943-K943,"")</x:f>
      </x:c>
      <x:c r="N943" s="10"/>
      <x:c r="O943" s="10"/>
      <x:c r="P943" s="10" t="str">
        <x:f>IF(COUNT(O943,N943)=2,O943-N943,"")</x:f>
      </x:c>
      <x:c r="Q943" s="10"/>
      <x:c r="R943" s="10"/>
      <x:c r="S943" s="10" t="str">
        <x:f>IF(COUNT(R943,Q943)=2,R943-Q943,"")</x:f>
      </x:c>
      <x:c r="T943" s="10"/>
      <x:c r="U943" s="10"/>
      <x:c r="V943" s="10" t="str">
        <x:f>IF(COUNT(U943,T943)=2,U943-T943,"")</x:f>
      </x:c>
      <x:c r="W943" s="10"/>
      <x:c r="X943" s="10" t="str">
        <x:f>IF(COUNT(AV943,AW943)=2,AV943+AW943,"")</x:f>
      </x:c>
      <x:c r="Y943" s="10" t="str">
        <x:f>IF(COUNT(X943,W943)=2,X943-W943,"")</x:f>
      </x:c>
      <x:c r="Z943" s="10"/>
      <x:c r="AA943" s="10" t="str">
        <x:f>IF(COUNT(AX943,AY943)=2,AX943+AY943,"")</x:f>
      </x:c>
      <x:c r="AB943" s="10" t="str">
        <x:f>IF(COUNT(AA943,Z943)=2,AA943-Z943,"")</x:f>
      </x:c>
      <x:c r="AC943" s="10"/>
      <x:c r="AD943" s="10"/>
      <x:c r="AE943" s="10" t="str">
        <x:f>IF(COUNT(AD943,AC943)=2,AD943-AC943,"")</x:f>
      </x:c>
      <x:c r="AF943" s="10"/>
      <x:c r="AG943" s="10"/>
      <x:c r="AH943" s="10" t="str">
        <x:f>IF(COUNT(AG943,AF943)=2,AG943-AF943,"")</x:f>
      </x:c>
      <x:c r="AI943" s="10"/>
      <x:c r="AJ943" s="10"/>
      <x:c r="AK943" s="10" t="str">
        <x:f>IF(COUNT(AJ943,AI943)=2,AJ943-AI943,"")</x:f>
      </x:c>
      <x:c r="AL943" s="10"/>
      <x:c r="AM943" s="10"/>
      <x:c r="AN943" s="4"/>
      <x:c r="AO943" s="4"/>
      <x:c r="AP943" s="4"/>
      <x:c r="AQ943" s="4"/>
      <x:c r="AR943" s="4"/>
      <x:c r="AS943" s="4"/>
      <x:c r="AT943" s="4"/>
      <x:c r="AU943" s="4"/>
      <x:c r="AV943" s="10"/>
      <x:c r="AW943" s="10"/>
      <x:c r="AX943" s="10"/>
      <x:c r="AY943" s="10"/>
      <x:c r="AZ943" s="10" t="n">
        <x:v>356</x:v>
      </x:c>
      <x:c r="BA943" s="10" t="n">
        <x:v>389</x:v>
      </x:c>
      <x:c r="BB943" s="4" t="n">
        <x:v>47.8</x:v>
      </x:c>
      <x:c r="BC943" s="4" t="n">
        <x:v>-5.6</x:v>
      </x:c>
      <x:c r="BD943" s="10" t="n">
        <x:v>261</x:v>
      </x:c>
      <x:c r="BE943" s="10" t="n">
        <x:v>272</x:v>
      </x:c>
      <x:c r="BF943" s="4" t="n">
        <x:v>49</x:v>
      </x:c>
      <x:c r="BG943" s="4" t="n">
        <x:v>-4.4</x:v>
      </x:c>
      <x:c r="BH943" s="4" t="n">
        <x:v>7.4</x:v>
      </x:c>
      <x:c r="BI943" s="4" t="n">
        <x:v>89.9</x:v>
      </x:c>
      <x:c r="BJ943" s="4" t="n">
        <x:v>97.3</x:v>
      </x:c>
      <x:c r="BK943" s="4" t="n">
        <x:v>31.6</x:v>
      </x:c>
      <x:c r="BL943" s="4" t="n">
        <x:v>68.4</x:v>
      </x:c>
      <x:c r="BM943" s="4" t="n">
        <x:v>12.05</x:v>
      </x:c>
      <x:c r="BN943" s="4" t="n">
        <x:v>10.133333333333333</x:v>
      </x:c>
      <x:c r="BO943" s="10" t="n">
        <x:v>12</x:v>
      </x:c>
      <x:c r="BP943" s="10" t="n">
        <x:v>11</x:v>
      </x:c>
      <x:c r="BQ943" s="4" t="n">
        <x:v>-7.1</x:v>
      </x:c>
      <x:c r="BR943" s="10" t="n">
        <x:v>76</x:v>
      </x:c>
      <x:c r="BS943" s="4" t="n">
        <x:v>43.4</x:v>
      </x:c>
      <x:c r="BT943" s="10" t="n">
        <x:v>39</x:v>
      </x:c>
      <x:c r="BU943" s="4" t="str">
        <x:v>ANA</x:v>
      </x:c>
      <x:c r="BV943" s="10"/>
      <x:c r="BW943" s="10"/>
      <x:c r="BX943" s="10" t="n">
        <x:v>1064</x:v>
      </x:c>
      <x:c r="BY943" s="4"/>
      <x:c r="BZ943" s="4"/>
      <x:c r="CA943" s="4" t="str">
        <x:v>Tim Washe</x:v>
      </x:c>
      <x:c r="CB943" s="4" t="str">
        <x:v>washeti01</x:v>
      </x:c>
    </x:row>
    <x:row r="944" ht="22" customHeight="1">
      <x:c r="A944" s="4" t="str">
        <x:v>Timothy Liljegren</x:v>
      </x:c>
      <x:c r="B944" s="4" t="str">
        <x:v>timothyliljegren</x:v>
      </x:c>
      <x:c r="C944" s="10" t="n">
        <x:v>1</x:v>
      </x:c>
      <x:c r="D944" s="10" t="n">
        <x:v>0</x:v>
      </x:c>
      <x:c r="E944" s="10" t="n">
        <x:v>1</x:v>
      </x:c>
      <x:c r="F944" s="4" t="n">
        <x:f>IF(COUNT(N944,Q944,T944,W944,Z944,AC944,AF944,AI944)=8,N944*Guide!$E$5+Q944*Guide!$E$6+T944*Guide!$E$7+W944*Guide!$E$8+Z944*Guide!$E$9+AC944*Guide!$E$10+AF944*Guide!$E$11+AI944*Guide!$E$12,"")</x:f>
        <x:v>206.25</x:v>
      </x:c>
      <x:c r="G944" s="4" t="str">
        <x:f>IF(COUNT(O944,R944,U944,X944,AA944,AD944,AG944,AJ944)=8,O944*Guide!$E$5+R944*Guide!$E$6+U944*Guide!$E$7+X944*Guide!$E$8+AA944*Guide!$E$9+AD944*Guide!$E$10+AG944*Guide!$E$11+AJ944*Guide!$E$12,"")</x:f>
      </x:c>
      <x:c r="H944" s="4" t="str">
        <x:f>IF(COUNT(G944,F944)=2,G944-F944,"")</x:f>
      </x:c>
      <x:c r="I944" s="4" t="n">
        <x:f>IF(AND(ISNUMBER(F944),K944&gt;0),F944/K944,"")</x:f>
        <x:v>2.9464285714285716</x:v>
      </x:c>
      <x:c r="J944" s="4" t="str">
        <x:f>IF(AND(ISNUMBER(G944),L944&gt;0),G944/L944,"")</x:f>
      </x:c>
      <x:c r="K944" s="10" t="n">
        <x:v>70</x:v>
      </x:c>
      <x:c r="L944" s="10"/>
      <x:c r="M944" s="10" t="str">
        <x:f>IF(COUNT(L944,K944)=2,L944-K944,"")</x:f>
      </x:c>
      <x:c r="N944" s="10" t="n">
        <x:v>6</x:v>
      </x:c>
      <x:c r="O944" s="10"/>
      <x:c r="P944" s="10" t="str">
        <x:f>IF(COUNT(O944,N944)=2,O944-N944,"")</x:f>
      </x:c>
      <x:c r="Q944" s="10" t="n">
        <x:v>19</x:v>
      </x:c>
      <x:c r="R944" s="10"/>
      <x:c r="S944" s="10" t="str">
        <x:f>IF(COUNT(R944,Q944)=2,R944-Q944,"")</x:f>
      </x:c>
      <x:c r="T944" s="10" t="n">
        <x:v>-9</x:v>
      </x:c>
      <x:c r="U944" s="10"/>
      <x:c r="V944" s="10" t="str">
        <x:f>IF(COUNT(U944,T944)=2,U944-T944,"")</x:f>
      </x:c>
      <x:c r="W944" s="10" t="n">
        <x:v>7</x:v>
      </x:c>
      <x:c r="X944" s="10" t="str">
        <x:f>IF(COUNT(AV944,AW944)=2,AV944+AW944,"")</x:f>
      </x:c>
      <x:c r="Y944" s="10" t="str">
        <x:f>IF(COUNT(X944,W944)=2,X944-W944,"")</x:f>
      </x:c>
      <x:c r="Z944" s="10" t="n">
        <x:v>0</x:v>
      </x:c>
      <x:c r="AA944" s="10" t="str">
        <x:f>IF(COUNT(AX944,AY944)=2,AX944+AY944,"")</x:f>
      </x:c>
      <x:c r="AB944" s="10" t="str">
        <x:f>IF(COUNT(AA944,Z944)=2,AA944-Z944,"")</x:f>
      </x:c>
      <x:c r="AC944" s="10" t="n">
        <x:v>100</x:v>
      </x:c>
      <x:c r="AD944" s="10"/>
      <x:c r="AE944" s="10" t="str">
        <x:f>IF(COUNT(AD944,AC944)=2,AD944-AC944,"")</x:f>
      </x:c>
      <x:c r="AF944" s="10" t="n">
        <x:v>70</x:v>
      </x:c>
      <x:c r="AG944" s="10"/>
      <x:c r="AH944" s="10" t="str">
        <x:f>IF(COUNT(AG944,AF944)=2,AG944-AF944,"")</x:f>
      </x:c>
      <x:c r="AI944" s="10" t="n">
        <x:v>113</x:v>
      </x:c>
      <x:c r="AJ944" s="10"/>
      <x:c r="AK944" s="10" t="str">
        <x:f>IF(COUNT(AJ944,AI944)=2,AJ944-AI944,"")</x:f>
      </x:c>
      <x:c r="AL944" s="10" t="n">
        <x:v>26</x:v>
      </x:c>
      <x:c r="AM944" s="10"/>
      <x:c r="AN944" s="4" t="str">
        <x:v>D</x:v>
      </x:c>
      <x:c r="AO944" s="4"/>
      <x:c r="AP944" s="4" t="str">
        <x:v>SJ</x:v>
      </x:c>
      <x:c r="AQ944" s="4"/>
      <x:c r="AR944" s="4" t="n">
        <x:v>19.380000000000003</x:v>
      </x:c>
      <x:c r="AS944" s="4"/>
      <x:c r="AT944" s="4" t="n">
        <x:v>1.53</x:v>
      </x:c>
      <x:c r="AU944" s="4"/>
      <x:c r="AV944" s="10"/>
      <x:c r="AW944" s="10"/>
      <x:c r="AX944" s="10"/>
      <x:c r="AY944" s="10"/>
      <x:c r="AZ944" s="10" t="n">
        <x:v>617</x:v>
      </x:c>
      <x:c r="BA944" s="10" t="n">
        <x:v>869</x:v>
      </x:c>
      <x:c r="BB944" s="4" t="n">
        <x:v>41.5</x:v>
      </x:c>
      <x:c r="BC944" s="4" t="n">
        <x:v>-3.8</x:v>
      </x:c>
      <x:c r="BD944" s="10" t="n">
        <x:v>432</x:v>
      </x:c>
      <x:c r="BE944" s="10" t="n">
        <x:v>611</x:v>
      </x:c>
      <x:c r="BF944" s="4" t="n">
        <x:v>41.4</x:v>
      </x:c>
      <x:c r="BG944" s="4" t="n">
        <x:v>-3.4</x:v>
      </x:c>
      <x:c r="BH944" s="4" t="n">
        <x:v>11.2</x:v>
      </x:c>
      <x:c r="BI944" s="4" t="n">
        <x:v>89.3</x:v>
      </x:c>
      <x:c r="BJ944" s="4" t="n">
        <x:v>100.5</x:v>
      </x:c>
      <x:c r="BK944" s="4" t="n">
        <x:v>38</x:v>
      </x:c>
      <x:c r="BL944" s="4" t="n">
        <x:v>62</x:v>
      </x:c>
      <x:c r="BM944" s="4" t="n">
        <x:v>19.85</x:v>
      </x:c>
      <x:c r="BN944" s="4" t="n">
        <x:v>16.9</x:v>
      </x:c>
      <x:c r="BO944" s="10" t="n">
        <x:v>9</x:v>
      </x:c>
      <x:c r="BP944" s="10" t="n">
        <x:v>50</x:v>
      </x:c>
      <x:c r="BQ944" s="4" t="n">
        <x:v>-2</x:v>
      </x:c>
      <x:c r="BR944" s="10" t="n">
        <x:v>113</x:v>
      </x:c>
      <x:c r="BS944" s="4" t="n">
        <x:v>34.5</x:v>
      </x:c>
      <x:c r="BT944" s="10" t="n">
        <x:v>47</x:v>
      </x:c>
      <x:c r="BU944" s="4" t="str">
        <x:v>TOT</x:v>
      </x:c>
      <x:c r="BV944" s="10" t="n">
        <x:v>431</x:v>
      </x:c>
      <x:c r="BW944" s="10"/>
      <x:c r="BX944" s="10" t="n">
        <x:v>595</x:v>
      </x:c>
      <x:c r="BY944" s="4" t="str">
        <x:v>Timothy Liljegren</x:v>
      </x:c>
      <x:c r="BZ944" s="4"/>
      <x:c r="CA944" s="4" t="str">
        <x:v>Timothy Liljegren</x:v>
      </x:c>
      <x:c r="CB944" s="4" t="str">
        <x:v>liljeti01</x:v>
      </x:c>
    </x:row>
    <x:row r="945" ht="22" customHeight="1">
      <x:c r="A945" s="4" t="str">
        <x:v>Tobias Björnfot</x:v>
      </x:c>
      <x:c r="B945" s="4" t="str">
        <x:v>tobiasbjornfot</x:v>
      </x:c>
      <x:c r="C945" s="10" t="n">
        <x:v>0</x:v>
      </x:c>
      <x:c r="D945" s="10" t="n">
        <x:v>0</x:v>
      </x:c>
      <x:c r="E945" s="10" t="n">
        <x:v>1</x:v>
      </x:c>
      <x:c r="F945" s="4" t="str">
        <x:f>IF(COUNT(N945,Q945,T945,W945,Z945,AC945,AF945,AI945)=8,N945*Guide!$E$5+Q945*Guide!$E$6+T945*Guide!$E$7+W945*Guide!$E$8+Z945*Guide!$E$9+AC945*Guide!$E$10+AF945*Guide!$E$11+AI945*Guide!$E$12,"")</x:f>
      </x:c>
      <x:c r="G945" s="4" t="str">
        <x:f>IF(COUNT(O945,R945,U945,X945,AA945,AD945,AG945,AJ945)=8,O945*Guide!$E$5+R945*Guide!$E$6+U945*Guide!$E$7+X945*Guide!$E$8+AA945*Guide!$E$9+AD945*Guide!$E$10+AG945*Guide!$E$11+AJ945*Guide!$E$12,"")</x:f>
      </x:c>
      <x:c r="H945" s="4" t="str">
        <x:f>IF(COUNT(G945,F945)=2,G945-F945,"")</x:f>
      </x:c>
      <x:c r="I945" s="4" t="str">
        <x:f>IF(AND(ISNUMBER(F945),K945&gt;0),F945/K945,"")</x:f>
      </x:c>
      <x:c r="J945" s="4" t="str">
        <x:f>IF(AND(ISNUMBER(G945),L945&gt;0),G945/L945,"")</x:f>
      </x:c>
      <x:c r="K945" s="10"/>
      <x:c r="L945" s="10"/>
      <x:c r="M945" s="10" t="str">
        <x:f>IF(COUNT(L945,K945)=2,L945-K945,"")</x:f>
      </x:c>
      <x:c r="N945" s="10"/>
      <x:c r="O945" s="10"/>
      <x:c r="P945" s="10" t="str">
        <x:f>IF(COUNT(O945,N945)=2,O945-N945,"")</x:f>
      </x:c>
      <x:c r="Q945" s="10"/>
      <x:c r="R945" s="10"/>
      <x:c r="S945" s="10" t="str">
        <x:f>IF(COUNT(R945,Q945)=2,R945-Q945,"")</x:f>
      </x:c>
      <x:c r="T945" s="10"/>
      <x:c r="U945" s="10"/>
      <x:c r="V945" s="10" t="str">
        <x:f>IF(COUNT(U945,T945)=2,U945-T945,"")</x:f>
      </x:c>
      <x:c r="W945" s="10"/>
      <x:c r="X945" s="10" t="str">
        <x:f>IF(COUNT(AV945,AW945)=2,AV945+AW945,"")</x:f>
      </x:c>
      <x:c r="Y945" s="10" t="str">
        <x:f>IF(COUNT(X945,W945)=2,X945-W945,"")</x:f>
      </x:c>
      <x:c r="Z945" s="10"/>
      <x:c r="AA945" s="10" t="str">
        <x:f>IF(COUNT(AX945,AY945)=2,AX945+AY945,"")</x:f>
      </x:c>
      <x:c r="AB945" s="10" t="str">
        <x:f>IF(COUNT(AA945,Z945)=2,AA945-Z945,"")</x:f>
      </x:c>
      <x:c r="AC945" s="10"/>
      <x:c r="AD945" s="10"/>
      <x:c r="AE945" s="10" t="str">
        <x:f>IF(COUNT(AD945,AC945)=2,AD945-AC945,"")</x:f>
      </x:c>
      <x:c r="AF945" s="10"/>
      <x:c r="AG945" s="10"/>
      <x:c r="AH945" s="10" t="str">
        <x:f>IF(COUNT(AG945,AF945)=2,AG945-AF945,"")</x:f>
      </x:c>
      <x:c r="AI945" s="10"/>
      <x:c r="AJ945" s="10"/>
      <x:c r="AK945" s="10" t="str">
        <x:f>IF(COUNT(AJ945,AI945)=2,AJ945-AI945,"")</x:f>
      </x:c>
      <x:c r="AL945" s="10"/>
      <x:c r="AM945" s="10"/>
      <x:c r="AN945" s="4"/>
      <x:c r="AO945" s="4"/>
      <x:c r="AP945" s="4"/>
      <x:c r="AQ945" s="4"/>
      <x:c r="AR945" s="4"/>
      <x:c r="AS945" s="4"/>
      <x:c r="AT945" s="4"/>
      <x:c r="AU945" s="4"/>
      <x:c r="AV945" s="10"/>
      <x:c r="AW945" s="10"/>
      <x:c r="AX945" s="10"/>
      <x:c r="AY945" s="10"/>
      <x:c r="AZ945" s="10" t="n">
        <x:v>218</x:v>
      </x:c>
      <x:c r="BA945" s="10" t="n">
        <x:v>217</x:v>
      </x:c>
      <x:c r="BB945" s="4" t="n">
        <x:v>50.1</x:v>
      </x:c>
      <x:c r="BC945" s="4" t="n">
        <x:v>-2.6</x:v>
      </x:c>
      <x:c r="BD945" s="10" t="n">
        <x:v>148</x:v>
      </x:c>
      <x:c r="BE945" s="10" t="n">
        <x:v>152</x:v>
      </x:c>
      <x:c r="BF945" s="4" t="n">
        <x:v>49.3</x:v>
      </x:c>
      <x:c r="BG945" s="4" t="n">
        <x:v>-3.2</x:v>
      </x:c>
      <x:c r="BH945" s="4" t="n">
        <x:v>14.6</x:v>
      </x:c>
      <x:c r="BI945" s="4" t="n">
        <x:v>88.3</x:v>
      </x:c>
      <x:c r="BJ945" s="4" t="n">
        <x:v>102.9</x:v>
      </x:c>
      <x:c r="BK945" s="4" t="n">
        <x:v>46.3</x:v>
      </x:c>
      <x:c r="BL945" s="4" t="n">
        <x:v>53.7</x:v>
      </x:c>
      <x:c r="BM945" s="4" t="n">
        <x:v>14.183333333333334</x:v>
      </x:c>
      <x:c r="BN945" s="4" t="n">
        <x:v>13.55</x:v>
      </x:c>
      <x:c r="BO945" s="10" t="n">
        <x:v>2</x:v>
      </x:c>
      <x:c r="BP945" s="10" t="n">
        <x:v>10</x:v>
      </x:c>
      <x:c r="BQ945" s="4" t="n">
        <x:v>-2.1</x:v>
      </x:c>
      <x:c r="BR945" s="10" t="n">
        <x:v>26</x:v>
      </x:c>
      <x:c r="BS945" s="4" t="n">
        <x:v>46.2</x:v>
      </x:c>
      <x:c r="BT945" s="10" t="n">
        <x:v>19</x:v>
      </x:c>
      <x:c r="BU945" s="4" t="str">
        <x:v>FLA</x:v>
      </x:c>
      <x:c r="BV945" s="10"/>
      <x:c r="BW945" s="10"/>
      <x:c r="BX945" s="10" t="n">
        <x:v>59</x:v>
      </x:c>
      <x:c r="BY945" s="4"/>
      <x:c r="BZ945" s="4"/>
      <x:c r="CA945" s="4" t="str">
        <x:v>Tobias Björnfot</x:v>
      </x:c>
      <x:c r="CB945" s="4" t="str">
        <x:v>bjornto01</x:v>
      </x:c>
    </x:row>
    <x:row r="946" ht="22" customHeight="1">
      <x:c r="A946" s="4" t="str">
        <x:v>Tom Willander</x:v>
      </x:c>
      <x:c r="B946" s="4" t="str">
        <x:v>tomwillander</x:v>
      </x:c>
      <x:c r="C946" s="10" t="n">
        <x:v>0</x:v>
      </x:c>
      <x:c r="D946" s="10" t="n">
        <x:v>1</x:v>
      </x:c>
      <x:c r="E946" s="10" t="n">
        <x:v>1</x:v>
      </x:c>
      <x:c r="F946" s="4" t="str">
        <x:f>IF(COUNT(N946,Q946,T946,W946,Z946,AC946,AF946,AI946)=8,N946*Guide!$E$5+Q946*Guide!$E$6+T946*Guide!$E$7+W946*Guide!$E$8+Z946*Guide!$E$9+AC946*Guide!$E$10+AF946*Guide!$E$11+AI946*Guide!$E$12,"")</x:f>
      </x:c>
      <x:c r="G946" s="4" t="n">
        <x:f>IF(COUNT(O946,R946,U946,X946,AA946,AD946,AG946,AJ946)=8,O946*Guide!$E$5+R946*Guide!$E$6+U946*Guide!$E$7+X946*Guide!$E$8+AA946*Guide!$E$9+AD946*Guide!$E$10+AG946*Guide!$E$11+AJ946*Guide!$E$12,"")</x:f>
        <x:v>130</x:v>
      </x:c>
      <x:c r="H946" s="4" t="str">
        <x:f>IF(COUNT(G946,F946)=2,G946-F946,"")</x:f>
      </x:c>
      <x:c r="I946" s="4" t="str">
        <x:f>IF(AND(ISNUMBER(F946),K946&gt;0),F946/K946,"")</x:f>
      </x:c>
      <x:c r="J946" s="4" t="n">
        <x:f>IF(AND(ISNUMBER(G946),L946&gt;0),G946/L946,"")</x:f>
        <x:v>1.8571428571428572</x:v>
      </x:c>
      <x:c r="K946" s="10"/>
      <x:c r="L946" s="10" t="n">
        <x:v>70</x:v>
      </x:c>
      <x:c r="M946" s="10" t="str">
        <x:f>IF(COUNT(L946,K946)=2,L946-K946,"")</x:f>
      </x:c>
      <x:c r="N946" s="10"/>
      <x:c r="O946" s="10" t="n">
        <x:v>5</x:v>
      </x:c>
      <x:c r="P946" s="10" t="str">
        <x:f>IF(COUNT(O946,N946)=2,O946-N946,"")</x:f>
      </x:c>
      <x:c r="Q946" s="10"/>
      <x:c r="R946" s="10" t="n">
        <x:v>16</x:v>
      </x:c>
      <x:c r="S946" s="10" t="str">
        <x:f>IF(COUNT(R946,Q946)=2,R946-Q946,"")</x:f>
      </x:c>
      <x:c r="T946" s="10"/>
      <x:c r="U946" s="10" t="n">
        <x:v>-23</x:v>
      </x:c>
      <x:c r="V946" s="10" t="str">
        <x:f>IF(COUNT(U946,T946)=2,U946-T946,"")</x:f>
      </x:c>
      <x:c r="W946" s="10"/>
      <x:c r="X946" s="10" t="n">
        <x:f>IF(COUNT(AV946,AW946)=2,AV946+AW946,"")</x:f>
        <x:v>3</x:v>
      </x:c>
      <x:c r="Y946" s="10" t="str">
        <x:f>IF(COUNT(X946,W946)=2,X946-W946,"")</x:f>
      </x:c>
      <x:c r="Z946" s="10"/>
      <x:c r="AA946" s="10" t="n">
        <x:f>IF(COUNT(AX946,AY946)=2,AX946+AY946,"")</x:f>
        <x:v>0</x:v>
      </x:c>
      <x:c r="AB946" s="10" t="str">
        <x:f>IF(COUNT(AA946,Z946)=2,AA946-Z946,"")</x:f>
      </x:c>
      <x:c r="AC946" s="10"/>
      <x:c r="AD946" s="10" t="n">
        <x:v>59</x:v>
      </x:c>
      <x:c r="AE946" s="10" t="str">
        <x:f>IF(COUNT(AD946,AC946)=2,AD946-AC946,"")</x:f>
      </x:c>
      <x:c r="AF946" s="10"/>
      <x:c r="AG946" s="10" t="n">
        <x:v>35</x:v>
      </x:c>
      <x:c r="AH946" s="10" t="str">
        <x:f>IF(COUNT(AG946,AF946)=2,AG946-AF946,"")</x:f>
      </x:c>
      <x:c r="AI946" s="10"/>
      <x:c r="AJ946" s="10" t="n">
        <x:v>78</x:v>
      </x:c>
      <x:c r="AK946" s="10" t="str">
        <x:f>IF(COUNT(AJ946,AI946)=2,AJ946-AI946,"")</x:f>
      </x:c>
      <x:c r="AL946" s="10"/>
      <x:c r="AM946" s="10" t="n">
        <x:v>20</x:v>
      </x:c>
      <x:c r="AN946" s="4"/>
      <x:c r="AO946" s="4" t="str">
        <x:v>D</x:v>
      </x:c>
      <x:c r="AP946" s="4"/>
      <x:c r="AQ946" s="4" t="str">
        <x:v>VAN</x:v>
      </x:c>
      <x:c r="AR946" s="4"/>
      <x:c r="AS946" s="4" t="n">
        <x:v>16.983333333333334</x:v>
      </x:c>
      <x:c r="AT946" s="4"/>
      <x:c r="AU946" s="4" t="n">
        <x:v>8.5</x:v>
      </x:c>
      <x:c r="AV946" s="10" t="n">
        <x:v>0</x:v>
      </x:c>
      <x:c r="AW946" s="10" t="n">
        <x:v>3</x:v>
      </x:c>
      <x:c r="AX946" s="10" t="n">
        <x:v>0</x:v>
      </x:c>
      <x:c r="AY946" s="10" t="n">
        <x:v>0</x:v>
      </x:c>
      <x:c r="AZ946" s="10" t="n">
        <x:v>827</x:v>
      </x:c>
      <x:c r="BA946" s="10" t="n">
        <x:v>1087</x:v>
      </x:c>
      <x:c r="BB946" s="4" t="n">
        <x:v>43.2</x:v>
      </x:c>
      <x:c r="BC946" s="4" t="n">
        <x:v>-5</x:v>
      </x:c>
      <x:c r="BD946" s="10" t="n">
        <x:v>595</x:v>
      </x:c>
      <x:c r="BE946" s="10" t="n">
        <x:v>808</x:v>
      </x:c>
      <x:c r="BF946" s="4" t="n">
        <x:v>42.4</x:v>
      </x:c>
      <x:c r="BG946" s="4" t="n">
        <x:v>-5.4</x:v>
      </x:c>
      <x:c r="BH946" s="4" t="n">
        <x:v>10.9</x:v>
      </x:c>
      <x:c r="BI946" s="4" t="n">
        <x:v>88.4</x:v>
      </x:c>
      <x:c r="BJ946" s="4" t="n">
        <x:v>99.3</x:v>
      </x:c>
      <x:c r="BK946" s="4" t="n">
        <x:v>46.2</x:v>
      </x:c>
      <x:c r="BL946" s="4" t="n">
        <x:v>53.8</x:v>
      </x:c>
      <x:c r="BM946" s="4" t="n">
        <x:v>16.983333333333334</x:v>
      </x:c>
      <x:c r="BN946" s="4" t="n">
        <x:v>15.316666666666666</x:v>
      </x:c>
      <x:c r="BO946" s="10" t="n">
        <x:v>11</x:v>
      </x:c>
      <x:c r="BP946" s="10" t="n">
        <x:v>58</x:v>
      </x:c>
      <x:c r="BQ946" s="4" t="n">
        <x:v>-12.3</x:v>
      </x:c>
      <x:c r="BR946" s="10" t="n">
        <x:v>151</x:v>
      </x:c>
      <x:c r="BS946" s="4" t="n">
        <x:v>39.1</x:v>
      </x:c>
      <x:c r="BT946" s="10" t="n">
        <x:v>70</x:v>
      </x:c>
      <x:c r="BU946" s="4" t="str">
        <x:v>VAN</x:v>
      </x:c>
      <x:c r="BV946" s="10"/>
      <x:c r="BW946" s="10" t="n">
        <x:v>454</x:v>
      </x:c>
      <x:c r="BX946" s="10" t="n">
        <x:v>1076</x:v>
      </x:c>
      <x:c r="BY946" s="4"/>
      <x:c r="BZ946" s="4" t="str">
        <x:v>Tom Willander</x:v>
      </x:c>
      <x:c r="CA946" s="4" t="str">
        <x:v>Tom Willander</x:v>
      </x:c>
      <x:c r="CB946" s="4" t="str">
        <x:v>willato01</x:v>
      </x:c>
    </x:row>
    <x:row r="947" ht="22" customHeight="1">
      <x:c r="A947" s="4" t="str">
        <x:v>Tomas Nosek</x:v>
      </x:c>
      <x:c r="B947" s="4" t="str">
        <x:v>tomasnosek</x:v>
      </x:c>
      <x:c r="C947" s="10" t="n">
        <x:v>1</x:v>
      </x:c>
      <x:c r="D947" s="10" t="n">
        <x:v>0</x:v>
      </x:c>
      <x:c r="E947" s="10" t="n">
        <x:v>1</x:v>
      </x:c>
      <x:c r="F947" s="4" t="n">
        <x:f>IF(COUNT(N947,Q947,T947,W947,Z947,AC947,AF947,AI947)=8,N947*Guide!$E$5+Q947*Guide!$E$6+T947*Guide!$E$7+W947*Guide!$E$8+Z947*Guide!$E$9+AC947*Guide!$E$10+AF947*Guide!$E$11+AI947*Guide!$E$12,"")</x:f>
        <x:v>108</x:v>
      </x:c>
      <x:c r="G947" s="4" t="str">
        <x:f>IF(COUNT(O947,R947,U947,X947,AA947,AD947,AG947,AJ947)=8,O947*Guide!$E$5+R947*Guide!$E$6+U947*Guide!$E$7+X947*Guide!$E$8+AA947*Guide!$E$9+AD947*Guide!$E$10+AG947*Guide!$E$11+AJ947*Guide!$E$12,"")</x:f>
      </x:c>
      <x:c r="H947" s="4" t="str">
        <x:f>IF(COUNT(G947,F947)=2,G947-F947,"")</x:f>
      </x:c>
      <x:c r="I947" s="4" t="n">
        <x:f>IF(AND(ISNUMBER(F947),K947&gt;0),F947/K947,"")</x:f>
        <x:v>1.565217391304348</x:v>
      </x:c>
      <x:c r="J947" s="4" t="str">
        <x:f>IF(AND(ISNUMBER(G947),L947&gt;0),G947/L947,"")</x:f>
      </x:c>
      <x:c r="K947" s="10" t="n">
        <x:v>69</x:v>
      </x:c>
      <x:c r="L947" s="10"/>
      <x:c r="M947" s="10" t="str">
        <x:f>IF(COUNT(L947,K947)=2,L947-K947,"")</x:f>
      </x:c>
      <x:c r="N947" s="10" t="n">
        <x:v>5</x:v>
      </x:c>
      <x:c r="O947" s="10"/>
      <x:c r="P947" s="10" t="str">
        <x:f>IF(COUNT(O947,N947)=2,O947-N947,"")</x:f>
      </x:c>
      <x:c r="Q947" s="10" t="n">
        <x:v>9</x:v>
      </x:c>
      <x:c r="R947" s="10"/>
      <x:c r="S947" s="10" t="str">
        <x:f>IF(COUNT(R947,Q947)=2,R947-Q947,"")</x:f>
      </x:c>
      <x:c r="T947" s="10" t="n">
        <x:v>-1</x:v>
      </x:c>
      <x:c r="U947" s="10"/>
      <x:c r="V947" s="10" t="str">
        <x:f>IF(COUNT(U947,T947)=2,U947-T947,"")</x:f>
      </x:c>
      <x:c r="W947" s="10" t="n">
        <x:v>1</x:v>
      </x:c>
      <x:c r="X947" s="10" t="str">
        <x:f>IF(COUNT(AV947,AW947)=2,AV947+AW947,"")</x:f>
      </x:c>
      <x:c r="Y947" s="10" t="str">
        <x:f>IF(COUNT(X947,W947)=2,X947-W947,"")</x:f>
      </x:c>
      <x:c r="Z947" s="10" t="n">
        <x:v>1</x:v>
      </x:c>
      <x:c r="AA947" s="10" t="str">
        <x:f>IF(COUNT(AX947,AY947)=2,AX947+AY947,"")</x:f>
      </x:c>
      <x:c r="AB947" s="10" t="str">
        <x:f>IF(COUNT(AA947,Z947)=2,AA947-Z947,"")</x:f>
      </x:c>
      <x:c r="AC947" s="10" t="n">
        <x:v>58</x:v>
      </x:c>
      <x:c r="AD947" s="10"/>
      <x:c r="AE947" s="10" t="str">
        <x:f>IF(COUNT(AD947,AC947)=2,AD947-AC947,"")</x:f>
      </x:c>
      <x:c r="AF947" s="10" t="n">
        <x:v>84</x:v>
      </x:c>
      <x:c r="AG947" s="10"/>
      <x:c r="AH947" s="10" t="str">
        <x:f>IF(COUNT(AG947,AF947)=2,AG947-AF947,"")</x:f>
      </x:c>
      <x:c r="AI947" s="10" t="n">
        <x:v>30</x:v>
      </x:c>
      <x:c r="AJ947" s="10"/>
      <x:c r="AK947" s="10" t="str">
        <x:f>IF(COUNT(AJ947,AI947)=2,AJ947-AI947,"")</x:f>
      </x:c>
      <x:c r="AL947" s="10" t="n">
        <x:v>33</x:v>
      </x:c>
      <x:c r="AM947" s="10"/>
      <x:c r="AN947" s="4" t="str">
        <x:v>LW</x:v>
      </x:c>
      <x:c r="AO947" s="4"/>
      <x:c r="AP947" s="4" t="str">
        <x:v>FLA</x:v>
      </x:c>
      <x:c r="AQ947" s="4"/>
      <x:c r="AR947" s="4" t="n">
        <x:v>10.01</x:v>
      </x:c>
      <x:c r="AS947" s="4"/>
      <x:c r="AT947" s="4" t="n">
        <x:v>0.17</x:v>
      </x:c>
      <x:c r="AU947" s="4"/>
      <x:c r="AV947" s="10"/>
      <x:c r="AW947" s="10"/>
      <x:c r="AX947" s="10"/>
      <x:c r="AY947" s="10"/>
      <x:c r="AZ947" s="10" t="n">
        <x:v>208</x:v>
      </x:c>
      <x:c r="BA947" s="10" t="n">
        <x:v>230</x:v>
      </x:c>
      <x:c r="BB947" s="4" t="n">
        <x:v>47.5</x:v>
      </x:c>
      <x:c r="BC947" s="4" t="n">
        <x:v>-4</x:v>
      </x:c>
      <x:c r="BD947" s="10" t="n">
        <x:v>145</x:v>
      </x:c>
      <x:c r="BE947" s="10" t="n">
        <x:v>173</x:v>
      </x:c>
      <x:c r="BF947" s="4" t="n">
        <x:v>45.6</x:v>
      </x:c>
      <x:c r="BG947" s="4" t="n">
        <x:v>-4.7</x:v>
      </x:c>
      <x:c r="BH947" s="4" t="n">
        <x:v>6.8</x:v>
      </x:c>
      <x:c r="BI947" s="4" t="n">
        <x:v>88.4</x:v>
      </x:c>
      <x:c r="BJ947" s="4" t="n">
        <x:v>95.1</x:v>
      </x:c>
      <x:c r="BK947" s="4" t="n">
        <x:v>52.8</x:v>
      </x:c>
      <x:c r="BL947" s="4" t="n">
        <x:v>47.2</x:v>
      </x:c>
      <x:c r="BM947" s="4" t="n">
        <x:v>14.116666666666667</x:v>
      </x:c>
      <x:c r="BN947" s="4" t="n">
        <x:v>11.866666666666667</x:v>
      </x:c>
      <x:c r="BO947" s="10" t="n">
        <x:v>3</x:v>
      </x:c>
      <x:c r="BP947" s="10" t="n">
        <x:v>14</x:v>
      </x:c>
      <x:c r="BQ947" s="4" t="n">
        <x:v>-6.2</x:v>
      </x:c>
      <x:c r="BR947" s="10" t="n">
        <x:v>38</x:v>
      </x:c>
      <x:c r="BS947" s="4" t="n">
        <x:v>21.1</x:v>
      </x:c>
      <x:c r="BT947" s="10" t="n">
        <x:v>21</x:v>
      </x:c>
      <x:c r="BU947" s="4" t="str">
        <x:v>FLA</x:v>
      </x:c>
      <x:c r="BV947" s="10" t="n">
        <x:v>654</x:v>
      </x:c>
      <x:c r="BW947" s="10"/>
      <x:c r="BX947" s="10" t="n">
        <x:v>744</x:v>
      </x:c>
      <x:c r="BY947" s="4" t="str">
        <x:v>Tomas Nosek</x:v>
      </x:c>
      <x:c r="BZ947" s="4"/>
      <x:c r="CA947" s="4" t="str">
        <x:v>Tomáš Nosek</x:v>
      </x:c>
      <x:c r="CB947" s="4" t="str">
        <x:v>nosekto01</x:v>
      </x:c>
    </x:row>
    <x:row r="948" ht="22" customHeight="1">
      <x:c r="A948" s="4" t="str">
        <x:v>Topias Vilen</x:v>
      </x:c>
      <x:c r="B948" s="4" t="str">
        <x:v>topiasvilen</x:v>
      </x:c>
      <x:c r="C948" s="10" t="n">
        <x:v>0</x:v>
      </x:c>
      <x:c r="D948" s="10" t="n">
        <x:v>0</x:v>
      </x:c>
      <x:c r="E948" s="10" t="n">
        <x:v>1</x:v>
      </x:c>
      <x:c r="F948" s="4" t="str">
        <x:f>IF(COUNT(N948,Q948,T948,W948,Z948,AC948,AF948,AI948)=8,N948*Guide!$E$5+Q948*Guide!$E$6+T948*Guide!$E$7+W948*Guide!$E$8+Z948*Guide!$E$9+AC948*Guide!$E$10+AF948*Guide!$E$11+AI948*Guide!$E$12,"")</x:f>
      </x:c>
      <x:c r="G948" s="4" t="str">
        <x:f>IF(COUNT(O948,R948,U948,X948,AA948,AD948,AG948,AJ948)=8,O948*Guide!$E$5+R948*Guide!$E$6+U948*Guide!$E$7+X948*Guide!$E$8+AA948*Guide!$E$9+AD948*Guide!$E$10+AG948*Guide!$E$11+AJ948*Guide!$E$12,"")</x:f>
      </x:c>
      <x:c r="H948" s="4" t="str">
        <x:f>IF(COUNT(G948,F948)=2,G948-F948,"")</x:f>
      </x:c>
      <x:c r="I948" s="4" t="str">
        <x:f>IF(AND(ISNUMBER(F948),K948&gt;0),F948/K948,"")</x:f>
      </x:c>
      <x:c r="J948" s="4" t="str">
        <x:f>IF(AND(ISNUMBER(G948),L948&gt;0),G948/L948,"")</x:f>
      </x:c>
      <x:c r="K948" s="10"/>
      <x:c r="L948" s="10"/>
      <x:c r="M948" s="10" t="str">
        <x:f>IF(COUNT(L948,K948)=2,L948-K948,"")</x:f>
      </x:c>
      <x:c r="N948" s="10"/>
      <x:c r="O948" s="10"/>
      <x:c r="P948" s="10" t="str">
        <x:f>IF(COUNT(O948,N948)=2,O948-N948,"")</x:f>
      </x:c>
      <x:c r="Q948" s="10"/>
      <x:c r="R948" s="10"/>
      <x:c r="S948" s="10" t="str">
        <x:f>IF(COUNT(R948,Q948)=2,R948-Q948,"")</x:f>
      </x:c>
      <x:c r="T948" s="10"/>
      <x:c r="U948" s="10"/>
      <x:c r="V948" s="10" t="str">
        <x:f>IF(COUNT(U948,T948)=2,U948-T948,"")</x:f>
      </x:c>
      <x:c r="W948" s="10"/>
      <x:c r="X948" s="10" t="str">
        <x:f>IF(COUNT(AV948,AW948)=2,AV948+AW948,"")</x:f>
      </x:c>
      <x:c r="Y948" s="10" t="str">
        <x:f>IF(COUNT(X948,W948)=2,X948-W948,"")</x:f>
      </x:c>
      <x:c r="Z948" s="10"/>
      <x:c r="AA948" s="10" t="str">
        <x:f>IF(COUNT(AX948,AY948)=2,AX948+AY948,"")</x:f>
      </x:c>
      <x:c r="AB948" s="10" t="str">
        <x:f>IF(COUNT(AA948,Z948)=2,AA948-Z948,"")</x:f>
      </x:c>
      <x:c r="AC948" s="10"/>
      <x:c r="AD948" s="10"/>
      <x:c r="AE948" s="10" t="str">
        <x:f>IF(COUNT(AD948,AC948)=2,AD948-AC948,"")</x:f>
      </x:c>
      <x:c r="AF948" s="10"/>
      <x:c r="AG948" s="10"/>
      <x:c r="AH948" s="10" t="str">
        <x:f>IF(COUNT(AG948,AF948)=2,AG948-AF948,"")</x:f>
      </x:c>
      <x:c r="AI948" s="10"/>
      <x:c r="AJ948" s="10"/>
      <x:c r="AK948" s="10" t="str">
        <x:f>IF(COUNT(AJ948,AI948)=2,AJ948-AI948,"")</x:f>
      </x:c>
      <x:c r="AL948" s="10"/>
      <x:c r="AM948" s="10"/>
      <x:c r="AN948" s="4"/>
      <x:c r="AO948" s="4"/>
      <x:c r="AP948" s="4"/>
      <x:c r="AQ948" s="4"/>
      <x:c r="AR948" s="4"/>
      <x:c r="AS948" s="4"/>
      <x:c r="AT948" s="4"/>
      <x:c r="AU948" s="4"/>
      <x:c r="AV948" s="10"/>
      <x:c r="AW948" s="10"/>
      <x:c r="AX948" s="10"/>
      <x:c r="AY948" s="10"/>
      <x:c r="AZ948" s="10" t="n">
        <x:v>25</x:v>
      </x:c>
      <x:c r="BA948" s="10" t="n">
        <x:v>22</x:v>
      </x:c>
      <x:c r="BB948" s="4" t="n">
        <x:v>53.2</x:v>
      </x:c>
      <x:c r="BC948" s="4" t="n">
        <x:v>-0.8</x:v>
      </x:c>
      <x:c r="BD948" s="10" t="n">
        <x:v>15</x:v>
      </x:c>
      <x:c r="BE948" s="10" t="n">
        <x:v>19</x:v>
      </x:c>
      <x:c r="BF948" s="4" t="n">
        <x:v>44.1</x:v>
      </x:c>
      <x:c r="BG948" s="4" t="n">
        <x:v>-7.3</x:v>
      </x:c>
      <x:c r="BH948" s="4" t="n">
        <x:v>10</x:v>
      </x:c>
      <x:c r="BI948" s="4" t="n">
        <x:v>100</x:v>
      </x:c>
      <x:c r="BJ948" s="4" t="n">
        <x:v>110</x:v>
      </x:c>
      <x:c r="BK948" s="4" t="n">
        <x:v>38.5</x:v>
      </x:c>
      <x:c r="BL948" s="4" t="n">
        <x:v>61.5</x:v>
      </x:c>
      <x:c r="BM948" s="4" t="n">
        <x:v>15.466666666666667</x:v>
      </x:c>
      <x:c r="BN948" s="4" t="n">
        <x:v>15.316666666666666</x:v>
      </x:c>
      <x:c r="BO948" s="10" t="n">
        <x:v>0</x:v>
      </x:c>
      <x:c r="BP948" s="10" t="n">
        <x:v>1</x:v>
      </x:c>
      <x:c r="BQ948" s="4" t="n">
        <x:v>-0.2</x:v>
      </x:c>
      <x:c r="BR948" s="10" t="n">
        <x:v>1</x:v>
      </x:c>
      <x:c r="BS948" s="4" t="n">
        <x:v>0</x:v>
      </x:c>
      <x:c r="BT948" s="10" t="n">
        <x:v>2</x:v>
      </x:c>
      <x:c r="BU948" s="4" t="str">
        <x:v>NJD</x:v>
      </x:c>
      <x:c r="BV948" s="10"/>
      <x:c r="BW948" s="10"/>
      <x:c r="BX948" s="10" t="n">
        <x:v>1054</x:v>
      </x:c>
      <x:c r="BY948" s="4"/>
      <x:c r="BZ948" s="4"/>
      <x:c r="CA948" s="4" t="str">
        <x:v>Topias Vilen</x:v>
      </x:c>
      <x:c r="CB948" s="4" t="str">
        <x:v>vilento01</x:v>
      </x:c>
    </x:row>
    <x:row r="949" ht="22" customHeight="1">
      <x:c r="A949" s="4" t="str">
        <x:v>Travis Boyd</x:v>
      </x:c>
      <x:c r="B949" s="4" t="str">
        <x:v>travisboyd</x:v>
      </x:c>
      <x:c r="C949" s="10" t="n">
        <x:v>1</x:v>
      </x:c>
      <x:c r="D949" s="10" t="n">
        <x:v>0</x:v>
      </x:c>
      <x:c r="E949" s="10" t="n">
        <x:v>0</x:v>
      </x:c>
      <x:c r="F949" s="4" t="n">
        <x:f>IF(COUNT(N949,Q949,T949,W949,Z949,AC949,AF949,AI949)=8,N949*Guide!$E$5+Q949*Guide!$E$6+T949*Guide!$E$7+W949*Guide!$E$8+Z949*Guide!$E$9+AC949*Guide!$E$10+AF949*Guide!$E$11+AI949*Guide!$E$12,"")</x:f>
        <x:v>139</x:v>
      </x:c>
      <x:c r="G949" s="4" t="str">
        <x:f>IF(COUNT(O949,R949,U949,X949,AA949,AD949,AG949,AJ949)=8,O949*Guide!$E$5+R949*Guide!$E$6+U949*Guide!$E$7+X949*Guide!$E$8+AA949*Guide!$E$9+AD949*Guide!$E$10+AG949*Guide!$E$11+AJ949*Guide!$E$12,"")</x:f>
      </x:c>
      <x:c r="H949" s="4" t="str">
        <x:f>IF(COUNT(G949,F949)=2,G949-F949,"")</x:f>
      </x:c>
      <x:c r="I949" s="4" t="n">
        <x:f>IF(AND(ISNUMBER(F949),K949&gt;0),F949/K949,"")</x:f>
        <x:v>1.7820512820512822</x:v>
      </x:c>
      <x:c r="J949" s="4" t="str">
        <x:f>IF(AND(ISNUMBER(G949),L949&gt;0),G949/L949,"")</x:f>
      </x:c>
      <x:c r="K949" s="10" t="n">
        <x:v>78</x:v>
      </x:c>
      <x:c r="L949" s="10"/>
      <x:c r="M949" s="10" t="str">
        <x:f>IF(COUNT(L949,K949)=2,L949-K949,"")</x:f>
      </x:c>
      <x:c r="N949" s="10" t="n">
        <x:v>10</x:v>
      </x:c>
      <x:c r="O949" s="10"/>
      <x:c r="P949" s="10" t="str">
        <x:f>IF(COUNT(O949,N949)=2,O949-N949,"")</x:f>
      </x:c>
      <x:c r="Q949" s="10" t="n">
        <x:v>14</x:v>
      </x:c>
      <x:c r="R949" s="10"/>
      <x:c r="S949" s="10" t="str">
        <x:f>IF(COUNT(R949,Q949)=2,R949-Q949,"")</x:f>
      </x:c>
      <x:c r="T949" s="10" t="n">
        <x:v>-4</x:v>
      </x:c>
      <x:c r="U949" s="10"/>
      <x:c r="V949" s="10" t="str">
        <x:f>IF(COUNT(U949,T949)=2,U949-T949,"")</x:f>
      </x:c>
      <x:c r="W949" s="10" t="n">
        <x:v>2</x:v>
      </x:c>
      <x:c r="X949" s="10" t="str">
        <x:f>IF(COUNT(AV949,AW949)=2,AV949+AW949,"")</x:f>
      </x:c>
      <x:c r="Y949" s="10" t="str">
        <x:f>IF(COUNT(X949,W949)=2,X949-W949,"")</x:f>
      </x:c>
      <x:c r="Z949" s="10" t="n">
        <x:v>0</x:v>
      </x:c>
      <x:c r="AA949" s="10" t="str">
        <x:f>IF(COUNT(AX949,AY949)=2,AX949+AY949,"")</x:f>
      </x:c>
      <x:c r="AB949" s="10" t="str">
        <x:f>IF(COUNT(AA949,Z949)=2,AA949-Z949,"")</x:f>
      </x:c>
      <x:c r="AC949" s="10" t="n">
        <x:v>65</x:v>
      </x:c>
      <x:c r="AD949" s="10"/>
      <x:c r="AE949" s="10" t="str">
        <x:f>IF(COUNT(AD949,AC949)=2,AD949-AC949,"")</x:f>
      </x:c>
      <x:c r="AF949" s="10" t="n">
        <x:v>42</x:v>
      </x:c>
      <x:c r="AG949" s="10"/>
      <x:c r="AH949" s="10" t="str">
        <x:f>IF(COUNT(AG949,AF949)=2,AG949-AF949,"")</x:f>
      </x:c>
      <x:c r="AI949" s="10" t="n">
        <x:v>43</x:v>
      </x:c>
      <x:c r="AJ949" s="10"/>
      <x:c r="AK949" s="10" t="str">
        <x:f>IF(COUNT(AJ949,AI949)=2,AJ949-AI949,"")</x:f>
      </x:c>
      <x:c r="AL949" s="10" t="n">
        <x:v>32</x:v>
      </x:c>
      <x:c r="AM949" s="10"/>
      <x:c r="AN949" s="4" t="str">
        <x:v>C</x:v>
      </x:c>
      <x:c r="AO949" s="4"/>
      <x:c r="AP949" s="4" t="str">
        <x:v>TOR</x:v>
      </x:c>
      <x:c r="AQ949" s="4"/>
      <x:c r="AR949" s="4" t="n">
        <x:v>10.940000000000001</x:v>
      </x:c>
      <x:c r="AS949" s="4"/>
      <x:c r="AT949" s="4" t="n">
        <x:v>0.38</x:v>
      </x:c>
      <x:c r="AU949" s="4"/>
      <x:c r="AV949" s="10"/>
      <x:c r="AW949" s="10"/>
      <x:c r="AX949" s="10"/>
      <x:c r="AY949" s="10"/>
      <x:c r="AZ949" s="10"/>
      <x:c r="BA949" s="10"/>
      <x:c r="BB949" s="4"/>
      <x:c r="BC949" s="4"/>
      <x:c r="BD949" s="10"/>
      <x:c r="BE949" s="10"/>
      <x:c r="BF949" s="4"/>
      <x:c r="BG949" s="4"/>
      <x:c r="BH949" s="4"/>
      <x:c r="BI949" s="4"/>
      <x:c r="BJ949" s="4"/>
      <x:c r="BK949" s="4"/>
      <x:c r="BL949" s="4"/>
      <x:c r="BM949" s="4"/>
      <x:c r="BN949" s="4"/>
      <x:c r="BO949" s="10"/>
      <x:c r="BP949" s="10"/>
      <x:c r="BQ949" s="4"/>
      <x:c r="BR949" s="10"/>
      <x:c r="BS949" s="4"/>
      <x:c r="BT949" s="10"/>
      <x:c r="BU949" s="4"/>
      <x:c r="BV949" s="10" t="n">
        <x:v>457</x:v>
      </x:c>
      <x:c r="BW949" s="10"/>
      <x:c r="BX949" s="10"/>
      <x:c r="BY949" s="4" t="str">
        <x:v>Travis Boyd</x:v>
      </x:c>
      <x:c r="BZ949" s="4"/>
      <x:c r="CA949" s="4"/>
      <x:c r="CB949" s="4"/>
    </x:row>
    <x:row r="950" ht="22" customHeight="1">
      <x:c r="A950" s="4" t="str">
        <x:v>Travis Hamonic</x:v>
      </x:c>
      <x:c r="B950" s="4" t="str">
        <x:v>travishamonic</x:v>
      </x:c>
      <x:c r="C950" s="10" t="n">
        <x:v>1</x:v>
      </x:c>
      <x:c r="D950" s="10" t="n">
        <x:v>0</x:v>
      </x:c>
      <x:c r="E950" s="10" t="n">
        <x:v>1</x:v>
      </x:c>
      <x:c r="F950" s="4" t="n">
        <x:f>IF(COUNT(N950,Q950,T950,W950,Z950,AC950,AF950,AI950)=8,N950*Guide!$E$5+Q950*Guide!$E$6+T950*Guide!$E$7+W950*Guide!$E$8+Z950*Guide!$E$9+AC950*Guide!$E$10+AF950*Guide!$E$11+AI950*Guide!$E$12,"")</x:f>
        <x:v>159</x:v>
      </x:c>
      <x:c r="G950" s="4" t="str">
        <x:f>IF(COUNT(O950,R950,U950,X950,AA950,AD950,AG950,AJ950)=8,O950*Guide!$E$5+R950*Guide!$E$6+U950*Guide!$E$7+X950*Guide!$E$8+AA950*Guide!$E$9+AD950*Guide!$E$10+AG950*Guide!$E$11+AJ950*Guide!$E$12,"")</x:f>
      </x:c>
      <x:c r="H950" s="4" t="str">
        <x:f>IF(COUNT(G950,F950)=2,G950-F950,"")</x:f>
      </x:c>
      <x:c r="I950" s="4" t="n">
        <x:f>IF(AND(ISNUMBER(F950),K950&gt;0),F950/K950,"")</x:f>
        <x:v>2.2714285714285714</x:v>
      </x:c>
      <x:c r="J950" s="4" t="str">
        <x:f>IF(AND(ISNUMBER(G950),L950&gt;0),G950/L950,"")</x:f>
      </x:c>
      <x:c r="K950" s="10" t="n">
        <x:v>70</x:v>
      </x:c>
      <x:c r="L950" s="10"/>
      <x:c r="M950" s="10" t="str">
        <x:f>IF(COUNT(L950,K950)=2,L950-K950,"")</x:f>
      </x:c>
      <x:c r="N950" s="10" t="n">
        <x:v>3</x:v>
      </x:c>
      <x:c r="O950" s="10"/>
      <x:c r="P950" s="10" t="str">
        <x:f>IF(COUNT(O950,N950)=2,O950-N950,"")</x:f>
      </x:c>
      <x:c r="Q950" s="10" t="n">
        <x:v>10</x:v>
      </x:c>
      <x:c r="R950" s="10"/>
      <x:c r="S950" s="10" t="str">
        <x:f>IF(COUNT(R950,Q950)=2,R950-Q950,"")</x:f>
      </x:c>
      <x:c r="T950" s="10" t="n">
        <x:v>-9</x:v>
      </x:c>
      <x:c r="U950" s="10"/>
      <x:c r="V950" s="10" t="str">
        <x:f>IF(COUNT(U950,T950)=2,U950-T950,"")</x:f>
      </x:c>
      <x:c r="W950" s="10" t="n">
        <x:v>0</x:v>
      </x:c>
      <x:c r="X950" s="10" t="str">
        <x:f>IF(COUNT(AV950,AW950)=2,AV950+AW950,"")</x:f>
      </x:c>
      <x:c r="Y950" s="10" t="str">
        <x:f>IF(COUNT(X950,W950)=2,X950-W950,"")</x:f>
      </x:c>
      <x:c r="Z950" s="10" t="n">
        <x:v>1</x:v>
      </x:c>
      <x:c r="AA950" s="10" t="str">
        <x:f>IF(COUNT(AX950,AY950)=2,AX950+AY950,"")</x:f>
      </x:c>
      <x:c r="AB950" s="10" t="str">
        <x:f>IF(COUNT(AA950,Z950)=2,AA950-Z950,"")</x:f>
      </x:c>
      <x:c r="AC950" s="10" t="n">
        <x:v>85</x:v>
      </x:c>
      <x:c r="AD950" s="10"/>
      <x:c r="AE950" s="10" t="str">
        <x:f>IF(COUNT(AD950,AC950)=2,AD950-AC950,"")</x:f>
      </x:c>
      <x:c r="AF950" s="10" t="n">
        <x:v>80</x:v>
      </x:c>
      <x:c r="AG950" s="10"/>
      <x:c r="AH950" s="10" t="str">
        <x:f>IF(COUNT(AG950,AF950)=2,AG950-AF950,"")</x:f>
      </x:c>
      <x:c r="AI950" s="10" t="n">
        <x:v>109</x:v>
      </x:c>
      <x:c r="AJ950" s="10"/>
      <x:c r="AK950" s="10" t="str">
        <x:f>IF(COUNT(AJ950,AI950)=2,AJ950-AI950,"")</x:f>
      </x:c>
      <x:c r="AL950" s="10" t="n">
        <x:v>35</x:v>
      </x:c>
      <x:c r="AM950" s="10"/>
      <x:c r="AN950" s="4" t="str">
        <x:v>D</x:v>
      </x:c>
      <x:c r="AO950" s="4"/>
      <x:c r="AP950" s="4" t="str">
        <x:v>DET</x:v>
      </x:c>
      <x:c r="AQ950" s="4"/>
      <x:c r="AR950" s="4" t="n">
        <x:v>16.900000000000002</x:v>
      </x:c>
      <x:c r="AS950" s="4"/>
      <x:c r="AT950" s="4" t="n">
        <x:v>0.06</x:v>
      </x:c>
      <x:c r="AU950" s="4"/>
      <x:c r="AV950" s="10"/>
      <x:c r="AW950" s="10"/>
      <x:c r="AX950" s="10"/>
      <x:c r="AY950" s="10"/>
      <x:c r="AZ950" s="10" t="n">
        <x:v>304</x:v>
      </x:c>
      <x:c r="BA950" s="10" t="n">
        <x:v>371</x:v>
      </x:c>
      <x:c r="BB950" s="4" t="n">
        <x:v>45</x:v>
      </x:c>
      <x:c r="BC950" s="4" t="n">
        <x:v>-9</x:v>
      </x:c>
      <x:c r="BD950" s="10" t="n">
        <x:v>217</x:v>
      </x:c>
      <x:c r="BE950" s="10" t="n">
        <x:v>260</x:v>
      </x:c>
      <x:c r="BF950" s="4" t="n">
        <x:v>45.5</x:v>
      </x:c>
      <x:c r="BG950" s="4" t="n">
        <x:v>-9.4</x:v>
      </x:c>
      <x:c r="BH950" s="4" t="n">
        <x:v>6.2</x:v>
      </x:c>
      <x:c r="BI950" s="4" t="n">
        <x:v>88.8</x:v>
      </x:c>
      <x:c r="BJ950" s="4" t="n">
        <x:v>95</x:v>
      </x:c>
      <x:c r="BK950" s="4" t="n">
        <x:v>44.8</x:v>
      </x:c>
      <x:c r="BL950" s="4" t="n">
        <x:v>55.2</x:v>
      </x:c>
      <x:c r="BM950" s="4" t="n">
        <x:v>14.383333333333333</x:v>
      </x:c>
      <x:c r="BN950" s="4" t="n">
        <x:v>12.683333333333334</x:v>
      </x:c>
      <x:c r="BO950" s="10" t="n">
        <x:v>6</x:v>
      </x:c>
      <x:c r="BP950" s="10" t="n">
        <x:v>19</x:v>
      </x:c>
      <x:c r="BQ950" s="4" t="n">
        <x:v>-4.7</x:v>
      </x:c>
      <x:c r="BR950" s="10" t="n">
        <x:v>44</x:v>
      </x:c>
      <x:c r="BS950" s="4" t="n">
        <x:v>47.7</x:v>
      </x:c>
      <x:c r="BT950" s="10" t="n">
        <x:v>26</x:v>
      </x:c>
      <x:c r="BU950" s="4" t="str">
        <x:v>DET</x:v>
      </x:c>
      <x:c r="BV950" s="10" t="n">
        <x:v>663</x:v>
      </x:c>
      <x:c r="BW950" s="10"/>
      <x:c r="BX950" s="10" t="n">
        <x:v>385</x:v>
      </x:c>
      <x:c r="BY950" s="4" t="str">
        <x:v>Travis Hamonic</x:v>
      </x:c>
      <x:c r="BZ950" s="4"/>
      <x:c r="CA950" s="4" t="str">
        <x:v>Travis Hamonic</x:v>
      </x:c>
      <x:c r="CB950" s="4" t="str">
        <x:v>hamontr01</x:v>
      </x:c>
    </x:row>
    <x:row r="951" ht="22" customHeight="1">
      <x:c r="A951" s="4" t="str">
        <x:v>Travis Mitchell</x:v>
      </x:c>
      <x:c r="B951" s="4" t="str">
        <x:v>travismitchell</x:v>
      </x:c>
      <x:c r="C951" s="10" t="n">
        <x:v>0</x:v>
      </x:c>
      <x:c r="D951" s="10" t="n">
        <x:v>0</x:v>
      </x:c>
      <x:c r="E951" s="10" t="n">
        <x:v>1</x:v>
      </x:c>
      <x:c r="F951" s="4" t="str">
        <x:f>IF(COUNT(N951,Q951,T951,W951,Z951,AC951,AF951,AI951)=8,N951*Guide!$E$5+Q951*Guide!$E$6+T951*Guide!$E$7+W951*Guide!$E$8+Z951*Guide!$E$9+AC951*Guide!$E$10+AF951*Guide!$E$11+AI951*Guide!$E$12,"")</x:f>
      </x:c>
      <x:c r="G951" s="4" t="str">
        <x:f>IF(COUNT(O951,R951,U951,X951,AA951,AD951,AG951,AJ951)=8,O951*Guide!$E$5+R951*Guide!$E$6+U951*Guide!$E$7+X951*Guide!$E$8+AA951*Guide!$E$9+AD951*Guide!$E$10+AG951*Guide!$E$11+AJ951*Guide!$E$12,"")</x:f>
      </x:c>
      <x:c r="H951" s="4" t="str">
        <x:f>IF(COUNT(G951,F951)=2,G951-F951,"")</x:f>
      </x:c>
      <x:c r="I951" s="4" t="str">
        <x:f>IF(AND(ISNUMBER(F951),K951&gt;0),F951/K951,"")</x:f>
      </x:c>
      <x:c r="J951" s="4" t="str">
        <x:f>IF(AND(ISNUMBER(G951),L951&gt;0),G951/L951,"")</x:f>
      </x:c>
      <x:c r="K951" s="10"/>
      <x:c r="L951" s="10"/>
      <x:c r="M951" s="10" t="str">
        <x:f>IF(COUNT(L951,K951)=2,L951-K951,"")</x:f>
      </x:c>
      <x:c r="N951" s="10"/>
      <x:c r="O951" s="10"/>
      <x:c r="P951" s="10" t="str">
        <x:f>IF(COUNT(O951,N951)=2,O951-N951,"")</x:f>
      </x:c>
      <x:c r="Q951" s="10"/>
      <x:c r="R951" s="10"/>
      <x:c r="S951" s="10" t="str">
        <x:f>IF(COUNT(R951,Q951)=2,R951-Q951,"")</x:f>
      </x:c>
      <x:c r="T951" s="10"/>
      <x:c r="U951" s="10"/>
      <x:c r="V951" s="10" t="str">
        <x:f>IF(COUNT(U951,T951)=2,U951-T951,"")</x:f>
      </x:c>
      <x:c r="W951" s="10"/>
      <x:c r="X951" s="10" t="str">
        <x:f>IF(COUNT(AV951,AW951)=2,AV951+AW951,"")</x:f>
      </x:c>
      <x:c r="Y951" s="10" t="str">
        <x:f>IF(COUNT(X951,W951)=2,X951-W951,"")</x:f>
      </x:c>
      <x:c r="Z951" s="10"/>
      <x:c r="AA951" s="10" t="str">
        <x:f>IF(COUNT(AX951,AY951)=2,AX951+AY951,"")</x:f>
      </x:c>
      <x:c r="AB951" s="10" t="str">
        <x:f>IF(COUNT(AA951,Z951)=2,AA951-Z951,"")</x:f>
      </x:c>
      <x:c r="AC951" s="10"/>
      <x:c r="AD951" s="10"/>
      <x:c r="AE951" s="10" t="str">
        <x:f>IF(COUNT(AD951,AC951)=2,AD951-AC951,"")</x:f>
      </x:c>
      <x:c r="AF951" s="10"/>
      <x:c r="AG951" s="10"/>
      <x:c r="AH951" s="10" t="str">
        <x:f>IF(COUNT(AG951,AF951)=2,AG951-AF951,"")</x:f>
      </x:c>
      <x:c r="AI951" s="10"/>
      <x:c r="AJ951" s="10"/>
      <x:c r="AK951" s="10" t="str">
        <x:f>IF(COUNT(AJ951,AI951)=2,AJ951-AI951,"")</x:f>
      </x:c>
      <x:c r="AL951" s="10"/>
      <x:c r="AM951" s="10"/>
      <x:c r="AN951" s="4"/>
      <x:c r="AO951" s="4"/>
      <x:c r="AP951" s="4"/>
      <x:c r="AQ951" s="4"/>
      <x:c r="AR951" s="4"/>
      <x:c r="AS951" s="4"/>
      <x:c r="AT951" s="4"/>
      <x:c r="AU951" s="4"/>
      <x:c r="AV951" s="10"/>
      <x:c r="AW951" s="10"/>
      <x:c r="AX951" s="10"/>
      <x:c r="AY951" s="10"/>
      <x:c r="AZ951" s="10" t="n">
        <x:v>69</x:v>
      </x:c>
      <x:c r="BA951" s="10" t="n">
        <x:v>103</x:v>
      </x:c>
      <x:c r="BB951" s="4" t="n">
        <x:v>40.1</x:v>
      </x:c>
      <x:c r="BC951" s="4" t="n">
        <x:v>-7.1</x:v>
      </x:c>
      <x:c r="BD951" s="10" t="n">
        <x:v>53</x:v>
      </x:c>
      <x:c r="BE951" s="10" t="n">
        <x:v>75</x:v>
      </x:c>
      <x:c r="BF951" s="4" t="n">
        <x:v>41.4</x:v>
      </x:c>
      <x:c r="BG951" s="4" t="n">
        <x:v>-7</x:v>
      </x:c>
      <x:c r="BH951" s="4" t="n">
        <x:v>9.1</x:v>
      </x:c>
      <x:c r="BI951" s="4" t="n">
        <x:v>93.6</x:v>
      </x:c>
      <x:c r="BJ951" s="4" t="n">
        <x:v>102.7</x:v>
      </x:c>
      <x:c r="BK951" s="4" t="n">
        <x:v>66.7</x:v>
      </x:c>
      <x:c r="BL951" s="4" t="n">
        <x:v>33.3</x:v>
      </x:c>
      <x:c r="BM951" s="4" t="n">
        <x:v>11.533333333333333</x:v>
      </x:c>
      <x:c r="BN951" s="4" t="n">
        <x:v>11.45</x:v>
      </x:c>
      <x:c r="BO951" s="10" t="n">
        <x:v>0</x:v>
      </x:c>
      <x:c r="BP951" s="10" t="n">
        <x:v>6</x:v>
      </x:c>
      <x:c r="BQ951" s="4" t="n">
        <x:v>-1.5</x:v>
      </x:c>
      <x:c r="BR951" s="10" t="n">
        <x:v>13</x:v>
      </x:c>
      <x:c r="BS951" s="4" t="n">
        <x:v>30.8</x:v>
      </x:c>
      <x:c r="BT951" s="10" t="n">
        <x:v>9</x:v>
      </x:c>
      <x:c r="BU951" s="4" t="str">
        <x:v>NYI</x:v>
      </x:c>
      <x:c r="BV951" s="10"/>
      <x:c r="BW951" s="10"/>
      <x:c r="BX951" s="10" t="n">
        <x:v>706</x:v>
      </x:c>
      <x:c r="BY951" s="4"/>
      <x:c r="BZ951" s="4"/>
      <x:c r="CA951" s="4" t="str">
        <x:v>Travis Mitchell</x:v>
      </x:c>
      <x:c r="CB951" s="4" t="str">
        <x:v>mitchtr01</x:v>
      </x:c>
    </x:row>
    <x:row r="952" ht="22" customHeight="1">
      <x:c r="A952" s="4" t="str">
        <x:v>Trent Frederic</x:v>
      </x:c>
      <x:c r="B952" s="4" t="str">
        <x:v>trentfrederic</x:v>
      </x:c>
      <x:c r="C952" s="10" t="n">
        <x:v>1</x:v>
      </x:c>
      <x:c r="D952" s="10" t="n">
        <x:v>0</x:v>
      </x:c>
      <x:c r="E952" s="10" t="n">
        <x:v>1</x:v>
      </x:c>
      <x:c r="F952" s="4" t="n">
        <x:f>IF(COUNT(N952,Q952,T952,W952,Z952,AC952,AF952,AI952)=8,N952*Guide!$E$5+Q952*Guide!$E$6+T952*Guide!$E$7+W952*Guide!$E$8+Z952*Guide!$E$9+AC952*Guide!$E$10+AF952*Guide!$E$11+AI952*Guide!$E$12,"")</x:f>
        <x:v>212.5</x:v>
      </x:c>
      <x:c r="G952" s="4" t="str">
        <x:f>IF(COUNT(O952,R952,U952,X952,AA952,AD952,AG952,AJ952)=8,O952*Guide!$E$5+R952*Guide!$E$6+U952*Guide!$E$7+X952*Guide!$E$8+AA952*Guide!$E$9+AD952*Guide!$E$10+AG952*Guide!$E$11+AJ952*Guide!$E$12,"")</x:f>
      </x:c>
      <x:c r="H952" s="4" t="str">
        <x:f>IF(COUNT(G952,F952)=2,G952-F952,"")</x:f>
      </x:c>
      <x:c r="I952" s="4" t="n">
        <x:f>IF(AND(ISNUMBER(F952),K952&gt;0),F952/K952,"")</x:f>
        <x:v>2.7960526315789473</x:v>
      </x:c>
      <x:c r="J952" s="4" t="str">
        <x:f>IF(AND(ISNUMBER(G952),L952&gt;0),G952/L952,"")</x:f>
      </x:c>
      <x:c r="K952" s="10" t="n">
        <x:v>76</x:v>
      </x:c>
      <x:c r="L952" s="10"/>
      <x:c r="M952" s="10" t="str">
        <x:f>IF(COUNT(L952,K952)=2,L952-K952,"")</x:f>
      </x:c>
      <x:c r="N952" s="10" t="n">
        <x:v>15</x:v>
      </x:c>
      <x:c r="O952" s="10"/>
      <x:c r="P952" s="10" t="str">
        <x:f>IF(COUNT(O952,N952)=2,O952-N952,"")</x:f>
      </x:c>
      <x:c r="Q952" s="10" t="n">
        <x:v>16</x:v>
      </x:c>
      <x:c r="R952" s="10"/>
      <x:c r="S952" s="10" t="str">
        <x:f>IF(COUNT(R952,Q952)=2,R952-Q952,"")</x:f>
      </x:c>
      <x:c r="T952" s="10" t="n">
        <x:v>-4</x:v>
      </x:c>
      <x:c r="U952" s="10"/>
      <x:c r="V952" s="10" t="str">
        <x:f>IF(COUNT(U952,T952)=2,U952-T952,"")</x:f>
      </x:c>
      <x:c r="W952" s="10" t="n">
        <x:v>5</x:v>
      </x:c>
      <x:c r="X952" s="10" t="str">
        <x:f>IF(COUNT(AV952,AW952)=2,AV952+AW952,"")</x:f>
      </x:c>
      <x:c r="Y952" s="10" t="str">
        <x:f>IF(COUNT(X952,W952)=2,X952-W952,"")</x:f>
      </x:c>
      <x:c r="Z952" s="10" t="n">
        <x:v>0</x:v>
      </x:c>
      <x:c r="AA952" s="10" t="str">
        <x:f>IF(COUNT(AX952,AY952)=2,AX952+AY952,"")</x:f>
      </x:c>
      <x:c r="AB952" s="10" t="str">
        <x:f>IF(COUNT(AA952,Z952)=2,AA952-Z952,"")</x:f>
      </x:c>
      <x:c r="AC952" s="10" t="n">
        <x:v>108</x:v>
      </x:c>
      <x:c r="AD952" s="10"/>
      <x:c r="AE952" s="10" t="str">
        <x:f>IF(COUNT(AD952,AC952)=2,AD952-AC952,"")</x:f>
      </x:c>
      <x:c r="AF952" s="10" t="n">
        <x:v>186</x:v>
      </x:c>
      <x:c r="AG952" s="10"/>
      <x:c r="AH952" s="10" t="str">
        <x:f>IF(COUNT(AG952,AF952)=2,AG952-AF952,"")</x:f>
      </x:c>
      <x:c r="AI952" s="10" t="n">
        <x:v>40</x:v>
      </x:c>
      <x:c r="AJ952" s="10"/>
      <x:c r="AK952" s="10" t="str">
        <x:f>IF(COUNT(AJ952,AI952)=2,AJ952-AI952,"")</x:f>
      </x:c>
      <x:c r="AL952" s="10" t="n">
        <x:v>27</x:v>
      </x:c>
      <x:c r="AM952" s="10"/>
      <x:c r="AN952" s="4" t="str">
        <x:v>C,LW,RW</x:v>
      </x:c>
      <x:c r="AO952" s="4"/>
      <x:c r="AP952" s="4" t="str">
        <x:v>EDM</x:v>
      </x:c>
      <x:c r="AQ952" s="4"/>
      <x:c r="AR952" s="4" t="n">
        <x:v>13.770000000000001</x:v>
      </x:c>
      <x:c r="AS952" s="4"/>
      <x:c r="AT952" s="4" t="n">
        <x:v>0.89</x:v>
      </x:c>
      <x:c r="AU952" s="4"/>
      <x:c r="AV952" s="10"/>
      <x:c r="AW952" s="10"/>
      <x:c r="AX952" s="10"/>
      <x:c r="AY952" s="10"/>
      <x:c r="AZ952" s="10" t="n">
        <x:v>654</x:v>
      </x:c>
      <x:c r="BA952" s="10" t="n">
        <x:v>741</x:v>
      </x:c>
      <x:c r="BB952" s="4" t="n">
        <x:v>46.9</x:v>
      </x:c>
      <x:c r="BC952" s="4" t="n">
        <x:v>-4.6</x:v>
      </x:c>
      <x:c r="BD952" s="10" t="n">
        <x:v>484</x:v>
      </x:c>
      <x:c r="BE952" s="10" t="n">
        <x:v>512</x:v>
      </x:c>
      <x:c r="BF952" s="4" t="n">
        <x:v>48.6</x:v>
      </x:c>
      <x:c r="BG952" s="4" t="n">
        <x:v>-3.3</x:v>
      </x:c>
      <x:c r="BH952" s="4" t="n">
        <x:v>5.6</x:v>
      </x:c>
      <x:c r="BI952" s="4" t="n">
        <x:v>89.5</x:v>
      </x:c>
      <x:c r="BJ952" s="4" t="n">
        <x:v>95.1</x:v>
      </x:c>
      <x:c r="BK952" s="4" t="n">
        <x:v>43.5</x:v>
      </x:c>
      <x:c r="BL952" s="4" t="n">
        <x:v>56.5</x:v>
      </x:c>
      <x:c r="BM952" s="4" t="n">
        <x:v>11.033333333333333</x:v>
      </x:c>
      <x:c r="BN952" s="4" t="n">
        <x:v>10.916666666666666</x:v>
      </x:c>
      <x:c r="BO952" s="10" t="n">
        <x:v>9</x:v>
      </x:c>
      <x:c r="BP952" s="10" t="n">
        <x:v>35</x:v>
      </x:c>
      <x:c r="BQ952" s="4" t="n">
        <x:v>-1.2</x:v>
      </x:c>
      <x:c r="BR952" s="10" t="n">
        <x:v>139</x:v>
      </x:c>
      <x:c r="BS952" s="4" t="n">
        <x:v>55.4</x:v>
      </x:c>
      <x:c r="BT952" s="10" t="n">
        <x:v>74</x:v>
      </x:c>
      <x:c r="BU952" s="4" t="str">
        <x:v>EDM</x:v>
      </x:c>
      <x:c r="BV952" s="10" t="n">
        <x:v>358</x:v>
      </x:c>
      <x:c r="BW952" s="10"/>
      <x:c r="BX952" s="10" t="n">
        <x:v>315</x:v>
      </x:c>
      <x:c r="BY952" s="4" t="str">
        <x:v>Trent Frederic</x:v>
      </x:c>
      <x:c r="BZ952" s="4"/>
      <x:c r="CA952" s="4" t="str">
        <x:v>Trent Frederic</x:v>
      </x:c>
      <x:c r="CB952" s="4" t="str">
        <x:v>fredetr01</x:v>
      </x:c>
    </x:row>
    <x:row r="953" ht="22" customHeight="1">
      <x:c r="A953" s="4" t="str">
        <x:v>Trevor Kuntar</x:v>
      </x:c>
      <x:c r="B953" s="4" t="str">
        <x:v>trevorkuntar</x:v>
      </x:c>
      <x:c r="C953" s="10" t="n">
        <x:v>0</x:v>
      </x:c>
      <x:c r="D953" s="10" t="n">
        <x:v>0</x:v>
      </x:c>
      <x:c r="E953" s="10" t="n">
        <x:v>1</x:v>
      </x:c>
      <x:c r="F953" s="4" t="str">
        <x:f>IF(COUNT(N953,Q953,T953,W953,Z953,AC953,AF953,AI953)=8,N953*Guide!$E$5+Q953*Guide!$E$6+T953*Guide!$E$7+W953*Guide!$E$8+Z953*Guide!$E$9+AC953*Guide!$E$10+AF953*Guide!$E$11+AI953*Guide!$E$12,"")</x:f>
      </x:c>
      <x:c r="G953" s="4" t="str">
        <x:f>IF(COUNT(O953,R953,U953,X953,AA953,AD953,AG953,AJ953)=8,O953*Guide!$E$5+R953*Guide!$E$6+U953*Guide!$E$7+X953*Guide!$E$8+AA953*Guide!$E$9+AD953*Guide!$E$10+AG953*Guide!$E$11+AJ953*Guide!$E$12,"")</x:f>
      </x:c>
      <x:c r="H953" s="4" t="str">
        <x:f>IF(COUNT(G953,F953)=2,G953-F953,"")</x:f>
      </x:c>
      <x:c r="I953" s="4" t="str">
        <x:f>IF(AND(ISNUMBER(F953),K953&gt;0),F953/K953,"")</x:f>
      </x:c>
      <x:c r="J953" s="4" t="str">
        <x:f>IF(AND(ISNUMBER(G953),L953&gt;0),G953/L953,"")</x:f>
      </x:c>
      <x:c r="K953" s="10"/>
      <x:c r="L953" s="10"/>
      <x:c r="M953" s="10" t="str">
        <x:f>IF(COUNT(L953,K953)=2,L953-K953,"")</x:f>
      </x:c>
      <x:c r="N953" s="10"/>
      <x:c r="O953" s="10"/>
      <x:c r="P953" s="10" t="str">
        <x:f>IF(COUNT(O953,N953)=2,O953-N953,"")</x:f>
      </x:c>
      <x:c r="Q953" s="10"/>
      <x:c r="R953" s="10"/>
      <x:c r="S953" s="10" t="str">
        <x:f>IF(COUNT(R953,Q953)=2,R953-Q953,"")</x:f>
      </x:c>
      <x:c r="T953" s="10"/>
      <x:c r="U953" s="10"/>
      <x:c r="V953" s="10" t="str">
        <x:f>IF(COUNT(U953,T953)=2,U953-T953,"")</x:f>
      </x:c>
      <x:c r="W953" s="10"/>
      <x:c r="X953" s="10" t="str">
        <x:f>IF(COUNT(AV953,AW953)=2,AV953+AW953,"")</x:f>
      </x:c>
      <x:c r="Y953" s="10" t="str">
        <x:f>IF(COUNT(X953,W953)=2,X953-W953,"")</x:f>
      </x:c>
      <x:c r="Z953" s="10"/>
      <x:c r="AA953" s="10" t="str">
        <x:f>IF(COUNT(AX953,AY953)=2,AX953+AY953,"")</x:f>
      </x:c>
      <x:c r="AB953" s="10" t="str">
        <x:f>IF(COUNT(AA953,Z953)=2,AA953-Z953,"")</x:f>
      </x:c>
      <x:c r="AC953" s="10"/>
      <x:c r="AD953" s="10"/>
      <x:c r="AE953" s="10" t="str">
        <x:f>IF(COUNT(AD953,AC953)=2,AD953-AC953,"")</x:f>
      </x:c>
      <x:c r="AF953" s="10"/>
      <x:c r="AG953" s="10"/>
      <x:c r="AH953" s="10" t="str">
        <x:f>IF(COUNT(AG953,AF953)=2,AG953-AF953,"")</x:f>
      </x:c>
      <x:c r="AI953" s="10"/>
      <x:c r="AJ953" s="10"/>
      <x:c r="AK953" s="10" t="str">
        <x:f>IF(COUNT(AJ953,AI953)=2,AJ953-AI953,"")</x:f>
      </x:c>
      <x:c r="AL953" s="10"/>
      <x:c r="AM953" s="10"/>
      <x:c r="AN953" s="4"/>
      <x:c r="AO953" s="4"/>
      <x:c r="AP953" s="4"/>
      <x:c r="AQ953" s="4"/>
      <x:c r="AR953" s="4"/>
      <x:c r="AS953" s="4"/>
      <x:c r="AT953" s="4"/>
      <x:c r="AU953" s="4"/>
      <x:c r="AV953" s="10"/>
      <x:c r="AW953" s="10"/>
      <x:c r="AX953" s="10"/>
      <x:c r="AY953" s="10"/>
      <x:c r="AZ953" s="10" t="n">
        <x:v>2</x:v>
      </x:c>
      <x:c r="BA953" s="10" t="n">
        <x:v>11</x:v>
      </x:c>
      <x:c r="BB953" s="4" t="n">
        <x:v>15.4</x:v>
      </x:c>
      <x:c r="BC953" s="4" t="n">
        <x:v>-19.4</x:v>
      </x:c>
      <x:c r="BD953" s="10" t="n">
        <x:v>1</x:v>
      </x:c>
      <x:c r="BE953" s="10" t="n">
        <x:v>10</x:v>
      </x:c>
      <x:c r="BF953" s="4" t="n">
        <x:v>9.1</x:v>
      </x:c>
      <x:c r="BG953" s="4" t="n">
        <x:v>-30</x:v>
      </x:c>
      <x:c r="BH953" s="4"/>
      <x:c r="BI953" s="4" t="n">
        <x:v>85.7</x:v>
      </x:c>
      <x:c r="BJ953" s="4"/>
      <x:c r="BK953" s="4" t="n">
        <x:v>0</x:v>
      </x:c>
      <x:c r="BL953" s="4" t="n">
        <x:v>100</x:v>
      </x:c>
      <x:c r="BM953" s="4" t="n">
        <x:v>5.2</x:v>
      </x:c>
      <x:c r="BN953" s="4" t="n">
        <x:v>5.2</x:v>
      </x:c>
      <x:c r="BO953" s="10" t="n">
        <x:v>0</x:v>
      </x:c>
      <x:c r="BP953" s="10" t="n">
        <x:v>0</x:v>
      </x:c>
      <x:c r="BQ953" s="4" t="n">
        <x:v>-0.5</x:v>
      </x:c>
      <x:c r="BR953" s="10" t="n">
        <x:v>1</x:v>
      </x:c>
      <x:c r="BS953" s="4" t="n">
        <x:v>0</x:v>
      </x:c>
      <x:c r="BT953" s="10" t="n">
        <x:v>1</x:v>
      </x:c>
      <x:c r="BU953" s="4" t="str">
        <x:v>BUF</x:v>
      </x:c>
      <x:c r="BV953" s="10"/>
      <x:c r="BW953" s="10"/>
      <x:c r="BX953" s="10" t="n">
        <x:v>552</x:v>
      </x:c>
      <x:c r="BY953" s="4"/>
      <x:c r="BZ953" s="4"/>
      <x:c r="CA953" s="4" t="str">
        <x:v>Trevor Kuntar</x:v>
      </x:c>
      <x:c r="CB953" s="4" t="str">
        <x:v>kuntatr01</x:v>
      </x:c>
    </x:row>
    <x:row r="954" ht="22" customHeight="1">
      <x:c r="A954" s="4" t="str">
        <x:v>Trevor Lewis</x:v>
      </x:c>
      <x:c r="B954" s="4" t="str">
        <x:v>trevorlewis</x:v>
      </x:c>
      <x:c r="C954" s="10" t="n">
        <x:v>1</x:v>
      </x:c>
      <x:c r="D954" s="10" t="n">
        <x:v>0</x:v>
      </x:c>
      <x:c r="E954" s="10" t="n">
        <x:v>0</x:v>
      </x:c>
      <x:c r="F954" s="4" t="n">
        <x:f>IF(COUNT(N954,Q954,T954,W954,Z954,AC954,AF954,AI954)=8,N954*Guide!$E$5+Q954*Guide!$E$6+T954*Guide!$E$7+W954*Guide!$E$8+Z954*Guide!$E$9+AC954*Guide!$E$10+AF954*Guide!$E$11+AI954*Guide!$E$12,"")</x:f>
        <x:v>138.5</x:v>
      </x:c>
      <x:c r="G954" s="4" t="str">
        <x:f>IF(COUNT(O954,R954,U954,X954,AA954,AD954,AG954,AJ954)=8,O954*Guide!$E$5+R954*Guide!$E$6+U954*Guide!$E$7+X954*Guide!$E$8+AA954*Guide!$E$9+AD954*Guide!$E$10+AG954*Guide!$E$11+AJ954*Guide!$E$12,"")</x:f>
      </x:c>
      <x:c r="H954" s="4" t="str">
        <x:f>IF(COUNT(G954,F954)=2,G954-F954,"")</x:f>
      </x:c>
      <x:c r="I954" s="4" t="n">
        <x:f>IF(AND(ISNUMBER(F954),K954&gt;0),F954/K954,"")</x:f>
        <x:v>1.8716216216216217</x:v>
      </x:c>
      <x:c r="J954" s="4" t="str">
        <x:f>IF(AND(ISNUMBER(G954),L954&gt;0),G954/L954,"")</x:f>
      </x:c>
      <x:c r="K954" s="10" t="n">
        <x:v>74</x:v>
      </x:c>
      <x:c r="L954" s="10"/>
      <x:c r="M954" s="10" t="str">
        <x:f>IF(COUNT(L954,K954)=2,L954-K954,"")</x:f>
      </x:c>
      <x:c r="N954" s="10" t="n">
        <x:v>8</x:v>
      </x:c>
      <x:c r="O954" s="10"/>
      <x:c r="P954" s="10" t="str">
        <x:f>IF(COUNT(O954,N954)=2,O954-N954,"")</x:f>
      </x:c>
      <x:c r="Q954" s="10" t="n">
        <x:v>8</x:v>
      </x:c>
      <x:c r="R954" s="10"/>
      <x:c r="S954" s="10" t="str">
        <x:f>IF(COUNT(R954,Q954)=2,R954-Q954,"")</x:f>
      </x:c>
      <x:c r="T954" s="10" t="n">
        <x:v>-1</x:v>
      </x:c>
      <x:c r="U954" s="10"/>
      <x:c r="V954" s="10" t="str">
        <x:f>IF(COUNT(U954,T954)=2,U954-T954,"")</x:f>
      </x:c>
      <x:c r="W954" s="10" t="n">
        <x:v>0</x:v>
      </x:c>
      <x:c r="X954" s="10" t="str">
        <x:f>IF(COUNT(AV954,AW954)=2,AV954+AW954,"")</x:f>
      </x:c>
      <x:c r="Y954" s="10" t="str">
        <x:f>IF(COUNT(X954,W954)=2,X954-W954,"")</x:f>
      </x:c>
      <x:c r="Z954" s="10" t="n">
        <x:v>1</x:v>
      </x:c>
      <x:c r="AA954" s="10" t="str">
        <x:f>IF(COUNT(AX954,AY954)=2,AX954+AY954,"")</x:f>
      </x:c>
      <x:c r="AB954" s="10" t="str">
        <x:f>IF(COUNT(AA954,Z954)=2,AA954-Z954,"")</x:f>
      </x:c>
      <x:c r="AC954" s="10" t="n">
        <x:v>83</x:v>
      </x:c>
      <x:c r="AD954" s="10"/>
      <x:c r="AE954" s="10" t="str">
        <x:f>IF(COUNT(AD954,AC954)=2,AD954-AC954,"")</x:f>
      </x:c>
      <x:c r="AF954" s="10" t="n">
        <x:v>113</x:v>
      </x:c>
      <x:c r="AG954" s="10"/>
      <x:c r="AH954" s="10" t="str">
        <x:f>IF(COUNT(AG954,AF954)=2,AG954-AF954,"")</x:f>
      </x:c>
      <x:c r="AI954" s="10" t="n">
        <x:v>42</x:v>
      </x:c>
      <x:c r="AJ954" s="10"/>
      <x:c r="AK954" s="10" t="str">
        <x:f>IF(COUNT(AJ954,AI954)=2,AJ954-AI954,"")</x:f>
      </x:c>
      <x:c r="AL954" s="10" t="n">
        <x:v>39</x:v>
      </x:c>
      <x:c r="AM954" s="10"/>
      <x:c r="AN954" s="4" t="str">
        <x:v>C</x:v>
      </x:c>
      <x:c r="AO954" s="4"/>
      <x:c r="AP954" s="4" t="str">
        <x:v>LA</x:v>
      </x:c>
      <x:c r="AQ954" s="4"/>
      <x:c r="AR954" s="4" t="n">
        <x:v>10.370000000000001</x:v>
      </x:c>
      <x:c r="AS954" s="4"/>
      <x:c r="AT954" s="4" t="n">
        <x:v>0.1</x:v>
      </x:c>
      <x:c r="AU954" s="4"/>
      <x:c r="AV954" s="10"/>
      <x:c r="AW954" s="10"/>
      <x:c r="AX954" s="10"/>
      <x:c r="AY954" s="10"/>
      <x:c r="AZ954" s="10"/>
      <x:c r="BA954" s="10"/>
      <x:c r="BB954" s="4"/>
      <x:c r="BC954" s="4"/>
      <x:c r="BD954" s="10"/>
      <x:c r="BE954" s="10"/>
      <x:c r="BF954" s="4"/>
      <x:c r="BG954" s="4"/>
      <x:c r="BH954" s="4"/>
      <x:c r="BI954" s="4"/>
      <x:c r="BJ954" s="4"/>
      <x:c r="BK954" s="4"/>
      <x:c r="BL954" s="4"/>
      <x:c r="BM954" s="4"/>
      <x:c r="BN954" s="4"/>
      <x:c r="BO954" s="10"/>
      <x:c r="BP954" s="10"/>
      <x:c r="BQ954" s="4"/>
      <x:c r="BR954" s="10"/>
      <x:c r="BS954" s="4"/>
      <x:c r="BT954" s="10"/>
      <x:c r="BU954" s="4"/>
      <x:c r="BV954" s="10" t="n">
        <x:v>611</x:v>
      </x:c>
      <x:c r="BW954" s="10"/>
      <x:c r="BX954" s="10"/>
      <x:c r="BY954" s="4" t="str">
        <x:v>Trevor Lewis</x:v>
      </x:c>
      <x:c r="BZ954" s="4"/>
      <x:c r="CA954" s="4"/>
      <x:c r="CB954" s="4"/>
    </x:row>
    <x:row r="955" ht="22" customHeight="1">
      <x:c r="A955" s="4" t="str">
        <x:v>Trevor van Riemsdyk</x:v>
      </x:c>
      <x:c r="B955" s="4" t="str">
        <x:v>trevorvanriemsdyk</x:v>
      </x:c>
      <x:c r="C955" s="10" t="n">
        <x:v>1</x:v>
      </x:c>
      <x:c r="D955" s="10" t="n">
        <x:v>0</x:v>
      </x:c>
      <x:c r="E955" s="10" t="n">
        <x:v>1</x:v>
      </x:c>
      <x:c r="F955" s="4" t="n">
        <x:f>IF(COUNT(N955,Q955,T955,W955,Z955,AC955,AF955,AI955)=8,N955*Guide!$E$5+Q955*Guide!$E$6+T955*Guide!$E$7+W955*Guide!$E$8+Z955*Guide!$E$9+AC955*Guide!$E$10+AF955*Guide!$E$11+AI955*Guide!$E$12,"")</x:f>
        <x:v>199.75</x:v>
      </x:c>
      <x:c r="G955" s="4" t="str">
        <x:f>IF(COUNT(O955,R955,U955,X955,AA955,AD955,AG955,AJ955)=8,O955*Guide!$E$5+R955*Guide!$E$6+U955*Guide!$E$7+X955*Guide!$E$8+AA955*Guide!$E$9+AD955*Guide!$E$10+AG955*Guide!$E$11+AJ955*Guide!$E$12,"")</x:f>
      </x:c>
      <x:c r="H955" s="4" t="str">
        <x:f>IF(COUNT(G955,F955)=2,G955-F955,"")</x:f>
      </x:c>
      <x:c r="I955" s="4" t="n">
        <x:f>IF(AND(ISNUMBER(F955),K955&gt;0),F955/K955,"")</x:f>
        <x:v>2.496875</x:v>
      </x:c>
      <x:c r="J955" s="4" t="str">
        <x:f>IF(AND(ISNUMBER(G955),L955&gt;0),G955/L955,"")</x:f>
      </x:c>
      <x:c r="K955" s="10" t="n">
        <x:v>80</x:v>
      </x:c>
      <x:c r="L955" s="10"/>
      <x:c r="M955" s="10" t="str">
        <x:f>IF(COUNT(L955,K955)=2,L955-K955,"")</x:f>
      </x:c>
      <x:c r="N955" s="10" t="n">
        <x:v>3</x:v>
      </x:c>
      <x:c r="O955" s="10"/>
      <x:c r="P955" s="10" t="str">
        <x:f>IF(COUNT(O955,N955)=2,O955-N955,"")</x:f>
      </x:c>
      <x:c r="Q955" s="10" t="n">
        <x:v>17</x:v>
      </x:c>
      <x:c r="R955" s="10"/>
      <x:c r="S955" s="10" t="str">
        <x:f>IF(COUNT(R955,Q955)=2,R955-Q955,"")</x:f>
      </x:c>
      <x:c r="T955" s="10" t="n">
        <x:v>8</x:v>
      </x:c>
      <x:c r="U955" s="10"/>
      <x:c r="V955" s="10" t="str">
        <x:f>IF(COUNT(U955,T955)=2,U955-T955,"")</x:f>
      </x:c>
      <x:c r="W955" s="10" t="n">
        <x:v>0</x:v>
      </x:c>
      <x:c r="X955" s="10" t="str">
        <x:f>IF(COUNT(AV955,AW955)=2,AV955+AW955,"")</x:f>
      </x:c>
      <x:c r="Y955" s="10" t="str">
        <x:f>IF(COUNT(X955,W955)=2,X955-W955,"")</x:f>
      </x:c>
      <x:c r="Z955" s="10" t="n">
        <x:v>1</x:v>
      </x:c>
      <x:c r="AA955" s="10" t="str">
        <x:f>IF(COUNT(AX955,AY955)=2,AX955+AY955,"")</x:f>
      </x:c>
      <x:c r="AB955" s="10" t="str">
        <x:f>IF(COUNT(AA955,Z955)=2,AA955-Z955,"")</x:f>
      </x:c>
      <x:c r="AC955" s="10" t="n">
        <x:v>79</x:v>
      </x:c>
      <x:c r="AD955" s="10"/>
      <x:c r="AE955" s="10" t="str">
        <x:f>IF(COUNT(AD955,AC955)=2,AD955-AC955,"")</x:f>
      </x:c>
      <x:c r="AF955" s="10" t="n">
        <x:v>13</x:v>
      </x:c>
      <x:c r="AG955" s="10"/>
      <x:c r="AH955" s="10" t="str">
        <x:f>IF(COUNT(AG955,AF955)=2,AG955-AF955,"")</x:f>
      </x:c>
      <x:c r="AI955" s="10" t="n">
        <x:v>137</x:v>
      </x:c>
      <x:c r="AJ955" s="10"/>
      <x:c r="AK955" s="10" t="str">
        <x:f>IF(COUNT(AJ955,AI955)=2,AJ955-AI955,"")</x:f>
      </x:c>
      <x:c r="AL955" s="10" t="n">
        <x:v>34</x:v>
      </x:c>
      <x:c r="AM955" s="10"/>
      <x:c r="AN955" s="4" t="str">
        <x:v>D</x:v>
      </x:c>
      <x:c r="AO955" s="4"/>
      <x:c r="AP955" s="4" t="str">
        <x:v>WSH</x:v>
      </x:c>
      <x:c r="AQ955" s="4"/>
      <x:c r="AR955" s="4" t="n">
        <x:v>17.9</x:v>
      </x:c>
      <x:c r="AS955" s="4"/>
      <x:c r="AT955" s="4" t="n">
        <x:v>0.08</x:v>
      </x:c>
      <x:c r="AU955" s="4"/>
      <x:c r="AV955" s="10"/>
      <x:c r="AW955" s="10"/>
      <x:c r="AX955" s="10"/>
      <x:c r="AY955" s="10"/>
      <x:c r="AZ955" s="10" t="n">
        <x:v>899</x:v>
      </x:c>
      <x:c r="BA955" s="10" t="n">
        <x:v>974</x:v>
      </x:c>
      <x:c r="BB955" s="4" t="n">
        <x:v>48</x:v>
      </x:c>
      <x:c r="BC955" s="4" t="n">
        <x:v>-1.9</x:v>
      </x:c>
      <x:c r="BD955" s="10" t="n">
        <x:v>637</x:v>
      </x:c>
      <x:c r="BE955" s="10" t="n">
        <x:v>662</x:v>
      </x:c>
      <x:c r="BF955" s="4" t="n">
        <x:v>49</x:v>
      </x:c>
      <x:c r="BG955" s="4" t="n">
        <x:v>-1.6</x:v>
      </x:c>
      <x:c r="BH955" s="4" t="n">
        <x:v>10.5</x:v>
      </x:c>
      <x:c r="BI955" s="4" t="n">
        <x:v>91.1</x:v>
      </x:c>
      <x:c r="BJ955" s="4" t="n">
        <x:v>101.6</x:v>
      </x:c>
      <x:c r="BK955" s="4" t="n">
        <x:v>41.8</x:v>
      </x:c>
      <x:c r="BL955" s="4" t="n">
        <x:v>58.2</x:v>
      </x:c>
      <x:c r="BM955" s="4" t="n">
        <x:v>16.233333333333334</x:v>
      </x:c>
      <x:c r="BN955" s="4" t="n">
        <x:v>14.45</x:v>
      </x:c>
      <x:c r="BO955" s="10" t="n">
        <x:v>17</x:v>
      </x:c>
      <x:c r="BP955" s="10" t="n">
        <x:v>46</x:v>
      </x:c>
      <x:c r="BQ955" s="4" t="n">
        <x:v>2.8</x:v>
      </x:c>
      <x:c r="BR955" s="10" t="n">
        <x:v>104</x:v>
      </x:c>
      <x:c r="BS955" s="4" t="n">
        <x:v>42.3</x:v>
      </x:c>
      <x:c r="BT955" s="10" t="n">
        <x:v>68</x:v>
      </x:c>
      <x:c r="BU955" s="4" t="str">
        <x:v>WSH</x:v>
      </x:c>
      <x:c r="BV955" s="10" t="n">
        <x:v>520</x:v>
      </x:c>
      <x:c r="BW955" s="10"/>
      <x:c r="BX955" s="10" t="n">
        <x:v>1046</x:v>
      </x:c>
      <x:c r="BY955" s="4" t="str">
        <x:v>Trevor van Riemsdyk</x:v>
      </x:c>
      <x:c r="BZ955" s="4"/>
      <x:c r="CA955" s="4" t="str">
        <x:v>Trevor van Riemsdyk</x:v>
      </x:c>
      <x:c r="CB955" s="4" t="str">
        <x:v>vanritr01</x:v>
      </x:c>
    </x:row>
    <x:row r="956" ht="22" customHeight="1">
      <x:c r="A956" s="4" t="str">
        <x:v>Tristan Broz</x:v>
      </x:c>
      <x:c r="B956" s="4" t="str">
        <x:v>tristanbroz</x:v>
      </x:c>
      <x:c r="C956" s="10" t="n">
        <x:v>0</x:v>
      </x:c>
      <x:c r="D956" s="10" t="n">
        <x:v>0</x:v>
      </x:c>
      <x:c r="E956" s="10" t="n">
        <x:v>1</x:v>
      </x:c>
      <x:c r="F956" s="4" t="str">
        <x:f>IF(COUNT(N956,Q956,T956,W956,Z956,AC956,AF956,AI956)=8,N956*Guide!$E$5+Q956*Guide!$E$6+T956*Guide!$E$7+W956*Guide!$E$8+Z956*Guide!$E$9+AC956*Guide!$E$10+AF956*Guide!$E$11+AI956*Guide!$E$12,"")</x:f>
      </x:c>
      <x:c r="G956" s="4" t="str">
        <x:f>IF(COUNT(O956,R956,U956,X956,AA956,AD956,AG956,AJ956)=8,O956*Guide!$E$5+R956*Guide!$E$6+U956*Guide!$E$7+X956*Guide!$E$8+AA956*Guide!$E$9+AD956*Guide!$E$10+AG956*Guide!$E$11+AJ956*Guide!$E$12,"")</x:f>
      </x:c>
      <x:c r="H956" s="4" t="str">
        <x:f>IF(COUNT(G956,F956)=2,G956-F956,"")</x:f>
      </x:c>
      <x:c r="I956" s="4" t="str">
        <x:f>IF(AND(ISNUMBER(F956),K956&gt;0),F956/K956,"")</x:f>
      </x:c>
      <x:c r="J956" s="4" t="str">
        <x:f>IF(AND(ISNUMBER(G956),L956&gt;0),G956/L956,"")</x:f>
      </x:c>
      <x:c r="K956" s="10"/>
      <x:c r="L956" s="10"/>
      <x:c r="M956" s="10" t="str">
        <x:f>IF(COUNT(L956,K956)=2,L956-K956,"")</x:f>
      </x:c>
      <x:c r="N956" s="10"/>
      <x:c r="O956" s="10"/>
      <x:c r="P956" s="10" t="str">
        <x:f>IF(COUNT(O956,N956)=2,O956-N956,"")</x:f>
      </x:c>
      <x:c r="Q956" s="10"/>
      <x:c r="R956" s="10"/>
      <x:c r="S956" s="10" t="str">
        <x:f>IF(COUNT(R956,Q956)=2,R956-Q956,"")</x:f>
      </x:c>
      <x:c r="T956" s="10"/>
      <x:c r="U956" s="10"/>
      <x:c r="V956" s="10" t="str">
        <x:f>IF(COUNT(U956,T956)=2,U956-T956,"")</x:f>
      </x:c>
      <x:c r="W956" s="10"/>
      <x:c r="X956" s="10" t="str">
        <x:f>IF(COUNT(AV956,AW956)=2,AV956+AW956,"")</x:f>
      </x:c>
      <x:c r="Y956" s="10" t="str">
        <x:f>IF(COUNT(X956,W956)=2,X956-W956,"")</x:f>
      </x:c>
      <x:c r="Z956" s="10"/>
      <x:c r="AA956" s="10" t="str">
        <x:f>IF(COUNT(AX956,AY956)=2,AX956+AY956,"")</x:f>
      </x:c>
      <x:c r="AB956" s="10" t="str">
        <x:f>IF(COUNT(AA956,Z956)=2,AA956-Z956,"")</x:f>
      </x:c>
      <x:c r="AC956" s="10"/>
      <x:c r="AD956" s="10"/>
      <x:c r="AE956" s="10" t="str">
        <x:f>IF(COUNT(AD956,AC956)=2,AD956-AC956,"")</x:f>
      </x:c>
      <x:c r="AF956" s="10"/>
      <x:c r="AG956" s="10"/>
      <x:c r="AH956" s="10" t="str">
        <x:f>IF(COUNT(AG956,AF956)=2,AG956-AF956,"")</x:f>
      </x:c>
      <x:c r="AI956" s="10"/>
      <x:c r="AJ956" s="10"/>
      <x:c r="AK956" s="10" t="str">
        <x:f>IF(COUNT(AJ956,AI956)=2,AJ956-AI956,"")</x:f>
      </x:c>
      <x:c r="AL956" s="10"/>
      <x:c r="AM956" s="10"/>
      <x:c r="AN956" s="4"/>
      <x:c r="AO956" s="4"/>
      <x:c r="AP956" s="4"/>
      <x:c r="AQ956" s="4"/>
      <x:c r="AR956" s="4"/>
      <x:c r="AS956" s="4"/>
      <x:c r="AT956" s="4"/>
      <x:c r="AU956" s="4"/>
      <x:c r="AV956" s="10"/>
      <x:c r="AW956" s="10"/>
      <x:c r="AX956" s="10"/>
      <x:c r="AY956" s="10"/>
      <x:c r="AZ956" s="10" t="n">
        <x:v>7</x:v>
      </x:c>
      <x:c r="BA956" s="10" t="n">
        <x:v>17</x:v>
      </x:c>
      <x:c r="BB956" s="4" t="n">
        <x:v>29.2</x:v>
      </x:c>
      <x:c r="BC956" s="4" t="n">
        <x:v>-16.3</x:v>
      </x:c>
      <x:c r="BD956" s="10" t="n">
        <x:v>4</x:v>
      </x:c>
      <x:c r="BE956" s="10" t="n">
        <x:v>14</x:v>
      </x:c>
      <x:c r="BF956" s="4" t="n">
        <x:v>22.2</x:v>
      </x:c>
      <x:c r="BG956" s="4" t="n">
        <x:v>-18.1</x:v>
      </x:c>
      <x:c r="BH956" s="4" t="n">
        <x:v>0</x:v>
      </x:c>
      <x:c r="BI956" s="4" t="n">
        <x:v>88.9</x:v>
      </x:c>
      <x:c r="BJ956" s="4" t="n">
        <x:v>88.9</x:v>
      </x:c>
      <x:c r="BK956" s="4" t="n">
        <x:v>80</x:v>
      </x:c>
      <x:c r="BL956" s="4" t="n">
        <x:v>20</x:v>
      </x:c>
      <x:c r="BM956" s="4" t="n">
        <x:v>11.5</x:v>
      </x:c>
      <x:c r="BN956" s="4" t="n">
        <x:v>11.5</x:v>
      </x:c>
      <x:c r="BO956" s="10" t="n">
        <x:v>0</x:v>
      </x:c>
      <x:c r="BP956" s="10" t="n">
        <x:v>1</x:v>
      </x:c>
      <x:c r="BQ956" s="4" t="n">
        <x:v>-0.5</x:v>
      </x:c>
      <x:c r="BR956" s="10" t="n">
        <x:v>2</x:v>
      </x:c>
      <x:c r="BS956" s="4" t="n">
        <x:v>100</x:v>
      </x:c>
      <x:c r="BT956" s="10" t="n">
        <x:v>1</x:v>
      </x:c>
      <x:c r="BU956" s="4" t="str">
        <x:v>PIT</x:v>
      </x:c>
      <x:c r="BV956" s="10"/>
      <x:c r="BW956" s="10"/>
      <x:c r="BX956" s="10" t="n">
        <x:v>101</x:v>
      </x:c>
      <x:c r="BY956" s="4"/>
      <x:c r="BZ956" s="4"/>
      <x:c r="CA956" s="4" t="str">
        <x:v>Tristan Broz</x:v>
      </x:c>
      <x:c r="CB956" s="4" t="str">
        <x:v>broztr01</x:v>
      </x:c>
    </x:row>
    <x:row r="957" ht="22" customHeight="1">
      <x:c r="A957" s="4" t="str">
        <x:v>Tristan Luneau</x:v>
      </x:c>
      <x:c r="B957" s="4" t="str">
        <x:v>tristanluneau</x:v>
      </x:c>
      <x:c r="C957" s="10" t="n">
        <x:v>0</x:v>
      </x:c>
      <x:c r="D957" s="10" t="n">
        <x:v>0</x:v>
      </x:c>
      <x:c r="E957" s="10" t="n">
        <x:v>1</x:v>
      </x:c>
      <x:c r="F957" s="4" t="str">
        <x:f>IF(COUNT(N957,Q957,T957,W957,Z957,AC957,AF957,AI957)=8,N957*Guide!$E$5+Q957*Guide!$E$6+T957*Guide!$E$7+W957*Guide!$E$8+Z957*Guide!$E$9+AC957*Guide!$E$10+AF957*Guide!$E$11+AI957*Guide!$E$12,"")</x:f>
      </x:c>
      <x:c r="G957" s="4" t="str">
        <x:f>IF(COUNT(O957,R957,U957,X957,AA957,AD957,AG957,AJ957)=8,O957*Guide!$E$5+R957*Guide!$E$6+U957*Guide!$E$7+X957*Guide!$E$8+AA957*Guide!$E$9+AD957*Guide!$E$10+AG957*Guide!$E$11+AJ957*Guide!$E$12,"")</x:f>
      </x:c>
      <x:c r="H957" s="4" t="str">
        <x:f>IF(COUNT(G957,F957)=2,G957-F957,"")</x:f>
      </x:c>
      <x:c r="I957" s="4" t="str">
        <x:f>IF(AND(ISNUMBER(F957),K957&gt;0),F957/K957,"")</x:f>
      </x:c>
      <x:c r="J957" s="4" t="str">
        <x:f>IF(AND(ISNUMBER(G957),L957&gt;0),G957/L957,"")</x:f>
      </x:c>
      <x:c r="K957" s="10"/>
      <x:c r="L957" s="10"/>
      <x:c r="M957" s="10" t="str">
        <x:f>IF(COUNT(L957,K957)=2,L957-K957,"")</x:f>
      </x:c>
      <x:c r="N957" s="10"/>
      <x:c r="O957" s="10"/>
      <x:c r="P957" s="10" t="str">
        <x:f>IF(COUNT(O957,N957)=2,O957-N957,"")</x:f>
      </x:c>
      <x:c r="Q957" s="10"/>
      <x:c r="R957" s="10"/>
      <x:c r="S957" s="10" t="str">
        <x:f>IF(COUNT(R957,Q957)=2,R957-Q957,"")</x:f>
      </x:c>
      <x:c r="T957" s="10"/>
      <x:c r="U957" s="10"/>
      <x:c r="V957" s="10" t="str">
        <x:f>IF(COUNT(U957,T957)=2,U957-T957,"")</x:f>
      </x:c>
      <x:c r="W957" s="10"/>
      <x:c r="X957" s="10" t="str">
        <x:f>IF(COUNT(AV957,AW957)=2,AV957+AW957,"")</x:f>
      </x:c>
      <x:c r="Y957" s="10" t="str">
        <x:f>IF(COUNT(X957,W957)=2,X957-W957,"")</x:f>
      </x:c>
      <x:c r="Z957" s="10"/>
      <x:c r="AA957" s="10" t="str">
        <x:f>IF(COUNT(AX957,AY957)=2,AX957+AY957,"")</x:f>
      </x:c>
      <x:c r="AB957" s="10" t="str">
        <x:f>IF(COUNT(AA957,Z957)=2,AA957-Z957,"")</x:f>
      </x:c>
      <x:c r="AC957" s="10"/>
      <x:c r="AD957" s="10"/>
      <x:c r="AE957" s="10" t="str">
        <x:f>IF(COUNT(AD957,AC957)=2,AD957-AC957,"")</x:f>
      </x:c>
      <x:c r="AF957" s="10"/>
      <x:c r="AG957" s="10"/>
      <x:c r="AH957" s="10" t="str">
        <x:f>IF(COUNT(AG957,AF957)=2,AG957-AF957,"")</x:f>
      </x:c>
      <x:c r="AI957" s="10"/>
      <x:c r="AJ957" s="10"/>
      <x:c r="AK957" s="10" t="str">
        <x:f>IF(COUNT(AJ957,AI957)=2,AJ957-AI957,"")</x:f>
      </x:c>
      <x:c r="AL957" s="10"/>
      <x:c r="AM957" s="10"/>
      <x:c r="AN957" s="4"/>
      <x:c r="AO957" s="4"/>
      <x:c r="AP957" s="4"/>
      <x:c r="AQ957" s="4"/>
      <x:c r="AR957" s="4"/>
      <x:c r="AS957" s="4"/>
      <x:c r="AT957" s="4"/>
      <x:c r="AU957" s="4"/>
      <x:c r="AV957" s="10"/>
      <x:c r="AW957" s="10"/>
      <x:c r="AX957" s="10"/>
      <x:c r="AY957" s="10"/>
      <x:c r="AZ957" s="10" t="n">
        <x:v>22</x:v>
      </x:c>
      <x:c r="BA957" s="10" t="n">
        <x:v>7</x:v>
      </x:c>
      <x:c r="BB957" s="4" t="n">
        <x:v>75.9</x:v>
      </x:c>
      <x:c r="BC957" s="4" t="n">
        <x:v>19.8</x:v>
      </x:c>
      <x:c r="BD957" s="10" t="n">
        <x:v>14</x:v>
      </x:c>
      <x:c r="BE957" s="10" t="n">
        <x:v>5</x:v>
      </x:c>
      <x:c r="BF957" s="4" t="n">
        <x:v>73.7</x:v>
      </x:c>
      <x:c r="BG957" s="4" t="n">
        <x:v>14.5</x:v>
      </x:c>
      <x:c r="BH957" s="4" t="n">
        <x:v>22.2</x:v>
      </x:c>
      <x:c r="BI957" s="4" t="n">
        <x:v>100</x:v>
      </x:c>
      <x:c r="BJ957" s="4" t="n">
        <x:v>122.2</x:v>
      </x:c>
      <x:c r="BK957" s="4" t="n">
        <x:v>62.5</x:v>
      </x:c>
      <x:c r="BL957" s="4" t="n">
        <x:v>37.5</x:v>
      </x:c>
      <x:c r="BM957" s="4" t="n">
        <x:v>11.616666666666667</x:v>
      </x:c>
      <x:c r="BN957" s="4" t="n">
        <x:v>11.616666666666667</x:v>
      </x:c>
      <x:c r="BO957" s="10" t="n">
        <x:v>0</x:v>
      </x:c>
      <x:c r="BP957" s="10" t="n">
        <x:v>0</x:v>
      </x:c>
      <x:c r="BQ957" s="4" t="n">
        <x:v>0.5</x:v>
      </x:c>
      <x:c r="BR957" s="10" t="n">
        <x:v>3</x:v>
      </x:c>
      <x:c r="BS957" s="4" t="n">
        <x:v>66.7</x:v>
      </x:c>
      <x:c r="BT957" s="10" t="n">
        <x:v>1</x:v>
      </x:c>
      <x:c r="BU957" s="4" t="str">
        <x:v>ANA</x:v>
      </x:c>
      <x:c r="BV957" s="10"/>
      <x:c r="BW957" s="10"/>
      <x:c r="BX957" s="10" t="n">
        <x:v>615</x:v>
      </x:c>
      <x:c r="BY957" s="4"/>
      <x:c r="BZ957" s="4"/>
      <x:c r="CA957" s="4" t="str">
        <x:v>Tristan Luneau</x:v>
      </x:c>
      <x:c r="CB957" s="4" t="str">
        <x:v>luneatr01</x:v>
      </x:c>
    </x:row>
    <x:row r="958" ht="22" customHeight="1">
      <x:c r="A958" s="4" t="str">
        <x:v>Tristen Nielsen</x:v>
      </x:c>
      <x:c r="B958" s="4" t="str">
        <x:v>tristennielsen</x:v>
      </x:c>
      <x:c r="C958" s="10" t="n">
        <x:v>0</x:v>
      </x:c>
      <x:c r="D958" s="10" t="n">
        <x:v>0</x:v>
      </x:c>
      <x:c r="E958" s="10" t="n">
        <x:v>1</x:v>
      </x:c>
      <x:c r="F958" s="4" t="str">
        <x:f>IF(COUNT(N958,Q958,T958,W958,Z958,AC958,AF958,AI958)=8,N958*Guide!$E$5+Q958*Guide!$E$6+T958*Guide!$E$7+W958*Guide!$E$8+Z958*Guide!$E$9+AC958*Guide!$E$10+AF958*Guide!$E$11+AI958*Guide!$E$12,"")</x:f>
      </x:c>
      <x:c r="G958" s="4" t="str">
        <x:f>IF(COUNT(O958,R958,U958,X958,AA958,AD958,AG958,AJ958)=8,O958*Guide!$E$5+R958*Guide!$E$6+U958*Guide!$E$7+X958*Guide!$E$8+AA958*Guide!$E$9+AD958*Guide!$E$10+AG958*Guide!$E$11+AJ958*Guide!$E$12,"")</x:f>
      </x:c>
      <x:c r="H958" s="4" t="str">
        <x:f>IF(COUNT(G958,F958)=2,G958-F958,"")</x:f>
      </x:c>
      <x:c r="I958" s="4" t="str">
        <x:f>IF(AND(ISNUMBER(F958),K958&gt;0),F958/K958,"")</x:f>
      </x:c>
      <x:c r="J958" s="4" t="str">
        <x:f>IF(AND(ISNUMBER(G958),L958&gt;0),G958/L958,"")</x:f>
      </x:c>
      <x:c r="K958" s="10"/>
      <x:c r="L958" s="10"/>
      <x:c r="M958" s="10" t="str">
        <x:f>IF(COUNT(L958,K958)=2,L958-K958,"")</x:f>
      </x:c>
      <x:c r="N958" s="10"/>
      <x:c r="O958" s="10"/>
      <x:c r="P958" s="10" t="str">
        <x:f>IF(COUNT(O958,N958)=2,O958-N958,"")</x:f>
      </x:c>
      <x:c r="Q958" s="10"/>
      <x:c r="R958" s="10"/>
      <x:c r="S958" s="10" t="str">
        <x:f>IF(COUNT(R958,Q958)=2,R958-Q958,"")</x:f>
      </x:c>
      <x:c r="T958" s="10"/>
      <x:c r="U958" s="10"/>
      <x:c r="V958" s="10" t="str">
        <x:f>IF(COUNT(U958,T958)=2,U958-T958,"")</x:f>
      </x:c>
      <x:c r="W958" s="10"/>
      <x:c r="X958" s="10" t="str">
        <x:f>IF(COUNT(AV958,AW958)=2,AV958+AW958,"")</x:f>
      </x:c>
      <x:c r="Y958" s="10" t="str">
        <x:f>IF(COUNT(X958,W958)=2,X958-W958,"")</x:f>
      </x:c>
      <x:c r="Z958" s="10"/>
      <x:c r="AA958" s="10" t="str">
        <x:f>IF(COUNT(AX958,AY958)=2,AX958+AY958,"")</x:f>
      </x:c>
      <x:c r="AB958" s="10" t="str">
        <x:f>IF(COUNT(AA958,Z958)=2,AA958-Z958,"")</x:f>
      </x:c>
      <x:c r="AC958" s="10"/>
      <x:c r="AD958" s="10"/>
      <x:c r="AE958" s="10" t="str">
        <x:f>IF(COUNT(AD958,AC958)=2,AD958-AC958,"")</x:f>
      </x:c>
      <x:c r="AF958" s="10"/>
      <x:c r="AG958" s="10"/>
      <x:c r="AH958" s="10" t="str">
        <x:f>IF(COUNT(AG958,AF958)=2,AG958-AF958,"")</x:f>
      </x:c>
      <x:c r="AI958" s="10"/>
      <x:c r="AJ958" s="10"/>
      <x:c r="AK958" s="10" t="str">
        <x:f>IF(COUNT(AJ958,AI958)=2,AJ958-AI958,"")</x:f>
      </x:c>
      <x:c r="AL958" s="10"/>
      <x:c r="AM958" s="10"/>
      <x:c r="AN958" s="4"/>
      <x:c r="AO958" s="4"/>
      <x:c r="AP958" s="4"/>
      <x:c r="AQ958" s="4"/>
      <x:c r="AR958" s="4"/>
      <x:c r="AS958" s="4"/>
      <x:c r="AT958" s="4"/>
      <x:c r="AU958" s="4"/>
      <x:c r="AV958" s="10"/>
      <x:c r="AW958" s="10"/>
      <x:c r="AX958" s="10"/>
      <x:c r="AY958" s="10"/>
      <x:c r="AZ958" s="10" t="n">
        <x:v>20</x:v>
      </x:c>
      <x:c r="BA958" s="10" t="n">
        <x:v>19</x:v>
      </x:c>
      <x:c r="BB958" s="4" t="n">
        <x:v>51.3</x:v>
      </x:c>
      <x:c r="BC958" s="4" t="n">
        <x:v>2.1</x:v>
      </x:c>
      <x:c r="BD958" s="10" t="n">
        <x:v>15</x:v>
      </x:c>
      <x:c r="BE958" s="10" t="n">
        <x:v>10</x:v>
      </x:c>
      <x:c r="BF958" s="4" t="n">
        <x:v>60</x:v>
      </x:c>
      <x:c r="BG958" s="4" t="n">
        <x:v>9.6</x:v>
      </x:c>
      <x:c r="BH958" s="4" t="n">
        <x:v>12.5</x:v>
      </x:c>
      <x:c r="BI958" s="4" t="n">
        <x:v>100</x:v>
      </x:c>
      <x:c r="BJ958" s="4" t="n">
        <x:v>112.5</x:v>
      </x:c>
      <x:c r="BK958" s="4" t="n">
        <x:v>54.5</x:v>
      </x:c>
      <x:c r="BL958" s="4" t="n">
        <x:v>45.5</x:v>
      </x:c>
      <x:c r="BM958" s="4" t="n">
        <x:v>6.3</x:v>
      </x:c>
      <x:c r="BN958" s="4" t="n">
        <x:v>6.3</x:v>
      </x:c>
      <x:c r="BO958" s="10" t="n">
        <x:v>0</x:v>
      </x:c>
      <x:c r="BP958" s="10" t="n">
        <x:v>2</x:v>
      </x:c>
      <x:c r="BQ958" s="4" t="n">
        <x:v>0.2</x:v>
      </x:c>
      <x:c r="BR958" s="10" t="n">
        <x:v>6</x:v>
      </x:c>
      <x:c r="BS958" s="4" t="n">
        <x:v>50</x:v>
      </x:c>
      <x:c r="BT958" s="10" t="n">
        <x:v>4</x:v>
      </x:c>
      <x:c r="BU958" s="4" t="str">
        <x:v>COL</x:v>
      </x:c>
      <x:c r="BV958" s="10"/>
      <x:c r="BW958" s="10"/>
      <x:c r="BX958" s="10" t="n">
        <x:v>740</x:v>
      </x:c>
      <x:c r="BY958" s="4"/>
      <x:c r="BZ958" s="4"/>
      <x:c r="CA958" s="4" t="str">
        <x:v>Tristen Nielsen</x:v>
      </x:c>
      <x:c r="CB958" s="4" t="str">
        <x:v>nielstr01</x:v>
      </x:c>
    </x:row>
    <x:row r="959" ht="22" customHeight="1">
      <x:c r="A959" s="4" t="str">
        <x:v>Troy Stecher</x:v>
      </x:c>
      <x:c r="B959" s="4" t="str">
        <x:v>troystecher</x:v>
      </x:c>
      <x:c r="C959" s="10" t="n">
        <x:v>1</x:v>
      </x:c>
      <x:c r="D959" s="10" t="n">
        <x:v>0</x:v>
      </x:c>
      <x:c r="E959" s="10" t="n">
        <x:v>1</x:v>
      </x:c>
      <x:c r="F959" s="4" t="n">
        <x:f>IF(COUNT(N959,Q959,T959,W959,Z959,AC959,AF959,AI959)=8,N959*Guide!$E$5+Q959*Guide!$E$6+T959*Guide!$E$7+W959*Guide!$E$8+Z959*Guide!$E$9+AC959*Guide!$E$10+AF959*Guide!$E$11+AI959*Guide!$E$12,"")</x:f>
        <x:v>113</x:v>
      </x:c>
      <x:c r="G959" s="4" t="str">
        <x:f>IF(COUNT(O959,R959,U959,X959,AA959,AD959,AG959,AJ959)=8,O959*Guide!$E$5+R959*Guide!$E$6+U959*Guide!$E$7+X959*Guide!$E$8+AA959*Guide!$E$9+AD959*Guide!$E$10+AG959*Guide!$E$11+AJ959*Guide!$E$12,"")</x:f>
      </x:c>
      <x:c r="H959" s="4" t="str">
        <x:f>IF(COUNT(G959,F959)=2,G959-F959,"")</x:f>
      </x:c>
      <x:c r="I959" s="4" t="n">
        <x:f>IF(AND(ISNUMBER(F959),K959&gt;0),F959/K959,"")</x:f>
        <x:v>1.6376811594202898</x:v>
      </x:c>
      <x:c r="J959" s="4" t="str">
        <x:f>IF(AND(ISNUMBER(G959),L959&gt;0),G959/L959,"")</x:f>
      </x:c>
      <x:c r="K959" s="10" t="n">
        <x:v>69</x:v>
      </x:c>
      <x:c r="L959" s="10"/>
      <x:c r="M959" s="10" t="str">
        <x:f>IF(COUNT(L959,K959)=2,L959-K959,"")</x:f>
      </x:c>
      <x:c r="N959" s="10" t="n">
        <x:v>3</x:v>
      </x:c>
      <x:c r="O959" s="10"/>
      <x:c r="P959" s="10" t="str">
        <x:f>IF(COUNT(O959,N959)=2,O959-N959,"")</x:f>
      </x:c>
      <x:c r="Q959" s="10" t="n">
        <x:v>8</x:v>
      </x:c>
      <x:c r="R959" s="10"/>
      <x:c r="S959" s="10" t="str">
        <x:f>IF(COUNT(R959,Q959)=2,R959-Q959,"")</x:f>
      </x:c>
      <x:c r="T959" s="10" t="n">
        <x:v>-2</x:v>
      </x:c>
      <x:c r="U959" s="10"/>
      <x:c r="V959" s="10" t="str">
        <x:f>IF(COUNT(U959,T959)=2,U959-T959,"")</x:f>
      </x:c>
      <x:c r="W959" s="10" t="n">
        <x:v>0</x:v>
      </x:c>
      <x:c r="X959" s="10" t="str">
        <x:f>IF(COUNT(AV959,AW959)=2,AV959+AW959,"")</x:f>
      </x:c>
      <x:c r="Y959" s="10" t="str">
        <x:f>IF(COUNT(X959,W959)=2,X959-W959,"")</x:f>
      </x:c>
      <x:c r="Z959" s="10" t="n">
        <x:v>0</x:v>
      </x:c>
      <x:c r="AA959" s="10" t="str">
        <x:f>IF(COUNT(AX959,AY959)=2,AX959+AY959,"")</x:f>
      </x:c>
      <x:c r="AB959" s="10" t="str">
        <x:f>IF(COUNT(AA959,Z959)=2,AA959-Z959,"")</x:f>
      </x:c>
      <x:c r="AC959" s="10" t="n">
        <x:v>56</x:v>
      </x:c>
      <x:c r="AD959" s="10"/>
      <x:c r="AE959" s="10" t="str">
        <x:f>IF(COUNT(AD959,AC959)=2,AD959-AC959,"")</x:f>
      </x:c>
      <x:c r="AF959" s="10" t="n">
        <x:v>41</x:v>
      </x:c>
      <x:c r="AG959" s="10"/>
      <x:c r="AH959" s="10" t="str">
        <x:f>IF(COUNT(AG959,AF959)=2,AG959-AF959,"")</x:f>
      </x:c>
      <x:c r="AI959" s="10" t="n">
        <x:v>73</x:v>
      </x:c>
      <x:c r="AJ959" s="10"/>
      <x:c r="AK959" s="10" t="str">
        <x:f>IF(COUNT(AJ959,AI959)=2,AJ959-AI959,"")</x:f>
      </x:c>
      <x:c r="AL959" s="10" t="n">
        <x:v>31</x:v>
      </x:c>
      <x:c r="AM959" s="10"/>
      <x:c r="AN959" s="4" t="str">
        <x:v>D</x:v>
      </x:c>
      <x:c r="AO959" s="4"/>
      <x:c r="AP959" s="4" t="str">
        <x:v>EDM</x:v>
      </x:c>
      <x:c r="AQ959" s="4"/>
      <x:c r="AR959" s="4" t="n">
        <x:v>14.659999999999998</x:v>
      </x:c>
      <x:c r="AS959" s="4"/>
      <x:c r="AT959" s="4" t="n">
        <x:v>0.04</x:v>
      </x:c>
      <x:c r="AU959" s="4"/>
      <x:c r="AV959" s="10"/>
      <x:c r="AW959" s="10"/>
      <x:c r="AX959" s="10"/>
      <x:c r="AY959" s="10"/>
      <x:c r="AZ959" s="10" t="n">
        <x:v>951</x:v>
      </x:c>
      <x:c r="BA959" s="10" t="n">
        <x:v>1149</x:v>
      </x:c>
      <x:c r="BB959" s="4" t="n">
        <x:v>45.3</x:v>
      </x:c>
      <x:c r="BC959" s="4" t="n">
        <x:v>1.3</x:v>
      </x:c>
      <x:c r="BD959" s="10" t="n">
        <x:v>705</x:v>
      </x:c>
      <x:c r="BE959" s="10" t="n">
        <x:v>868</x:v>
      </x:c>
      <x:c r="BF959" s="4" t="n">
        <x:v>44.8</x:v>
      </x:c>
      <x:c r="BG959" s="4" t="n">
        <x:v>0.2</x:v>
      </x:c>
      <x:c r="BH959" s="4" t="n">
        <x:v>10.3</x:v>
      </x:c>
      <x:c r="BI959" s="4" t="n">
        <x:v>90.1</x:v>
      </x:c>
      <x:c r="BJ959" s="4" t="n">
        <x:v>100.5</x:v>
      </x:c>
      <x:c r="BK959" s="4" t="n">
        <x:v>42.6</x:v>
      </x:c>
      <x:c r="BL959" s="4" t="n">
        <x:v>57.4</x:v>
      </x:c>
      <x:c r="BM959" s="4" t="n">
        <x:v>19.183333333333334</x:v>
      </x:c>
      <x:c r="BN959" s="4" t="n">
        <x:v>17.183333333333334</x:v>
      </x:c>
      <x:c r="BO959" s="10" t="n">
        <x:v>13</x:v>
      </x:c>
      <x:c r="BP959" s="10" t="n">
        <x:v>71</x:v>
      </x:c>
      <x:c r="BQ959" s="4" t="n">
        <x:v>-6</x:v>
      </x:c>
      <x:c r="BR959" s="10" t="n">
        <x:v>172</x:v>
      </x:c>
      <x:c r="BS959" s="4" t="n">
        <x:v>37.2</x:v>
      </x:c>
      <x:c r="BT959" s="10" t="n">
        <x:v>64</x:v>
      </x:c>
      <x:c r="BU959" s="4" t="str">
        <x:v>TOT</x:v>
      </x:c>
      <x:c r="BV959" s="10" t="n">
        <x:v>706</x:v>
      </x:c>
      <x:c r="BW959" s="10"/>
      <x:c r="BX959" s="10" t="n">
        <x:v>976</x:v>
      </x:c>
      <x:c r="BY959" s="4" t="str">
        <x:v>Troy Stecher</x:v>
      </x:c>
      <x:c r="BZ959" s="4"/>
      <x:c r="CA959" s="4" t="str">
        <x:v>Troy Stecher</x:v>
      </x:c>
      <x:c r="CB959" s="4" t="str">
        <x:v>stechtr01</x:v>
      </x:c>
    </x:row>
    <x:row r="960" ht="22" customHeight="1">
      <x:c r="A960" s="4" t="str">
        <x:v>Ty Dellandrea</x:v>
      </x:c>
      <x:c r="B960" s="4" t="str">
        <x:v>tydellandrea</x:v>
      </x:c>
      <x:c r="C960" s="10" t="n">
        <x:v>1</x:v>
      </x:c>
      <x:c r="D960" s="10" t="n">
        <x:v>0</x:v>
      </x:c>
      <x:c r="E960" s="10" t="n">
        <x:v>1</x:v>
      </x:c>
      <x:c r="F960" s="4" t="n">
        <x:f>IF(COUNT(N960,Q960,T960,W960,Z960,AC960,AF960,AI960)=8,N960*Guide!$E$5+Q960*Guide!$E$6+T960*Guide!$E$7+W960*Guide!$E$8+Z960*Guide!$E$9+AC960*Guide!$E$10+AF960*Guide!$E$11+AI960*Guide!$E$12,"")</x:f>
        <x:v>137</x:v>
      </x:c>
      <x:c r="G960" s="4" t="str">
        <x:f>IF(COUNT(O960,R960,U960,X960,AA960,AD960,AG960,AJ960)=8,O960*Guide!$E$5+R960*Guide!$E$6+U960*Guide!$E$7+X960*Guide!$E$8+AA960*Guide!$E$9+AD960*Guide!$E$10+AG960*Guide!$E$11+AJ960*Guide!$E$12,"")</x:f>
      </x:c>
      <x:c r="H960" s="4" t="str">
        <x:f>IF(COUNT(G960,F960)=2,G960-F960,"")</x:f>
      </x:c>
      <x:c r="I960" s="4" t="n">
        <x:f>IF(AND(ISNUMBER(F960),K960&gt;0),F960/K960,"")</x:f>
        <x:v>1.9855072463768115</x:v>
      </x:c>
      <x:c r="J960" s="4" t="str">
        <x:f>IF(AND(ISNUMBER(G960),L960&gt;0),G960/L960,"")</x:f>
      </x:c>
      <x:c r="K960" s="10" t="n">
        <x:v>69</x:v>
      </x:c>
      <x:c r="L960" s="10"/>
      <x:c r="M960" s="10" t="str">
        <x:f>IF(COUNT(L960,K960)=2,L960-K960,"")</x:f>
      </x:c>
      <x:c r="N960" s="10" t="n">
        <x:v>7</x:v>
      </x:c>
      <x:c r="O960" s="10"/>
      <x:c r="P960" s="10" t="str">
        <x:f>IF(COUNT(O960,N960)=2,O960-N960,"")</x:f>
      </x:c>
      <x:c r="Q960" s="10" t="n">
        <x:v>10</x:v>
      </x:c>
      <x:c r="R960" s="10"/>
      <x:c r="S960" s="10" t="str">
        <x:f>IF(COUNT(R960,Q960)=2,R960-Q960,"")</x:f>
      </x:c>
      <x:c r="T960" s="10" t="n">
        <x:v>-10</x:v>
      </x:c>
      <x:c r="U960" s="10"/>
      <x:c r="V960" s="10" t="str">
        <x:f>IF(COUNT(U960,T960)=2,U960-T960,"")</x:f>
      </x:c>
      <x:c r="W960" s="10" t="n">
        <x:v>2</x:v>
      </x:c>
      <x:c r="X960" s="10" t="str">
        <x:f>IF(COUNT(AV960,AW960)=2,AV960+AW960,"")</x:f>
      </x:c>
      <x:c r="Y960" s="10" t="str">
        <x:f>IF(COUNT(X960,W960)=2,X960-W960,"")</x:f>
      </x:c>
      <x:c r="Z960" s="10" t="n">
        <x:v>1</x:v>
      </x:c>
      <x:c r="AA960" s="10" t="str">
        <x:f>IF(COUNT(AX960,AY960)=2,AX960+AY960,"")</x:f>
      </x:c>
      <x:c r="AB960" s="10" t="str">
        <x:f>IF(COUNT(AA960,Z960)=2,AA960-Z960,"")</x:f>
      </x:c>
      <x:c r="AC960" s="10" t="n">
        <x:v>68</x:v>
      </x:c>
      <x:c r="AD960" s="10"/>
      <x:c r="AE960" s="10" t="str">
        <x:f>IF(COUNT(AD960,AC960)=2,AD960-AC960,"")</x:f>
      </x:c>
      <x:c r="AF960" s="10" t="n">
        <x:v>148</x:v>
      </x:c>
      <x:c r="AG960" s="10"/>
      <x:c r="AH960" s="10" t="str">
        <x:f>IF(COUNT(AG960,AF960)=2,AG960-AF960,"")</x:f>
      </x:c>
      <x:c r="AI960" s="10" t="n">
        <x:v>40</x:v>
      </x:c>
      <x:c r="AJ960" s="10"/>
      <x:c r="AK960" s="10" t="str">
        <x:f>IF(COUNT(AJ960,AI960)=2,AJ960-AI960,"")</x:f>
      </x:c>
      <x:c r="AL960" s="10" t="n">
        <x:v>25</x:v>
      </x:c>
      <x:c r="AM960" s="10"/>
      <x:c r="AN960" s="4" t="str">
        <x:v>C</x:v>
      </x:c>
      <x:c r="AO960" s="4"/>
      <x:c r="AP960" s="4" t="str">
        <x:v>SJ</x:v>
      </x:c>
      <x:c r="AQ960" s="4"/>
      <x:c r="AR960" s="4" t="n">
        <x:v>12.559999999999999</x:v>
      </x:c>
      <x:c r="AS960" s="4"/>
      <x:c r="AT960" s="4" t="n">
        <x:v>0.25</x:v>
      </x:c>
      <x:c r="AU960" s="4"/>
      <x:c r="AV960" s="10"/>
      <x:c r="AW960" s="10"/>
      <x:c r="AX960" s="10"/>
      <x:c r="AY960" s="10"/>
      <x:c r="AZ960" s="10" t="n">
        <x:v>379</x:v>
      </x:c>
      <x:c r="BA960" s="10" t="n">
        <x:v>610</x:v>
      </x:c>
      <x:c r="BB960" s="4" t="n">
        <x:v>38.3</x:v>
      </x:c>
      <x:c r="BC960" s="4" t="n">
        <x:v>-9.4</x:v>
      </x:c>
      <x:c r="BD960" s="10" t="n">
        <x:v>258</x:v>
      </x:c>
      <x:c r="BE960" s="10" t="n">
        <x:v>438</x:v>
      </x:c>
      <x:c r="BF960" s="4" t="n">
        <x:v>37.1</x:v>
      </x:c>
      <x:c r="BG960" s="4" t="n">
        <x:v>-9.4</x:v>
      </x:c>
      <x:c r="BH960" s="4" t="n">
        <x:v>8.1</x:v>
      </x:c>
      <x:c r="BI960" s="4" t="n">
        <x:v>88.1</x:v>
      </x:c>
      <x:c r="BJ960" s="4" t="n">
        <x:v>96.2</x:v>
      </x:c>
      <x:c r="BK960" s="4" t="n">
        <x:v>30</x:v>
      </x:c>
      <x:c r="BL960" s="4" t="n">
        <x:v>70</x:v>
      </x:c>
      <x:c r="BM960" s="4" t="n">
        <x:v>14.183333333333334</x:v>
      </x:c>
      <x:c r="BN960" s="4" t="n">
        <x:v>11.416666666666666</x:v>
      </x:c>
      <x:c r="BO960" s="10" t="n">
        <x:v>7</x:v>
      </x:c>
      <x:c r="BP960" s="10" t="n">
        <x:v>25</x:v>
      </x:c>
      <x:c r="BQ960" s="4" t="n">
        <x:v>-12.2</x:v>
      </x:c>
      <x:c r="BR960" s="10" t="n">
        <x:v>93</x:v>
      </x:c>
      <x:c r="BS960" s="4" t="n">
        <x:v>53.8</x:v>
      </x:c>
      <x:c r="BT960" s="10" t="n">
        <x:v>46</x:v>
      </x:c>
      <x:c r="BU960" s="4" t="str">
        <x:v>SJS</x:v>
      </x:c>
      <x:c r="BV960" s="10" t="n">
        <x:v>590</x:v>
      </x:c>
      <x:c r="BW960" s="10"/>
      <x:c r="BX960" s="10" t="n">
        <x:v>206</x:v>
      </x:c>
      <x:c r="BY960" s="4" t="str">
        <x:v>Ty Dellandrea</x:v>
      </x:c>
      <x:c r="BZ960" s="4"/>
      <x:c r="CA960" s="4" t="str">
        <x:v>Ty Dellandrea</x:v>
      </x:c>
      <x:c r="CB960" s="4" t="str">
        <x:v>dellaty01</x:v>
      </x:c>
    </x:row>
    <x:row r="961" ht="22" customHeight="1">
      <x:c r="A961" s="4" t="str">
        <x:v>Ty Emberson</x:v>
      </x:c>
      <x:c r="B961" s="4" t="str">
        <x:v>tyemberson</x:v>
      </x:c>
      <x:c r="C961" s="10" t="n">
        <x:v>1</x:v>
      </x:c>
      <x:c r="D961" s="10" t="n">
        <x:v>0</x:v>
      </x:c>
      <x:c r="E961" s="10" t="n">
        <x:v>1</x:v>
      </x:c>
      <x:c r="F961" s="4" t="n">
        <x:f>IF(COUNT(N961,Q961,T961,W961,Z961,AC961,AF961,AI961)=8,N961*Guide!$E$5+Q961*Guide!$E$6+T961*Guide!$E$7+W961*Guide!$E$8+Z961*Guide!$E$9+AC961*Guide!$E$10+AF961*Guide!$E$11+AI961*Guide!$E$12,"")</x:f>
        <x:v>163</x:v>
      </x:c>
      <x:c r="G961" s="4" t="str">
        <x:f>IF(COUNT(O961,R961,U961,X961,AA961,AD961,AG961,AJ961)=8,O961*Guide!$E$5+R961*Guide!$E$6+U961*Guide!$E$7+X961*Guide!$E$8+AA961*Guide!$E$9+AD961*Guide!$E$10+AG961*Guide!$E$11+AJ961*Guide!$E$12,"")</x:f>
      </x:c>
      <x:c r="H961" s="4" t="str">
        <x:f>IF(COUNT(G961,F961)=2,G961-F961,"")</x:f>
      </x:c>
      <x:c r="I961" s="4" t="n">
        <x:f>IF(AND(ISNUMBER(F961),K961&gt;0),F961/K961,"")</x:f>
        <x:v>2.2027027027027026</x:v>
      </x:c>
      <x:c r="J961" s="4" t="str">
        <x:f>IF(AND(ISNUMBER(G961),L961&gt;0),G961/L961,"")</x:f>
      </x:c>
      <x:c r="K961" s="10" t="n">
        <x:v>74</x:v>
      </x:c>
      <x:c r="L961" s="10"/>
      <x:c r="M961" s="10" t="str">
        <x:f>IF(COUNT(L961,K961)=2,L961-K961,"")</x:f>
      </x:c>
      <x:c r="N961" s="10" t="n">
        <x:v>2</x:v>
      </x:c>
      <x:c r="O961" s="10"/>
      <x:c r="P961" s="10" t="str">
        <x:f>IF(COUNT(O961,N961)=2,O961-N961,"")</x:f>
      </x:c>
      <x:c r="Q961" s="10" t="n">
        <x:v>13</x:v>
      </x:c>
      <x:c r="R961" s="10"/>
      <x:c r="S961" s="10" t="str">
        <x:f>IF(COUNT(R961,Q961)=2,R961-Q961,"")</x:f>
      </x:c>
      <x:c r="T961" s="10" t="n">
        <x:v>0</x:v>
      </x:c>
      <x:c r="U961" s="10"/>
      <x:c r="V961" s="10" t="str">
        <x:f>IF(COUNT(U961,T961)=2,U961-T961,"")</x:f>
      </x:c>
      <x:c r="W961" s="10" t="n">
        <x:v>0</x:v>
      </x:c>
      <x:c r="X961" s="10" t="str">
        <x:f>IF(COUNT(AV961,AW961)=2,AV961+AW961,"")</x:f>
      </x:c>
      <x:c r="Y961" s="10" t="str">
        <x:f>IF(COUNT(X961,W961)=2,X961-W961,"")</x:f>
      </x:c>
      <x:c r="Z961" s="10" t="n">
        <x:v>0</x:v>
      </x:c>
      <x:c r="AA961" s="10" t="str">
        <x:f>IF(COUNT(AX961,AY961)=2,AX961+AY961,"")</x:f>
      </x:c>
      <x:c r="AB961" s="10" t="str">
        <x:f>IF(COUNT(AA961,Z961)=2,AA961-Z961,"")</x:f>
      </x:c>
      <x:c r="AC961" s="10" t="n">
        <x:v>64</x:v>
      </x:c>
      <x:c r="AD961" s="10"/>
      <x:c r="AE961" s="10" t="str">
        <x:f>IF(COUNT(AD961,AC961)=2,AD961-AC961,"")</x:f>
      </x:c>
      <x:c r="AF961" s="10" t="n">
        <x:v>127</x:v>
      </x:c>
      <x:c r="AG961" s="10"/>
      <x:c r="AH961" s="10" t="str">
        <x:f>IF(COUNT(AG961,AF961)=2,AG961-AF961,"")</x:f>
      </x:c>
      <x:c r="AI961" s="10" t="n">
        <x:v>91</x:v>
      </x:c>
      <x:c r="AJ961" s="10"/>
      <x:c r="AK961" s="10" t="str">
        <x:f>IF(COUNT(AJ961,AI961)=2,AJ961-AI961,"")</x:f>
      </x:c>
      <x:c r="AL961" s="10" t="n">
        <x:v>25</x:v>
      </x:c>
      <x:c r="AM961" s="10"/>
      <x:c r="AN961" s="4" t="str">
        <x:v>D</x:v>
      </x:c>
      <x:c r="AO961" s="4"/>
      <x:c r="AP961" s="4" t="str">
        <x:v>EDM</x:v>
      </x:c>
      <x:c r="AQ961" s="4"/>
      <x:c r="AR961" s="4" t="n">
        <x:v>15.48</x:v>
      </x:c>
      <x:c r="AS961" s="4"/>
      <x:c r="AT961" s="4" t="n">
        <x:v>0.07</x:v>
      </x:c>
      <x:c r="AU961" s="4"/>
      <x:c r="AV961" s="10"/>
      <x:c r="AW961" s="10"/>
      <x:c r="AX961" s="10"/>
      <x:c r="AY961" s="10"/>
      <x:c r="AZ961" s="10" t="n">
        <x:v>803</x:v>
      </x:c>
      <x:c r="BA961" s="10" t="n">
        <x:v>942</x:v>
      </x:c>
      <x:c r="BB961" s="4" t="n">
        <x:v>46</x:v>
      </x:c>
      <x:c r="BC961" s="4" t="n">
        <x:v>-6</x:v>
      </x:c>
      <x:c r="BD961" s="10" t="n">
        <x:v>587</x:v>
      </x:c>
      <x:c r="BE961" s="10" t="n">
        <x:v>643</x:v>
      </x:c>
      <x:c r="BF961" s="4" t="n">
        <x:v>47.7</x:v>
      </x:c>
      <x:c r="BG961" s="4" t="n">
        <x:v>-4.8</x:v>
      </x:c>
      <x:c r="BH961" s="4" t="n">
        <x:v>8.9</x:v>
      </x:c>
      <x:c r="BI961" s="4" t="n">
        <x:v>90.7</x:v>
      </x:c>
      <x:c r="BJ961" s="4" t="n">
        <x:v>99.6</x:v>
      </x:c>
      <x:c r="BK961" s="4" t="n">
        <x:v>42.8</x:v>
      </x:c>
      <x:c r="BL961" s="4" t="n">
        <x:v>57.2</x:v>
      </x:c>
      <x:c r="BM961" s="4" t="n">
        <x:v>15.516666666666667</x:v>
      </x:c>
      <x:c r="BN961" s="4" t="n">
        <x:v>14.233333333333333</x:v>
      </x:c>
      <x:c r="BO961" s="10" t="n">
        <x:v>13</x:v>
      </x:c>
      <x:c r="BP961" s="10" t="n">
        <x:v>53</x:v>
      </x:c>
      <x:c r="BQ961" s="4" t="n">
        <x:v>-2</x:v>
      </x:c>
      <x:c r="BR961" s="10" t="n">
        <x:v>111</x:v>
      </x:c>
      <x:c r="BS961" s="4" t="n">
        <x:v>41.4</x:v>
      </x:c>
      <x:c r="BT961" s="10" t="n">
        <x:v>72</x:v>
      </x:c>
      <x:c r="BU961" s="4" t="str">
        <x:v>EDM</x:v>
      </x:c>
      <x:c r="BV961" s="10" t="n">
        <x:v>625</x:v>
      </x:c>
      <x:c r="BW961" s="10"/>
      <x:c r="BX961" s="10" t="n">
        <x:v>267</x:v>
      </x:c>
      <x:c r="BY961" s="4" t="str">
        <x:v>Ty Emberson</x:v>
      </x:c>
      <x:c r="BZ961" s="4"/>
      <x:c r="CA961" s="4" t="str">
        <x:v>Ty Emberson</x:v>
      </x:c>
      <x:c r="CB961" s="4" t="str">
        <x:v>emberty01</x:v>
      </x:c>
    </x:row>
    <x:row r="962" ht="22" customHeight="1">
      <x:c r="A962" s="4" t="str">
        <x:v>Ty Mueller</x:v>
      </x:c>
      <x:c r="B962" s="4" t="str">
        <x:v>tymueller</x:v>
      </x:c>
      <x:c r="C962" s="10" t="n">
        <x:v>0</x:v>
      </x:c>
      <x:c r="D962" s="10" t="n">
        <x:v>0</x:v>
      </x:c>
      <x:c r="E962" s="10" t="n">
        <x:v>1</x:v>
      </x:c>
      <x:c r="F962" s="4" t="str">
        <x:f>IF(COUNT(N962,Q962,T962,W962,Z962,AC962,AF962,AI962)=8,N962*Guide!$E$5+Q962*Guide!$E$6+T962*Guide!$E$7+W962*Guide!$E$8+Z962*Guide!$E$9+AC962*Guide!$E$10+AF962*Guide!$E$11+AI962*Guide!$E$12,"")</x:f>
      </x:c>
      <x:c r="G962" s="4" t="str">
        <x:f>IF(COUNT(O962,R962,U962,X962,AA962,AD962,AG962,AJ962)=8,O962*Guide!$E$5+R962*Guide!$E$6+U962*Guide!$E$7+X962*Guide!$E$8+AA962*Guide!$E$9+AD962*Guide!$E$10+AG962*Guide!$E$11+AJ962*Guide!$E$12,"")</x:f>
      </x:c>
      <x:c r="H962" s="4" t="str">
        <x:f>IF(COUNT(G962,F962)=2,G962-F962,"")</x:f>
      </x:c>
      <x:c r="I962" s="4" t="str">
        <x:f>IF(AND(ISNUMBER(F962),K962&gt;0),F962/K962,"")</x:f>
      </x:c>
      <x:c r="J962" s="4" t="str">
        <x:f>IF(AND(ISNUMBER(G962),L962&gt;0),G962/L962,"")</x:f>
      </x:c>
      <x:c r="K962" s="10"/>
      <x:c r="L962" s="10"/>
      <x:c r="M962" s="10" t="str">
        <x:f>IF(COUNT(L962,K962)=2,L962-K962,"")</x:f>
      </x:c>
      <x:c r="N962" s="10"/>
      <x:c r="O962" s="10"/>
      <x:c r="P962" s="10" t="str">
        <x:f>IF(COUNT(O962,N962)=2,O962-N962,"")</x:f>
      </x:c>
      <x:c r="Q962" s="10"/>
      <x:c r="R962" s="10"/>
      <x:c r="S962" s="10" t="str">
        <x:f>IF(COUNT(R962,Q962)=2,R962-Q962,"")</x:f>
      </x:c>
      <x:c r="T962" s="10"/>
      <x:c r="U962" s="10"/>
      <x:c r="V962" s="10" t="str">
        <x:f>IF(COUNT(U962,T962)=2,U962-T962,"")</x:f>
      </x:c>
      <x:c r="W962" s="10"/>
      <x:c r="X962" s="10" t="str">
        <x:f>IF(COUNT(AV962,AW962)=2,AV962+AW962,"")</x:f>
      </x:c>
      <x:c r="Y962" s="10" t="str">
        <x:f>IF(COUNT(X962,W962)=2,X962-W962,"")</x:f>
      </x:c>
      <x:c r="Z962" s="10"/>
      <x:c r="AA962" s="10" t="str">
        <x:f>IF(COUNT(AX962,AY962)=2,AX962+AY962,"")</x:f>
      </x:c>
      <x:c r="AB962" s="10" t="str">
        <x:f>IF(COUNT(AA962,Z962)=2,AA962-Z962,"")</x:f>
      </x:c>
      <x:c r="AC962" s="10"/>
      <x:c r="AD962" s="10"/>
      <x:c r="AE962" s="10" t="str">
        <x:f>IF(COUNT(AD962,AC962)=2,AD962-AC962,"")</x:f>
      </x:c>
      <x:c r="AF962" s="10"/>
      <x:c r="AG962" s="10"/>
      <x:c r="AH962" s="10" t="str">
        <x:f>IF(COUNT(AG962,AF962)=2,AG962-AF962,"")</x:f>
      </x:c>
      <x:c r="AI962" s="10"/>
      <x:c r="AJ962" s="10"/>
      <x:c r="AK962" s="10" t="str">
        <x:f>IF(COUNT(AJ962,AI962)=2,AJ962-AI962,"")</x:f>
      </x:c>
      <x:c r="AL962" s="10"/>
      <x:c r="AM962" s="10"/>
      <x:c r="AN962" s="4"/>
      <x:c r="AO962" s="4"/>
      <x:c r="AP962" s="4"/>
      <x:c r="AQ962" s="4"/>
      <x:c r="AR962" s="4"/>
      <x:c r="AS962" s="4"/>
      <x:c r="AT962" s="4"/>
      <x:c r="AU962" s="4"/>
      <x:c r="AV962" s="10"/>
      <x:c r="AW962" s="10"/>
      <x:c r="AX962" s="10"/>
      <x:c r="AY962" s="10"/>
      <x:c r="AZ962" s="10" t="n">
        <x:v>47</x:v>
      </x:c>
      <x:c r="BA962" s="10" t="n">
        <x:v>55</x:v>
      </x:c>
      <x:c r="BB962" s="4" t="n">
        <x:v>46.1</x:v>
      </x:c>
      <x:c r="BC962" s="4" t="n">
        <x:v>2.5</x:v>
      </x:c>
      <x:c r="BD962" s="10" t="n">
        <x:v>34</x:v>
      </x:c>
      <x:c r="BE962" s="10" t="n">
        <x:v>43</x:v>
      </x:c>
      <x:c r="BF962" s="4" t="n">
        <x:v>44.2</x:v>
      </x:c>
      <x:c r="BG962" s="4" t="n">
        <x:v>2.6</x:v>
      </x:c>
      <x:c r="BH962" s="4" t="n">
        <x:v>9.5</x:v>
      </x:c>
      <x:c r="BI962" s="4" t="n">
        <x:v>96.8</x:v>
      </x:c>
      <x:c r="BJ962" s="4" t="n">
        <x:v>106.3</x:v>
      </x:c>
      <x:c r="BK962" s="4" t="n">
        <x:v>54.1</x:v>
      </x:c>
      <x:c r="BL962" s="4" t="n">
        <x:v>45.9</x:v>
      </x:c>
      <x:c r="BM962" s="4" t="n">
        <x:v>10.85</x:v>
      </x:c>
      <x:c r="BN962" s="4" t="n">
        <x:v>10.85</x:v>
      </x:c>
      <x:c r="BO962" s="10" t="n">
        <x:v>1</x:v>
      </x:c>
      <x:c r="BP962" s="10" t="n">
        <x:v>3</x:v>
      </x:c>
      <x:c r="BQ962" s="4" t="n">
        <x:v>-0.2</x:v>
      </x:c>
      <x:c r="BR962" s="10" t="n">
        <x:v>7</x:v>
      </x:c>
      <x:c r="BS962" s="4" t="n">
        <x:v>28.6</x:v>
      </x:c>
      <x:c r="BT962" s="10" t="n">
        <x:v>6</x:v>
      </x:c>
      <x:c r="BU962" s="4" t="str">
        <x:v>VAN</x:v>
      </x:c>
      <x:c r="BV962" s="10"/>
      <x:c r="BW962" s="10"/>
      <x:c r="BX962" s="10" t="n">
        <x:v>719</x:v>
      </x:c>
      <x:c r="BY962" s="4"/>
      <x:c r="BZ962" s="4"/>
      <x:c r="CA962" s="4" t="str">
        <x:v>Ty Mueller</x:v>
      </x:c>
      <x:c r="CB962" s="4" t="str">
        <x:v>muellty01</x:v>
      </x:c>
    </x:row>
    <x:row r="963" ht="22" customHeight="1">
      <x:c r="A963" s="4" t="str">
        <x:v>Ty Murchison</x:v>
      </x:c>
      <x:c r="B963" s="4" t="str">
        <x:v>tymurchison</x:v>
      </x:c>
      <x:c r="C963" s="10" t="n">
        <x:v>0</x:v>
      </x:c>
      <x:c r="D963" s="10" t="n">
        <x:v>0</x:v>
      </x:c>
      <x:c r="E963" s="10" t="n">
        <x:v>1</x:v>
      </x:c>
      <x:c r="F963" s="4" t="str">
        <x:f>IF(COUNT(N963,Q963,T963,W963,Z963,AC963,AF963,AI963)=8,N963*Guide!$E$5+Q963*Guide!$E$6+T963*Guide!$E$7+W963*Guide!$E$8+Z963*Guide!$E$9+AC963*Guide!$E$10+AF963*Guide!$E$11+AI963*Guide!$E$12,"")</x:f>
      </x:c>
      <x:c r="G963" s="4" t="str">
        <x:f>IF(COUNT(O963,R963,U963,X963,AA963,AD963,AG963,AJ963)=8,O963*Guide!$E$5+R963*Guide!$E$6+U963*Guide!$E$7+X963*Guide!$E$8+AA963*Guide!$E$9+AD963*Guide!$E$10+AG963*Guide!$E$11+AJ963*Guide!$E$12,"")</x:f>
      </x:c>
      <x:c r="H963" s="4" t="str">
        <x:f>IF(COUNT(G963,F963)=2,G963-F963,"")</x:f>
      </x:c>
      <x:c r="I963" s="4" t="str">
        <x:f>IF(AND(ISNUMBER(F963),K963&gt;0),F963/K963,"")</x:f>
      </x:c>
      <x:c r="J963" s="4" t="str">
        <x:f>IF(AND(ISNUMBER(G963),L963&gt;0),G963/L963,"")</x:f>
      </x:c>
      <x:c r="K963" s="10"/>
      <x:c r="L963" s="10"/>
      <x:c r="M963" s="10" t="str">
        <x:f>IF(COUNT(L963,K963)=2,L963-K963,"")</x:f>
      </x:c>
      <x:c r="N963" s="10"/>
      <x:c r="O963" s="10"/>
      <x:c r="P963" s="10" t="str">
        <x:f>IF(COUNT(O963,N963)=2,O963-N963,"")</x:f>
      </x:c>
      <x:c r="Q963" s="10"/>
      <x:c r="R963" s="10"/>
      <x:c r="S963" s="10" t="str">
        <x:f>IF(COUNT(R963,Q963)=2,R963-Q963,"")</x:f>
      </x:c>
      <x:c r="T963" s="10"/>
      <x:c r="U963" s="10"/>
      <x:c r="V963" s="10" t="str">
        <x:f>IF(COUNT(U963,T963)=2,U963-T963,"")</x:f>
      </x:c>
      <x:c r="W963" s="10"/>
      <x:c r="X963" s="10" t="str">
        <x:f>IF(COUNT(AV963,AW963)=2,AV963+AW963,"")</x:f>
      </x:c>
      <x:c r="Y963" s="10" t="str">
        <x:f>IF(COUNT(X963,W963)=2,X963-W963,"")</x:f>
      </x:c>
      <x:c r="Z963" s="10"/>
      <x:c r="AA963" s="10" t="str">
        <x:f>IF(COUNT(AX963,AY963)=2,AX963+AY963,"")</x:f>
      </x:c>
      <x:c r="AB963" s="10" t="str">
        <x:f>IF(COUNT(AA963,Z963)=2,AA963-Z963,"")</x:f>
      </x:c>
      <x:c r="AC963" s="10"/>
      <x:c r="AD963" s="10"/>
      <x:c r="AE963" s="10" t="str">
        <x:f>IF(COUNT(AD963,AC963)=2,AD963-AC963,"")</x:f>
      </x:c>
      <x:c r="AF963" s="10"/>
      <x:c r="AG963" s="10"/>
      <x:c r="AH963" s="10" t="str">
        <x:f>IF(COUNT(AG963,AF963)=2,AG963-AF963,"")</x:f>
      </x:c>
      <x:c r="AI963" s="10"/>
      <x:c r="AJ963" s="10"/>
      <x:c r="AK963" s="10" t="str">
        <x:f>IF(COUNT(AJ963,AI963)=2,AJ963-AI963,"")</x:f>
      </x:c>
      <x:c r="AL963" s="10"/>
      <x:c r="AM963" s="10"/>
      <x:c r="AN963" s="4"/>
      <x:c r="AO963" s="4"/>
      <x:c r="AP963" s="4"/>
      <x:c r="AQ963" s="4"/>
      <x:c r="AR963" s="4"/>
      <x:c r="AS963" s="4"/>
      <x:c r="AT963" s="4"/>
      <x:c r="AU963" s="4"/>
      <x:c r="AV963" s="10"/>
      <x:c r="AW963" s="10"/>
      <x:c r="AX963" s="10"/>
      <x:c r="AY963" s="10"/>
      <x:c r="AZ963" s="10" t="n">
        <x:v>23</x:v>
      </x:c>
      <x:c r="BA963" s="10" t="n">
        <x:v>29</x:v>
      </x:c>
      <x:c r="BB963" s="4" t="n">
        <x:v>44.2</x:v>
      </x:c>
      <x:c r="BC963" s="4" t="n">
        <x:v>-3.1</x:v>
      </x:c>
      <x:c r="BD963" s="10" t="n">
        <x:v>17</x:v>
      </x:c>
      <x:c r="BE963" s="10" t="n">
        <x:v>18</x:v>
      </x:c>
      <x:c r="BF963" s="4" t="n">
        <x:v>48.6</x:v>
      </x:c>
      <x:c r="BG963" s="4" t="n">
        <x:v>2</x:v>
      </x:c>
      <x:c r="BH963" s="4" t="n">
        <x:v>25</x:v>
      </x:c>
      <x:c r="BI963" s="4" t="n">
        <x:v>90</x:v>
      </x:c>
      <x:c r="BJ963" s="4" t="n">
        <x:v>115</x:v>
      </x:c>
      <x:c r="BK963" s="4" t="n">
        <x:v>53.6</x:v>
      </x:c>
      <x:c r="BL963" s="4" t="n">
        <x:v>46.4</x:v>
      </x:c>
      <x:c r="BM963" s="4" t="n">
        <x:v>15</x:v>
      </x:c>
      <x:c r="BN963" s="4" t="n">
        <x:v>14.05</x:v>
      </x:c>
      <x:c r="BO963" s="10" t="n">
        <x:v>0</x:v>
      </x:c>
      <x:c r="BP963" s="10" t="n">
        <x:v>3</x:v>
      </x:c>
      <x:c r="BQ963" s="4" t="n">
        <x:v>0</x:v>
      </x:c>
      <x:c r="BR963" s="10" t="n">
        <x:v>2</x:v>
      </x:c>
      <x:c r="BS963" s="4" t="n">
        <x:v>50</x:v>
      </x:c>
      <x:c r="BT963" s="10" t="n">
        <x:v>3</x:v>
      </x:c>
      <x:c r="BU963" s="4" t="str">
        <x:v>PHI</x:v>
      </x:c>
      <x:c r="BV963" s="10"/>
      <x:c r="BW963" s="10"/>
      <x:c r="BX963" s="10" t="n">
        <x:v>721</x:v>
      </x:c>
      <x:c r="BY963" s="4"/>
      <x:c r="BZ963" s="4"/>
      <x:c r="CA963" s="4" t="str">
        <x:v>Ty Murchison</x:v>
      </x:c>
      <x:c r="CB963" s="4" t="str">
        <x:v>murchty01</x:v>
      </x:c>
    </x:row>
    <x:row r="964" ht="22" customHeight="1">
      <x:c r="A964" s="4" t="str">
        <x:v>Tyler Motte</x:v>
      </x:c>
      <x:c r="B964" s="4" t="str">
        <x:v>tylermotte</x:v>
      </x:c>
      <x:c r="C964" s="10" t="n">
        <x:v>1</x:v>
      </x:c>
      <x:c r="D964" s="10" t="n">
        <x:v>0</x:v>
      </x:c>
      <x:c r="E964" s="10" t="n">
        <x:v>0</x:v>
      </x:c>
      <x:c r="F964" s="4" t="n">
        <x:f>IF(COUNT(N964,Q964,T964,W964,Z964,AC964,AF964,AI964)=8,N964*Guide!$E$5+Q964*Guide!$E$6+T964*Guide!$E$7+W964*Guide!$E$8+Z964*Guide!$E$9+AC964*Guide!$E$10+AF964*Guide!$E$11+AI964*Guide!$E$12,"")</x:f>
        <x:v>133.5</x:v>
      </x:c>
      <x:c r="G964" s="4" t="str">
        <x:f>IF(COUNT(O964,R964,U964,X964,AA964,AD964,AG964,AJ964)=8,O964*Guide!$E$5+R964*Guide!$E$6+U964*Guide!$E$7+X964*Guide!$E$8+AA964*Guide!$E$9+AD964*Guide!$E$10+AG964*Guide!$E$11+AJ964*Guide!$E$12,"")</x:f>
      </x:c>
      <x:c r="H964" s="4" t="str">
        <x:f>IF(COUNT(G964,F964)=2,G964-F964,"")</x:f>
      </x:c>
      <x:c r="I964" s="4" t="n">
        <x:f>IF(AND(ISNUMBER(F964),K964&gt;0),F964/K964,"")</x:f>
        <x:v>1.934782608695652</x:v>
      </x:c>
      <x:c r="J964" s="4" t="str">
        <x:f>IF(AND(ISNUMBER(G964),L964&gt;0),G964/L964,"")</x:f>
      </x:c>
      <x:c r="K964" s="10" t="n">
        <x:v>69</x:v>
      </x:c>
      <x:c r="L964" s="10"/>
      <x:c r="M964" s="10" t="str">
        <x:f>IF(COUNT(L964,K964)=2,L964-K964,"")</x:f>
      </x:c>
      <x:c r="N964" s="10" t="n">
        <x:v>8</x:v>
      </x:c>
      <x:c r="O964" s="10"/>
      <x:c r="P964" s="10" t="str">
        <x:f>IF(COUNT(O964,N964)=2,O964-N964,"")</x:f>
      </x:c>
      <x:c r="Q964" s="10" t="n">
        <x:v>7</x:v>
      </x:c>
      <x:c r="R964" s="10"/>
      <x:c r="S964" s="10" t="str">
        <x:f>IF(COUNT(R964,Q964)=2,R964-Q964,"")</x:f>
      </x:c>
      <x:c r="T964" s="10" t="n">
        <x:v>-4</x:v>
      </x:c>
      <x:c r="U964" s="10"/>
      <x:c r="V964" s="10" t="str">
        <x:f>IF(COUNT(U964,T964)=2,U964-T964,"")</x:f>
      </x:c>
      <x:c r="W964" s="10" t="n">
        <x:v>0</x:v>
      </x:c>
      <x:c r="X964" s="10" t="str">
        <x:f>IF(COUNT(AV964,AW964)=2,AV964+AW964,"")</x:f>
      </x:c>
      <x:c r="Y964" s="10" t="str">
        <x:f>IF(COUNT(X964,W964)=2,X964-W964,"")</x:f>
      </x:c>
      <x:c r="Z964" s="10" t="n">
        <x:v>1</x:v>
      </x:c>
      <x:c r="AA964" s="10" t="str">
        <x:f>IF(COUNT(AX964,AY964)=2,AX964+AY964,"")</x:f>
      </x:c>
      <x:c r="AB964" s="10" t="str">
        <x:f>IF(COUNT(AA964,Z964)=2,AA964-Z964,"")</x:f>
      </x:c>
      <x:c r="AC964" s="10" t="n">
        <x:v>83</x:v>
      </x:c>
      <x:c r="AD964" s="10"/>
      <x:c r="AE964" s="10" t="str">
        <x:f>IF(COUNT(AD964,AC964)=2,AD964-AC964,"")</x:f>
      </x:c>
      <x:c r="AF964" s="10" t="n">
        <x:v>93</x:v>
      </x:c>
      <x:c r="AG964" s="10"/>
      <x:c r="AH964" s="10" t="str">
        <x:f>IF(COUNT(AG964,AF964)=2,AG964-AF964,"")</x:f>
      </x:c>
      <x:c r="AI964" s="10" t="n">
        <x:v>50</x:v>
      </x:c>
      <x:c r="AJ964" s="10"/>
      <x:c r="AK964" s="10" t="str">
        <x:f>IF(COUNT(AJ964,AI964)=2,AJ964-AI964,"")</x:f>
      </x:c>
      <x:c r="AL964" s="10" t="n">
        <x:v>30</x:v>
      </x:c>
      <x:c r="AM964" s="10"/>
      <x:c r="AN964" s="4" t="str">
        <x:v>LW</x:v>
      </x:c>
      <x:c r="AO964" s="4"/>
      <x:c r="AP964" s="4" t="str">
        <x:v>DET</x:v>
      </x:c>
      <x:c r="AQ964" s="4"/>
      <x:c r="AR964" s="4" t="n">
        <x:v>11.47</x:v>
      </x:c>
      <x:c r="AS964" s="4"/>
      <x:c r="AT964" s="4" t="n">
        <x:v>0.16</x:v>
      </x:c>
      <x:c r="AU964" s="4"/>
      <x:c r="AV964" s="10"/>
      <x:c r="AW964" s="10"/>
      <x:c r="AX964" s="10"/>
      <x:c r="AY964" s="10"/>
      <x:c r="AZ964" s="10"/>
      <x:c r="BA964" s="10"/>
      <x:c r="BB964" s="4"/>
      <x:c r="BC964" s="4"/>
      <x:c r="BD964" s="10"/>
      <x:c r="BE964" s="10"/>
      <x:c r="BF964" s="4"/>
      <x:c r="BG964" s="4"/>
      <x:c r="BH964" s="4"/>
      <x:c r="BI964" s="4"/>
      <x:c r="BJ964" s="4"/>
      <x:c r="BK964" s="4"/>
      <x:c r="BL964" s="4"/>
      <x:c r="BM964" s="4"/>
      <x:c r="BN964" s="4"/>
      <x:c r="BO964" s="10"/>
      <x:c r="BP964" s="10"/>
      <x:c r="BQ964" s="4"/>
      <x:c r="BR964" s="10"/>
      <x:c r="BS964" s="4"/>
      <x:c r="BT964" s="10"/>
      <x:c r="BU964" s="4"/>
      <x:c r="BV964" s="10" t="n">
        <x:v>636</x:v>
      </x:c>
      <x:c r="BW964" s="10"/>
      <x:c r="BX964" s="10"/>
      <x:c r="BY964" s="4" t="str">
        <x:v>Tyler Motte</x:v>
      </x:c>
      <x:c r="BZ964" s="4"/>
      <x:c r="CA964" s="4"/>
      <x:c r="CB964" s="4"/>
    </x:row>
    <x:row r="965" ht="22" customHeight="1">
      <x:c r="A965" s="4" t="str">
        <x:v>Tyler Myers</x:v>
      </x:c>
      <x:c r="B965" s="4" t="str">
        <x:v>tylermyers</x:v>
      </x:c>
      <x:c r="C965" s="10" t="n">
        <x:v>1</x:v>
      </x:c>
      <x:c r="D965" s="10" t="n">
        <x:v>0</x:v>
      </x:c>
      <x:c r="E965" s="10" t="n">
        <x:v>1</x:v>
      </x:c>
      <x:c r="F965" s="4" t="n">
        <x:f>IF(COUNT(N965,Q965,T965,W965,Z965,AC965,AF965,AI965)=8,N965*Guide!$E$5+Q965*Guide!$E$6+T965*Guide!$E$7+W965*Guide!$E$8+Z965*Guide!$E$9+AC965*Guide!$E$10+AF965*Guide!$E$11+AI965*Guide!$E$12,"")</x:f>
        <x:v>236.5</x:v>
      </x:c>
      <x:c r="G965" s="4" t="str">
        <x:f>IF(COUNT(O965,R965,U965,X965,AA965,AD965,AG965,AJ965)=8,O965*Guide!$E$5+R965*Guide!$E$6+U965*Guide!$E$7+X965*Guide!$E$8+AA965*Guide!$E$9+AD965*Guide!$E$10+AG965*Guide!$E$11+AJ965*Guide!$E$12,"")</x:f>
      </x:c>
      <x:c r="H965" s="4" t="str">
        <x:f>IF(COUNT(G965,F965)=2,G965-F965,"")</x:f>
      </x:c>
      <x:c r="I965" s="4" t="n">
        <x:f>IF(AND(ISNUMBER(F965),K965&gt;0),F965/K965,"")</x:f>
        <x:v>3.111842105263158</x:v>
      </x:c>
      <x:c r="J965" s="4" t="str">
        <x:f>IF(AND(ISNUMBER(G965),L965&gt;0),G965/L965,"")</x:f>
      </x:c>
      <x:c r="K965" s="10" t="n">
        <x:v>76</x:v>
      </x:c>
      <x:c r="L965" s="10"/>
      <x:c r="M965" s="10" t="str">
        <x:f>IF(COUNT(L965,K965)=2,L965-K965,"")</x:f>
      </x:c>
      <x:c r="N965" s="10" t="n">
        <x:v>5</x:v>
      </x:c>
      <x:c r="O965" s="10"/>
      <x:c r="P965" s="10" t="str">
        <x:f>IF(COUNT(O965,N965)=2,O965-N965,"")</x:f>
      </x:c>
      <x:c r="Q965" s="10" t="n">
        <x:v>20</x:v>
      </x:c>
      <x:c r="R965" s="10"/>
      <x:c r="S965" s="10" t="str">
        <x:f>IF(COUNT(R965,Q965)=2,R965-Q965,"")</x:f>
      </x:c>
      <x:c r="T965" s="10" t="n">
        <x:v>7</x:v>
      </x:c>
      <x:c r="U965" s="10"/>
      <x:c r="V965" s="10" t="str">
        <x:f>IF(COUNT(U965,T965)=2,U965-T965,"")</x:f>
      </x:c>
      <x:c r="W965" s="10" t="n">
        <x:v>3</x:v>
      </x:c>
      <x:c r="X965" s="10" t="str">
        <x:f>IF(COUNT(AV965,AW965)=2,AV965+AW965,"")</x:f>
      </x:c>
      <x:c r="Y965" s="10" t="str">
        <x:f>IF(COUNT(X965,W965)=2,X965-W965,"")</x:f>
      </x:c>
      <x:c r="Z965" s="10" t="n">
        <x:v>1</x:v>
      </x:c>
      <x:c r="AA965" s="10" t="str">
        <x:f>IF(COUNT(AX965,AY965)=2,AX965+AY965,"")</x:f>
      </x:c>
      <x:c r="AB965" s="10" t="str">
        <x:f>IF(COUNT(AA965,Z965)=2,AA965-Z965,"")</x:f>
      </x:c>
      <x:c r="AC965" s="10" t="n">
        <x:v>94</x:v>
      </x:c>
      <x:c r="AD965" s="10"/>
      <x:c r="AE965" s="10" t="str">
        <x:f>IF(COUNT(AD965,AC965)=2,AD965-AC965,"")</x:f>
      </x:c>
      <x:c r="AF965" s="10" t="n">
        <x:v>87</x:v>
      </x:c>
      <x:c r="AG965" s="10"/>
      <x:c r="AH965" s="10" t="str">
        <x:f>IF(COUNT(AG965,AF965)=2,AG965-AF965,"")</x:f>
      </x:c>
      <x:c r="AI965" s="10" t="n">
        <x:v>131</x:v>
      </x:c>
      <x:c r="AJ965" s="10"/>
      <x:c r="AK965" s="10" t="str">
        <x:f>IF(COUNT(AJ965,AI965)=2,AJ965-AI965,"")</x:f>
      </x:c>
      <x:c r="AL965" s="10" t="n">
        <x:v>35</x:v>
      </x:c>
      <x:c r="AM965" s="10"/>
      <x:c r="AN965" s="4" t="str">
        <x:v>D</x:v>
      </x:c>
      <x:c r="AO965" s="4"/>
      <x:c r="AP965" s="4" t="str">
        <x:v>VAN</x:v>
      </x:c>
      <x:c r="AQ965" s="4"/>
      <x:c r="AR965" s="4" t="n">
        <x:v>20.54</x:v>
      </x:c>
      <x:c r="AS965" s="4"/>
      <x:c r="AT965" s="4" t="n">
        <x:v>0.54</x:v>
      </x:c>
      <x:c r="AU965" s="4"/>
      <x:c r="AV965" s="10"/>
      <x:c r="AW965" s="10"/>
      <x:c r="AX965" s="10"/>
      <x:c r="AY965" s="10"/>
      <x:c r="AZ965" s="10" t="n">
        <x:v>1109</x:v>
      </x:c>
      <x:c r="BA965" s="10" t="n">
        <x:v>1287</x:v>
      </x:c>
      <x:c r="BB965" s="4" t="n">
        <x:v>46.3</x:v>
      </x:c>
      <x:c r="BC965" s="4" t="n">
        <x:v>-2.7</x:v>
      </x:c>
      <x:c r="BD965" s="10" t="n">
        <x:v>807</x:v>
      </x:c>
      <x:c r="BE965" s="10" t="n">
        <x:v>946</x:v>
      </x:c>
      <x:c r="BF965" s="4" t="n">
        <x:v>46</x:v>
      </x:c>
      <x:c r="BG965" s="4" t="n">
        <x:v>-2.4</x:v>
      </x:c>
      <x:c r="BH965" s="4" t="n">
        <x:v>8.2</x:v>
      </x:c>
      <x:c r="BI965" s="4" t="n">
        <x:v>88.3</x:v>
      </x:c>
      <x:c r="BJ965" s="4" t="n">
        <x:v>96.5</x:v>
      </x:c>
      <x:c r="BK965" s="4" t="n">
        <x:v>39.6</x:v>
      </x:c>
      <x:c r="BL965" s="4" t="n">
        <x:v>60.4</x:v>
      </x:c>
      <x:c r="BM965" s="4" t="n">
        <x:v>19.516666666666666</x:v>
      </x:c>
      <x:c r="BN965" s="4" t="n">
        <x:v>16.916666666666668</x:v>
      </x:c>
      <x:c r="BO965" s="10" t="n">
        <x:v>20</x:v>
      </x:c>
      <x:c r="BP965" s="10" t="n">
        <x:v>78</x:v>
      </x:c>
      <x:c r="BQ965" s="4" t="n">
        <x:v>-12.2</x:v>
      </x:c>
      <x:c r="BR965" s="10" t="n">
        <x:v>194</x:v>
      </x:c>
      <x:c r="BS965" s="4" t="n">
        <x:v>45.4</x:v>
      </x:c>
      <x:c r="BT965" s="10" t="n">
        <x:v>73</x:v>
      </x:c>
      <x:c r="BU965" s="4" t="str">
        <x:v>TOT</x:v>
      </x:c>
      <x:c r="BV965" s="10" t="n">
        <x:v>429</x:v>
      </x:c>
      <x:c r="BW965" s="10"/>
      <x:c r="BX965" s="10" t="n">
        <x:v>726</x:v>
      </x:c>
      <x:c r="BY965" s="4" t="str">
        <x:v>Tyler Myers</x:v>
      </x:c>
      <x:c r="BZ965" s="4"/>
      <x:c r="CA965" s="4" t="str">
        <x:v>Tyler Myers</x:v>
      </x:c>
      <x:c r="CB965" s="4" t="str">
        <x:v>myersty01</x:v>
      </x:c>
    </x:row>
    <x:row r="966" ht="22" customHeight="1">
      <x:c r="A966" s="4" t="str">
        <x:v>Tyler Pitlick</x:v>
      </x:c>
      <x:c r="B966" s="4" t="str">
        <x:v>tylerpitlick</x:v>
      </x:c>
      <x:c r="C966" s="10" t="n">
        <x:v>0</x:v>
      </x:c>
      <x:c r="D966" s="10" t="n">
        <x:v>0</x:v>
      </x:c>
      <x:c r="E966" s="10" t="n">
        <x:v>1</x:v>
      </x:c>
      <x:c r="F966" s="4" t="str">
        <x:f>IF(COUNT(N966,Q966,T966,W966,Z966,AC966,AF966,AI966)=8,N966*Guide!$E$5+Q966*Guide!$E$6+T966*Guide!$E$7+W966*Guide!$E$8+Z966*Guide!$E$9+AC966*Guide!$E$10+AF966*Guide!$E$11+AI966*Guide!$E$12,"")</x:f>
      </x:c>
      <x:c r="G966" s="4" t="str">
        <x:f>IF(COUNT(O966,R966,U966,X966,AA966,AD966,AG966,AJ966)=8,O966*Guide!$E$5+R966*Guide!$E$6+U966*Guide!$E$7+X966*Guide!$E$8+AA966*Guide!$E$9+AD966*Guide!$E$10+AG966*Guide!$E$11+AJ966*Guide!$E$12,"")</x:f>
      </x:c>
      <x:c r="H966" s="4" t="str">
        <x:f>IF(COUNT(G966,F966)=2,G966-F966,"")</x:f>
      </x:c>
      <x:c r="I966" s="4" t="str">
        <x:f>IF(AND(ISNUMBER(F966),K966&gt;0),F966/K966,"")</x:f>
      </x:c>
      <x:c r="J966" s="4" t="str">
        <x:f>IF(AND(ISNUMBER(G966),L966&gt;0),G966/L966,"")</x:f>
      </x:c>
      <x:c r="K966" s="10"/>
      <x:c r="L966" s="10"/>
      <x:c r="M966" s="10" t="str">
        <x:f>IF(COUNT(L966,K966)=2,L966-K966,"")</x:f>
      </x:c>
      <x:c r="N966" s="10"/>
      <x:c r="O966" s="10"/>
      <x:c r="P966" s="10" t="str">
        <x:f>IF(COUNT(O966,N966)=2,O966-N966,"")</x:f>
      </x:c>
      <x:c r="Q966" s="10"/>
      <x:c r="R966" s="10"/>
      <x:c r="S966" s="10" t="str">
        <x:f>IF(COUNT(R966,Q966)=2,R966-Q966,"")</x:f>
      </x:c>
      <x:c r="T966" s="10"/>
      <x:c r="U966" s="10"/>
      <x:c r="V966" s="10" t="str">
        <x:f>IF(COUNT(U966,T966)=2,U966-T966,"")</x:f>
      </x:c>
      <x:c r="W966" s="10"/>
      <x:c r="X966" s="10" t="str">
        <x:f>IF(COUNT(AV966,AW966)=2,AV966+AW966,"")</x:f>
      </x:c>
      <x:c r="Y966" s="10" t="str">
        <x:f>IF(COUNT(X966,W966)=2,X966-W966,"")</x:f>
      </x:c>
      <x:c r="Z966" s="10"/>
      <x:c r="AA966" s="10" t="str">
        <x:f>IF(COUNT(AX966,AY966)=2,AX966+AY966,"")</x:f>
      </x:c>
      <x:c r="AB966" s="10" t="str">
        <x:f>IF(COUNT(AA966,Z966)=2,AA966-Z966,"")</x:f>
      </x:c>
      <x:c r="AC966" s="10"/>
      <x:c r="AD966" s="10"/>
      <x:c r="AE966" s="10" t="str">
        <x:f>IF(COUNT(AD966,AC966)=2,AD966-AC966,"")</x:f>
      </x:c>
      <x:c r="AF966" s="10"/>
      <x:c r="AG966" s="10"/>
      <x:c r="AH966" s="10" t="str">
        <x:f>IF(COUNT(AG966,AF966)=2,AG966-AF966,"")</x:f>
      </x:c>
      <x:c r="AI966" s="10"/>
      <x:c r="AJ966" s="10"/>
      <x:c r="AK966" s="10" t="str">
        <x:f>IF(COUNT(AJ966,AI966)=2,AJ966-AI966,"")</x:f>
      </x:c>
      <x:c r="AL966" s="10"/>
      <x:c r="AM966" s="10"/>
      <x:c r="AN966" s="4"/>
      <x:c r="AO966" s="4"/>
      <x:c r="AP966" s="4"/>
      <x:c r="AQ966" s="4"/>
      <x:c r="AR966" s="4"/>
      <x:c r="AS966" s="4"/>
      <x:c r="AT966" s="4"/>
      <x:c r="AU966" s="4"/>
      <x:c r="AV966" s="10"/>
      <x:c r="AW966" s="10"/>
      <x:c r="AX966" s="10"/>
      <x:c r="AY966" s="10"/>
      <x:c r="AZ966" s="10" t="n">
        <x:v>201</x:v>
      </x:c>
      <x:c r="BA966" s="10" t="n">
        <x:v>291</x:v>
      </x:c>
      <x:c r="BB966" s="4" t="n">
        <x:v>40.9</x:v>
      </x:c>
      <x:c r="BC966" s="4" t="n">
        <x:v>-7.5</x:v>
      </x:c>
      <x:c r="BD966" s="10" t="n">
        <x:v>146</x:v>
      </x:c>
      <x:c r="BE966" s="10" t="n">
        <x:v>204</x:v>
      </x:c>
      <x:c r="BF966" s="4" t="n">
        <x:v>41.7</x:v>
      </x:c>
      <x:c r="BG966" s="4" t="n">
        <x:v>-7.5</x:v>
      </x:c>
      <x:c r="BH966" s="4" t="n">
        <x:v>5.6</x:v>
      </x:c>
      <x:c r="BI966" s="4" t="n">
        <x:v>92.7</x:v>
      </x:c>
      <x:c r="BJ966" s="4" t="n">
        <x:v>98.3</x:v>
      </x:c>
      <x:c r="BK966" s="4" t="n">
        <x:v>27.1</x:v>
      </x:c>
      <x:c r="BL966" s="4" t="n">
        <x:v>72.9</x:v>
      </x:c>
      <x:c r="BM966" s="4" t="n">
        <x:v>7.766666666666667</x:v>
      </x:c>
      <x:c r="BN966" s="4" t="n">
        <x:v>7.733333333333333</x:v>
      </x:c>
      <x:c r="BO966" s="10" t="n">
        <x:v>5</x:v>
      </x:c>
      <x:c r="BP966" s="10" t="n">
        <x:v>8</x:v>
      </x:c>
      <x:c r="BQ966" s="4" t="n">
        <x:v>-2.5</x:v>
      </x:c>
      <x:c r="BR966" s="10" t="n">
        <x:v>50</x:v>
      </x:c>
      <x:c r="BS966" s="4" t="n">
        <x:v>52</x:v>
      </x:c>
      <x:c r="BT966" s="10" t="n">
        <x:v>32</x:v>
      </x:c>
      <x:c r="BU966" s="4" t="str">
        <x:v>MIN</x:v>
      </x:c>
      <x:c r="BV966" s="10"/>
      <x:c r="BW966" s="10"/>
      <x:c r="BX966" s="10" t="n">
        <x:v>822</x:v>
      </x:c>
      <x:c r="BY966" s="4"/>
      <x:c r="BZ966" s="4"/>
      <x:c r="CA966" s="4" t="str">
        <x:v>Tyler Pitlick</x:v>
      </x:c>
      <x:c r="CB966" s="4" t="str">
        <x:v>pitlity01</x:v>
      </x:c>
    </x:row>
    <x:row r="967" ht="22" customHeight="1">
      <x:c r="A967" s="4" t="str">
        <x:v>Tyler Seguin</x:v>
      </x:c>
      <x:c r="B967" s="4" t="str">
        <x:v>tylerseguin</x:v>
      </x:c>
      <x:c r="C967" s="10" t="n">
        <x:v>1</x:v>
      </x:c>
      <x:c r="D967" s="10" t="n">
        <x:v>0</x:v>
      </x:c>
      <x:c r="E967" s="10" t="n">
        <x:v>1</x:v>
      </x:c>
      <x:c r="F967" s="4" t="n">
        <x:f>IF(COUNT(N967,Q967,T967,W967,Z967,AC967,AF967,AI967)=8,N967*Guide!$E$5+Q967*Guide!$E$6+T967*Guide!$E$7+W967*Guide!$E$8+Z967*Guide!$E$9+AC967*Guide!$E$10+AF967*Guide!$E$11+AI967*Guide!$E$12,"")</x:f>
        <x:v>276.5</x:v>
      </x:c>
      <x:c r="G967" s="4" t="str">
        <x:f>IF(COUNT(O967,R967,U967,X967,AA967,AD967,AG967,AJ967)=8,O967*Guide!$E$5+R967*Guide!$E$6+U967*Guide!$E$7+X967*Guide!$E$8+AA967*Guide!$E$9+AD967*Guide!$E$10+AG967*Guide!$E$11+AJ967*Guide!$E$12,"")</x:f>
      </x:c>
      <x:c r="H967" s="4" t="str">
        <x:f>IF(COUNT(G967,F967)=2,G967-F967,"")</x:f>
      </x:c>
      <x:c r="I967" s="4" t="n">
        <x:f>IF(AND(ISNUMBER(F967),K967&gt;0),F967/K967,"")</x:f>
        <x:v>3.638157894736842</x:v>
      </x:c>
      <x:c r="J967" s="4" t="str">
        <x:f>IF(AND(ISNUMBER(G967),L967&gt;0),G967/L967,"")</x:f>
      </x:c>
      <x:c r="K967" s="10" t="n">
        <x:v>76</x:v>
      </x:c>
      <x:c r="L967" s="10"/>
      <x:c r="M967" s="10" t="str">
        <x:f>IF(COUNT(L967,K967)=2,L967-K967,"")</x:f>
      </x:c>
      <x:c r="N967" s="10" t="n">
        <x:v>24</x:v>
      </x:c>
      <x:c r="O967" s="10"/>
      <x:c r="P967" s="10" t="str">
        <x:f>IF(COUNT(O967,N967)=2,O967-N967,"")</x:f>
      </x:c>
      <x:c r="Q967" s="10" t="n">
        <x:v>29</x:v>
      </x:c>
      <x:c r="R967" s="10"/>
      <x:c r="S967" s="10" t="str">
        <x:f>IF(COUNT(R967,Q967)=2,R967-Q967,"")</x:f>
      </x:c>
      <x:c r="T967" s="10" t="n">
        <x:v>10</x:v>
      </x:c>
      <x:c r="U967" s="10"/>
      <x:c r="V967" s="10" t="str">
        <x:f>IF(COUNT(U967,T967)=2,U967-T967,"")</x:f>
      </x:c>
      <x:c r="W967" s="10" t="n">
        <x:v>11</x:v>
      </x:c>
      <x:c r="X967" s="10" t="str">
        <x:f>IF(COUNT(AV967,AW967)=2,AV967+AW967,"")</x:f>
      </x:c>
      <x:c r="Y967" s="10" t="str">
        <x:f>IF(COUNT(X967,W967)=2,X967-W967,"")</x:f>
      </x:c>
      <x:c r="Z967" s="10" t="n">
        <x:v>1</x:v>
      </x:c>
      <x:c r="AA967" s="10" t="str">
        <x:f>IF(COUNT(AX967,AY967)=2,AX967+AY967,"")</x:f>
      </x:c>
      <x:c r="AB967" s="10" t="str">
        <x:f>IF(COUNT(AA967,Z967)=2,AA967-Z967,"")</x:f>
      </x:c>
      <x:c r="AC967" s="10" t="n">
        <x:v>157</x:v>
      </x:c>
      <x:c r="AD967" s="10"/>
      <x:c r="AE967" s="10" t="str">
        <x:f>IF(COUNT(AD967,AC967)=2,AD967-AC967,"")</x:f>
      </x:c>
      <x:c r="AF967" s="10" t="n">
        <x:v>37</x:v>
      </x:c>
      <x:c r="AG967" s="10"/>
      <x:c r="AH967" s="10" t="str">
        <x:f>IF(COUNT(AG967,AF967)=2,AG967-AF967,"")</x:f>
      </x:c>
      <x:c r="AI967" s="10" t="n">
        <x:v>28</x:v>
      </x:c>
      <x:c r="AJ967" s="10"/>
      <x:c r="AK967" s="10" t="str">
        <x:f>IF(COUNT(AJ967,AI967)=2,AJ967-AI967,"")</x:f>
      </x:c>
      <x:c r="AL967" s="10" t="n">
        <x:v>34</x:v>
      </x:c>
      <x:c r="AM967" s="10"/>
      <x:c r="AN967" s="4" t="str">
        <x:v>C,RW</x:v>
      </x:c>
      <x:c r="AO967" s="4"/>
      <x:c r="AP967" s="4" t="str">
        <x:v>DAL</x:v>
      </x:c>
      <x:c r="AQ967" s="4"/>
      <x:c r="AR967" s="4" t="n">
        <x:v>15.830000000000002</x:v>
      </x:c>
      <x:c r="AS967" s="4"/>
      <x:c r="AT967" s="4" t="n">
        <x:v>2.05</x:v>
      </x:c>
      <x:c r="AU967" s="4"/>
      <x:c r="AV967" s="10"/>
      <x:c r="AW967" s="10"/>
      <x:c r="AX967" s="10"/>
      <x:c r="AY967" s="10"/>
      <x:c r="AZ967" s="10" t="n">
        <x:v>321</x:v>
      </x:c>
      <x:c r="BA967" s="10" t="n">
        <x:v>388</x:v>
      </x:c>
      <x:c r="BB967" s="4" t="n">
        <x:v>45.3</x:v>
      </x:c>
      <x:c r="BC967" s="4" t="n">
        <x:v>0.2</x:v>
      </x:c>
      <x:c r="BD967" s="10" t="n">
        <x:v>230</x:v>
      </x:c>
      <x:c r="BE967" s="10" t="n">
        <x:v>288</x:v>
      </x:c>
      <x:c r="BF967" s="4" t="n">
        <x:v>44.4</x:v>
      </x:c>
      <x:c r="BG967" s="4" t="n">
        <x:v>-1.7</x:v>
      </x:c>
      <x:c r="BH967" s="4" t="n">
        <x:v>13.2</x:v>
      </x:c>
      <x:c r="BI967" s="4" t="n">
        <x:v>94.3</x:v>
      </x:c>
      <x:c r="BJ967" s="4" t="n">
        <x:v>107.5</x:v>
      </x:c>
      <x:c r="BK967" s="4" t="n">
        <x:v>43.1</x:v>
      </x:c>
      <x:c r="BL967" s="4" t="n">
        <x:v>56.9</x:v>
      </x:c>
      <x:c r="BM967" s="4" t="n">
        <x:v>16.666666666666668</x:v>
      </x:c>
      <x:c r="BN967" s="4" t="n">
        <x:v>14.3</x:v>
      </x:c>
      <x:c r="BO967" s="10" t="n">
        <x:v>3</x:v>
      </x:c>
      <x:c r="BP967" s="10" t="n">
        <x:v>21</x:v>
      </x:c>
      <x:c r="BQ967" s="4" t="n">
        <x:v>-0.7</x:v>
      </x:c>
      <x:c r="BR967" s="10" t="n">
        <x:v>69</x:v>
      </x:c>
      <x:c r="BS967" s="4" t="n">
        <x:v>44.9</x:v>
      </x:c>
      <x:c r="BT967" s="10" t="n">
        <x:v>27</x:v>
      </x:c>
      <x:c r="BU967" s="4" t="str">
        <x:v>DAL</x:v>
      </x:c>
      <x:c r="BV967" s="10" t="n">
        <x:v>137</x:v>
      </x:c>
      <x:c r="BW967" s="10"/>
      <x:c r="BX967" s="10" t="n">
        <x:v>920</x:v>
      </x:c>
      <x:c r="BY967" s="4" t="str">
        <x:v>Tyler Seguin</x:v>
      </x:c>
      <x:c r="BZ967" s="4"/>
      <x:c r="CA967" s="4" t="str">
        <x:v>Tyler Seguin</x:v>
      </x:c>
      <x:c r="CB967" s="4" t="str">
        <x:v>seguity01</x:v>
      </x:c>
    </x:row>
    <x:row r="968" ht="22" customHeight="1">
      <x:c r="A968" s="4" t="str">
        <x:v>Tyler Tucker</x:v>
      </x:c>
      <x:c r="B968" s="4" t="str">
        <x:v>tylertucker</x:v>
      </x:c>
      <x:c r="C968" s="10" t="n">
        <x:v>1</x:v>
      </x:c>
      <x:c r="D968" s="10" t="n">
        <x:v>0</x:v>
      </x:c>
      <x:c r="E968" s="10" t="n">
        <x:v>1</x:v>
      </x:c>
      <x:c r="F968" s="4" t="n">
        <x:f>IF(COUNT(N968,Q968,T968,W968,Z968,AC968,AF968,AI968)=8,N968*Guide!$E$5+Q968*Guide!$E$6+T968*Guide!$E$7+W968*Guide!$E$8+Z968*Guide!$E$9+AC968*Guide!$E$10+AF968*Guide!$E$11+AI968*Guide!$E$12,"")</x:f>
        <x:v>102.25</x:v>
      </x:c>
      <x:c r="G968" s="4" t="str">
        <x:f>IF(COUNT(O968,R968,U968,X968,AA968,AD968,AG968,AJ968)=8,O968*Guide!$E$5+R968*Guide!$E$6+U968*Guide!$E$7+X968*Guide!$E$8+AA968*Guide!$E$9+AD968*Guide!$E$10+AG968*Guide!$E$11+AJ968*Guide!$E$12,"")</x:f>
      </x:c>
      <x:c r="H968" s="4" t="str">
        <x:f>IF(COUNT(G968,F968)=2,G968-F968,"")</x:f>
      </x:c>
      <x:c r="I968" s="4" t="n">
        <x:f>IF(AND(ISNUMBER(F968),K968&gt;0),F968/K968,"")</x:f>
        <x:v>2.1302083333333335</x:v>
      </x:c>
      <x:c r="J968" s="4" t="str">
        <x:f>IF(AND(ISNUMBER(G968),L968&gt;0),G968/L968,"")</x:f>
      </x:c>
      <x:c r="K968" s="10" t="n">
        <x:v>48</x:v>
      </x:c>
      <x:c r="L968" s="10"/>
      <x:c r="M968" s="10" t="str">
        <x:f>IF(COUNT(L968,K968)=2,L968-K968,"")</x:f>
      </x:c>
      <x:c r="N968" s="10" t="n">
        <x:v>3</x:v>
      </x:c>
      <x:c r="O968" s="10"/>
      <x:c r="P968" s="10" t="str">
        <x:f>IF(COUNT(O968,N968)=2,O968-N968,"")</x:f>
      </x:c>
      <x:c r="Q968" s="10" t="n">
        <x:v>6</x:v>
      </x:c>
      <x:c r="R968" s="10"/>
      <x:c r="S968" s="10" t="str">
        <x:f>IF(COUNT(R968,Q968)=2,R968-Q968,"")</x:f>
      </x:c>
      <x:c r="T968" s="10" t="n">
        <x:v>1</x:v>
      </x:c>
      <x:c r="U968" s="10"/>
      <x:c r="V968" s="10" t="str">
        <x:f>IF(COUNT(U968,T968)=2,U968-T968,"")</x:f>
      </x:c>
      <x:c r="W968" s="10" t="n">
        <x:v>0</x:v>
      </x:c>
      <x:c r="X968" s="10" t="str">
        <x:f>IF(COUNT(AV968,AW968)=2,AV968+AW968,"")</x:f>
      </x:c>
      <x:c r="Y968" s="10" t="str">
        <x:f>IF(COUNT(X968,W968)=2,X968-W968,"")</x:f>
      </x:c>
      <x:c r="Z968" s="10" t="n">
        <x:v>0</x:v>
      </x:c>
      <x:c r="AA968" s="10" t="str">
        <x:f>IF(COUNT(AX968,AY968)=2,AX968+AY968,"")</x:f>
      </x:c>
      <x:c r="AB968" s="10" t="str">
        <x:f>IF(COUNT(AA968,Z968)=2,AA968-Z968,"")</x:f>
      </x:c>
      <x:c r="AC968" s="10" t="n">
        <x:v>41</x:v>
      </x:c>
      <x:c r="AD968" s="10"/>
      <x:c r="AE968" s="10" t="str">
        <x:f>IF(COUNT(AD968,AC968)=2,AD968-AC968,"")</x:f>
      </x:c>
      <x:c r="AF968" s="10" t="n">
        <x:v>94</x:v>
      </x:c>
      <x:c r="AG968" s="10"/>
      <x:c r="AH968" s="10" t="str">
        <x:f>IF(COUNT(AG968,AF968)=2,AG968-AF968,"")</x:f>
      </x:c>
      <x:c r="AI968" s="10" t="n">
        <x:v>50</x:v>
      </x:c>
      <x:c r="AJ968" s="10"/>
      <x:c r="AK968" s="10" t="str">
        <x:f>IF(COUNT(AJ968,AI968)=2,AJ968-AI968,"")</x:f>
      </x:c>
      <x:c r="AL968" s="10" t="n">
        <x:v>25</x:v>
      </x:c>
      <x:c r="AM968" s="10"/>
      <x:c r="AN968" s="4" t="str">
        <x:v>D</x:v>
      </x:c>
      <x:c r="AO968" s="4"/>
      <x:c r="AP968" s="4" t="str">
        <x:v>STL</x:v>
      </x:c>
      <x:c r="AQ968" s="4"/>
      <x:c r="AR968" s="4" t="n">
        <x:v>14.26</x:v>
      </x:c>
      <x:c r="AS968" s="4"/>
      <x:c r="AT968" s="4" t="n">
        <x:v>0.06</x:v>
      </x:c>
      <x:c r="AU968" s="4"/>
      <x:c r="AV968" s="10"/>
      <x:c r="AW968" s="10"/>
      <x:c r="AX968" s="10"/>
      <x:c r="AY968" s="10"/>
      <x:c r="AZ968" s="10" t="n">
        <x:v>804</x:v>
      </x:c>
      <x:c r="BA968" s="10" t="n">
        <x:v>792</x:v>
      </x:c>
      <x:c r="BB968" s="4" t="n">
        <x:v>50.4</x:v>
      </x:c>
      <x:c r="BC968" s="4" t="n">
        <x:v>3.8</x:v>
      </x:c>
      <x:c r="BD968" s="10" t="n">
        <x:v>596</x:v>
      </x:c>
      <x:c r="BE968" s="10" t="n">
        <x:v>591</x:v>
      </x:c>
      <x:c r="BF968" s="4" t="n">
        <x:v>50.2</x:v>
      </x:c>
      <x:c r="BG968" s="4" t="n">
        <x:v>3.9</x:v>
      </x:c>
      <x:c r="BH968" s="4" t="n">
        <x:v>11.6</x:v>
      </x:c>
      <x:c r="BI968" s="4" t="n">
        <x:v>86</x:v>
      </x:c>
      <x:c r="BJ968" s="4" t="n">
        <x:v>97.6</x:v>
      </x:c>
      <x:c r="BK968" s="4" t="n">
        <x:v>49.5</x:v>
      </x:c>
      <x:c r="BL968" s="4" t="n">
        <x:v>50.5</x:v>
      </x:c>
      <x:c r="BM968" s="4" t="n">
        <x:v>14.366666666666667</x:v>
      </x:c>
      <x:c r="BN968" s="4" t="n">
        <x:v>13.233333333333333</x:v>
      </x:c>
      <x:c r="BO968" s="10" t="n">
        <x:v>13</x:v>
      </x:c>
      <x:c r="BP968" s="10" t="n">
        <x:v>58</x:v>
      </x:c>
      <x:c r="BQ968" s="4" t="n">
        <x:v>1</x:v>
      </x:c>
      <x:c r="BR968" s="10" t="n">
        <x:v>160</x:v>
      </x:c>
      <x:c r="BS968" s="4" t="n">
        <x:v>42.5</x:v>
      </x:c>
      <x:c r="BT968" s="10" t="n">
        <x:v>69</x:v>
      </x:c>
      <x:c r="BU968" s="4" t="str">
        <x:v>STL</x:v>
      </x:c>
      <x:c r="BV968" s="10" t="n">
        <x:v>734</x:v>
      </x:c>
      <x:c r="BW968" s="10"/>
      <x:c r="BX968" s="10" t="n">
        <x:v>1036</x:v>
      </x:c>
      <x:c r="BY968" s="4" t="str">
        <x:v>Tyler Tucker</x:v>
      </x:c>
      <x:c r="BZ968" s="4"/>
      <x:c r="CA968" s="4" t="str">
        <x:v>Tyler Tucker</x:v>
      </x:c>
      <x:c r="CB968" s="4" t="str">
        <x:v>tuckety01</x:v>
      </x:c>
    </x:row>
    <x:row r="969" ht="22" customHeight="1">
      <x:c r="A969" s="4" t="str">
        <x:v>Tyson Foerster</x:v>
      </x:c>
      <x:c r="B969" s="4" t="str">
        <x:v>tysonfoerster</x:v>
      </x:c>
      <x:c r="C969" s="10" t="n">
        <x:v>1</x:v>
      </x:c>
      <x:c r="D969" s="10" t="n">
        <x:v>0</x:v>
      </x:c>
      <x:c r="E969" s="10" t="n">
        <x:v>1</x:v>
      </x:c>
      <x:c r="F969" s="4" t="n">
        <x:f>IF(COUNT(N969,Q969,T969,W969,Z969,AC969,AF969,AI969)=8,N969*Guide!$E$5+Q969*Guide!$E$6+T969*Guide!$E$7+W969*Guide!$E$8+Z969*Guide!$E$9+AC969*Guide!$E$10+AF969*Guide!$E$11+AI969*Guide!$E$12,"")</x:f>
        <x:v>267.25</x:v>
      </x:c>
      <x:c r="G969" s="4" t="str">
        <x:f>IF(COUNT(O969,R969,U969,X969,AA969,AD969,AG969,AJ969)=8,O969*Guide!$E$5+R969*Guide!$E$6+U969*Guide!$E$7+X969*Guide!$E$8+AA969*Guide!$E$9+AD969*Guide!$E$10+AG969*Guide!$E$11+AJ969*Guide!$E$12,"")</x:f>
      </x:c>
      <x:c r="H969" s="4" t="str">
        <x:f>IF(COUNT(G969,F969)=2,G969-F969,"")</x:f>
      </x:c>
      <x:c r="I969" s="4" t="n">
        <x:f>IF(AND(ISNUMBER(F969),K969&gt;0),F969/K969,"")</x:f>
        <x:v>3.340625</x:v>
      </x:c>
      <x:c r="J969" s="4" t="str">
        <x:f>IF(AND(ISNUMBER(G969),L969&gt;0),G969/L969,"")</x:f>
      </x:c>
      <x:c r="K969" s="10" t="n">
        <x:v>80</x:v>
      </x:c>
      <x:c r="L969" s="10"/>
      <x:c r="M969" s="10" t="str">
        <x:f>IF(COUNT(L969,K969)=2,L969-K969,"")</x:f>
      </x:c>
      <x:c r="N969" s="10" t="n">
        <x:v>24</x:v>
      </x:c>
      <x:c r="O969" s="10"/>
      <x:c r="P969" s="10" t="str">
        <x:f>IF(COUNT(O969,N969)=2,O969-N969,"")</x:f>
      </x:c>
      <x:c r="Q969" s="10" t="n">
        <x:v>20</x:v>
      </x:c>
      <x:c r="R969" s="10"/>
      <x:c r="S969" s="10" t="str">
        <x:f>IF(COUNT(R969,Q969)=2,R969-Q969,"")</x:f>
      </x:c>
      <x:c r="T969" s="10" t="n">
        <x:v>2</x:v>
      </x:c>
      <x:c r="U969" s="10"/>
      <x:c r="V969" s="10" t="str">
        <x:f>IF(COUNT(U969,T969)=2,U969-T969,"")</x:f>
      </x:c>
      <x:c r="W969" s="10" t="n">
        <x:v>10</x:v>
      </x:c>
      <x:c r="X969" s="10" t="str">
        <x:f>IF(COUNT(AV969,AW969)=2,AV969+AW969,"")</x:f>
      </x:c>
      <x:c r="Y969" s="10" t="str">
        <x:f>IF(COUNT(X969,W969)=2,X969-W969,"")</x:f>
      </x:c>
      <x:c r="Z969" s="10" t="n">
        <x:v>0</x:v>
      </x:c>
      <x:c r="AA969" s="10" t="str">
        <x:f>IF(COUNT(AX969,AY969)=2,AX969+AY969,"")</x:f>
      </x:c>
      <x:c r="AB969" s="10" t="str">
        <x:f>IF(COUNT(AA969,Z969)=2,AA969-Z969,"")</x:f>
      </x:c>
      <x:c r="AC969" s="10" t="n">
        <x:v>149</x:v>
      </x:c>
      <x:c r="AD969" s="10"/>
      <x:c r="AE969" s="10" t="str">
        <x:f>IF(COUNT(AD969,AC969)=2,AD969-AC969,"")</x:f>
      </x:c>
      <x:c r="AF969" s="10" t="n">
        <x:v>83</x:v>
      </x:c>
      <x:c r="AG969" s="10"/>
      <x:c r="AH969" s="10" t="str">
        <x:f>IF(COUNT(AG969,AF969)=2,AG969-AF969,"")</x:f>
      </x:c>
      <x:c r="AI969" s="10" t="n">
        <x:v>55</x:v>
      </x:c>
      <x:c r="AJ969" s="10"/>
      <x:c r="AK969" s="10" t="str">
        <x:f>IF(COUNT(AJ969,AI969)=2,AJ969-AI969,"")</x:f>
      </x:c>
      <x:c r="AL969" s="10" t="n">
        <x:v>24</x:v>
      </x:c>
      <x:c r="AM969" s="10"/>
      <x:c r="AN969" s="4" t="str">
        <x:v>LW,RW</x:v>
      </x:c>
      <x:c r="AO969" s="4"/>
      <x:c r="AP969" s="4" t="str">
        <x:v>PHI</x:v>
      </x:c>
      <x:c r="AQ969" s="4"/>
      <x:c r="AR969" s="4" t="n">
        <x:v>17.19</x:v>
      </x:c>
      <x:c r="AS969" s="4"/>
      <x:c r="AT969" s="4" t="n">
        <x:v>2.1</x:v>
      </x:c>
      <x:c r="AU969" s="4"/>
      <x:c r="AV969" s="10"/>
      <x:c r="AW969" s="10"/>
      <x:c r="AX969" s="10"/>
      <x:c r="AY969" s="10"/>
      <x:c r="AZ969" s="10" t="n">
        <x:v>310</x:v>
      </x:c>
      <x:c r="BA969" s="10" t="n">
        <x:v>371</x:v>
      </x:c>
      <x:c r="BB969" s="4" t="n">
        <x:v>45.5</x:v>
      </x:c>
      <x:c r="BC969" s="4" t="n">
        <x:v>-1.9</x:v>
      </x:c>
      <x:c r="BD969" s="10" t="n">
        <x:v>226</x:v>
      </x:c>
      <x:c r="BE969" s="10" t="n">
        <x:v>247</x:v>
      </x:c>
      <x:c r="BF969" s="4" t="n">
        <x:v>47.8</x:v>
      </x:c>
      <x:c r="BG969" s="4" t="n">
        <x:v>-0.8</x:v>
      </x:c>
      <x:c r="BH969" s="4" t="n">
        <x:v>13.2</x:v>
      </x:c>
      <x:c r="BI969" s="4" t="n">
        <x:v>93.2</x:v>
      </x:c>
      <x:c r="BJ969" s="4" t="n">
        <x:v>106.3</x:v>
      </x:c>
      <x:c r="BK969" s="4" t="n">
        <x:v>42.6</x:v>
      </x:c>
      <x:c r="BL969" s="4" t="n">
        <x:v>57.4</x:v>
      </x:c>
      <x:c r="BM969" s="4" t="n">
        <x:v>17.3</x:v>
      </x:c>
      <x:c r="BN969" s="4" t="n">
        <x:v>13.866666666666667</x:v>
      </x:c>
      <x:c r="BO969" s="10" t="n">
        <x:v>11</x:v>
      </x:c>
      <x:c r="BP969" s="10" t="n">
        <x:v>17</x:v>
      </x:c>
      <x:c r="BQ969" s="4" t="n">
        <x:v>3.2</x:v>
      </x:c>
      <x:c r="BR969" s="10" t="n">
        <x:v>104</x:v>
      </x:c>
      <x:c r="BS969" s="4" t="n">
        <x:v>58.7</x:v>
      </x:c>
      <x:c r="BT969" s="10" t="n">
        <x:v>29</x:v>
      </x:c>
      <x:c r="BU969" s="4" t="str">
        <x:v>PHI</x:v>
      </x:c>
      <x:c r="BV969" s="10" t="n">
        <x:v>207</x:v>
      </x:c>
      <x:c r="BW969" s="10"/>
      <x:c r="BX969" s="10" t="n">
        <x:v>300</x:v>
      </x:c>
      <x:c r="BY969" s="4" t="str">
        <x:v>Tyson Foerster</x:v>
      </x:c>
      <x:c r="BZ969" s="4"/>
      <x:c r="CA969" s="4" t="str">
        <x:v>Tyson Foerster</x:v>
      </x:c>
      <x:c r="CB969" s="4" t="str">
        <x:v>foersty01</x:v>
      </x:c>
    </x:row>
    <x:row r="970" ht="22" customHeight="1">
      <x:c r="A970" s="4" t="str">
        <x:v>Tyson Gross</x:v>
      </x:c>
      <x:c r="B970" s="4" t="str">
        <x:v>tysongross</x:v>
      </x:c>
      <x:c r="C970" s="10" t="n">
        <x:v>0</x:v>
      </x:c>
      <x:c r="D970" s="10" t="n">
        <x:v>0</x:v>
      </x:c>
      <x:c r="E970" s="10" t="n">
        <x:v>1</x:v>
      </x:c>
      <x:c r="F970" s="4" t="str">
        <x:f>IF(COUNT(N970,Q970,T970,W970,Z970,AC970,AF970,AI970)=8,N970*Guide!$E$5+Q970*Guide!$E$6+T970*Guide!$E$7+W970*Guide!$E$8+Z970*Guide!$E$9+AC970*Guide!$E$10+AF970*Guide!$E$11+AI970*Guide!$E$12,"")</x:f>
      </x:c>
      <x:c r="G970" s="4" t="str">
        <x:f>IF(COUNT(O970,R970,U970,X970,AA970,AD970,AG970,AJ970)=8,O970*Guide!$E$5+R970*Guide!$E$6+U970*Guide!$E$7+X970*Guide!$E$8+AA970*Guide!$E$9+AD970*Guide!$E$10+AG970*Guide!$E$11+AJ970*Guide!$E$12,"")</x:f>
      </x:c>
      <x:c r="H970" s="4" t="str">
        <x:f>IF(COUNT(G970,F970)=2,G970-F970,"")</x:f>
      </x:c>
      <x:c r="I970" s="4" t="str">
        <x:f>IF(AND(ISNUMBER(F970),K970&gt;0),F970/K970,"")</x:f>
      </x:c>
      <x:c r="J970" s="4" t="str">
        <x:f>IF(AND(ISNUMBER(G970),L970&gt;0),G970/L970,"")</x:f>
      </x:c>
      <x:c r="K970" s="10"/>
      <x:c r="L970" s="10"/>
      <x:c r="M970" s="10" t="str">
        <x:f>IF(COUNT(L970,K970)=2,L970-K970,"")</x:f>
      </x:c>
      <x:c r="N970" s="10"/>
      <x:c r="O970" s="10"/>
      <x:c r="P970" s="10" t="str">
        <x:f>IF(COUNT(O970,N970)=2,O970-N970,"")</x:f>
      </x:c>
      <x:c r="Q970" s="10"/>
      <x:c r="R970" s="10"/>
      <x:c r="S970" s="10" t="str">
        <x:f>IF(COUNT(R970,Q970)=2,R970-Q970,"")</x:f>
      </x:c>
      <x:c r="T970" s="10"/>
      <x:c r="U970" s="10"/>
      <x:c r="V970" s="10" t="str">
        <x:f>IF(COUNT(U970,T970)=2,U970-T970,"")</x:f>
      </x:c>
      <x:c r="W970" s="10"/>
      <x:c r="X970" s="10" t="str">
        <x:f>IF(COUNT(AV970,AW970)=2,AV970+AW970,"")</x:f>
      </x:c>
      <x:c r="Y970" s="10" t="str">
        <x:f>IF(COUNT(X970,W970)=2,X970-W970,"")</x:f>
      </x:c>
      <x:c r="Z970" s="10"/>
      <x:c r="AA970" s="10" t="str">
        <x:f>IF(COUNT(AX970,AY970)=2,AX970+AY970,"")</x:f>
      </x:c>
      <x:c r="AB970" s="10" t="str">
        <x:f>IF(COUNT(AA970,Z970)=2,AA970-Z970,"")</x:f>
      </x:c>
      <x:c r="AC970" s="10"/>
      <x:c r="AD970" s="10"/>
      <x:c r="AE970" s="10" t="str">
        <x:f>IF(COUNT(AD970,AC970)=2,AD970-AC970,"")</x:f>
      </x:c>
      <x:c r="AF970" s="10"/>
      <x:c r="AG970" s="10"/>
      <x:c r="AH970" s="10" t="str">
        <x:f>IF(COUNT(AG970,AF970)=2,AG970-AF970,"")</x:f>
      </x:c>
      <x:c r="AI970" s="10"/>
      <x:c r="AJ970" s="10"/>
      <x:c r="AK970" s="10" t="str">
        <x:f>IF(COUNT(AJ970,AI970)=2,AJ970-AI970,"")</x:f>
      </x:c>
      <x:c r="AL970" s="10"/>
      <x:c r="AM970" s="10"/>
      <x:c r="AN970" s="4"/>
      <x:c r="AO970" s="4"/>
      <x:c r="AP970" s="4"/>
      <x:c r="AQ970" s="4"/>
      <x:c r="AR970" s="4"/>
      <x:c r="AS970" s="4"/>
      <x:c r="AT970" s="4"/>
      <x:c r="AU970" s="4"/>
      <x:c r="AV970" s="10"/>
      <x:c r="AW970" s="10"/>
      <x:c r="AX970" s="10"/>
      <x:c r="AY970" s="10"/>
      <x:c r="AZ970" s="10" t="n">
        <x:v>39</x:v>
      </x:c>
      <x:c r="BA970" s="10" t="n">
        <x:v>72</x:v>
      </x:c>
      <x:c r="BB970" s="4" t="n">
        <x:v>35.1</x:v>
      </x:c>
      <x:c r="BC970" s="4" t="n">
        <x:v>-11.3</x:v>
      </x:c>
      <x:c r="BD970" s="10" t="n">
        <x:v>32</x:v>
      </x:c>
      <x:c r="BE970" s="10" t="n">
        <x:v>57</x:v>
      </x:c>
      <x:c r="BF970" s="4" t="n">
        <x:v>36</x:v>
      </x:c>
      <x:c r="BG970" s="4" t="n">
        <x:v>-12.3</x:v>
      </x:c>
      <x:c r="BH970" s="4" t="n">
        <x:v>12.5</x:v>
      </x:c>
      <x:c r="BI970" s="4" t="n">
        <x:v>87.2</x:v>
      </x:c>
      <x:c r="BJ970" s="4" t="n">
        <x:v>99.7</x:v>
      </x:c>
      <x:c r="BK970" s="4" t="n">
        <x:v>31.4</x:v>
      </x:c>
      <x:c r="BL970" s="4" t="n">
        <x:v>68.6</x:v>
      </x:c>
      <x:c r="BM970" s="4" t="n">
        <x:v>11.033333333333333</x:v>
      </x:c>
      <x:c r="BN970" s="4" t="n">
        <x:v>10.066666666666666</x:v>
      </x:c>
      <x:c r="BO970" s="10" t="n">
        <x:v>1</x:v>
      </x:c>
      <x:c r="BP970" s="10" t="n">
        <x:v>2</x:v>
      </x:c>
      <x:c r="BQ970" s="4" t="n">
        <x:v>-1.6</x:v>
      </x:c>
      <x:c r="BR970" s="10" t="n">
        <x:v>9</x:v>
      </x:c>
      <x:c r="BS970" s="4" t="n">
        <x:v>55.6</x:v>
      </x:c>
      <x:c r="BT970" s="10" t="n">
        <x:v>6</x:v>
      </x:c>
      <x:c r="BU970" s="4" t="str">
        <x:v>CGY</x:v>
      </x:c>
      <x:c r="BV970" s="10"/>
      <x:c r="BW970" s="10"/>
      <x:c r="BX970" s="10" t="n">
        <x:v>364</x:v>
      </x:c>
      <x:c r="BY970" s="4"/>
      <x:c r="BZ970" s="4"/>
      <x:c r="CA970" s="4" t="str">
        <x:v>Tyson Gross</x:v>
      </x:c>
      <x:c r="CB970" s="4" t="str">
        <x:v>grossty01</x:v>
      </x:c>
    </x:row>
    <x:row r="971" ht="22" customHeight="1">
      <x:c r="A971" s="4" t="str">
        <x:v>Tyson Hinds</x:v>
      </x:c>
      <x:c r="B971" s="4" t="str">
        <x:v>tysonhinds</x:v>
      </x:c>
      <x:c r="C971" s="10" t="n">
        <x:v>0</x:v>
      </x:c>
      <x:c r="D971" s="10" t="n">
        <x:v>0</x:v>
      </x:c>
      <x:c r="E971" s="10" t="n">
        <x:v>1</x:v>
      </x:c>
      <x:c r="F971" s="4" t="str">
        <x:f>IF(COUNT(N971,Q971,T971,W971,Z971,AC971,AF971,AI971)=8,N971*Guide!$E$5+Q971*Guide!$E$6+T971*Guide!$E$7+W971*Guide!$E$8+Z971*Guide!$E$9+AC971*Guide!$E$10+AF971*Guide!$E$11+AI971*Guide!$E$12,"")</x:f>
      </x:c>
      <x:c r="G971" s="4" t="str">
        <x:f>IF(COUNT(O971,R971,U971,X971,AA971,AD971,AG971,AJ971)=8,O971*Guide!$E$5+R971*Guide!$E$6+U971*Guide!$E$7+X971*Guide!$E$8+AA971*Guide!$E$9+AD971*Guide!$E$10+AG971*Guide!$E$11+AJ971*Guide!$E$12,"")</x:f>
      </x:c>
      <x:c r="H971" s="4" t="str">
        <x:f>IF(COUNT(G971,F971)=2,G971-F971,"")</x:f>
      </x:c>
      <x:c r="I971" s="4" t="str">
        <x:f>IF(AND(ISNUMBER(F971),K971&gt;0),F971/K971,"")</x:f>
      </x:c>
      <x:c r="J971" s="4" t="str">
        <x:f>IF(AND(ISNUMBER(G971),L971&gt;0),G971/L971,"")</x:f>
      </x:c>
      <x:c r="K971" s="10"/>
      <x:c r="L971" s="10"/>
      <x:c r="M971" s="10" t="str">
        <x:f>IF(COUNT(L971,K971)=2,L971-K971,"")</x:f>
      </x:c>
      <x:c r="N971" s="10"/>
      <x:c r="O971" s="10"/>
      <x:c r="P971" s="10" t="str">
        <x:f>IF(COUNT(O971,N971)=2,O971-N971,"")</x:f>
      </x:c>
      <x:c r="Q971" s="10"/>
      <x:c r="R971" s="10"/>
      <x:c r="S971" s="10" t="str">
        <x:f>IF(COUNT(R971,Q971)=2,R971-Q971,"")</x:f>
      </x:c>
      <x:c r="T971" s="10"/>
      <x:c r="U971" s="10"/>
      <x:c r="V971" s="10" t="str">
        <x:f>IF(COUNT(U971,T971)=2,U971-T971,"")</x:f>
      </x:c>
      <x:c r="W971" s="10"/>
      <x:c r="X971" s="10" t="str">
        <x:f>IF(COUNT(AV971,AW971)=2,AV971+AW971,"")</x:f>
      </x:c>
      <x:c r="Y971" s="10" t="str">
        <x:f>IF(COUNT(X971,W971)=2,X971-W971,"")</x:f>
      </x:c>
      <x:c r="Z971" s="10"/>
      <x:c r="AA971" s="10" t="str">
        <x:f>IF(COUNT(AX971,AY971)=2,AX971+AY971,"")</x:f>
      </x:c>
      <x:c r="AB971" s="10" t="str">
        <x:f>IF(COUNT(AA971,Z971)=2,AA971-Z971,"")</x:f>
      </x:c>
      <x:c r="AC971" s="10"/>
      <x:c r="AD971" s="10"/>
      <x:c r="AE971" s="10" t="str">
        <x:f>IF(COUNT(AD971,AC971)=2,AD971-AC971,"")</x:f>
      </x:c>
      <x:c r="AF971" s="10"/>
      <x:c r="AG971" s="10"/>
      <x:c r="AH971" s="10" t="str">
        <x:f>IF(COUNT(AG971,AF971)=2,AG971-AF971,"")</x:f>
      </x:c>
      <x:c r="AI971" s="10"/>
      <x:c r="AJ971" s="10"/>
      <x:c r="AK971" s="10" t="str">
        <x:f>IF(COUNT(AJ971,AI971)=2,AJ971-AI971,"")</x:f>
      </x:c>
      <x:c r="AL971" s="10"/>
      <x:c r="AM971" s="10"/>
      <x:c r="AN971" s="4"/>
      <x:c r="AO971" s="4"/>
      <x:c r="AP971" s="4"/>
      <x:c r="AQ971" s="4"/>
      <x:c r="AR971" s="4"/>
      <x:c r="AS971" s="4"/>
      <x:c r="AT971" s="4"/>
      <x:c r="AU971" s="4"/>
      <x:c r="AV971" s="10"/>
      <x:c r="AW971" s="10"/>
      <x:c r="AX971" s="10"/>
      <x:c r="AY971" s="10"/>
      <x:c r="AZ971" s="10" t="n">
        <x:v>106</x:v>
      </x:c>
      <x:c r="BA971" s="10" t="n">
        <x:v>62</x:v>
      </x:c>
      <x:c r="BB971" s="4" t="n">
        <x:v>63.1</x:v>
      </x:c>
      <x:c r="BC971" s="4" t="n">
        <x:v>5.3</x:v>
      </x:c>
      <x:c r="BD971" s="10" t="n">
        <x:v>80</x:v>
      </x:c>
      <x:c r="BE971" s="10" t="n">
        <x:v>47</x:v>
      </x:c>
      <x:c r="BF971" s="4" t="n">
        <x:v>63</x:v>
      </x:c>
      <x:c r="BG971" s="4" t="n">
        <x:v>3.1</x:v>
      </x:c>
      <x:c r="BH971" s="4" t="n">
        <x:v>6</x:v>
      </x:c>
      <x:c r="BI971" s="4" t="n">
        <x:v>91.3</x:v>
      </x:c>
      <x:c r="BJ971" s="4" t="n">
        <x:v>97.3</x:v>
      </x:c>
      <x:c r="BK971" s="4" t="n">
        <x:v>67.4</x:v>
      </x:c>
      <x:c r="BL971" s="4" t="n">
        <x:v>32.6</x:v>
      </x:c>
      <x:c r="BM971" s="4" t="n">
        <x:v>15.616666666666667</x:v>
      </x:c>
      <x:c r="BN971" s="4" t="n">
        <x:v>14.9</x:v>
      </x:c>
      <x:c r="BO971" s="10" t="n">
        <x:v>1</x:v>
      </x:c>
      <x:c r="BP971" s="10" t="n">
        <x:v>5</x:v>
      </x:c>
      <x:c r="BQ971" s="4" t="n">
        <x:v>2.4</x:v>
      </x:c>
      <x:c r="BR971" s="10" t="n">
        <x:v>20</x:v>
      </x:c>
      <x:c r="BS971" s="4" t="n">
        <x:v>45</x:v>
      </x:c>
      <x:c r="BT971" s="10" t="n">
        <x:v>6</x:v>
      </x:c>
      <x:c r="BU971" s="4" t="str">
        <x:v>ANA</x:v>
      </x:c>
      <x:c r="BV971" s="10"/>
      <x:c r="BW971" s="10"/>
      <x:c r="BX971" s="10" t="n">
        <x:v>412</x:v>
      </x:c>
      <x:c r="BY971" s="4"/>
      <x:c r="BZ971" s="4"/>
      <x:c r="CA971" s="4" t="str">
        <x:v>Tyson Hinds</x:v>
      </x:c>
      <x:c r="CB971" s="4" t="str">
        <x:v>hindsty01</x:v>
      </x:c>
    </x:row>
    <x:row r="972" ht="22" customHeight="1">
      <x:c r="A972" s="4" t="str">
        <x:v>Tyson Jost</x:v>
      </x:c>
      <x:c r="B972" s="4" t="str">
        <x:v>tysonjost</x:v>
      </x:c>
      <x:c r="C972" s="10" t="n">
        <x:v>1</x:v>
      </x:c>
      <x:c r="D972" s="10" t="n">
        <x:v>0</x:v>
      </x:c>
      <x:c r="E972" s="10" t="n">
        <x:v>1</x:v>
      </x:c>
      <x:c r="F972" s="4" t="n">
        <x:f>IF(COUNT(N972,Q972,T972,W972,Z972,AC972,AF972,AI972)=8,N972*Guide!$E$5+Q972*Guide!$E$6+T972*Guide!$E$7+W972*Guide!$E$8+Z972*Guide!$E$9+AC972*Guide!$E$10+AF972*Guide!$E$11+AI972*Guide!$E$12,"")</x:f>
        <x:v>89.25</x:v>
      </x:c>
      <x:c r="G972" s="4" t="str">
        <x:f>IF(COUNT(O972,R972,U972,X972,AA972,AD972,AG972,AJ972)=8,O972*Guide!$E$5+R972*Guide!$E$6+U972*Guide!$E$7+X972*Guide!$E$8+AA972*Guide!$E$9+AD972*Guide!$E$10+AG972*Guide!$E$11+AJ972*Guide!$E$12,"")</x:f>
      </x:c>
      <x:c r="H972" s="4" t="str">
        <x:f>IF(COUNT(G972,F972)=2,G972-F972,"")</x:f>
      </x:c>
      <x:c r="I972" s="4" t="n">
        <x:f>IF(AND(ISNUMBER(F972),K972&gt;0),F972/K972,"")</x:f>
        <x:v>1.9833333333333334</x:v>
      </x:c>
      <x:c r="J972" s="4" t="str">
        <x:f>IF(AND(ISNUMBER(G972),L972&gt;0),G972/L972,"")</x:f>
      </x:c>
      <x:c r="K972" s="10" t="n">
        <x:v>45</x:v>
      </x:c>
      <x:c r="L972" s="10"/>
      <x:c r="M972" s="10" t="str">
        <x:f>IF(COUNT(L972,K972)=2,L972-K972,"")</x:f>
      </x:c>
      <x:c r="N972" s="10" t="n">
        <x:v>6</x:v>
      </x:c>
      <x:c r="O972" s="10"/>
      <x:c r="P972" s="10" t="str">
        <x:f>IF(COUNT(O972,N972)=2,O972-N972,"")</x:f>
      </x:c>
      <x:c r="Q972" s="10" t="n">
        <x:v>8</x:v>
      </x:c>
      <x:c r="R972" s="10"/>
      <x:c r="S972" s="10" t="str">
        <x:f>IF(COUNT(R972,Q972)=2,R972-Q972,"")</x:f>
      </x:c>
      <x:c r="T972" s="10" t="n">
        <x:v>-1</x:v>
      </x:c>
      <x:c r="U972" s="10"/>
      <x:c r="V972" s="10" t="str">
        <x:f>IF(COUNT(U972,T972)=2,U972-T972,"")</x:f>
      </x:c>
      <x:c r="W972" s="10" t="n">
        <x:v>2</x:v>
      </x:c>
      <x:c r="X972" s="10" t="str">
        <x:f>IF(COUNT(AV972,AW972)=2,AV972+AW972,"")</x:f>
      </x:c>
      <x:c r="Y972" s="10" t="str">
        <x:f>IF(COUNT(X972,W972)=2,X972-W972,"")</x:f>
      </x:c>
      <x:c r="Z972" s="10" t="n">
        <x:v>0</x:v>
      </x:c>
      <x:c r="AA972" s="10" t="str">
        <x:f>IF(COUNT(AX972,AY972)=2,AX972+AY972,"")</x:f>
      </x:c>
      <x:c r="AB972" s="10" t="str">
        <x:f>IF(COUNT(AA972,Z972)=2,AA972-Z972,"")</x:f>
      </x:c>
      <x:c r="AC972" s="10" t="n">
        <x:v>52</x:v>
      </x:c>
      <x:c r="AD972" s="10"/>
      <x:c r="AE972" s="10" t="str">
        <x:f>IF(COUNT(AD972,AC972)=2,AD972-AC972,"")</x:f>
      </x:c>
      <x:c r="AF972" s="10" t="n">
        <x:v>49</x:v>
      </x:c>
      <x:c r="AG972" s="10"/>
      <x:c r="AH972" s="10" t="str">
        <x:f>IF(COUNT(AG972,AF972)=2,AG972-AF972,"")</x:f>
      </x:c>
      <x:c r="AI972" s="10" t="n">
        <x:v>20</x:v>
      </x:c>
      <x:c r="AJ972" s="10"/>
      <x:c r="AK972" s="10" t="str">
        <x:f>IF(COUNT(AJ972,AI972)=2,AJ972-AI972,"")</x:f>
      </x:c>
      <x:c r="AL972" s="10" t="n">
        <x:v>27</x:v>
      </x:c>
      <x:c r="AM972" s="10"/>
      <x:c r="AN972" s="4" t="str">
        <x:v>C</x:v>
      </x:c>
      <x:c r="AO972" s="4"/>
      <x:c r="AP972" s="4" t="str">
        <x:v>CAR</x:v>
      </x:c>
      <x:c r="AQ972" s="4"/>
      <x:c r="AR972" s="4" t="n">
        <x:v>10.870000000000001</x:v>
      </x:c>
      <x:c r="AS972" s="4"/>
      <x:c r="AT972" s="4" t="n">
        <x:v>0.64</x:v>
      </x:c>
      <x:c r="AU972" s="4"/>
      <x:c r="AV972" s="10"/>
      <x:c r="AW972" s="10"/>
      <x:c r="AX972" s="10"/>
      <x:c r="AY972" s="10"/>
      <x:c r="AZ972" s="10" t="n">
        <x:v>705</x:v>
      </x:c>
      <x:c r="BA972" s="10" t="n">
        <x:v>737</x:v>
      </x:c>
      <x:c r="BB972" s="4" t="n">
        <x:v>48.9</x:v>
      </x:c>
      <x:c r="BC972" s="4" t="n">
        <x:v>-1.1</x:v>
      </x:c>
      <x:c r="BD972" s="10" t="n">
        <x:v>488</x:v>
      </x:c>
      <x:c r="BE972" s="10" t="n">
        <x:v>548</x:v>
      </x:c>
      <x:c r="BF972" s="4" t="n">
        <x:v>47.1</x:v>
      </x:c>
      <x:c r="BG972" s="4" t="n">
        <x:v>-1.1</x:v>
      </x:c>
      <x:c r="BH972" s="4" t="n">
        <x:v>6</x:v>
      </x:c>
      <x:c r="BI972" s="4" t="n">
        <x:v>88</x:v>
      </x:c>
      <x:c r="BJ972" s="4" t="n">
        <x:v>94</x:v>
      </x:c>
      <x:c r="BK972" s="4" t="n">
        <x:v>44.9</x:v>
      </x:c>
      <x:c r="BL972" s="4" t="n">
        <x:v>55.1</x:v>
      </x:c>
      <x:c r="BM972" s="4" t="n">
        <x:v>12.416666666666666</x:v>
      </x:c>
      <x:c r="BN972" s="4" t="n">
        <x:v>11</x:v>
      </x:c>
      <x:c r="BO972" s="10" t="n">
        <x:v>22</x:v>
      </x:c>
      <x:c r="BP972" s="10" t="n">
        <x:v>36</x:v>
      </x:c>
      <x:c r="BQ972" s="4" t="n">
        <x:v>-4.1</x:v>
      </x:c>
      <x:c r="BR972" s="10" t="n">
        <x:v>172</x:v>
      </x:c>
      <x:c r="BS972" s="4" t="n">
        <x:v>55.2</x:v>
      </x:c>
      <x:c r="BT972" s="10" t="n">
        <x:v>69</x:v>
      </x:c>
      <x:c r="BU972" s="4" t="str">
        <x:v>NSH</x:v>
      </x:c>
      <x:c r="BV972" s="10" t="n">
        <x:v>656</x:v>
      </x:c>
      <x:c r="BW972" s="10"/>
      <x:c r="BX972" s="10" t="n">
        <x:v>483</x:v>
      </x:c>
      <x:c r="BY972" s="4" t="str">
        <x:v>Tyson Jost</x:v>
      </x:c>
      <x:c r="BZ972" s="4"/>
      <x:c r="CA972" s="4" t="str">
        <x:v>Tyson Jost</x:v>
      </x:c>
      <x:c r="CB972" s="4" t="str">
        <x:v>jostty01</x:v>
      </x:c>
    </x:row>
    <x:row r="973" ht="22" customHeight="1">
      <x:c r="A973" s="4" t="str">
        <x:v>Tyson Kozak</x:v>
      </x:c>
      <x:c r="B973" s="4" t="str">
        <x:v>tysonkozak</x:v>
      </x:c>
      <x:c r="C973" s="10" t="n">
        <x:v>0</x:v>
      </x:c>
      <x:c r="D973" s="10" t="n">
        <x:v>0</x:v>
      </x:c>
      <x:c r="E973" s="10" t="n">
        <x:v>1</x:v>
      </x:c>
      <x:c r="F973" s="4" t="str">
        <x:f>IF(COUNT(N973,Q973,T973,W973,Z973,AC973,AF973,AI973)=8,N973*Guide!$E$5+Q973*Guide!$E$6+T973*Guide!$E$7+W973*Guide!$E$8+Z973*Guide!$E$9+AC973*Guide!$E$10+AF973*Guide!$E$11+AI973*Guide!$E$12,"")</x:f>
      </x:c>
      <x:c r="G973" s="4" t="str">
        <x:f>IF(COUNT(O973,R973,U973,X973,AA973,AD973,AG973,AJ973)=8,O973*Guide!$E$5+R973*Guide!$E$6+U973*Guide!$E$7+X973*Guide!$E$8+AA973*Guide!$E$9+AD973*Guide!$E$10+AG973*Guide!$E$11+AJ973*Guide!$E$12,"")</x:f>
      </x:c>
      <x:c r="H973" s="4" t="str">
        <x:f>IF(COUNT(G973,F973)=2,G973-F973,"")</x:f>
      </x:c>
      <x:c r="I973" s="4" t="str">
        <x:f>IF(AND(ISNUMBER(F973),K973&gt;0),F973/K973,"")</x:f>
      </x:c>
      <x:c r="J973" s="4" t="str">
        <x:f>IF(AND(ISNUMBER(G973),L973&gt;0),G973/L973,"")</x:f>
      </x:c>
      <x:c r="K973" s="10"/>
      <x:c r="L973" s="10"/>
      <x:c r="M973" s="10" t="str">
        <x:f>IF(COUNT(L973,K973)=2,L973-K973,"")</x:f>
      </x:c>
      <x:c r="N973" s="10"/>
      <x:c r="O973" s="10"/>
      <x:c r="P973" s="10" t="str">
        <x:f>IF(COUNT(O973,N973)=2,O973-N973,"")</x:f>
      </x:c>
      <x:c r="Q973" s="10"/>
      <x:c r="R973" s="10"/>
      <x:c r="S973" s="10" t="str">
        <x:f>IF(COUNT(R973,Q973)=2,R973-Q973,"")</x:f>
      </x:c>
      <x:c r="T973" s="10"/>
      <x:c r="U973" s="10"/>
      <x:c r="V973" s="10" t="str">
        <x:f>IF(COUNT(U973,T973)=2,U973-T973,"")</x:f>
      </x:c>
      <x:c r="W973" s="10"/>
      <x:c r="X973" s="10" t="str">
        <x:f>IF(COUNT(AV973,AW973)=2,AV973+AW973,"")</x:f>
      </x:c>
      <x:c r="Y973" s="10" t="str">
        <x:f>IF(COUNT(X973,W973)=2,X973-W973,"")</x:f>
      </x:c>
      <x:c r="Z973" s="10"/>
      <x:c r="AA973" s="10" t="str">
        <x:f>IF(COUNT(AX973,AY973)=2,AX973+AY973,"")</x:f>
      </x:c>
      <x:c r="AB973" s="10" t="str">
        <x:f>IF(COUNT(AA973,Z973)=2,AA973-Z973,"")</x:f>
      </x:c>
      <x:c r="AC973" s="10"/>
      <x:c r="AD973" s="10"/>
      <x:c r="AE973" s="10" t="str">
        <x:f>IF(COUNT(AD973,AC973)=2,AD973-AC973,"")</x:f>
      </x:c>
      <x:c r="AF973" s="10"/>
      <x:c r="AG973" s="10"/>
      <x:c r="AH973" s="10" t="str">
        <x:f>IF(COUNT(AG973,AF973)=2,AG973-AF973,"")</x:f>
      </x:c>
      <x:c r="AI973" s="10"/>
      <x:c r="AJ973" s="10"/>
      <x:c r="AK973" s="10" t="str">
        <x:f>IF(COUNT(AJ973,AI973)=2,AJ973-AI973,"")</x:f>
      </x:c>
      <x:c r="AL973" s="10"/>
      <x:c r="AM973" s="10"/>
      <x:c r="AN973" s="4"/>
      <x:c r="AO973" s="4"/>
      <x:c r="AP973" s="4"/>
      <x:c r="AQ973" s="4"/>
      <x:c r="AR973" s="4"/>
      <x:c r="AS973" s="4"/>
      <x:c r="AT973" s="4"/>
      <x:c r="AU973" s="4"/>
      <x:c r="AV973" s="10"/>
      <x:c r="AW973" s="10"/>
      <x:c r="AX973" s="10"/>
      <x:c r="AY973" s="10"/>
      <x:c r="AZ973" s="10" t="n">
        <x:v>358</x:v>
      </x:c>
      <x:c r="BA973" s="10" t="n">
        <x:v>529</x:v>
      </x:c>
      <x:c r="BB973" s="4" t="n">
        <x:v>40.4</x:v>
      </x:c>
      <x:c r="BC973" s="4" t="n">
        <x:v>-10.6</x:v>
      </x:c>
      <x:c r="BD973" s="10" t="n">
        <x:v>253</x:v>
      </x:c>
      <x:c r="BE973" s="10" t="n">
        <x:v>369</x:v>
      </x:c>
      <x:c r="BF973" s="4" t="n">
        <x:v>40.7</x:v>
      </x:c>
      <x:c r="BG973" s="4" t="n">
        <x:v>-10.2</x:v>
      </x:c>
      <x:c r="BH973" s="4" t="n">
        <x:v>7.6</x:v>
      </x:c>
      <x:c r="BI973" s="4" t="n">
        <x:v>93.5</x:v>
      </x:c>
      <x:c r="BJ973" s="4" t="n">
        <x:v>101.1</x:v>
      </x:c>
      <x:c r="BK973" s="4" t="n">
        <x:v>26.5</x:v>
      </x:c>
      <x:c r="BL973" s="4" t="n">
        <x:v>73.5</x:v>
      </x:c>
      <x:c r="BM973" s="4" t="n">
        <x:v>11.283333333333333</x:v>
      </x:c>
      <x:c r="BN973" s="4" t="n">
        <x:v>10.283333333333333</x:v>
      </x:c>
      <x:c r="BO973" s="10" t="n">
        <x:v>12</x:v>
      </x:c>
      <x:c r="BP973" s="10" t="n">
        <x:v>29</x:v>
      </x:c>
      <x:c r="BQ973" s="4" t="n">
        <x:v>-8.4</x:v>
      </x:c>
      <x:c r="BR973" s="10" t="n">
        <x:v>54</x:v>
      </x:c>
      <x:c r="BS973" s="4" t="n">
        <x:v>55.6</x:v>
      </x:c>
      <x:c r="BT973" s="10" t="n">
        <x:v>46</x:v>
      </x:c>
      <x:c r="BU973" s="4" t="str">
        <x:v>BUF</x:v>
      </x:c>
      <x:c r="BV973" s="10"/>
      <x:c r="BW973" s="10"/>
      <x:c r="BX973" s="10" t="n">
        <x:v>540</x:v>
      </x:c>
      <x:c r="BY973" s="4"/>
      <x:c r="BZ973" s="4"/>
      <x:c r="CA973" s="4" t="str">
        <x:v>Tyson Kozak</x:v>
      </x:c>
      <x:c r="CB973" s="4" t="str">
        <x:v>kozakty01</x:v>
      </x:c>
    </x:row>
    <x:row r="974" ht="22" customHeight="1">
      <x:c r="A974" s="4" t="str">
        <x:v>Urho Vaakanainen</x:v>
      </x:c>
      <x:c r="B974" s="4" t="str">
        <x:v>urhovaakanainen</x:v>
      </x:c>
      <x:c r="C974" s="10" t="n">
        <x:v>1</x:v>
      </x:c>
      <x:c r="D974" s="10" t="n">
        <x:v>0</x:v>
      </x:c>
      <x:c r="E974" s="10" t="n">
        <x:v>1</x:v>
      </x:c>
      <x:c r="F974" s="4" t="n">
        <x:f>IF(COUNT(N974,Q974,T974,W974,Z974,AC974,AF974,AI974)=8,N974*Guide!$E$5+Q974*Guide!$E$6+T974*Guide!$E$7+W974*Guide!$E$8+Z974*Guide!$E$9+AC974*Guide!$E$10+AF974*Guide!$E$11+AI974*Guide!$E$12,"")</x:f>
        <x:v>121.5</x:v>
      </x:c>
      <x:c r="G974" s="4" t="str">
        <x:f>IF(COUNT(O974,R974,U974,X974,AA974,AD974,AG974,AJ974)=8,O974*Guide!$E$5+R974*Guide!$E$6+U974*Guide!$E$7+X974*Guide!$E$8+AA974*Guide!$E$9+AD974*Guide!$E$10+AG974*Guide!$E$11+AJ974*Guide!$E$12,"")</x:f>
      </x:c>
      <x:c r="H974" s="4" t="str">
        <x:f>IF(COUNT(G974,F974)=2,G974-F974,"")</x:f>
      </x:c>
      <x:c r="I974" s="4" t="n">
        <x:f>IF(AND(ISNUMBER(F974),K974&gt;0),F974/K974,"")</x:f>
        <x:v>1.786764705882353</x:v>
      </x:c>
      <x:c r="J974" s="4" t="str">
        <x:f>IF(AND(ISNUMBER(G974),L974&gt;0),G974/L974,"")</x:f>
      </x:c>
      <x:c r="K974" s="10" t="n">
        <x:v>68</x:v>
      </x:c>
      <x:c r="L974" s="10"/>
      <x:c r="M974" s="10" t="str">
        <x:f>IF(COUNT(L974,K974)=2,L974-K974,"")</x:f>
      </x:c>
      <x:c r="N974" s="10" t="n">
        <x:v>2</x:v>
      </x:c>
      <x:c r="O974" s="10"/>
      <x:c r="P974" s="10" t="str">
        <x:f>IF(COUNT(O974,N974)=2,O974-N974,"")</x:f>
      </x:c>
      <x:c r="Q974" s="10" t="n">
        <x:v>13</x:v>
      </x:c>
      <x:c r="R974" s="10"/>
      <x:c r="S974" s="10" t="str">
        <x:f>IF(COUNT(R974,Q974)=2,R974-Q974,"")</x:f>
      </x:c>
      <x:c r="T974" s="10" t="n">
        <x:v>-3</x:v>
      </x:c>
      <x:c r="U974" s="10"/>
      <x:c r="V974" s="10" t="str">
        <x:f>IF(COUNT(U974,T974)=2,U974-T974,"")</x:f>
      </x:c>
      <x:c r="W974" s="10" t="n">
        <x:v>0</x:v>
      </x:c>
      <x:c r="X974" s="10" t="str">
        <x:f>IF(COUNT(AV974,AW974)=2,AV974+AW974,"")</x:f>
      </x:c>
      <x:c r="Y974" s="10" t="str">
        <x:f>IF(COUNT(X974,W974)=2,X974-W974,"")</x:f>
      </x:c>
      <x:c r="Z974" s="10" t="n">
        <x:v>0</x:v>
      </x:c>
      <x:c r="AA974" s="10" t="str">
        <x:f>IF(COUNT(AX974,AY974)=2,AX974+AY974,"")</x:f>
      </x:c>
      <x:c r="AB974" s="10" t="str">
        <x:f>IF(COUNT(AA974,Z974)=2,AA974-Z974,"")</x:f>
      </x:c>
      <x:c r="AC974" s="10" t="n">
        <x:v>62</x:v>
      </x:c>
      <x:c r="AD974" s="10"/>
      <x:c r="AE974" s="10" t="str">
        <x:f>IF(COUNT(AD974,AC974)=2,AD974-AC974,"")</x:f>
      </x:c>
      <x:c r="AF974" s="10" t="n">
        <x:v>29</x:v>
      </x:c>
      <x:c r="AG974" s="10"/>
      <x:c r="AH974" s="10" t="str">
        <x:f>IF(COUNT(AG974,AF974)=2,AG974-AF974,"")</x:f>
      </x:c>
      <x:c r="AI974" s="10" t="n">
        <x:v>73</x:v>
      </x:c>
      <x:c r="AJ974" s="10"/>
      <x:c r="AK974" s="10" t="str">
        <x:f>IF(COUNT(AJ974,AI974)=2,AJ974-AI974,"")</x:f>
      </x:c>
      <x:c r="AL974" s="10" t="n">
        <x:v>27</x:v>
      </x:c>
      <x:c r="AM974" s="10"/>
      <x:c r="AN974" s="4" t="str">
        <x:v>D</x:v>
      </x:c>
      <x:c r="AO974" s="4"/>
      <x:c r="AP974" s="4" t="str">
        <x:v>NYR</x:v>
      </x:c>
      <x:c r="AQ974" s="4"/>
      <x:c r="AR974" s="4" t="n">
        <x:v>16.62</x:v>
      </x:c>
      <x:c r="AS974" s="4"/>
      <x:c r="AT974" s="4" t="n">
        <x:v>0.05</x:v>
      </x:c>
      <x:c r="AU974" s="4"/>
      <x:c r="AV974" s="10"/>
      <x:c r="AW974" s="10"/>
      <x:c r="AX974" s="10"/>
      <x:c r="AY974" s="10"/>
      <x:c r="AZ974" s="10" t="n">
        <x:v>408</x:v>
      </x:c>
      <x:c r="BA974" s="10" t="n">
        <x:v>399</x:v>
      </x:c>
      <x:c r="BB974" s="4" t="n">
        <x:v>50.6</x:v>
      </x:c>
      <x:c r="BC974" s="4" t="n">
        <x:v>2.4</x:v>
      </x:c>
      <x:c r="BD974" s="10" t="n">
        <x:v>275</x:v>
      </x:c>
      <x:c r="BE974" s="10" t="n">
        <x:v>291</x:v>
      </x:c>
      <x:c r="BF974" s="4" t="n">
        <x:v>48.6</x:v>
      </x:c>
      <x:c r="BG974" s="4" t="n">
        <x:v>0.9</x:v>
      </x:c>
      <x:c r="BH974" s="4" t="n">
        <x:v>9.9</x:v>
      </x:c>
      <x:c r="BI974" s="4" t="n">
        <x:v>91.5</x:v>
      </x:c>
      <x:c r="BJ974" s="4" t="n">
        <x:v>101.4</x:v>
      </x:c>
      <x:c r="BK974" s="4" t="n">
        <x:v>35.4</x:v>
      </x:c>
      <x:c r="BL974" s="4" t="n">
        <x:v>64.6</x:v>
      </x:c>
      <x:c r="BM974" s="4" t="n">
        <x:v>13.85</x:v>
      </x:c>
      <x:c r="BN974" s="4" t="n">
        <x:v>13.216666666666667</x:v>
      </x:c>
      <x:c r="BO974" s="10" t="n">
        <x:v>5</x:v>
      </x:c>
      <x:c r="BP974" s="10" t="n">
        <x:v>22</x:v>
      </x:c>
      <x:c r="BQ974" s="4" t="n">
        <x:v>0</x:v>
      </x:c>
      <x:c r="BR974" s="10" t="n">
        <x:v>66</x:v>
      </x:c>
      <x:c r="BS974" s="4" t="n">
        <x:v>34.8</x:v>
      </x:c>
      <x:c r="BT974" s="10" t="n">
        <x:v>34</x:v>
      </x:c>
      <x:c r="BU974" s="4" t="str">
        <x:v>NYR</x:v>
      </x:c>
      <x:c r="BV974" s="10" t="n">
        <x:v>633</x:v>
      </x:c>
      <x:c r="BW974" s="10"/>
      <x:c r="BX974" s="10" t="n">
        <x:v>1044</x:v>
      </x:c>
      <x:c r="BY974" s="4" t="str">
        <x:v>Urho Vaakanainen</x:v>
      </x:c>
      <x:c r="BZ974" s="4"/>
      <x:c r="CA974" s="4" t="str">
        <x:v>Urho Vaakanainen</x:v>
      </x:c>
      <x:c r="CB974" s="4" t="str">
        <x:v>vaakaur01</x:v>
      </x:c>
    </x:row>
    <x:row r="975" ht="22" customHeight="1">
      <x:c r="A975" s="4" t="str">
        <x:v>Uvis Balinskis</x:v>
      </x:c>
      <x:c r="B975" s="4" t="str">
        <x:v>uvisbalinskis</x:v>
      </x:c>
      <x:c r="C975" s="10" t="n">
        <x:v>1</x:v>
      </x:c>
      <x:c r="D975" s="10" t="n">
        <x:v>0</x:v>
      </x:c>
      <x:c r="E975" s="10" t="n">
        <x:v>1</x:v>
      </x:c>
      <x:c r="F975" s="4" t="n">
        <x:f>IF(COUNT(N975,Q975,T975,W975,Z975,AC975,AF975,AI975)=8,N975*Guide!$E$5+Q975*Guide!$E$6+T975*Guide!$E$7+W975*Guide!$E$8+Z975*Guide!$E$9+AC975*Guide!$E$10+AF975*Guide!$E$11+AI975*Guide!$E$12,"")</x:f>
        <x:v>146.75</x:v>
      </x:c>
      <x:c r="G975" s="4" t="str">
        <x:f>IF(COUNT(O975,R975,U975,X975,AA975,AD975,AG975,AJ975)=8,O975*Guide!$E$5+R975*Guide!$E$6+U975*Guide!$E$7+X975*Guide!$E$8+AA975*Guide!$E$9+AD975*Guide!$E$10+AG975*Guide!$E$11+AJ975*Guide!$E$12,"")</x:f>
      </x:c>
      <x:c r="H975" s="4" t="str">
        <x:f>IF(COUNT(G975,F975)=2,G975-F975,"")</x:f>
      </x:c>
      <x:c r="I975" s="4" t="n">
        <x:f>IF(AND(ISNUMBER(F975),K975&gt;0),F975/K975,"")</x:f>
        <x:v>2.0381944444444446</x:v>
      </x:c>
      <x:c r="J975" s="4" t="str">
        <x:f>IF(AND(ISNUMBER(G975),L975&gt;0),G975/L975,"")</x:f>
      </x:c>
      <x:c r="K975" s="10" t="n">
        <x:v>72</x:v>
      </x:c>
      <x:c r="L975" s="10"/>
      <x:c r="M975" s="10" t="str">
        <x:f>IF(COUNT(L975,K975)=2,L975-K975,"")</x:f>
      </x:c>
      <x:c r="N975" s="10" t="n">
        <x:v>4</x:v>
      </x:c>
      <x:c r="O975" s="10"/>
      <x:c r="P975" s="10" t="str">
        <x:f>IF(COUNT(O975,N975)=2,O975-N975,"")</x:f>
      </x:c>
      <x:c r="Q975" s="10" t="n">
        <x:v>14</x:v>
      </x:c>
      <x:c r="R975" s="10"/>
      <x:c r="S975" s="10" t="str">
        <x:f>IF(COUNT(R975,Q975)=2,R975-Q975,"")</x:f>
      </x:c>
      <x:c r="T975" s="10" t="n">
        <x:v>2</x:v>
      </x:c>
      <x:c r="U975" s="10"/>
      <x:c r="V975" s="10" t="str">
        <x:f>IF(COUNT(U975,T975)=2,U975-T975,"")</x:f>
      </x:c>
      <x:c r="W975" s="10" t="n">
        <x:v>5</x:v>
      </x:c>
      <x:c r="X975" s="10" t="str">
        <x:f>IF(COUNT(AV975,AW975)=2,AV975+AW975,"")</x:f>
      </x:c>
      <x:c r="Y975" s="10" t="str">
        <x:f>IF(COUNT(X975,W975)=2,X975-W975,"")</x:f>
      </x:c>
      <x:c r="Z975" s="10" t="n">
        <x:v>0</x:v>
      </x:c>
      <x:c r="AA975" s="10" t="str">
        <x:f>IF(COUNT(AX975,AY975)=2,AX975+AY975,"")</x:f>
      </x:c>
      <x:c r="AB975" s="10" t="str">
        <x:f>IF(COUNT(AA975,Z975)=2,AA975-Z975,"")</x:f>
      </x:c>
      <x:c r="AC975" s="10" t="n">
        <x:v>80</x:v>
      </x:c>
      <x:c r="AD975" s="10"/>
      <x:c r="AE975" s="10" t="str">
        <x:f>IF(COUNT(AD975,AC975)=2,AD975-AC975,"")</x:f>
      </x:c>
      <x:c r="AF975" s="10" t="n">
        <x:v>76</x:v>
      </x:c>
      <x:c r="AG975" s="10"/>
      <x:c r="AH975" s="10" t="str">
        <x:f>IF(COUNT(AG975,AF975)=2,AG975-AF975,"")</x:f>
      </x:c>
      <x:c r="AI975" s="10" t="n">
        <x:v>57</x:v>
      </x:c>
      <x:c r="AJ975" s="10"/>
      <x:c r="AK975" s="10" t="str">
        <x:f>IF(COUNT(AJ975,AI975)=2,AJ975-AI975,"")</x:f>
      </x:c>
      <x:c r="AL975" s="10" t="n">
        <x:v>29</x:v>
      </x:c>
      <x:c r="AM975" s="10"/>
      <x:c r="AN975" s="4" t="str">
        <x:v>D</x:v>
      </x:c>
      <x:c r="AO975" s="4"/>
      <x:c r="AP975" s="4" t="str">
        <x:v>FLA</x:v>
      </x:c>
      <x:c r="AQ975" s="4"/>
      <x:c r="AR975" s="4" t="n">
        <x:v>14.77</x:v>
      </x:c>
      <x:c r="AS975" s="4"/>
      <x:c r="AT975" s="4" t="n">
        <x:v>0.85</x:v>
      </x:c>
      <x:c r="AU975" s="4"/>
      <x:c r="AV975" s="10"/>
      <x:c r="AW975" s="10"/>
      <x:c r="AX975" s="10"/>
      <x:c r="AY975" s="10"/>
      <x:c r="AZ975" s="10" t="n">
        <x:v>741</x:v>
      </x:c>
      <x:c r="BA975" s="10" t="n">
        <x:v>718</x:v>
      </x:c>
      <x:c r="BB975" s="4" t="n">
        <x:v>50.8</x:v>
      </x:c>
      <x:c r="BC975" s="4" t="n">
        <x:v>-2.2</x:v>
      </x:c>
      <x:c r="BD975" s="10" t="n">
        <x:v>531</x:v>
      </x:c>
      <x:c r="BE975" s="10" t="n">
        <x:v>541</x:v>
      </x:c>
      <x:c r="BF975" s="4" t="n">
        <x:v>49.5</x:v>
      </x:c>
      <x:c r="BG975" s="4" t="n">
        <x:v>-2.6</x:v>
      </x:c>
      <x:c r="BH975" s="4" t="n">
        <x:v>8.9</x:v>
      </x:c>
      <x:c r="BI975" s="4" t="n">
        <x:v>86.6</x:v>
      </x:c>
      <x:c r="BJ975" s="4" t="n">
        <x:v>95.5</x:v>
      </x:c>
      <x:c r="BK975" s="4" t="n">
        <x:v>57.4</x:v>
      </x:c>
      <x:c r="BL975" s="4" t="n">
        <x:v>42.6</x:v>
      </x:c>
      <x:c r="BM975" s="4" t="n">
        <x:v>16.366666666666667</x:v>
      </x:c>
      <x:c r="BN975" s="4" t="n">
        <x:v>14.633333333333333</x:v>
      </x:c>
      <x:c r="BO975" s="10" t="n">
        <x:v>23</x:v>
      </x:c>
      <x:c r="BP975" s="10" t="n">
        <x:v>33</x:v>
      </x:c>
      <x:c r="BQ975" s="4" t="n">
        <x:v>-0.7</x:v>
      </x:c>
      <x:c r="BR975" s="10" t="n">
        <x:v>131</x:v>
      </x:c>
      <x:c r="BS975" s="4" t="n">
        <x:v>50.4</x:v>
      </x:c>
      <x:c r="BT975" s="10" t="n">
        <x:v>54</x:v>
      </x:c>
      <x:c r="BU975" s="4" t="str">
        <x:v>FLA</x:v>
      </x:c>
      <x:c r="BV975" s="10" t="n">
        <x:v>568</x:v>
      </x:c>
      <x:c r="BW975" s="10"/>
      <x:c r="BX975" s="10" t="n">
        <x:v>27</x:v>
      </x:c>
      <x:c r="BY975" s="4" t="str">
        <x:v>Uvis Balinskis</x:v>
      </x:c>
      <x:c r="BZ975" s="4"/>
      <x:c r="CA975" s="4" t="str">
        <x:v>Uvis Balinskis</x:v>
      </x:c>
      <x:c r="CB975" s="4" t="str">
        <x:v>balinuv01</x:v>
      </x:c>
    </x:row>
    <x:row r="976" ht="22" customHeight="1">
      <x:c r="A976" s="4" t="str">
        <x:v>Valtteri Puustinen</x:v>
      </x:c>
      <x:c r="B976" s="4" t="str">
        <x:v>valtteripuustinen</x:v>
      </x:c>
      <x:c r="C976" s="10" t="n">
        <x:v>1</x:v>
      </x:c>
      <x:c r="D976" s="10" t="n">
        <x:v>0</x:v>
      </x:c>
      <x:c r="E976" s="10" t="n">
        <x:v>0</x:v>
      </x:c>
      <x:c r="F976" s="4" t="n">
        <x:f>IF(COUNT(N976,Q976,T976,W976,Z976,AC976,AF976,AI976)=8,N976*Guide!$E$5+Q976*Guide!$E$6+T976*Guide!$E$7+W976*Guide!$E$8+Z976*Guide!$E$9+AC976*Guide!$E$10+AF976*Guide!$E$11+AI976*Guide!$E$12,"")</x:f>
        <x:v>96</x:v>
      </x:c>
      <x:c r="G976" s="4" t="str">
        <x:f>IF(COUNT(O976,R976,U976,X976,AA976,AD976,AG976,AJ976)=8,O976*Guide!$E$5+R976*Guide!$E$6+U976*Guide!$E$7+X976*Guide!$E$8+AA976*Guide!$E$9+AD976*Guide!$E$10+AG976*Guide!$E$11+AJ976*Guide!$E$12,"")</x:f>
      </x:c>
      <x:c r="H976" s="4" t="str">
        <x:f>IF(COUNT(G976,F976)=2,G976-F976,"")</x:f>
      </x:c>
      <x:c r="I976" s="4" t="n">
        <x:f>IF(AND(ISNUMBER(F976),K976&gt;0),F976/K976,"")</x:f>
        <x:v>2.6666666666666665</x:v>
      </x:c>
      <x:c r="J976" s="4" t="str">
        <x:f>IF(AND(ISNUMBER(G976),L976&gt;0),G976/L976,"")</x:f>
      </x:c>
      <x:c r="K976" s="10" t="n">
        <x:v>36</x:v>
      </x:c>
      <x:c r="L976" s="10"/>
      <x:c r="M976" s="10" t="str">
        <x:f>IF(COUNT(L976,K976)=2,L976-K976,"")</x:f>
      </x:c>
      <x:c r="N976" s="10" t="n">
        <x:v>6</x:v>
      </x:c>
      <x:c r="O976" s="10"/>
      <x:c r="P976" s="10" t="str">
        <x:f>IF(COUNT(O976,N976)=2,O976-N976,"")</x:f>
      </x:c>
      <x:c r="Q976" s="10" t="n">
        <x:v>10</x:v>
      </x:c>
      <x:c r="R976" s="10"/>
      <x:c r="S976" s="10" t="str">
        <x:f>IF(COUNT(R976,Q976)=2,R976-Q976,"")</x:f>
      </x:c>
      <x:c r="T976" s="10" t="n">
        <x:v>1</x:v>
      </x:c>
      <x:c r="U976" s="10"/>
      <x:c r="V976" s="10" t="str">
        <x:f>IF(COUNT(U976,T976)=2,U976-T976,"")</x:f>
      </x:c>
      <x:c r="W976" s="10" t="n">
        <x:v>3</x:v>
      </x:c>
      <x:c r="X976" s="10" t="str">
        <x:f>IF(COUNT(AV976,AW976)=2,AV976+AW976,"")</x:f>
      </x:c>
      <x:c r="Y976" s="10" t="str">
        <x:f>IF(COUNT(X976,W976)=2,X976-W976,"")</x:f>
      </x:c>
      <x:c r="Z976" s="10" t="n">
        <x:v>0</x:v>
      </x:c>
      <x:c r="AA976" s="10" t="str">
        <x:f>IF(COUNT(AX976,AY976)=2,AX976+AY976,"")</x:f>
      </x:c>
      <x:c r="AB976" s="10" t="str">
        <x:f>IF(COUNT(AA976,Z976)=2,AA976-Z976,"")</x:f>
      </x:c>
      <x:c r="AC976" s="10" t="n">
        <x:v>53</x:v>
      </x:c>
      <x:c r="AD976" s="10"/>
      <x:c r="AE976" s="10" t="str">
        <x:f>IF(COUNT(AD976,AC976)=2,AD976-AC976,"")</x:f>
      </x:c>
      <x:c r="AF976" s="10" t="n">
        <x:v>30</x:v>
      </x:c>
      <x:c r="AG976" s="10"/>
      <x:c r="AH976" s="10" t="str">
        <x:f>IF(COUNT(AG976,AF976)=2,AG976-AF976,"")</x:f>
      </x:c>
      <x:c r="AI976" s="10" t="n">
        <x:v>23</x:v>
      </x:c>
      <x:c r="AJ976" s="10"/>
      <x:c r="AK976" s="10" t="str">
        <x:f>IF(COUNT(AJ976,AI976)=2,AJ976-AI976,"")</x:f>
      </x:c>
      <x:c r="AL976" s="10" t="n">
        <x:v>26</x:v>
      </x:c>
      <x:c r="AM976" s="10"/>
      <x:c r="AN976" s="4" t="str">
        <x:v>RW</x:v>
      </x:c>
      <x:c r="AO976" s="4"/>
      <x:c r="AP976" s="4" t="str">
        <x:v>PIT</x:v>
      </x:c>
      <x:c r="AQ976" s="4"/>
      <x:c r="AR976" s="4" t="n">
        <x:v>12.07</x:v>
      </x:c>
      <x:c r="AS976" s="4"/>
      <x:c r="AT976" s="4" t="n">
        <x:v>1.33</x:v>
      </x:c>
      <x:c r="AU976" s="4"/>
      <x:c r="AV976" s="10"/>
      <x:c r="AW976" s="10"/>
      <x:c r="AX976" s="10"/>
      <x:c r="AY976" s="10"/>
      <x:c r="AZ976" s="10"/>
      <x:c r="BA976" s="10"/>
      <x:c r="BB976" s="4"/>
      <x:c r="BC976" s="4"/>
      <x:c r="BD976" s="10"/>
      <x:c r="BE976" s="10"/>
      <x:c r="BF976" s="4"/>
      <x:c r="BG976" s="4"/>
      <x:c r="BH976" s="4"/>
      <x:c r="BI976" s="4"/>
      <x:c r="BJ976" s="4"/>
      <x:c r="BK976" s="4"/>
      <x:c r="BL976" s="4"/>
      <x:c r="BM976" s="4"/>
      <x:c r="BN976" s="4"/>
      <x:c r="BO976" s="10"/>
      <x:c r="BP976" s="10"/>
      <x:c r="BQ976" s="4"/>
      <x:c r="BR976" s="10"/>
      <x:c r="BS976" s="4"/>
      <x:c r="BT976" s="10"/>
      <x:c r="BU976" s="4"/>
      <x:c r="BV976" s="10" t="n">
        <x:v>620</x:v>
      </x:c>
      <x:c r="BW976" s="10"/>
      <x:c r="BX976" s="10"/>
      <x:c r="BY976" s="4" t="str">
        <x:v>Valtteri Puustinen</x:v>
      </x:c>
      <x:c r="BZ976" s="4"/>
      <x:c r="CA976" s="4"/>
      <x:c r="CB976" s="4"/>
    </x:row>
    <x:row r="977" ht="22" customHeight="1">
      <x:c r="A977" s="4" t="str">
        <x:v>Victor Eklund</x:v>
      </x:c>
      <x:c r="B977" s="4" t="str">
        <x:v>victoreklund</x:v>
      </x:c>
      <x:c r="C977" s="10" t="n">
        <x:v>0</x:v>
      </x:c>
      <x:c r="D977" s="10" t="n">
        <x:v>0</x:v>
      </x:c>
      <x:c r="E977" s="10" t="n">
        <x:v>1</x:v>
      </x:c>
      <x:c r="F977" s="4" t="str">
        <x:f>IF(COUNT(N977,Q977,T977,W977,Z977,AC977,AF977,AI977)=8,N977*Guide!$E$5+Q977*Guide!$E$6+T977*Guide!$E$7+W977*Guide!$E$8+Z977*Guide!$E$9+AC977*Guide!$E$10+AF977*Guide!$E$11+AI977*Guide!$E$12,"")</x:f>
      </x:c>
      <x:c r="G977" s="4" t="str">
        <x:f>IF(COUNT(O977,R977,U977,X977,AA977,AD977,AG977,AJ977)=8,O977*Guide!$E$5+R977*Guide!$E$6+U977*Guide!$E$7+X977*Guide!$E$8+AA977*Guide!$E$9+AD977*Guide!$E$10+AG977*Guide!$E$11+AJ977*Guide!$E$12,"")</x:f>
      </x:c>
      <x:c r="H977" s="4" t="str">
        <x:f>IF(COUNT(G977,F977)=2,G977-F977,"")</x:f>
      </x:c>
      <x:c r="I977" s="4" t="str">
        <x:f>IF(AND(ISNUMBER(F977),K977&gt;0),F977/K977,"")</x:f>
      </x:c>
      <x:c r="J977" s="4" t="str">
        <x:f>IF(AND(ISNUMBER(G977),L977&gt;0),G977/L977,"")</x:f>
      </x:c>
      <x:c r="K977" s="10"/>
      <x:c r="L977" s="10"/>
      <x:c r="M977" s="10" t="str">
        <x:f>IF(COUNT(L977,K977)=2,L977-K977,"")</x:f>
      </x:c>
      <x:c r="N977" s="10"/>
      <x:c r="O977" s="10"/>
      <x:c r="P977" s="10" t="str">
        <x:f>IF(COUNT(O977,N977)=2,O977-N977,"")</x:f>
      </x:c>
      <x:c r="Q977" s="10"/>
      <x:c r="R977" s="10"/>
      <x:c r="S977" s="10" t="str">
        <x:f>IF(COUNT(R977,Q977)=2,R977-Q977,"")</x:f>
      </x:c>
      <x:c r="T977" s="10"/>
      <x:c r="U977" s="10"/>
      <x:c r="V977" s="10" t="str">
        <x:f>IF(COUNT(U977,T977)=2,U977-T977,"")</x:f>
      </x:c>
      <x:c r="W977" s="10"/>
      <x:c r="X977" s="10" t="str">
        <x:f>IF(COUNT(AV977,AW977)=2,AV977+AW977,"")</x:f>
      </x:c>
      <x:c r="Y977" s="10" t="str">
        <x:f>IF(COUNT(X977,W977)=2,X977-W977,"")</x:f>
      </x:c>
      <x:c r="Z977" s="10"/>
      <x:c r="AA977" s="10" t="str">
        <x:f>IF(COUNT(AX977,AY977)=2,AX977+AY977,"")</x:f>
      </x:c>
      <x:c r="AB977" s="10" t="str">
        <x:f>IF(COUNT(AA977,Z977)=2,AA977-Z977,"")</x:f>
      </x:c>
      <x:c r="AC977" s="10"/>
      <x:c r="AD977" s="10"/>
      <x:c r="AE977" s="10" t="str">
        <x:f>IF(COUNT(AD977,AC977)=2,AD977-AC977,"")</x:f>
      </x:c>
      <x:c r="AF977" s="10"/>
      <x:c r="AG977" s="10"/>
      <x:c r="AH977" s="10" t="str">
        <x:f>IF(COUNT(AG977,AF977)=2,AG977-AF977,"")</x:f>
      </x:c>
      <x:c r="AI977" s="10"/>
      <x:c r="AJ977" s="10"/>
      <x:c r="AK977" s="10" t="str">
        <x:f>IF(COUNT(AJ977,AI977)=2,AJ977-AI977,"")</x:f>
      </x:c>
      <x:c r="AL977" s="10"/>
      <x:c r="AM977" s="10"/>
      <x:c r="AN977" s="4"/>
      <x:c r="AO977" s="4"/>
      <x:c r="AP977" s="4"/>
      <x:c r="AQ977" s="4"/>
      <x:c r="AR977" s="4"/>
      <x:c r="AS977" s="4"/>
      <x:c r="AT977" s="4"/>
      <x:c r="AU977" s="4"/>
      <x:c r="AV977" s="10"/>
      <x:c r="AW977" s="10"/>
      <x:c r="AX977" s="10"/>
      <x:c r="AY977" s="10"/>
      <x:c r="AZ977" s="10" t="n">
        <x:v>12</x:v>
      </x:c>
      <x:c r="BA977" s="10" t="n">
        <x:v>8</x:v>
      </x:c>
      <x:c r="BB977" s="4" t="n">
        <x:v>60</x:v>
      </x:c>
      <x:c r="BC977" s="4" t="n">
        <x:v>4.2</x:v>
      </x:c>
      <x:c r="BD977" s="10" t="n">
        <x:v>10</x:v>
      </x:c>
      <x:c r="BE977" s="10" t="n">
        <x:v>7</x:v>
      </x:c>
      <x:c r="BF977" s="4" t="n">
        <x:v>58.8</x:v>
      </x:c>
      <x:c r="BG977" s="4" t="n">
        <x:v>8.8</x:v>
      </x:c>
      <x:c r="BH977" s="4" t="n">
        <x:v>14.3</x:v>
      </x:c>
      <x:c r="BI977" s="4" t="n">
        <x:v>50</x:v>
      </x:c>
      <x:c r="BJ977" s="4" t="n">
        <x:v>64.3</x:v>
      </x:c>
      <x:c r="BK977" s="4" t="n">
        <x:v>28.6</x:v>
      </x:c>
      <x:c r="BL977" s="4" t="n">
        <x:v>71.4</x:v>
      </x:c>
      <x:c r="BM977" s="4" t="n">
        <x:v>15.5</x:v>
      </x:c>
      <x:c r="BN977" s="4" t="n">
        <x:v>13.016666666666667</x:v>
      </x:c>
      <x:c r="BO977" s="10" t="n">
        <x:v>0</x:v>
      </x:c>
      <x:c r="BP977" s="10" t="n">
        <x:v>0</x:v>
      </x:c>
      <x:c r="BQ977" s="4" t="n">
        <x:v>0.5</x:v>
      </x:c>
      <x:c r="BR977" s="10" t="n">
        <x:v>2</x:v>
      </x:c>
      <x:c r="BS977" s="4" t="n">
        <x:v>100</x:v>
      </x:c>
      <x:c r="BT977" s="10" t="n">
        <x:v>1</x:v>
      </x:c>
      <x:c r="BU977" s="4" t="str">
        <x:v>NYI</x:v>
      </x:c>
      <x:c r="BV977" s="10"/>
      <x:c r="BW977" s="10"/>
      <x:c r="BX977" s="10" t="n">
        <x:v>263</x:v>
      </x:c>
      <x:c r="BY977" s="4"/>
      <x:c r="BZ977" s="4"/>
      <x:c r="CA977" s="4" t="str">
        <x:v>Victor Eklund</x:v>
      </x:c>
      <x:c r="CB977" s="4" t="str">
        <x:v>eklunvi01</x:v>
      </x:c>
    </x:row>
    <x:row r="978" ht="22" customHeight="1">
      <x:c r="A978" s="4" t="str">
        <x:v>Victor Hedman</x:v>
      </x:c>
      <x:c r="B978" s="4" t="str">
        <x:v>victorhedman</x:v>
      </x:c>
      <x:c r="C978" s="10" t="n">
        <x:v>1</x:v>
      </x:c>
      <x:c r="D978" s="10" t="n">
        <x:v>0</x:v>
      </x:c>
      <x:c r="E978" s="10" t="n">
        <x:v>1</x:v>
      </x:c>
      <x:c r="F978" s="4" t="n">
        <x:f>IF(COUNT(N978,Q978,T978,W978,Z978,AC978,AF978,AI978)=8,N978*Guide!$E$5+Q978*Guide!$E$6+T978*Guide!$E$7+W978*Guide!$E$8+Z978*Guide!$E$9+AC978*Guide!$E$10+AF978*Guide!$E$11+AI978*Guide!$E$12,"")</x:f>
        <x:v>382.25</x:v>
      </x:c>
      <x:c r="G978" s="4" t="str">
        <x:f>IF(COUNT(O978,R978,U978,X978,AA978,AD978,AG978,AJ978)=8,O978*Guide!$E$5+R978*Guide!$E$6+U978*Guide!$E$7+X978*Guide!$E$8+AA978*Guide!$E$9+AD978*Guide!$E$10+AG978*Guide!$E$11+AJ978*Guide!$E$12,"")</x:f>
      </x:c>
      <x:c r="H978" s="4" t="str">
        <x:f>IF(COUNT(G978,F978)=2,G978-F978,"")</x:f>
      </x:c>
      <x:c r="I978" s="4" t="n">
        <x:f>IF(AND(ISNUMBER(F978),K978&gt;0),F978/K978,"")</x:f>
        <x:v>5.029605263157895</x:v>
      </x:c>
      <x:c r="J978" s="4" t="str">
        <x:f>IF(AND(ISNUMBER(G978),L978&gt;0),G978/L978,"")</x:f>
      </x:c>
      <x:c r="K978" s="10" t="n">
        <x:v>76</x:v>
      </x:c>
      <x:c r="L978" s="10"/>
      <x:c r="M978" s="10" t="str">
        <x:f>IF(COUNT(L978,K978)=2,L978-K978,"")</x:f>
      </x:c>
      <x:c r="N978" s="10" t="n">
        <x:v>13</x:v>
      </x:c>
      <x:c r="O978" s="10"/>
      <x:c r="P978" s="10" t="str">
        <x:f>IF(COUNT(O978,N978)=2,O978-N978,"")</x:f>
      </x:c>
      <x:c r="Q978" s="10" t="n">
        <x:v>50</x:v>
      </x:c>
      <x:c r="R978" s="10"/>
      <x:c r="S978" s="10" t="str">
        <x:f>IF(COUNT(R978,Q978)=2,R978-Q978,"")</x:f>
      </x:c>
      <x:c r="T978" s="10" t="n">
        <x:v>7</x:v>
      </x:c>
      <x:c r="U978" s="10"/>
      <x:c r="V978" s="10" t="str">
        <x:f>IF(COUNT(U978,T978)=2,U978-T978,"")</x:f>
      </x:c>
      <x:c r="W978" s="10" t="n">
        <x:v>26</x:v>
      </x:c>
      <x:c r="X978" s="10" t="str">
        <x:f>IF(COUNT(AV978,AW978)=2,AV978+AW978,"")</x:f>
      </x:c>
      <x:c r="Y978" s="10" t="str">
        <x:f>IF(COUNT(X978,W978)=2,X978-W978,"")</x:f>
      </x:c>
      <x:c r="Z978" s="10" t="n">
        <x:v>1</x:v>
      </x:c>
      <x:c r="AA978" s="10" t="str">
        <x:f>IF(COUNT(AX978,AY978)=2,AX978+AY978,"")</x:f>
      </x:c>
      <x:c r="AB978" s="10" t="str">
        <x:f>IF(COUNT(AA978,Z978)=2,AA978-Z978,"")</x:f>
      </x:c>
      <x:c r="AC978" s="10" t="n">
        <x:v>170</x:v>
      </x:c>
      <x:c r="AD978" s="10"/>
      <x:c r="AE978" s="10" t="str">
        <x:f>IF(COUNT(AD978,AC978)=2,AD978-AC978,"")</x:f>
      </x:c>
      <x:c r="AF978" s="10" t="n">
        <x:v>44</x:v>
      </x:c>
      <x:c r="AG978" s="10"/>
      <x:c r="AH978" s="10" t="str">
        <x:f>IF(COUNT(AG978,AF978)=2,AG978-AF978,"")</x:f>
      </x:c>
      <x:c r="AI978" s="10" t="n">
        <x:v>121</x:v>
      </x:c>
      <x:c r="AJ978" s="10"/>
      <x:c r="AK978" s="10" t="str">
        <x:f>IF(COUNT(AJ978,AI978)=2,AJ978-AI978,"")</x:f>
      </x:c>
      <x:c r="AL978" s="10" t="n">
        <x:v>35</x:v>
      </x:c>
      <x:c r="AM978" s="10"/>
      <x:c r="AN978" s="4" t="str">
        <x:v>D</x:v>
      </x:c>
      <x:c r="AO978" s="4"/>
      <x:c r="AP978" s="4" t="str">
        <x:v>TB</x:v>
      </x:c>
      <x:c r="AQ978" s="4"/>
      <x:c r="AR978" s="4" t="n">
        <x:v>23.34</x:v>
      </x:c>
      <x:c r="AS978" s="4"/>
      <x:c r="AT978" s="4" t="n">
        <x:v>3.02</x:v>
      </x:c>
      <x:c r="AU978" s="4"/>
      <x:c r="AV978" s="10"/>
      <x:c r="AW978" s="10"/>
      <x:c r="AX978" s="10"/>
      <x:c r="AY978" s="10"/>
      <x:c r="AZ978" s="10" t="n">
        <x:v>509</x:v>
      </x:c>
      <x:c r="BA978" s="10" t="n">
        <x:v>472</x:v>
      </x:c>
      <x:c r="BB978" s="4" t="n">
        <x:v>51.9</x:v>
      </x:c>
      <x:c r="BC978" s="4" t="n">
        <x:v>-0.4</x:v>
      </x:c>
      <x:c r="BD978" s="10" t="n">
        <x:v>360</x:v>
      </x:c>
      <x:c r="BE978" s="10" t="n">
        <x:v>361</x:v>
      </x:c>
      <x:c r="BF978" s="4" t="n">
        <x:v>49.9</x:v>
      </x:c>
      <x:c r="BG978" s="4" t="n">
        <x:v>-2.3</x:v>
      </x:c>
      <x:c r="BH978" s="4" t="n">
        <x:v>11.2</x:v>
      </x:c>
      <x:c r="BI978" s="4" t="n">
        <x:v>89.8</x:v>
      </x:c>
      <x:c r="BJ978" s="4" t="n">
        <x:v>101</x:v>
      </x:c>
      <x:c r="BK978" s="4" t="n">
        <x:v>57.1</x:v>
      </x:c>
      <x:c r="BL978" s="4" t="n">
        <x:v>42.9</x:v>
      </x:c>
      <x:c r="BM978" s="4" t="n">
        <x:v>18.866666666666667</x:v>
      </x:c>
      <x:c r="BN978" s="4" t="n">
        <x:v>14.666666666666666</x:v>
      </x:c>
      <x:c r="BO978" s="10" t="n">
        <x:v>8</x:v>
      </x:c>
      <x:c r="BP978" s="10" t="n">
        <x:v>40</x:v>
      </x:c>
      <x:c r="BQ978" s="4" t="n">
        <x:v>-3.8</x:v>
      </x:c>
      <x:c r="BR978" s="10" t="n">
        <x:v>135</x:v>
      </x:c>
      <x:c r="BS978" s="4" t="n">
        <x:v>37</x:v>
      </x:c>
      <x:c r="BT978" s="10" t="n">
        <x:v>33</x:v>
      </x:c>
      <x:c r="BU978" s="4" t="str">
        <x:v>TBL</x:v>
      </x:c>
      <x:c r="BV978" s="10" t="n">
        <x:v>77</x:v>
      </x:c>
      <x:c r="BW978" s="10"/>
      <x:c r="BX978" s="10" t="n">
        <x:v>400</x:v>
      </x:c>
      <x:c r="BY978" s="4" t="str">
        <x:v>Victor Hedman</x:v>
      </x:c>
      <x:c r="BZ978" s="4"/>
      <x:c r="CA978" s="4" t="str">
        <x:v>Victor Hedman</x:v>
      </x:c>
      <x:c r="CB978" s="4" t="str">
        <x:v>hedmavi01</x:v>
      </x:c>
    </x:row>
    <x:row r="979" ht="22" customHeight="1">
      <x:c r="A979" s="4" t="str">
        <x:v>Victor Mancini</x:v>
      </x:c>
      <x:c r="B979" s="4" t="str">
        <x:v>victormancini</x:v>
      </x:c>
      <x:c r="C979" s="10" t="n">
        <x:v>0</x:v>
      </x:c>
      <x:c r="D979" s="10" t="n">
        <x:v>0</x:v>
      </x:c>
      <x:c r="E979" s="10" t="n">
        <x:v>1</x:v>
      </x:c>
      <x:c r="F979" s="4" t="str">
        <x:f>IF(COUNT(N979,Q979,T979,W979,Z979,AC979,AF979,AI979)=8,N979*Guide!$E$5+Q979*Guide!$E$6+T979*Guide!$E$7+W979*Guide!$E$8+Z979*Guide!$E$9+AC979*Guide!$E$10+AF979*Guide!$E$11+AI979*Guide!$E$12,"")</x:f>
      </x:c>
      <x:c r="G979" s="4" t="str">
        <x:f>IF(COUNT(O979,R979,U979,X979,AA979,AD979,AG979,AJ979)=8,O979*Guide!$E$5+R979*Guide!$E$6+U979*Guide!$E$7+X979*Guide!$E$8+AA979*Guide!$E$9+AD979*Guide!$E$10+AG979*Guide!$E$11+AJ979*Guide!$E$12,"")</x:f>
      </x:c>
      <x:c r="H979" s="4" t="str">
        <x:f>IF(COUNT(G979,F979)=2,G979-F979,"")</x:f>
      </x:c>
      <x:c r="I979" s="4" t="str">
        <x:f>IF(AND(ISNUMBER(F979),K979&gt;0),F979/K979,"")</x:f>
      </x:c>
      <x:c r="J979" s="4" t="str">
        <x:f>IF(AND(ISNUMBER(G979),L979&gt;0),G979/L979,"")</x:f>
      </x:c>
      <x:c r="K979" s="10"/>
      <x:c r="L979" s="10"/>
      <x:c r="M979" s="10" t="str">
        <x:f>IF(COUNT(L979,K979)=2,L979-K979,"")</x:f>
      </x:c>
      <x:c r="N979" s="10"/>
      <x:c r="O979" s="10"/>
      <x:c r="P979" s="10" t="str">
        <x:f>IF(COUNT(O979,N979)=2,O979-N979,"")</x:f>
      </x:c>
      <x:c r="Q979" s="10"/>
      <x:c r="R979" s="10"/>
      <x:c r="S979" s="10" t="str">
        <x:f>IF(COUNT(R979,Q979)=2,R979-Q979,"")</x:f>
      </x:c>
      <x:c r="T979" s="10"/>
      <x:c r="U979" s="10"/>
      <x:c r="V979" s="10" t="str">
        <x:f>IF(COUNT(U979,T979)=2,U979-T979,"")</x:f>
      </x:c>
      <x:c r="W979" s="10"/>
      <x:c r="X979" s="10" t="str">
        <x:f>IF(COUNT(AV979,AW979)=2,AV979+AW979,"")</x:f>
      </x:c>
      <x:c r="Y979" s="10" t="str">
        <x:f>IF(COUNT(X979,W979)=2,X979-W979,"")</x:f>
      </x:c>
      <x:c r="Z979" s="10"/>
      <x:c r="AA979" s="10" t="str">
        <x:f>IF(COUNT(AX979,AY979)=2,AX979+AY979,"")</x:f>
      </x:c>
      <x:c r="AB979" s="10" t="str">
        <x:f>IF(COUNT(AA979,Z979)=2,AA979-Z979,"")</x:f>
      </x:c>
      <x:c r="AC979" s="10"/>
      <x:c r="AD979" s="10"/>
      <x:c r="AE979" s="10" t="str">
        <x:f>IF(COUNT(AD979,AC979)=2,AD979-AC979,"")</x:f>
      </x:c>
      <x:c r="AF979" s="10"/>
      <x:c r="AG979" s="10"/>
      <x:c r="AH979" s="10" t="str">
        <x:f>IF(COUNT(AG979,AF979)=2,AG979-AF979,"")</x:f>
      </x:c>
      <x:c r="AI979" s="10"/>
      <x:c r="AJ979" s="10"/>
      <x:c r="AK979" s="10" t="str">
        <x:f>IF(COUNT(AJ979,AI979)=2,AJ979-AI979,"")</x:f>
      </x:c>
      <x:c r="AL979" s="10"/>
      <x:c r="AM979" s="10"/>
      <x:c r="AN979" s="4"/>
      <x:c r="AO979" s="4"/>
      <x:c r="AP979" s="4"/>
      <x:c r="AQ979" s="4"/>
      <x:c r="AR979" s="4"/>
      <x:c r="AS979" s="4"/>
      <x:c r="AT979" s="4"/>
      <x:c r="AU979" s="4"/>
      <x:c r="AV979" s="10"/>
      <x:c r="AW979" s="10"/>
      <x:c r="AX979" s="10"/>
      <x:c r="AY979" s="10"/>
      <x:c r="AZ979" s="10" t="n">
        <x:v>222</x:v>
      </x:c>
      <x:c r="BA979" s="10" t="n">
        <x:v>367</x:v>
      </x:c>
      <x:c r="BB979" s="4" t="n">
        <x:v>37.7</x:v>
      </x:c>
      <x:c r="BC979" s="4" t="n">
        <x:v>-7.4</x:v>
      </x:c>
      <x:c r="BD979" s="10" t="n">
        <x:v>155</x:v>
      </x:c>
      <x:c r="BE979" s="10" t="n">
        <x:v>263</x:v>
      </x:c>
      <x:c r="BF979" s="4" t="n">
        <x:v>37.1</x:v>
      </x:c>
      <x:c r="BG979" s="4" t="n">
        <x:v>-7.6</x:v>
      </x:c>
      <x:c r="BH979" s="4" t="n">
        <x:v>8.6</x:v>
      </x:c>
      <x:c r="BI979" s="4" t="n">
        <x:v>88.3</x:v>
      </x:c>
      <x:c r="BJ979" s="4" t="n">
        <x:v>96.8</x:v>
      </x:c>
      <x:c r="BK979" s="4" t="n">
        <x:v>51.5</x:v>
      </x:c>
      <x:c r="BL979" s="4" t="n">
        <x:v>48.5</x:v>
      </x:c>
      <x:c r="BM979" s="4" t="n">
        <x:v>13.733333333333333</x:v>
      </x:c>
      <x:c r="BN979" s="4" t="n">
        <x:v>13.316666666666666</x:v>
      </x:c>
      <x:c r="BO979" s="10" t="n">
        <x:v>1</x:v>
      </x:c>
      <x:c r="BP979" s="10" t="n">
        <x:v>14</x:v>
      </x:c>
      <x:c r="BQ979" s="4" t="n">
        <x:v>-9.3</x:v>
      </x:c>
      <x:c r="BR979" s="10" t="n">
        <x:v>32</x:v>
      </x:c>
      <x:c r="BS979" s="4" t="n">
        <x:v>43.8</x:v>
      </x:c>
      <x:c r="BT979" s="10" t="n">
        <x:v>24</x:v>
      </x:c>
      <x:c r="BU979" s="4" t="str">
        <x:v>VAN</x:v>
      </x:c>
      <x:c r="BV979" s="10"/>
      <x:c r="BW979" s="10"/>
      <x:c r="BX979" s="10" t="n">
        <x:v>637</x:v>
      </x:c>
      <x:c r="BY979" s="4"/>
      <x:c r="BZ979" s="4"/>
      <x:c r="CA979" s="4" t="str">
        <x:v>Victor Mancini</x:v>
      </x:c>
      <x:c r="CB979" s="4" t="str">
        <x:v>mancivi01</x:v>
      </x:c>
    </x:row>
    <x:row r="980" ht="22" customHeight="1">
      <x:c r="A980" s="4" t="str">
        <x:v>Victor Soderstrom</x:v>
      </x:c>
      <x:c r="B980" s="4" t="str">
        <x:v>victorsoderstrom</x:v>
      </x:c>
      <x:c r="C980" s="10" t="n">
        <x:v>1</x:v>
      </x:c>
      <x:c r="D980" s="10" t="n">
        <x:v>0</x:v>
      </x:c>
      <x:c r="E980" s="10" t="n">
        <x:v>1</x:v>
      </x:c>
      <x:c r="F980" s="4" t="n">
        <x:f>IF(COUNT(N980,Q980,T980,W980,Z980,AC980,AF980,AI980)=8,N980*Guide!$E$5+Q980*Guide!$E$6+T980*Guide!$E$7+W980*Guide!$E$8+Z980*Guide!$E$9+AC980*Guide!$E$10+AF980*Guide!$E$11+AI980*Guide!$E$12,"")</x:f>
        <x:v>162.75</x:v>
      </x:c>
      <x:c r="G980" s="4" t="str">
        <x:f>IF(COUNT(O980,R980,U980,X980,AA980,AD980,AG980,AJ980)=8,O980*Guide!$E$5+R980*Guide!$E$6+U980*Guide!$E$7+X980*Guide!$E$8+AA980*Guide!$E$9+AD980*Guide!$E$10+AG980*Guide!$E$11+AJ980*Guide!$E$12,"")</x:f>
      </x:c>
      <x:c r="H980" s="4" t="str">
        <x:f>IF(COUNT(G980,F980)=2,G980-F980,"")</x:f>
      </x:c>
      <x:c r="I980" s="4" t="n">
        <x:f>IF(AND(ISNUMBER(F980),K980&gt;0),F980/K980,"")</x:f>
        <x:v>2.325</x:v>
      </x:c>
      <x:c r="J980" s="4" t="str">
        <x:f>IF(AND(ISNUMBER(G980),L980&gt;0),G980/L980,"")</x:f>
      </x:c>
      <x:c r="K980" s="10" t="n">
        <x:v>70</x:v>
      </x:c>
      <x:c r="L980" s="10"/>
      <x:c r="M980" s="10" t="str">
        <x:f>IF(COUNT(L980,K980)=2,L980-K980,"")</x:f>
      </x:c>
      <x:c r="N980" s="10" t="n">
        <x:v>3</x:v>
      </x:c>
      <x:c r="O980" s="10"/>
      <x:c r="P980" s="10" t="str">
        <x:f>IF(COUNT(O980,N980)=2,O980-N980,"")</x:f>
      </x:c>
      <x:c r="Q980" s="10" t="n">
        <x:v>18</x:v>
      </x:c>
      <x:c r="R980" s="10"/>
      <x:c r="S980" s="10" t="str">
        <x:f>IF(COUNT(R980,Q980)=2,R980-Q980,"")</x:f>
      </x:c>
      <x:c r="T980" s="10" t="n">
        <x:v>-3</x:v>
      </x:c>
      <x:c r="U980" s="10"/>
      <x:c r="V980" s="10" t="str">
        <x:f>IF(COUNT(U980,T980)=2,U980-T980,"")</x:f>
      </x:c>
      <x:c r="W980" s="10" t="n">
        <x:v>6</x:v>
      </x:c>
      <x:c r="X980" s="10" t="str">
        <x:f>IF(COUNT(AV980,AW980)=2,AV980+AW980,"")</x:f>
      </x:c>
      <x:c r="Y980" s="10" t="str">
        <x:f>IF(COUNT(X980,W980)=2,X980-W980,"")</x:f>
      </x:c>
      <x:c r="Z980" s="10" t="n">
        <x:v>0</x:v>
      </x:c>
      <x:c r="AA980" s="10" t="str">
        <x:f>IF(COUNT(AX980,AY980)=2,AX980+AY980,"")</x:f>
      </x:c>
      <x:c r="AB980" s="10" t="str">
        <x:f>IF(COUNT(AA980,Z980)=2,AA980-Z980,"")</x:f>
      </x:c>
      <x:c r="AC980" s="10" t="n">
        <x:v>71</x:v>
      </x:c>
      <x:c r="AD980" s="10"/>
      <x:c r="AE980" s="10" t="str">
        <x:f>IF(COUNT(AD980,AC980)=2,AD980-AC980,"")</x:f>
      </x:c>
      <x:c r="AF980" s="10" t="n">
        <x:v>34</x:v>
      </x:c>
      <x:c r="AG980" s="10"/>
      <x:c r="AH980" s="10" t="str">
        <x:f>IF(COUNT(AG980,AF980)=2,AG980-AF980,"")</x:f>
      </x:c>
      <x:c r="AI980" s="10" t="n">
        <x:v>90</x:v>
      </x:c>
      <x:c r="AJ980" s="10"/>
      <x:c r="AK980" s="10" t="str">
        <x:f>IF(COUNT(AJ980,AI980)=2,AJ980-AI980,"")</x:f>
      </x:c>
      <x:c r="AL980" s="10" t="n">
        <x:v>24</x:v>
      </x:c>
      <x:c r="AM980" s="10"/>
      <x:c r="AN980" s="4" t="str">
        <x:v>D</x:v>
      </x:c>
      <x:c r="AO980" s="4"/>
      <x:c r="AP980" s="4" t="str">
        <x:v>BOS</x:v>
      </x:c>
      <x:c r="AQ980" s="4"/>
      <x:c r="AR980" s="4" t="n">
        <x:v>16.529999999999998</x:v>
      </x:c>
      <x:c r="AS980" s="4"/>
      <x:c r="AT980" s="4" t="n">
        <x:v>0.95</x:v>
      </x:c>
      <x:c r="AU980" s="4"/>
      <x:c r="AV980" s="10"/>
      <x:c r="AW980" s="10"/>
      <x:c r="AX980" s="10"/>
      <x:c r="AY980" s="10"/>
      <x:c r="AZ980" s="10" t="n">
        <x:v>90</x:v>
      </x:c>
      <x:c r="BA980" s="10" t="n">
        <x:v>119</x:v>
      </x:c>
      <x:c r="BB980" s="4" t="n">
        <x:v>43.1</x:v>
      </x:c>
      <x:c r="BC980" s="4" t="n">
        <x:v>-9.5</x:v>
      </x:c>
      <x:c r="BD980" s="10" t="n">
        <x:v>64</x:v>
      </x:c>
      <x:c r="BE980" s="10" t="n">
        <x:v>82</x:v>
      </x:c>
      <x:c r="BF980" s="4" t="n">
        <x:v>43.8</x:v>
      </x:c>
      <x:c r="BG980" s="4" t="n">
        <x:v>-9.3</x:v>
      </x:c>
      <x:c r="BH980" s="4" t="n">
        <x:v>15</x:v>
      </x:c>
      <x:c r="BI980" s="4" t="n">
        <x:v>93.5</x:v>
      </x:c>
      <x:c r="BJ980" s="4" t="n">
        <x:v>108.5</x:v>
      </x:c>
      <x:c r="BK980" s="4" t="n">
        <x:v>59.7</x:v>
      </x:c>
      <x:c r="BL980" s="4" t="n">
        <x:v>40.3</x:v>
      </x:c>
      <x:c r="BM980" s="4" t="n">
        <x:v>13.683333333333334</x:v>
      </x:c>
      <x:c r="BN980" s="4" t="n">
        <x:v>13.583333333333334</x:v>
      </x:c>
      <x:c r="BO980" s="10" t="n">
        <x:v>2</x:v>
      </x:c>
      <x:c r="BP980" s="10" t="n">
        <x:v>11</x:v>
      </x:c>
      <x:c r="BQ980" s="4" t="n">
        <x:v>-0.6</x:v>
      </x:c>
      <x:c r="BR980" s="10" t="n">
        <x:v>15</x:v>
      </x:c>
      <x:c r="BS980" s="4" t="n">
        <x:v>53.3</x:v>
      </x:c>
      <x:c r="BT980" s="10" t="n">
        <x:v>8</x:v>
      </x:c>
      <x:c r="BU980" s="4" t="str">
        <x:v>BOS</x:v>
      </x:c>
      <x:c r="BV980" s="10" t="n">
        <x:v>502</x:v>
      </x:c>
      <x:c r="BW980" s="10"/>
      <x:c r="BX980" s="10" t="n">
        <x:v>955</x:v>
      </x:c>
      <x:c r="BY980" s="4" t="str">
        <x:v>Victor Soderstrom</x:v>
      </x:c>
      <x:c r="BZ980" s="4"/>
      <x:c r="CA980" s="4" t="str">
        <x:v>Victor Söderström</x:v>
      </x:c>
      <x:c r="CB980" s="4" t="str">
        <x:v>sodervi01</x:v>
      </x:c>
    </x:row>
    <x:row r="981" ht="22" customHeight="1">
      <x:c r="A981" s="4" t="str">
        <x:v>Viking Gustafsson Nyberg</x:v>
      </x:c>
      <x:c r="B981" s="4" t="str">
        <x:v>vikinggustafssonnyberg</x:v>
      </x:c>
      <x:c r="C981" s="10" t="n">
        <x:v>0</x:v>
      </x:c>
      <x:c r="D981" s="10" t="n">
        <x:v>0</x:v>
      </x:c>
      <x:c r="E981" s="10" t="n">
        <x:v>1</x:v>
      </x:c>
      <x:c r="F981" s="4" t="str">
        <x:f>IF(COUNT(N981,Q981,T981,W981,Z981,AC981,AF981,AI981)=8,N981*Guide!$E$5+Q981*Guide!$E$6+T981*Guide!$E$7+W981*Guide!$E$8+Z981*Guide!$E$9+AC981*Guide!$E$10+AF981*Guide!$E$11+AI981*Guide!$E$12,"")</x:f>
      </x:c>
      <x:c r="G981" s="4" t="str">
        <x:f>IF(COUNT(O981,R981,U981,X981,AA981,AD981,AG981,AJ981)=8,O981*Guide!$E$5+R981*Guide!$E$6+U981*Guide!$E$7+X981*Guide!$E$8+AA981*Guide!$E$9+AD981*Guide!$E$10+AG981*Guide!$E$11+AJ981*Guide!$E$12,"")</x:f>
      </x:c>
      <x:c r="H981" s="4" t="str">
        <x:f>IF(COUNT(G981,F981)=2,G981-F981,"")</x:f>
      </x:c>
      <x:c r="I981" s="4" t="str">
        <x:f>IF(AND(ISNUMBER(F981),K981&gt;0),F981/K981,"")</x:f>
      </x:c>
      <x:c r="J981" s="4" t="str">
        <x:f>IF(AND(ISNUMBER(G981),L981&gt;0),G981/L981,"")</x:f>
      </x:c>
      <x:c r="K981" s="10"/>
      <x:c r="L981" s="10"/>
      <x:c r="M981" s="10" t="str">
        <x:f>IF(COUNT(L981,K981)=2,L981-K981,"")</x:f>
      </x:c>
      <x:c r="N981" s="10"/>
      <x:c r="O981" s="10"/>
      <x:c r="P981" s="10" t="str">
        <x:f>IF(COUNT(O981,N981)=2,O981-N981,"")</x:f>
      </x:c>
      <x:c r="Q981" s="10"/>
      <x:c r="R981" s="10"/>
      <x:c r="S981" s="10" t="str">
        <x:f>IF(COUNT(R981,Q981)=2,R981-Q981,"")</x:f>
      </x:c>
      <x:c r="T981" s="10"/>
      <x:c r="U981" s="10"/>
      <x:c r="V981" s="10" t="str">
        <x:f>IF(COUNT(U981,T981)=2,U981-T981,"")</x:f>
      </x:c>
      <x:c r="W981" s="10"/>
      <x:c r="X981" s="10" t="str">
        <x:f>IF(COUNT(AV981,AW981)=2,AV981+AW981,"")</x:f>
      </x:c>
      <x:c r="Y981" s="10" t="str">
        <x:f>IF(COUNT(X981,W981)=2,X981-W981,"")</x:f>
      </x:c>
      <x:c r="Z981" s="10"/>
      <x:c r="AA981" s="10" t="str">
        <x:f>IF(COUNT(AX981,AY981)=2,AX981+AY981,"")</x:f>
      </x:c>
      <x:c r="AB981" s="10" t="str">
        <x:f>IF(COUNT(AA981,Z981)=2,AA981-Z981,"")</x:f>
      </x:c>
      <x:c r="AC981" s="10"/>
      <x:c r="AD981" s="10"/>
      <x:c r="AE981" s="10" t="str">
        <x:f>IF(COUNT(AD981,AC981)=2,AD981-AC981,"")</x:f>
      </x:c>
      <x:c r="AF981" s="10"/>
      <x:c r="AG981" s="10"/>
      <x:c r="AH981" s="10" t="str">
        <x:f>IF(COUNT(AG981,AF981)=2,AG981-AF981,"")</x:f>
      </x:c>
      <x:c r="AI981" s="10"/>
      <x:c r="AJ981" s="10"/>
      <x:c r="AK981" s="10" t="str">
        <x:f>IF(COUNT(AJ981,AI981)=2,AJ981-AI981,"")</x:f>
      </x:c>
      <x:c r="AL981" s="10"/>
      <x:c r="AM981" s="10"/>
      <x:c r="AN981" s="4"/>
      <x:c r="AO981" s="4"/>
      <x:c r="AP981" s="4"/>
      <x:c r="AQ981" s="4"/>
      <x:c r="AR981" s="4"/>
      <x:c r="AS981" s="4"/>
      <x:c r="AT981" s="4"/>
      <x:c r="AU981" s="4"/>
      <x:c r="AV981" s="10"/>
      <x:c r="AW981" s="10"/>
      <x:c r="AX981" s="10"/>
      <x:c r="AY981" s="10"/>
      <x:c r="AZ981" s="10" t="n">
        <x:v>21</x:v>
      </x:c>
      <x:c r="BA981" s="10" t="n">
        <x:v>34</x:v>
      </x:c>
      <x:c r="BB981" s="4" t="n">
        <x:v>38.2</x:v>
      </x:c>
      <x:c r="BC981" s="4" t="n">
        <x:v>-10.6</x:v>
      </x:c>
      <x:c r="BD981" s="10" t="n">
        <x:v>17</x:v>
      </x:c>
      <x:c r="BE981" s="10" t="n">
        <x:v>28</x:v>
      </x:c>
      <x:c r="BF981" s="4" t="n">
        <x:v>37.8</x:v>
      </x:c>
      <x:c r="BG981" s="4" t="n">
        <x:v>-15.3</x:v>
      </x:c>
      <x:c r="BH981" s="4" t="n">
        <x:v>27.3</x:v>
      </x:c>
      <x:c r="BI981" s="4" t="n">
        <x:v>87.5</x:v>
      </x:c>
      <x:c r="BJ981" s="4" t="n">
        <x:v>114.8</x:v>
      </x:c>
      <x:c r="BK981" s="4" t="n">
        <x:v>40</x:v>
      </x:c>
      <x:c r="BL981" s="4" t="n">
        <x:v>60</x:v>
      </x:c>
      <x:c r="BM981" s="4" t="n">
        <x:v>21.3</x:v>
      </x:c>
      <x:c r="BN981" s="4" t="n">
        <x:v>17.066666666666666</x:v>
      </x:c>
      <x:c r="BO981" s="10" t="n">
        <x:v>1</x:v>
      </x:c>
      <x:c r="BP981" s="10" t="n">
        <x:v>1</x:v>
      </x:c>
      <x:c r="BQ981" s="4" t="n">
        <x:v>-0.6</x:v>
      </x:c>
      <x:c r="BR981" s="10" t="n">
        <x:v>1</x:v>
      </x:c>
      <x:c r="BS981" s="4" t="n">
        <x:v>0</x:v>
      </x:c>
      <x:c r="BT981" s="10" t="n">
        <x:v>2</x:v>
      </x:c>
      <x:c r="BU981" s="4" t="str">
        <x:v>MIN</x:v>
      </x:c>
      <x:c r="BV981" s="10"/>
      <x:c r="BW981" s="10"/>
      <x:c r="BX981" s="10" t="n">
        <x:v>374</x:v>
      </x:c>
      <x:c r="BY981" s="4"/>
      <x:c r="BZ981" s="4"/>
      <x:c r="CA981" s="4" t="str">
        <x:v>Viking Gustafsson Nyberg</x:v>
      </x:c>
      <x:c r="CB981" s="4" t="str">
        <x:v>gustavi02</x:v>
      </x:c>
    </x:row>
    <x:row r="982" ht="22" customHeight="1">
      <x:c r="A982" s="4" t="str">
        <x:v>Ville Heinola</x:v>
      </x:c>
      <x:c r="B982" s="4" t="str">
        <x:v>villeheinola</x:v>
      </x:c>
      <x:c r="C982" s="10" t="n">
        <x:v>1</x:v>
      </x:c>
      <x:c r="D982" s="10" t="n">
        <x:v>0</x:v>
      </x:c>
      <x:c r="E982" s="10" t="n">
        <x:v>1</x:v>
      </x:c>
      <x:c r="F982" s="4" t="n">
        <x:f>IF(COUNT(N982,Q982,T982,W982,Z982,AC982,AF982,AI982)=8,N982*Guide!$E$5+Q982*Guide!$E$6+T982*Guide!$E$7+W982*Guide!$E$8+Z982*Guide!$E$9+AC982*Guide!$E$10+AF982*Guide!$E$11+AI982*Guide!$E$12,"")</x:f>
        <x:v>83.75</x:v>
      </x:c>
      <x:c r="G982" s="4" t="str">
        <x:f>IF(COUNT(O982,R982,U982,X982,AA982,AD982,AG982,AJ982)=8,O982*Guide!$E$5+R982*Guide!$E$6+U982*Guide!$E$7+X982*Guide!$E$8+AA982*Guide!$E$9+AD982*Guide!$E$10+AG982*Guide!$E$11+AJ982*Guide!$E$12,"")</x:f>
      </x:c>
      <x:c r="H982" s="4" t="str">
        <x:f>IF(COUNT(G982,F982)=2,G982-F982,"")</x:f>
      </x:c>
      <x:c r="I982" s="4" t="n">
        <x:f>IF(AND(ISNUMBER(F982),K982&gt;0),F982/K982,"")</x:f>
        <x:v>1.7091836734693877</x:v>
      </x:c>
      <x:c r="J982" s="4" t="str">
        <x:f>IF(AND(ISNUMBER(G982),L982&gt;0),G982/L982,"")</x:f>
      </x:c>
      <x:c r="K982" s="10" t="n">
        <x:v>49</x:v>
      </x:c>
      <x:c r="L982" s="10"/>
      <x:c r="M982" s="10" t="str">
        <x:f>IF(COUNT(L982,K982)=2,L982-K982,"")</x:f>
      </x:c>
      <x:c r="N982" s="10" t="n">
        <x:v>2</x:v>
      </x:c>
      <x:c r="O982" s="10"/>
      <x:c r="P982" s="10" t="str">
        <x:f>IF(COUNT(O982,N982)=2,O982-N982,"")</x:f>
      </x:c>
      <x:c r="Q982" s="10" t="n">
        <x:v>8</x:v>
      </x:c>
      <x:c r="R982" s="10"/>
      <x:c r="S982" s="10" t="str">
        <x:f>IF(COUNT(R982,Q982)=2,R982-Q982,"")</x:f>
      </x:c>
      <x:c r="T982" s="10" t="n">
        <x:v>0</x:v>
      </x:c>
      <x:c r="U982" s="10"/>
      <x:c r="V982" s="10" t="str">
        <x:f>IF(COUNT(U982,T982)=2,U982-T982,"")</x:f>
      </x:c>
      <x:c r="W982" s="10" t="n">
        <x:v>1</x:v>
      </x:c>
      <x:c r="X982" s="10" t="str">
        <x:f>IF(COUNT(AV982,AW982)=2,AV982+AW982,"")</x:f>
      </x:c>
      <x:c r="Y982" s="10" t="str">
        <x:f>IF(COUNT(X982,W982)=2,X982-W982,"")</x:f>
      </x:c>
      <x:c r="Z982" s="10" t="n">
        <x:v>0</x:v>
      </x:c>
      <x:c r="AA982" s="10" t="str">
        <x:f>IF(COUNT(AX982,AY982)=2,AX982+AY982,"")</x:f>
      </x:c>
      <x:c r="AB982" s="10" t="str">
        <x:f>IF(COUNT(AA982,Z982)=2,AA982-Z982,"")</x:f>
      </x:c>
      <x:c r="AC982" s="10" t="n">
        <x:v>42</x:v>
      </x:c>
      <x:c r="AD982" s="10"/>
      <x:c r="AE982" s="10" t="str">
        <x:f>IF(COUNT(AD982,AC982)=2,AD982-AC982,"")</x:f>
      </x:c>
      <x:c r="AF982" s="10" t="n">
        <x:v>20</x:v>
      </x:c>
      <x:c r="AG982" s="10"/>
      <x:c r="AH982" s="10" t="str">
        <x:f>IF(COUNT(AG982,AF982)=2,AG982-AF982,"")</x:f>
      </x:c>
      <x:c r="AI982" s="10" t="n">
        <x:v>47</x:v>
      </x:c>
      <x:c r="AJ982" s="10"/>
      <x:c r="AK982" s="10" t="str">
        <x:f>IF(COUNT(AJ982,AI982)=2,AJ982-AI982,"")</x:f>
      </x:c>
      <x:c r="AL982" s="10" t="n">
        <x:v>24</x:v>
      </x:c>
      <x:c r="AM982" s="10"/>
      <x:c r="AN982" s="4" t="str">
        <x:v>D</x:v>
      </x:c>
      <x:c r="AO982" s="4"/>
      <x:c r="AP982" s="4" t="str">
        <x:v>WPG</x:v>
      </x:c>
      <x:c r="AQ982" s="4"/>
      <x:c r="AR982" s="4" t="n">
        <x:v>14.18</x:v>
      </x:c>
      <x:c r="AS982" s="4"/>
      <x:c r="AT982" s="4" t="n">
        <x:v>0.17</x:v>
      </x:c>
      <x:c r="AU982" s="4"/>
      <x:c r="AV982" s="10"/>
      <x:c r="AW982" s="10"/>
      <x:c r="AX982" s="10"/>
      <x:c r="AY982" s="10"/>
      <x:c r="AZ982" s="10" t="n">
        <x:v>71</x:v>
      </x:c>
      <x:c r="BA982" s="10" t="n">
        <x:v>49</x:v>
      </x:c>
      <x:c r="BB982" s="4" t="n">
        <x:v>59.2</x:v>
      </x:c>
      <x:c r="BC982" s="4" t="n">
        <x:v>11</x:v>
      </x:c>
      <x:c r="BD982" s="10" t="n">
        <x:v>54</x:v>
      </x:c>
      <x:c r="BE982" s="10" t="n">
        <x:v>38</x:v>
      </x:c>
      <x:c r="BF982" s="4" t="n">
        <x:v>58.7</x:v>
      </x:c>
      <x:c r="BG982" s="4" t="n">
        <x:v>13.9</x:v>
      </x:c>
      <x:c r="BH982" s="4" t="n">
        <x:v>5.6</x:v>
      </x:c>
      <x:c r="BI982" s="4" t="n">
        <x:v>92</x:v>
      </x:c>
      <x:c r="BJ982" s="4" t="n">
        <x:v>97.6</x:v>
      </x:c>
      <x:c r="BK982" s="4" t="n">
        <x:v>55</x:v>
      </x:c>
      <x:c r="BL982" s="4" t="n">
        <x:v>45</x:v>
      </x:c>
      <x:c r="BM982" s="4" t="n">
        <x:v>14.1</x:v>
      </x:c>
      <x:c r="BN982" s="4" t="n">
        <x:v>12.95</x:v>
      </x:c>
      <x:c r="BO982" s="10" t="n">
        <x:v>1</x:v>
      </x:c>
      <x:c r="BP982" s="10" t="n">
        <x:v>3</x:v>
      </x:c>
      <x:c r="BQ982" s="4" t="n">
        <x:v>0.6</x:v>
      </x:c>
      <x:c r="BR982" s="10" t="n">
        <x:v>15</x:v>
      </x:c>
      <x:c r="BS982" s="4" t="n">
        <x:v>46.7</x:v>
      </x:c>
      <x:c r="BT982" s="10" t="n">
        <x:v>5</x:v>
      </x:c>
      <x:c r="BU982" s="4" t="str">
        <x:v>WPG</x:v>
      </x:c>
      <x:c r="BV982" s="10" t="n">
        <x:v>729</x:v>
      </x:c>
      <x:c r="BW982" s="10"/>
      <x:c r="BX982" s="10" t="n">
        <x:v>405</x:v>
      </x:c>
      <x:c r="BY982" s="4" t="str">
        <x:v>Ville Heinola</x:v>
      </x:c>
      <x:c r="BZ982" s="4"/>
      <x:c r="CA982" s="4" t="str">
        <x:v>Ville Heinola</x:v>
      </x:c>
      <x:c r="CB982" s="4" t="str">
        <x:v>heinovi01</x:v>
      </x:c>
    </x:row>
    <x:row r="983" ht="22" customHeight="1">
      <x:c r="A983" s="4" t="str">
        <x:v>Ville Koivunen</x:v>
      </x:c>
      <x:c r="B983" s="4" t="str">
        <x:v>villekoivunen</x:v>
      </x:c>
      <x:c r="C983" s="10" t="n">
        <x:v>1</x:v>
      </x:c>
      <x:c r="D983" s="10" t="n">
        <x:v>0</x:v>
      </x:c>
      <x:c r="E983" s="10" t="n">
        <x:v>1</x:v>
      </x:c>
      <x:c r="F983" s="4" t="n">
        <x:f>IF(COUNT(N983,Q983,T983,W983,Z983,AC983,AF983,AI983)=8,N983*Guide!$E$5+Q983*Guide!$E$6+T983*Guide!$E$7+W983*Guide!$E$8+Z983*Guide!$E$9+AC983*Guide!$E$10+AF983*Guide!$E$11+AI983*Guide!$E$12,"")</x:f>
        <x:v>250.5</x:v>
      </x:c>
      <x:c r="G983" s="4" t="str">
        <x:f>IF(COUNT(O983,R983,U983,X983,AA983,AD983,AG983,AJ983)=8,O983*Guide!$E$5+R983*Guide!$E$6+U983*Guide!$E$7+X983*Guide!$E$8+AA983*Guide!$E$9+AD983*Guide!$E$10+AG983*Guide!$E$11+AJ983*Guide!$E$12,"")</x:f>
      </x:c>
      <x:c r="H983" s="4" t="str">
        <x:f>IF(COUNT(G983,F983)=2,G983-F983,"")</x:f>
      </x:c>
      <x:c r="I983" s="4" t="n">
        <x:f>IF(AND(ISNUMBER(F983),K983&gt;0),F983/K983,"")</x:f>
        <x:v>3.2960526315789473</x:v>
      </x:c>
      <x:c r="J983" s="4" t="str">
        <x:f>IF(AND(ISNUMBER(G983),L983&gt;0),G983/L983,"")</x:f>
      </x:c>
      <x:c r="K983" s="10" t="n">
        <x:v>76</x:v>
      </x:c>
      <x:c r="L983" s="10"/>
      <x:c r="M983" s="10" t="str">
        <x:f>IF(COUNT(L983,K983)=2,L983-K983,"")</x:f>
      </x:c>
      <x:c r="N983" s="10" t="n">
        <x:v>19</x:v>
      </x:c>
      <x:c r="O983" s="10"/>
      <x:c r="P983" s="10" t="str">
        <x:f>IF(COUNT(O983,N983)=2,O983-N983,"")</x:f>
      </x:c>
      <x:c r="Q983" s="10" t="n">
        <x:v>28</x:v>
      </x:c>
      <x:c r="R983" s="10"/>
      <x:c r="S983" s="10" t="str">
        <x:f>IF(COUNT(R983,Q983)=2,R983-Q983,"")</x:f>
      </x:c>
      <x:c r="T983" s="10" t="n">
        <x:v>-2</x:v>
      </x:c>
      <x:c r="U983" s="10"/>
      <x:c r="V983" s="10" t="str">
        <x:f>IF(COUNT(U983,T983)=2,U983-T983,"")</x:f>
      </x:c>
      <x:c r="W983" s="10" t="n">
        <x:v>14</x:v>
      </x:c>
      <x:c r="X983" s="10" t="str">
        <x:f>IF(COUNT(AV983,AW983)=2,AV983+AW983,"")</x:f>
      </x:c>
      <x:c r="Y983" s="10" t="str">
        <x:f>IF(COUNT(X983,W983)=2,X983-W983,"")</x:f>
      </x:c>
      <x:c r="Z983" s="10" t="n">
        <x:v>0</x:v>
      </x:c>
      <x:c r="AA983" s="10" t="str">
        <x:f>IF(COUNT(AX983,AY983)=2,AX983+AY983,"")</x:f>
      </x:c>
      <x:c r="AB983" s="10" t="str">
        <x:f>IF(COUNT(AA983,Z983)=2,AA983-Z983,"")</x:f>
      </x:c>
      <x:c r="AC983" s="10" t="n">
        <x:v>158</x:v>
      </x:c>
      <x:c r="AD983" s="10"/>
      <x:c r="AE983" s="10" t="str">
        <x:f>IF(COUNT(AD983,AC983)=2,AD983-AC983,"")</x:f>
      </x:c>
      <x:c r="AF983" s="10" t="n">
        <x:v>30</x:v>
      </x:c>
      <x:c r="AG983" s="10"/>
      <x:c r="AH983" s="10" t="str">
        <x:f>IF(COUNT(AG983,AF983)=2,AG983-AF983,"")</x:f>
      </x:c>
      <x:c r="AI983" s="10" t="n">
        <x:v>42</x:v>
      </x:c>
      <x:c r="AJ983" s="10"/>
      <x:c r="AK983" s="10" t="str">
        <x:f>IF(COUNT(AJ983,AI983)=2,AJ983-AI983,"")</x:f>
      </x:c>
      <x:c r="AL983" s="10" t="n">
        <x:v>22</x:v>
      </x:c>
      <x:c r="AM983" s="10"/>
      <x:c r="AN983" s="4" t="str">
        <x:v>RW</x:v>
      </x:c>
      <x:c r="AO983" s="4"/>
      <x:c r="AP983" s="4" t="str">
        <x:v>PIT</x:v>
      </x:c>
      <x:c r="AQ983" s="4"/>
      <x:c r="AR983" s="4" t="n">
        <x:v>16.5</x:v>
      </x:c>
      <x:c r="AS983" s="4"/>
      <x:c r="AT983" s="4" t="n">
        <x:v>2.5</x:v>
      </x:c>
      <x:c r="AU983" s="4"/>
      <x:c r="AV983" s="10"/>
      <x:c r="AW983" s="10"/>
      <x:c r="AX983" s="10"/>
      <x:c r="AY983" s="10"/>
      <x:c r="AZ983" s="10" t="n">
        <x:v>505</x:v>
      </x:c>
      <x:c r="BA983" s="10" t="n">
        <x:v>379</x:v>
      </x:c>
      <x:c r="BB983" s="4" t="n">
        <x:v>57.1</x:v>
      </x:c>
      <x:c r="BC983" s="4" t="n">
        <x:v>8</x:v>
      </x:c>
      <x:c r="BD983" s="10" t="n">
        <x:v>348</x:v>
      </x:c>
      <x:c r="BE983" s="10" t="n">
        <x:v>270</x:v>
      </x:c>
      <x:c r="BF983" s="4" t="n">
        <x:v>56.3</x:v>
      </x:c>
      <x:c r="BG983" s="4" t="n">
        <x:v>7.1</x:v>
      </x:c>
      <x:c r="BH983" s="4" t="n">
        <x:v>5</x:v>
      </x:c>
      <x:c r="BI983" s="4" t="n">
        <x:v>87.9</x:v>
      </x:c>
      <x:c r="BJ983" s="4" t="n">
        <x:v>92.9</x:v>
      </x:c>
      <x:c r="BK983" s="4" t="n">
        <x:v>66.1</x:v>
      </x:c>
      <x:c r="BL983" s="4" t="n">
        <x:v>33.9</x:v>
      </x:c>
      <x:c r="BM983" s="4" t="n">
        <x:v>12.733333333333333</x:v>
      </x:c>
      <x:c r="BN983" s="4" t="n">
        <x:v>11.8</x:v>
      </x:c>
      <x:c r="BO983" s="10" t="n">
        <x:v>11</x:v>
      </x:c>
      <x:c r="BP983" s="10" t="n">
        <x:v>18</x:v>
      </x:c>
      <x:c r="BQ983" s="4" t="n">
        <x:v>5.9</x:v>
      </x:c>
      <x:c r="BR983" s="10" t="n">
        <x:v>86</x:v>
      </x:c>
      <x:c r="BS983" s="4" t="n">
        <x:v>41.9</x:v>
      </x:c>
      <x:c r="BT983" s="10" t="n">
        <x:v>39</x:v>
      </x:c>
      <x:c r="BU983" s="4" t="str">
        <x:v>PIT</x:v>
      </x:c>
      <x:c r="BV983" s="10" t="n">
        <x:v>178</x:v>
      </x:c>
      <x:c r="BW983" s="10"/>
      <x:c r="BX983" s="10" t="n">
        <x:v>528</x:v>
      </x:c>
      <x:c r="BY983" s="4" t="str">
        <x:v>Ville Koivunen</x:v>
      </x:c>
      <x:c r="BZ983" s="4"/>
      <x:c r="CA983" s="4" t="str">
        <x:v>Ville Koivunen</x:v>
      </x:c>
      <x:c r="CB983" s="4" t="str">
        <x:v>koivuvi01</x:v>
      </x:c>
    </x:row>
    <x:row r="984" ht="22" customHeight="1">
      <x:c r="A984" s="4" t="str">
        <x:v>Vincent Desharnais</x:v>
      </x:c>
      <x:c r="B984" s="4" t="str">
        <x:v>vincentdesharnais</x:v>
      </x:c>
      <x:c r="C984" s="10" t="n">
        <x:v>1</x:v>
      </x:c>
      <x:c r="D984" s="10" t="n">
        <x:v>0</x:v>
      </x:c>
      <x:c r="E984" s="10" t="n">
        <x:v>1</x:v>
      </x:c>
      <x:c r="F984" s="4" t="n">
        <x:f>IF(COUNT(N984,Q984,T984,W984,Z984,AC984,AF984,AI984)=8,N984*Guide!$E$5+Q984*Guide!$E$6+T984*Guide!$E$7+W984*Guide!$E$8+Z984*Guide!$E$9+AC984*Guide!$E$10+AF984*Guide!$E$11+AI984*Guide!$E$12,"")</x:f>
        <x:v>148.5</x:v>
      </x:c>
      <x:c r="G984" s="4" t="str">
        <x:f>IF(COUNT(O984,R984,U984,X984,AA984,AD984,AG984,AJ984)=8,O984*Guide!$E$5+R984*Guide!$E$6+U984*Guide!$E$7+X984*Guide!$E$8+AA984*Guide!$E$9+AD984*Guide!$E$10+AG984*Guide!$E$11+AJ984*Guide!$E$12,"")</x:f>
      </x:c>
      <x:c r="H984" s="4" t="str">
        <x:f>IF(COUNT(G984,F984)=2,G984-F984,"")</x:f>
      </x:c>
      <x:c r="I984" s="4" t="n">
        <x:f>IF(AND(ISNUMBER(F984),K984&gt;0),F984/K984,"")</x:f>
        <x:v>2.1838235294117645</x:v>
      </x:c>
      <x:c r="J984" s="4" t="str">
        <x:f>IF(AND(ISNUMBER(G984),L984&gt;0),G984/L984,"")</x:f>
      </x:c>
      <x:c r="K984" s="10" t="n">
        <x:v>68</x:v>
      </x:c>
      <x:c r="L984" s="10"/>
      <x:c r="M984" s="10" t="str">
        <x:f>IF(COUNT(L984,K984)=2,L984-K984,"")</x:f>
      </x:c>
      <x:c r="N984" s="10" t="n">
        <x:v>1</x:v>
      </x:c>
      <x:c r="O984" s="10"/>
      <x:c r="P984" s="10" t="str">
        <x:f>IF(COUNT(O984,N984)=2,O984-N984,"")</x:f>
      </x:c>
      <x:c r="Q984" s="10" t="n">
        <x:v>10</x:v>
      </x:c>
      <x:c r="R984" s="10"/>
      <x:c r="S984" s="10" t="str">
        <x:f>IF(COUNT(R984,Q984)=2,R984-Q984,"")</x:f>
      </x:c>
      <x:c r="T984" s="10" t="n">
        <x:v>1</x:v>
      </x:c>
      <x:c r="U984" s="10"/>
      <x:c r="V984" s="10" t="str">
        <x:f>IF(COUNT(U984,T984)=2,U984-T984,"")</x:f>
      </x:c>
      <x:c r="W984" s="10" t="n">
        <x:v>0</x:v>
      </x:c>
      <x:c r="X984" s="10" t="str">
        <x:f>IF(COUNT(AV984,AW984)=2,AV984+AW984,"")</x:f>
      </x:c>
      <x:c r="Y984" s="10" t="str">
        <x:f>IF(COUNT(X984,W984)=2,X984-W984,"")</x:f>
      </x:c>
      <x:c r="Z984" s="10" t="n">
        <x:v>1</x:v>
      </x:c>
      <x:c r="AA984" s="10" t="str">
        <x:f>IF(COUNT(AX984,AY984)=2,AX984+AY984,"")</x:f>
      </x:c>
      <x:c r="AB984" s="10" t="str">
        <x:f>IF(COUNT(AA984,Z984)=2,AA984-Z984,"")</x:f>
      </x:c>
      <x:c r="AC984" s="10" t="n">
        <x:v>41</x:v>
      </x:c>
      <x:c r="AD984" s="10"/>
      <x:c r="AE984" s="10" t="str">
        <x:f>IF(COUNT(AD984,AC984)=2,AD984-AC984,"")</x:f>
      </x:c>
      <x:c r="AF984" s="10" t="n">
        <x:v>104</x:v>
      </x:c>
      <x:c r="AG984" s="10"/>
      <x:c r="AH984" s="10" t="str">
        <x:f>IF(COUNT(AG984,AF984)=2,AG984-AF984,"")</x:f>
      </x:c>
      <x:c r="AI984" s="10" t="n">
        <x:v>99</x:v>
      </x:c>
      <x:c r="AJ984" s="10"/>
      <x:c r="AK984" s="10" t="str">
        <x:f>IF(COUNT(AJ984,AI984)=2,AJ984-AI984,"")</x:f>
      </x:c>
      <x:c r="AL984" s="10" t="n">
        <x:v>29</x:v>
      </x:c>
      <x:c r="AM984" s="10"/>
      <x:c r="AN984" s="4" t="str">
        <x:v>D</x:v>
      </x:c>
      <x:c r="AO984" s="4"/>
      <x:c r="AP984" s="4" t="str">
        <x:v>SJ</x:v>
      </x:c>
      <x:c r="AQ984" s="4"/>
      <x:c r="AR984" s="4" t="n">
        <x:v>16</x:v>
      </x:c>
      <x:c r="AS984" s="4"/>
      <x:c r="AT984" s="4" t="n">
        <x:v>0.05</x:v>
      </x:c>
      <x:c r="AU984" s="4"/>
      <x:c r="AV984" s="10"/>
      <x:c r="AW984" s="10"/>
      <x:c r="AX984" s="10"/>
      <x:c r="AY984" s="10"/>
      <x:c r="AZ984" s="10" t="n">
        <x:v>656</x:v>
      </x:c>
      <x:c r="BA984" s="10" t="n">
        <x:v>749</x:v>
      </x:c>
      <x:c r="BB984" s="4" t="n">
        <x:v>46.7</x:v>
      </x:c>
      <x:c r="BC984" s="4" t="n">
        <x:v>-1.2</x:v>
      </x:c>
      <x:c r="BD984" s="10" t="n">
        <x:v>461</x:v>
      </x:c>
      <x:c r="BE984" s="10" t="n">
        <x:v>528</x:v>
      </x:c>
      <x:c r="BF984" s="4" t="n">
        <x:v>46.6</x:v>
      </x:c>
      <x:c r="BG984" s="4" t="n">
        <x:v>-0.3</x:v>
      </x:c>
      <x:c r="BH984" s="4" t="n">
        <x:v>11.3</x:v>
      </x:c>
      <x:c r="BI984" s="4" t="n">
        <x:v>91.9</x:v>
      </x:c>
      <x:c r="BJ984" s="4" t="n">
        <x:v>103.2</x:v>
      </x:c>
      <x:c r="BK984" s="4" t="n">
        <x:v>36.6</x:v>
      </x:c>
      <x:c r="BL984" s="4" t="n">
        <x:v>63.4</x:v>
      </x:c>
      <x:c r="BM984" s="4" t="n">
        <x:v>18.183333333333334</x:v>
      </x:c>
      <x:c r="BN984" s="4" t="n">
        <x:v>14.916666666666666</x:v>
      </x:c>
      <x:c r="BO984" s="10" t="n">
        <x:v>10</x:v>
      </x:c>
      <x:c r="BP984" s="10" t="n">
        <x:v>50</x:v>
      </x:c>
      <x:c r="BQ984" s="4" t="n">
        <x:v>0.2</x:v>
      </x:c>
      <x:c r="BR984" s="10" t="n">
        <x:v>101</x:v>
      </x:c>
      <x:c r="BS984" s="4" t="n">
        <x:v>33.7</x:v>
      </x:c>
      <x:c r="BT984" s="10" t="n">
        <x:v>53</x:v>
      </x:c>
      <x:c r="BU984" s="4" t="str">
        <x:v>SJS</x:v>
      </x:c>
      <x:c r="BV984" s="10" t="n">
        <x:v>702</x:v>
      </x:c>
      <x:c r="BW984" s="10"/>
      <x:c r="BX984" s="10" t="n">
        <x:v>209</x:v>
      </x:c>
      <x:c r="BY984" s="4" t="str">
        <x:v>Vincent Desharnais</x:v>
      </x:c>
      <x:c r="BZ984" s="4"/>
      <x:c r="CA984" s="4" t="str">
        <x:v>Vincent Desharnais</x:v>
      </x:c>
      <x:c r="CB984" s="4" t="str">
        <x:v>deshavi01</x:v>
      </x:c>
    </x:row>
    <x:row r="985" ht="22" customHeight="1">
      <x:c r="A985" s="4" t="str">
        <x:v>Vincent Iorio</x:v>
      </x:c>
      <x:c r="B985" s="4" t="str">
        <x:v>vincentiorio</x:v>
      </x:c>
      <x:c r="C985" s="10" t="n">
        <x:v>0</x:v>
      </x:c>
      <x:c r="D985" s="10" t="n">
        <x:v>0</x:v>
      </x:c>
      <x:c r="E985" s="10" t="n">
        <x:v>1</x:v>
      </x:c>
      <x:c r="F985" s="4" t="str">
        <x:f>IF(COUNT(N985,Q985,T985,W985,Z985,AC985,AF985,AI985)=8,N985*Guide!$E$5+Q985*Guide!$E$6+T985*Guide!$E$7+W985*Guide!$E$8+Z985*Guide!$E$9+AC985*Guide!$E$10+AF985*Guide!$E$11+AI985*Guide!$E$12,"")</x:f>
      </x:c>
      <x:c r="G985" s="4" t="str">
        <x:f>IF(COUNT(O985,R985,U985,X985,AA985,AD985,AG985,AJ985)=8,O985*Guide!$E$5+R985*Guide!$E$6+U985*Guide!$E$7+X985*Guide!$E$8+AA985*Guide!$E$9+AD985*Guide!$E$10+AG985*Guide!$E$11+AJ985*Guide!$E$12,"")</x:f>
      </x:c>
      <x:c r="H985" s="4" t="str">
        <x:f>IF(COUNT(G985,F985)=2,G985-F985,"")</x:f>
      </x:c>
      <x:c r="I985" s="4" t="str">
        <x:f>IF(AND(ISNUMBER(F985),K985&gt;0),F985/K985,"")</x:f>
      </x:c>
      <x:c r="J985" s="4" t="str">
        <x:f>IF(AND(ISNUMBER(G985),L985&gt;0),G985/L985,"")</x:f>
      </x:c>
      <x:c r="K985" s="10"/>
      <x:c r="L985" s="10"/>
      <x:c r="M985" s="10" t="str">
        <x:f>IF(COUNT(L985,K985)=2,L985-K985,"")</x:f>
      </x:c>
      <x:c r="N985" s="10"/>
      <x:c r="O985" s="10"/>
      <x:c r="P985" s="10" t="str">
        <x:f>IF(COUNT(O985,N985)=2,O985-N985,"")</x:f>
      </x:c>
      <x:c r="Q985" s="10"/>
      <x:c r="R985" s="10"/>
      <x:c r="S985" s="10" t="str">
        <x:f>IF(COUNT(R985,Q985)=2,R985-Q985,"")</x:f>
      </x:c>
      <x:c r="T985" s="10"/>
      <x:c r="U985" s="10"/>
      <x:c r="V985" s="10" t="str">
        <x:f>IF(COUNT(U985,T985)=2,U985-T985,"")</x:f>
      </x:c>
      <x:c r="W985" s="10"/>
      <x:c r="X985" s="10" t="str">
        <x:f>IF(COUNT(AV985,AW985)=2,AV985+AW985,"")</x:f>
      </x:c>
      <x:c r="Y985" s="10" t="str">
        <x:f>IF(COUNT(X985,W985)=2,X985-W985,"")</x:f>
      </x:c>
      <x:c r="Z985" s="10"/>
      <x:c r="AA985" s="10" t="str">
        <x:f>IF(COUNT(AX985,AY985)=2,AX985+AY985,"")</x:f>
      </x:c>
      <x:c r="AB985" s="10" t="str">
        <x:f>IF(COUNT(AA985,Z985)=2,AA985-Z985,"")</x:f>
      </x:c>
      <x:c r="AC985" s="10"/>
      <x:c r="AD985" s="10"/>
      <x:c r="AE985" s="10" t="str">
        <x:f>IF(COUNT(AD985,AC985)=2,AD985-AC985,"")</x:f>
      </x:c>
      <x:c r="AF985" s="10"/>
      <x:c r="AG985" s="10"/>
      <x:c r="AH985" s="10" t="str">
        <x:f>IF(COUNT(AG985,AF985)=2,AG985-AF985,"")</x:f>
      </x:c>
      <x:c r="AI985" s="10"/>
      <x:c r="AJ985" s="10"/>
      <x:c r="AK985" s="10" t="str">
        <x:f>IF(COUNT(AJ985,AI985)=2,AJ985-AI985,"")</x:f>
      </x:c>
      <x:c r="AL985" s="10"/>
      <x:c r="AM985" s="10"/>
      <x:c r="AN985" s="4"/>
      <x:c r="AO985" s="4"/>
      <x:c r="AP985" s="4"/>
      <x:c r="AQ985" s="4"/>
      <x:c r="AR985" s="4"/>
      <x:c r="AS985" s="4"/>
      <x:c r="AT985" s="4"/>
      <x:c r="AU985" s="4"/>
      <x:c r="AV985" s="10"/>
      <x:c r="AW985" s="10"/>
      <x:c r="AX985" s="10"/>
      <x:c r="AY985" s="10"/>
      <x:c r="AZ985" s="10" t="n">
        <x:v>320</x:v>
      </x:c>
      <x:c r="BA985" s="10" t="n">
        <x:v>398</x:v>
      </x:c>
      <x:c r="BB985" s="4" t="n">
        <x:v>44.6</x:v>
      </x:c>
      <x:c r="BC985" s="4" t="n">
        <x:v>-5.4</x:v>
      </x:c>
      <x:c r="BD985" s="10" t="n">
        <x:v>225</x:v>
      </x:c>
      <x:c r="BE985" s="10" t="n">
        <x:v>293</x:v>
      </x:c>
      <x:c r="BF985" s="4" t="n">
        <x:v>43.4</x:v>
      </x:c>
      <x:c r="BG985" s="4" t="n">
        <x:v>-6.1</x:v>
      </x:c>
      <x:c r="BH985" s="4" t="n">
        <x:v>10.8</x:v>
      </x:c>
      <x:c r="BI985" s="4" t="n">
        <x:v>89.6</x:v>
      </x:c>
      <x:c r="BJ985" s="4" t="n">
        <x:v>100.4</x:v>
      </x:c>
      <x:c r="BK985" s="4" t="n">
        <x:v>51.3</x:v>
      </x:c>
      <x:c r="BL985" s="4" t="n">
        <x:v>48.7</x:v>
      </x:c>
      <x:c r="BM985" s="4" t="n">
        <x:v>15.733333333333333</x:v>
      </x:c>
      <x:c r="BN985" s="4" t="n">
        <x:v>14.433333333333334</x:v>
      </x:c>
      <x:c r="BO985" s="10" t="n">
        <x:v>7</x:v>
      </x:c>
      <x:c r="BP985" s="10" t="n">
        <x:v>26</x:v>
      </x:c>
      <x:c r="BQ985" s="4" t="n">
        <x:v>-5.8</x:v>
      </x:c>
      <x:c r="BR985" s="10" t="n">
        <x:v>41</x:v>
      </x:c>
      <x:c r="BS985" s="4" t="n">
        <x:v>36.6</x:v>
      </x:c>
      <x:c r="BT985" s="10" t="n">
        <x:v>27</x:v>
      </x:c>
      <x:c r="BU985" s="4" t="str">
        <x:v>TOT</x:v>
      </x:c>
      <x:c r="BV985" s="10"/>
      <x:c r="BW985" s="10"/>
      <x:c r="BX985" s="10" t="n">
        <x:v>449</x:v>
      </x:c>
      <x:c r="BY985" s="4"/>
      <x:c r="BZ985" s="4"/>
      <x:c r="CA985" s="4" t="str">
        <x:v>Vincent Iorio</x:v>
      </x:c>
      <x:c r="CB985" s="4" t="str">
        <x:v>ioriovi01</x:v>
      </x:c>
    </x:row>
    <x:row r="986" ht="22" customHeight="1">
      <x:c r="A986" s="4" t="str">
        <x:v>Vinni Lettieri</x:v>
      </x:c>
      <x:c r="B986" s="4" t="str">
        <x:v>vinnilettieri</x:v>
      </x:c>
      <x:c r="C986" s="10" t="n">
        <x:v>1</x:v>
      </x:c>
      <x:c r="D986" s="10" t="n">
        <x:v>0</x:v>
      </x:c>
      <x:c r="E986" s="10" t="n">
        <x:v>0</x:v>
      </x:c>
      <x:c r="F986" s="4" t="n">
        <x:f>IF(COUNT(N986,Q986,T986,W986,Z986,AC986,AF986,AI986)=8,N986*Guide!$E$5+Q986*Guide!$E$6+T986*Guide!$E$7+W986*Guide!$E$8+Z986*Guide!$E$9+AC986*Guide!$E$10+AF986*Guide!$E$11+AI986*Guide!$E$12,"")</x:f>
        <x:v>114.25</x:v>
      </x:c>
      <x:c r="G986" s="4" t="str">
        <x:f>IF(COUNT(O986,R986,U986,X986,AA986,AD986,AG986,AJ986)=8,O986*Guide!$E$5+R986*Guide!$E$6+U986*Guide!$E$7+X986*Guide!$E$8+AA986*Guide!$E$9+AD986*Guide!$E$10+AG986*Guide!$E$11+AJ986*Guide!$E$12,"")</x:f>
      </x:c>
      <x:c r="H986" s="4" t="str">
        <x:f>IF(COUNT(G986,F986)=2,G986-F986,"")</x:f>
      </x:c>
      <x:c r="I986" s="4" t="n">
        <x:f>IF(AND(ISNUMBER(F986),K986&gt;0),F986/K986,"")</x:f>
        <x:v>2.596590909090909</x:v>
      </x:c>
      <x:c r="J986" s="4" t="str">
        <x:f>IF(AND(ISNUMBER(G986),L986&gt;0),G986/L986,"")</x:f>
      </x:c>
      <x:c r="K986" s="10" t="n">
        <x:v>44</x:v>
      </x:c>
      <x:c r="L986" s="10"/>
      <x:c r="M986" s="10" t="str">
        <x:f>IF(COUNT(L986,K986)=2,L986-K986,"")</x:f>
      </x:c>
      <x:c r="N986" s="10" t="n">
        <x:v>8</x:v>
      </x:c>
      <x:c r="O986" s="10"/>
      <x:c r="P986" s="10" t="str">
        <x:f>IF(COUNT(O986,N986)=2,O986-N986,"")</x:f>
      </x:c>
      <x:c r="Q986" s="10" t="n">
        <x:v>8</x:v>
      </x:c>
      <x:c r="R986" s="10"/>
      <x:c r="S986" s="10" t="str">
        <x:f>IF(COUNT(R986,Q986)=2,R986-Q986,"")</x:f>
      </x:c>
      <x:c r="T986" s="10" t="n">
        <x:v>-3</x:v>
      </x:c>
      <x:c r="U986" s="10"/>
      <x:c r="V986" s="10" t="str">
        <x:f>IF(COUNT(U986,T986)=2,U986-T986,"")</x:f>
      </x:c>
      <x:c r="W986" s="10" t="n">
        <x:v>2</x:v>
      </x:c>
      <x:c r="X986" s="10" t="str">
        <x:f>IF(COUNT(AV986,AW986)=2,AV986+AW986,"")</x:f>
      </x:c>
      <x:c r="Y986" s="10" t="str">
        <x:f>IF(COUNT(X986,W986)=2,X986-W986,"")</x:f>
      </x:c>
      <x:c r="Z986" s="10" t="n">
        <x:v>0</x:v>
      </x:c>
      <x:c r="AA986" s="10" t="str">
        <x:f>IF(COUNT(AX986,AY986)=2,AX986+AY986,"")</x:f>
      </x:c>
      <x:c r="AB986" s="10" t="str">
        <x:f>IF(COUNT(AA986,Z986)=2,AA986-Z986,"")</x:f>
      </x:c>
      <x:c r="AC986" s="10" t="n">
        <x:v>69</x:v>
      </x:c>
      <x:c r="AD986" s="10"/>
      <x:c r="AE986" s="10" t="str">
        <x:f>IF(COUNT(AD986,AC986)=2,AD986-AC986,"")</x:f>
      </x:c>
      <x:c r="AF986" s="10" t="n">
        <x:v>87</x:v>
      </x:c>
      <x:c r="AG986" s="10"/>
      <x:c r="AH986" s="10" t="str">
        <x:f>IF(COUNT(AG986,AF986)=2,AG986-AF986,"")</x:f>
      </x:c>
      <x:c r="AI986" s="10" t="n">
        <x:v>27</x:v>
      </x:c>
      <x:c r="AJ986" s="10"/>
      <x:c r="AK986" s="10" t="str">
        <x:f>IF(COUNT(AJ986,AI986)=2,AJ986-AI986,"")</x:f>
      </x:c>
      <x:c r="AL986" s="10" t="n">
        <x:v>30</x:v>
      </x:c>
      <x:c r="AM986" s="10"/>
      <x:c r="AN986" s="4" t="str">
        <x:v>C</x:v>
      </x:c>
      <x:c r="AO986" s="4"/>
      <x:c r="AP986" s="4" t="str">
        <x:v>TOR</x:v>
      </x:c>
      <x:c r="AQ986" s="4"/>
      <x:c r="AR986" s="4" t="n">
        <x:v>12.74</x:v>
      </x:c>
      <x:c r="AS986" s="4"/>
      <x:c r="AT986" s="4" t="n">
        <x:v>0.9</x:v>
      </x:c>
      <x:c r="AU986" s="4"/>
      <x:c r="AV986" s="10"/>
      <x:c r="AW986" s="10"/>
      <x:c r="AX986" s="10"/>
      <x:c r="AY986" s="10"/>
      <x:c r="AZ986" s="10"/>
      <x:c r="BA986" s="10"/>
      <x:c r="BB986" s="4"/>
      <x:c r="BC986" s="4"/>
      <x:c r="BD986" s="10"/>
      <x:c r="BE986" s="10"/>
      <x:c r="BF986" s="4"/>
      <x:c r="BG986" s="4"/>
      <x:c r="BH986" s="4"/>
      <x:c r="BI986" s="4"/>
      <x:c r="BJ986" s="4"/>
      <x:c r="BK986" s="4"/>
      <x:c r="BL986" s="4"/>
      <x:c r="BM986" s="4"/>
      <x:c r="BN986" s="4"/>
      <x:c r="BO986" s="10"/>
      <x:c r="BP986" s="10"/>
      <x:c r="BQ986" s="4"/>
      <x:c r="BR986" s="10"/>
      <x:c r="BS986" s="4"/>
      <x:c r="BT986" s="10"/>
      <x:c r="BU986" s="4"/>
      <x:c r="BV986" s="10" t="n">
        <x:v>614</x:v>
      </x:c>
      <x:c r="BW986" s="10"/>
      <x:c r="BX986" s="10"/>
      <x:c r="BY986" s="4" t="str">
        <x:v>Vinni Lettieri</x:v>
      </x:c>
      <x:c r="BZ986" s="4"/>
      <x:c r="CA986" s="4"/>
      <x:c r="CB986" s="4"/>
    </x:row>
    <x:row r="987" ht="22" customHeight="1">
      <x:c r="A987" s="4" t="str">
        <x:v>Vinnie Hinostroza</x:v>
      </x:c>
      <x:c r="B987" s="4" t="str">
        <x:v>vinniehinostroza</x:v>
      </x:c>
      <x:c r="C987" s="10" t="n">
        <x:v>0</x:v>
      </x:c>
      <x:c r="D987" s="10" t="n">
        <x:v>0</x:v>
      </x:c>
      <x:c r="E987" s="10" t="n">
        <x:v>1</x:v>
      </x:c>
      <x:c r="F987" s="4" t="str">
        <x:f>IF(COUNT(N987,Q987,T987,W987,Z987,AC987,AF987,AI987)=8,N987*Guide!$E$5+Q987*Guide!$E$6+T987*Guide!$E$7+W987*Guide!$E$8+Z987*Guide!$E$9+AC987*Guide!$E$10+AF987*Guide!$E$11+AI987*Guide!$E$12,"")</x:f>
      </x:c>
      <x:c r="G987" s="4" t="str">
        <x:f>IF(COUNT(O987,R987,U987,X987,AA987,AD987,AG987,AJ987)=8,O987*Guide!$E$5+R987*Guide!$E$6+U987*Guide!$E$7+X987*Guide!$E$8+AA987*Guide!$E$9+AD987*Guide!$E$10+AG987*Guide!$E$11+AJ987*Guide!$E$12,"")</x:f>
      </x:c>
      <x:c r="H987" s="4" t="str">
        <x:f>IF(COUNT(G987,F987)=2,G987-F987,"")</x:f>
      </x:c>
      <x:c r="I987" s="4" t="str">
        <x:f>IF(AND(ISNUMBER(F987),K987&gt;0),F987/K987,"")</x:f>
      </x:c>
      <x:c r="J987" s="4" t="str">
        <x:f>IF(AND(ISNUMBER(G987),L987&gt;0),G987/L987,"")</x:f>
      </x:c>
      <x:c r="K987" s="10"/>
      <x:c r="L987" s="10"/>
      <x:c r="M987" s="10" t="str">
        <x:f>IF(COUNT(L987,K987)=2,L987-K987,"")</x:f>
      </x:c>
      <x:c r="N987" s="10"/>
      <x:c r="O987" s="10"/>
      <x:c r="P987" s="10" t="str">
        <x:f>IF(COUNT(O987,N987)=2,O987-N987,"")</x:f>
      </x:c>
      <x:c r="Q987" s="10"/>
      <x:c r="R987" s="10"/>
      <x:c r="S987" s="10" t="str">
        <x:f>IF(COUNT(R987,Q987)=2,R987-Q987,"")</x:f>
      </x:c>
      <x:c r="T987" s="10"/>
      <x:c r="U987" s="10"/>
      <x:c r="V987" s="10" t="str">
        <x:f>IF(COUNT(U987,T987)=2,U987-T987,"")</x:f>
      </x:c>
      <x:c r="W987" s="10"/>
      <x:c r="X987" s="10" t="str">
        <x:f>IF(COUNT(AV987,AW987)=2,AV987+AW987,"")</x:f>
      </x:c>
      <x:c r="Y987" s="10" t="str">
        <x:f>IF(COUNT(X987,W987)=2,X987-W987,"")</x:f>
      </x:c>
      <x:c r="Z987" s="10"/>
      <x:c r="AA987" s="10" t="str">
        <x:f>IF(COUNT(AX987,AY987)=2,AX987+AY987,"")</x:f>
      </x:c>
      <x:c r="AB987" s="10" t="str">
        <x:f>IF(COUNT(AA987,Z987)=2,AA987-Z987,"")</x:f>
      </x:c>
      <x:c r="AC987" s="10"/>
      <x:c r="AD987" s="10"/>
      <x:c r="AE987" s="10" t="str">
        <x:f>IF(COUNT(AD987,AC987)=2,AD987-AC987,"")</x:f>
      </x:c>
      <x:c r="AF987" s="10"/>
      <x:c r="AG987" s="10"/>
      <x:c r="AH987" s="10" t="str">
        <x:f>IF(COUNT(AG987,AF987)=2,AG987-AF987,"")</x:f>
      </x:c>
      <x:c r="AI987" s="10"/>
      <x:c r="AJ987" s="10"/>
      <x:c r="AK987" s="10" t="str">
        <x:f>IF(COUNT(AJ987,AI987)=2,AJ987-AI987,"")</x:f>
      </x:c>
      <x:c r="AL987" s="10"/>
      <x:c r="AM987" s="10"/>
      <x:c r="AN987" s="4"/>
      <x:c r="AO987" s="4"/>
      <x:c r="AP987" s="4"/>
      <x:c r="AQ987" s="4"/>
      <x:c r="AR987" s="4"/>
      <x:c r="AS987" s="4"/>
      <x:c r="AT987" s="4"/>
      <x:c r="AU987" s="4"/>
      <x:c r="AV987" s="10"/>
      <x:c r="AW987" s="10"/>
      <x:c r="AX987" s="10"/>
      <x:c r="AY987" s="10"/>
      <x:c r="AZ987" s="10" t="n">
        <x:v>599</x:v>
      </x:c>
      <x:c r="BA987" s="10" t="n">
        <x:v>756</x:v>
      </x:c>
      <x:c r="BB987" s="4" t="n">
        <x:v>44.2</x:v>
      </x:c>
      <x:c r="BC987" s="4" t="n">
        <x:v>-5.8</x:v>
      </x:c>
      <x:c r="BD987" s="10" t="n">
        <x:v>415</x:v>
      </x:c>
      <x:c r="BE987" s="10" t="n">
        <x:v>557</x:v>
      </x:c>
      <x:c r="BF987" s="4" t="n">
        <x:v>42.7</x:v>
      </x:c>
      <x:c r="BG987" s="4" t="n">
        <x:v>-7.8</x:v>
      </x:c>
      <x:c r="BH987" s="4" t="n">
        <x:v>9.7</x:v>
      </x:c>
      <x:c r="BI987" s="4" t="n">
        <x:v>90</x:v>
      </x:c>
      <x:c r="BJ987" s="4" t="n">
        <x:v>99.7</x:v>
      </x:c>
      <x:c r="BK987" s="4" t="n">
        <x:v>38.7</x:v>
      </x:c>
      <x:c r="BL987" s="4" t="n">
        <x:v>61.3</x:v>
      </x:c>
      <x:c r="BM987" s="4" t="n">
        <x:v>10.933333333333334</x:v>
      </x:c>
      <x:c r="BN987" s="4" t="n">
        <x:v>10.466666666666667</x:v>
      </x:c>
      <x:c r="BO987" s="10" t="n">
        <x:v>19</x:v>
      </x:c>
      <x:c r="BP987" s="10" t="n">
        <x:v>49</x:v>
      </x:c>
      <x:c r="BQ987" s="4" t="n">
        <x:v>-13.4</x:v>
      </x:c>
      <x:c r="BR987" s="10" t="n">
        <x:v>129</x:v>
      </x:c>
      <x:c r="BS987" s="4" t="n">
        <x:v>50.4</x:v>
      </x:c>
      <x:c r="BT987" s="10" t="n">
        <x:v>65</x:v>
      </x:c>
      <x:c r="BU987" s="4" t="str">
        <x:v>TOT</x:v>
      </x:c>
      <x:c r="BV987" s="10"/>
      <x:c r="BW987" s="10"/>
      <x:c r="BX987" s="10" t="n">
        <x:v>413</x:v>
      </x:c>
      <x:c r="BY987" s="4"/>
      <x:c r="BZ987" s="4"/>
      <x:c r="CA987" s="4" t="str">
        <x:v>Vinnie Hinostroza</x:v>
      </x:c>
      <x:c r="CB987" s="4" t="str">
        <x:v>hinosvi01</x:v>
      </x:c>
    </x:row>
    <x:row r="988" ht="22" customHeight="1">
      <x:c r="A988" s="4" t="str">
        <x:v>Vitali Kravtsov</x:v>
      </x:c>
      <x:c r="B988" s="4" t="str">
        <x:v>vitalikravtsov</x:v>
      </x:c>
      <x:c r="C988" s="10" t="n">
        <x:v>1</x:v>
      </x:c>
      <x:c r="D988" s="10" t="n">
        <x:v>0</x:v>
      </x:c>
      <x:c r="E988" s="10" t="n">
        <x:v>0</x:v>
      </x:c>
      <x:c r="F988" s="4" t="n">
        <x:f>IF(COUNT(N988,Q988,T988,W988,Z988,AC988,AF988,AI988)=8,N988*Guide!$E$5+Q988*Guide!$E$6+T988*Guide!$E$7+W988*Guide!$E$8+Z988*Guide!$E$9+AC988*Guide!$E$10+AF988*Guide!$E$11+AI988*Guide!$E$12,"")</x:f>
        <x:v>116</x:v>
      </x:c>
      <x:c r="G988" s="4" t="str">
        <x:f>IF(COUNT(O988,R988,U988,X988,AA988,AD988,AG988,AJ988)=8,O988*Guide!$E$5+R988*Guide!$E$6+U988*Guide!$E$7+X988*Guide!$E$8+AA988*Guide!$E$9+AD988*Guide!$E$10+AG988*Guide!$E$11+AJ988*Guide!$E$12,"")</x:f>
      </x:c>
      <x:c r="H988" s="4" t="str">
        <x:f>IF(COUNT(G988,F988)=2,G988-F988,"")</x:f>
      </x:c>
      <x:c r="I988" s="4" t="n">
        <x:f>IF(AND(ISNUMBER(F988),K988&gt;0),F988/K988,"")</x:f>
        <x:v>1.7058823529411764</x:v>
      </x:c>
      <x:c r="J988" s="4" t="str">
        <x:f>IF(AND(ISNUMBER(G988),L988&gt;0),G988/L988,"")</x:f>
      </x:c>
      <x:c r="K988" s="10" t="n">
        <x:v>68</x:v>
      </x:c>
      <x:c r="L988" s="10"/>
      <x:c r="M988" s="10" t="str">
        <x:f>IF(COUNT(L988,K988)=2,L988-K988,"")</x:f>
      </x:c>
      <x:c r="N988" s="10" t="n">
        <x:v>9</x:v>
      </x:c>
      <x:c r="O988" s="10"/>
      <x:c r="P988" s="10" t="str">
        <x:f>IF(COUNT(O988,N988)=2,O988-N988,"")</x:f>
      </x:c>
      <x:c r="Q988" s="10" t="n">
        <x:v>10</x:v>
      </x:c>
      <x:c r="R988" s="10"/>
      <x:c r="S988" s="10" t="str">
        <x:f>IF(COUNT(R988,Q988)=2,R988-Q988,"")</x:f>
      </x:c>
      <x:c r="T988" s="10" t="n">
        <x:v>-2</x:v>
      </x:c>
      <x:c r="U988" s="10"/>
      <x:c r="V988" s="10" t="str">
        <x:f>IF(COUNT(U988,T988)=2,U988-T988,"")</x:f>
      </x:c>
      <x:c r="W988" s="10" t="n">
        <x:v>4</x:v>
      </x:c>
      <x:c r="X988" s="10" t="str">
        <x:f>IF(COUNT(AV988,AW988)=2,AV988+AW988,"")</x:f>
      </x:c>
      <x:c r="Y988" s="10" t="str">
        <x:f>IF(COUNT(X988,W988)=2,X988-W988,"")</x:f>
      </x:c>
      <x:c r="Z988" s="10" t="n">
        <x:v>0</x:v>
      </x:c>
      <x:c r="AA988" s="10" t="str">
        <x:f>IF(COUNT(AX988,AY988)=2,AX988+AY988,"")</x:f>
      </x:c>
      <x:c r="AB988" s="10" t="str">
        <x:f>IF(COUNT(AA988,Z988)=2,AA988-Z988,"")</x:f>
      </x:c>
      <x:c r="AC988" s="10" t="n">
        <x:v>66</x:v>
      </x:c>
      <x:c r="AD988" s="10"/>
      <x:c r="AE988" s="10" t="str">
        <x:f>IF(COUNT(AD988,AC988)=2,AD988-AC988,"")</x:f>
      </x:c>
      <x:c r="AF988" s="10" t="n">
        <x:v>48</x:v>
      </x:c>
      <x:c r="AG988" s="10"/>
      <x:c r="AH988" s="10" t="str">
        <x:f>IF(COUNT(AG988,AF988)=2,AG988-AF988,"")</x:f>
      </x:c>
      <x:c r="AI988" s="10" t="n">
        <x:v>26</x:v>
      </x:c>
      <x:c r="AJ988" s="10"/>
      <x:c r="AK988" s="10" t="str">
        <x:f>IF(COUNT(AJ988,AI988)=2,AJ988-AI988,"")</x:f>
      </x:c>
      <x:c r="AL988" s="10" t="n">
        <x:v>26</x:v>
      </x:c>
      <x:c r="AM988" s="10"/>
      <x:c r="AN988" s="4" t="str">
        <x:v>LW,RW</x:v>
      </x:c>
      <x:c r="AO988" s="4"/>
      <x:c r="AP988" s="4" t="str">
        <x:v>VAN</x:v>
      </x:c>
      <x:c r="AQ988" s="4"/>
      <x:c r="AR988" s="4" t="n">
        <x:v>11.27</x:v>
      </x:c>
      <x:c r="AS988" s="4"/>
      <x:c r="AT988" s="4" t="n">
        <x:v>0.65</x:v>
      </x:c>
      <x:c r="AU988" s="4"/>
      <x:c r="AV988" s="10"/>
      <x:c r="AW988" s="10"/>
      <x:c r="AX988" s="10"/>
      <x:c r="AY988" s="10"/>
      <x:c r="AZ988" s="10"/>
      <x:c r="BA988" s="10"/>
      <x:c r="BB988" s="4"/>
      <x:c r="BC988" s="4"/>
      <x:c r="BD988" s="10"/>
      <x:c r="BE988" s="10"/>
      <x:c r="BF988" s="4"/>
      <x:c r="BG988" s="4"/>
      <x:c r="BH988" s="4"/>
      <x:c r="BI988" s="4"/>
      <x:c r="BJ988" s="4"/>
      <x:c r="BK988" s="4"/>
      <x:c r="BL988" s="4"/>
      <x:c r="BM988" s="4"/>
      <x:c r="BN988" s="4"/>
      <x:c r="BO988" s="10"/>
      <x:c r="BP988" s="10"/>
      <x:c r="BQ988" s="4"/>
      <x:c r="BR988" s="10"/>
      <x:c r="BS988" s="4"/>
      <x:c r="BT988" s="10"/>
      <x:c r="BU988" s="4"/>
      <x:c r="BV988" s="10" t="n">
        <x:v>554</x:v>
      </x:c>
      <x:c r="BW988" s="10"/>
      <x:c r="BX988" s="10"/>
      <x:c r="BY988" s="4" t="str">
        <x:v>Vitali Kravtsov</x:v>
      </x:c>
      <x:c r="BZ988" s="4"/>
      <x:c r="CA988" s="4"/>
      <x:c r="CB988" s="4"/>
    </x:row>
    <x:row r="989" ht="22" customHeight="1">
      <x:c r="A989" s="4" t="str">
        <x:v>Vladislav Kolyachonok</x:v>
      </x:c>
      <x:c r="B989" s="4" t="str">
        <x:v>vladislavkolyachonok</x:v>
      </x:c>
      <x:c r="C989" s="10" t="n">
        <x:v>1</x:v>
      </x:c>
      <x:c r="D989" s="10" t="n">
        <x:v>0</x:v>
      </x:c>
      <x:c r="E989" s="10" t="n">
        <x:v>1</x:v>
      </x:c>
      <x:c r="F989" s="4" t="n">
        <x:f>IF(COUNT(N989,Q989,T989,W989,Z989,AC989,AF989,AI989)=8,N989*Guide!$E$5+Q989*Guide!$E$6+T989*Guide!$E$7+W989*Guide!$E$8+Z989*Guide!$E$9+AC989*Guide!$E$10+AF989*Guide!$E$11+AI989*Guide!$E$12,"")</x:f>
        <x:v>87.25</x:v>
      </x:c>
      <x:c r="G989" s="4" t="str">
        <x:f>IF(COUNT(O989,R989,U989,X989,AA989,AD989,AG989,AJ989)=8,O989*Guide!$E$5+R989*Guide!$E$6+U989*Guide!$E$7+X989*Guide!$E$8+AA989*Guide!$E$9+AD989*Guide!$E$10+AG989*Guide!$E$11+AJ989*Guide!$E$12,"")</x:f>
      </x:c>
      <x:c r="H989" s="4" t="str">
        <x:f>IF(COUNT(G989,F989)=2,G989-F989,"")</x:f>
      </x:c>
      <x:c r="I989" s="4" t="n">
        <x:f>IF(AND(ISNUMBER(F989),K989&gt;0),F989/K989,"")</x:f>
        <x:v>1.745</x:v>
      </x:c>
      <x:c r="J989" s="4" t="str">
        <x:f>IF(AND(ISNUMBER(G989),L989&gt;0),G989/L989,"")</x:f>
      </x:c>
      <x:c r="K989" s="10" t="n">
        <x:v>50</x:v>
      </x:c>
      <x:c r="L989" s="10"/>
      <x:c r="M989" s="10" t="str">
        <x:f>IF(COUNT(L989,K989)=2,L989-K989,"")</x:f>
      </x:c>
      <x:c r="N989" s="10" t="n">
        <x:v>3</x:v>
      </x:c>
      <x:c r="O989" s="10"/>
      <x:c r="P989" s="10" t="str">
        <x:f>IF(COUNT(O989,N989)=2,O989-N989,"")</x:f>
      </x:c>
      <x:c r="Q989" s="10" t="n">
        <x:v>8</x:v>
      </x:c>
      <x:c r="R989" s="10"/>
      <x:c r="S989" s="10" t="str">
        <x:f>IF(COUNT(R989,Q989)=2,R989-Q989,"")</x:f>
      </x:c>
      <x:c r="T989" s="10" t="n">
        <x:v>0</x:v>
      </x:c>
      <x:c r="U989" s="10"/>
      <x:c r="V989" s="10" t="str">
        <x:f>IF(COUNT(U989,T989)=2,U989-T989,"")</x:f>
      </x:c>
      <x:c r="W989" s="10" t="n">
        <x:v>0</x:v>
      </x:c>
      <x:c r="X989" s="10" t="str">
        <x:f>IF(COUNT(AV989,AW989)=2,AV989+AW989,"")</x:f>
      </x:c>
      <x:c r="Y989" s="10" t="str">
        <x:f>IF(COUNT(X989,W989)=2,X989-W989,"")</x:f>
      </x:c>
      <x:c r="Z989" s="10" t="n">
        <x:v>0</x:v>
      </x:c>
      <x:c r="AA989" s="10" t="str">
        <x:f>IF(COUNT(AX989,AY989)=2,AX989+AY989,"")</x:f>
      </x:c>
      <x:c r="AB989" s="10" t="str">
        <x:f>IF(COUNT(AA989,Z989)=2,AA989-Z989,"")</x:f>
      </x:c>
      <x:c r="AC989" s="10" t="n">
        <x:v>32</x:v>
      </x:c>
      <x:c r="AD989" s="10"/>
      <x:c r="AE989" s="10" t="str">
        <x:f>IF(COUNT(AD989,AC989)=2,AD989-AC989,"")</x:f>
      </x:c>
      <x:c r="AF989" s="10" t="n">
        <x:v>38</x:v>
      </x:c>
      <x:c r="AG989" s="10"/>
      <x:c r="AH989" s="10" t="str">
        <x:f>IF(COUNT(AG989,AF989)=2,AG989-AF989,"")</x:f>
      </x:c>
      <x:c r="AI989" s="10" t="n">
        <x:v>45</x:v>
      </x:c>
      <x:c r="AJ989" s="10"/>
      <x:c r="AK989" s="10" t="str">
        <x:f>IF(COUNT(AJ989,AI989)=2,AJ989-AI989,"")</x:f>
      </x:c>
      <x:c r="AL989" s="10" t="n">
        <x:v>24</x:v>
      </x:c>
      <x:c r="AM989" s="10"/>
      <x:c r="AN989" s="4" t="str">
        <x:v>D</x:v>
      </x:c>
      <x:c r="AO989" s="4"/>
      <x:c r="AP989" s="4" t="str">
        <x:v>DAL</x:v>
      </x:c>
      <x:c r="AQ989" s="4"/>
      <x:c r="AR989" s="4" t="n">
        <x:v>13.01</x:v>
      </x:c>
      <x:c r="AS989" s="4"/>
      <x:c r="AT989" s="4" t="n">
        <x:v>0.01</x:v>
      </x:c>
      <x:c r="AU989" s="4"/>
      <x:c r="AV989" s="10"/>
      <x:c r="AW989" s="10"/>
      <x:c r="AX989" s="10"/>
      <x:c r="AY989" s="10"/>
      <x:c r="AZ989" s="10" t="n">
        <x:v>144</x:v>
      </x:c>
      <x:c r="BA989" s="10" t="n">
        <x:v>152</x:v>
      </x:c>
      <x:c r="BB989" s="4" t="n">
        <x:v>48.6</x:v>
      </x:c>
      <x:c r="BC989" s="4" t="n">
        <x:v>2.7</x:v>
      </x:c>
      <x:c r="BD989" s="10" t="n">
        <x:v>97</x:v>
      </x:c>
      <x:c r="BE989" s="10" t="n">
        <x:v>108</x:v>
      </x:c>
      <x:c r="BF989" s="4" t="n">
        <x:v>47.3</x:v>
      </x:c>
      <x:c r="BG989" s="4" t="n">
        <x:v>2.5</x:v>
      </x:c>
      <x:c r="BH989" s="4" t="n">
        <x:v>7.5</x:v>
      </x:c>
      <x:c r="BI989" s="4" t="n">
        <x:v>95.7</x:v>
      </x:c>
      <x:c r="BJ989" s="4" t="n">
        <x:v>103.2</x:v>
      </x:c>
      <x:c r="BK989" s="4" t="n">
        <x:v>50.6</x:v>
      </x:c>
      <x:c r="BL989" s="4" t="n">
        <x:v>49.4</x:v>
      </x:c>
      <x:c r="BM989" s="4" t="n">
        <x:v>12.533333333333333</x:v>
      </x:c>
      <x:c r="BN989" s="4" t="n">
        <x:v>12.216666666666667</x:v>
      </x:c>
      <x:c r="BO989" s="10" t="n">
        <x:v>3</x:v>
      </x:c>
      <x:c r="BP989" s="10" t="n">
        <x:v>4</x:v>
      </x:c>
      <x:c r="BQ989" s="4" t="n">
        <x:v>1.5</x:v>
      </x:c>
      <x:c r="BR989" s="10" t="n">
        <x:v>24</x:v>
      </x:c>
      <x:c r="BS989" s="4" t="n">
        <x:v>50</x:v>
      </x:c>
      <x:c r="BT989" s="10" t="n">
        <x:v>13</x:v>
      </x:c>
      <x:c r="BU989" s="4" t="str">
        <x:v>TOT</x:v>
      </x:c>
      <x:c r="BV989" s="10" t="n">
        <x:v>718</x:v>
      </x:c>
      <x:c r="BW989" s="10"/>
      <x:c r="BX989" s="10" t="n">
        <x:v>530</x:v>
      </x:c>
      <x:c r="BY989" s="4" t="str">
        <x:v>Vladislav Kolyachonok</x:v>
      </x:c>
      <x:c r="BZ989" s="4"/>
      <x:c r="CA989" s="4" t="str">
        <x:v>Vladislav Kolyachonok</x:v>
      </x:c>
      <x:c r="CB989" s="4" t="str">
        <x:v>kolyavl01</x:v>
      </x:c>
    </x:row>
    <x:row r="990" ht="22" customHeight="1">
      <x:c r="A990" s="4" t="str">
        <x:v>Vladislav Namestnikov</x:v>
      </x:c>
      <x:c r="B990" s="4" t="str">
        <x:v>vladislavnamestnikov</x:v>
      </x:c>
      <x:c r="C990" s="10" t="n">
        <x:v>1</x:v>
      </x:c>
      <x:c r="D990" s="10" t="n">
        <x:v>0</x:v>
      </x:c>
      <x:c r="E990" s="10" t="n">
        <x:v>1</x:v>
      </x:c>
      <x:c r="F990" s="4" t="n">
        <x:f>IF(COUNT(N990,Q990,T990,W990,Z990,AC990,AF990,AI990)=8,N990*Guide!$E$5+Q990*Guide!$E$6+T990*Guide!$E$7+W990*Guide!$E$8+Z990*Guide!$E$9+AC990*Guide!$E$10+AF990*Guide!$E$11+AI990*Guide!$E$12,"")</x:f>
        <x:v>207.75</x:v>
      </x:c>
      <x:c r="G990" s="4" t="str">
        <x:f>IF(COUNT(O990,R990,U990,X990,AA990,AD990,AG990,AJ990)=8,O990*Guide!$E$5+R990*Guide!$E$6+U990*Guide!$E$7+X990*Guide!$E$8+AA990*Guide!$E$9+AD990*Guide!$E$10+AG990*Guide!$E$11+AJ990*Guide!$E$12,"")</x:f>
      </x:c>
      <x:c r="H990" s="4" t="str">
        <x:f>IF(COUNT(G990,F990)=2,G990-F990,"")</x:f>
      </x:c>
      <x:c r="I990" s="4" t="n">
        <x:f>IF(AND(ISNUMBER(F990),K990&gt;0),F990/K990,"")</x:f>
        <x:v>2.698051948051948</x:v>
      </x:c>
      <x:c r="J990" s="4" t="str">
        <x:f>IF(AND(ISNUMBER(G990),L990&gt;0),G990/L990,"")</x:f>
      </x:c>
      <x:c r="K990" s="10" t="n">
        <x:v>77</x:v>
      </x:c>
      <x:c r="L990" s="10"/>
      <x:c r="M990" s="10" t="str">
        <x:f>IF(COUNT(L990,K990)=2,L990-K990,"")</x:f>
      </x:c>
      <x:c r="N990" s="10" t="n">
        <x:v>12</x:v>
      </x:c>
      <x:c r="O990" s="10"/>
      <x:c r="P990" s="10" t="str">
        <x:f>IF(COUNT(O990,N990)=2,O990-N990,"")</x:f>
      </x:c>
      <x:c r="Q990" s="10" t="n">
        <x:v>21</x:v>
      </x:c>
      <x:c r="R990" s="10"/>
      <x:c r="S990" s="10" t="str">
        <x:f>IF(COUNT(R990,Q990)=2,R990-Q990,"")</x:f>
      </x:c>
      <x:c r="T990" s="10" t="n">
        <x:v>8</x:v>
      </x:c>
      <x:c r="U990" s="10"/>
      <x:c r="V990" s="10" t="str">
        <x:f>IF(COUNT(U990,T990)=2,U990-T990,"")</x:f>
      </x:c>
      <x:c r="W990" s="10" t="n">
        <x:v>6</x:v>
      </x:c>
      <x:c r="X990" s="10" t="str">
        <x:f>IF(COUNT(AV990,AW990)=2,AV990+AW990,"")</x:f>
      </x:c>
      <x:c r="Y990" s="10" t="str">
        <x:f>IF(COUNT(X990,W990)=2,X990-W990,"")</x:f>
      </x:c>
      <x:c r="Z990" s="10" t="n">
        <x:v>1</x:v>
      </x:c>
      <x:c r="AA990" s="10" t="str">
        <x:f>IF(COUNT(AX990,AY990)=2,AX990+AY990,"")</x:f>
      </x:c>
      <x:c r="AB990" s="10" t="str">
        <x:f>IF(COUNT(AA990,Z990)=2,AA990-Z990,"")</x:f>
      </x:c>
      <x:c r="AC990" s="10" t="n">
        <x:v>93</x:v>
      </x:c>
      <x:c r="AD990" s="10"/>
      <x:c r="AE990" s="10" t="str">
        <x:f>IF(COUNT(AD990,AC990)=2,AD990-AC990,"")</x:f>
      </x:c>
      <x:c r="AF990" s="10" t="n">
        <x:v>88</x:v>
      </x:c>
      <x:c r="AG990" s="10"/>
      <x:c r="AH990" s="10" t="str">
        <x:f>IF(COUNT(AG990,AF990)=2,AG990-AF990,"")</x:f>
      </x:c>
      <x:c r="AI990" s="10" t="n">
        <x:v>46</x:v>
      </x:c>
      <x:c r="AJ990" s="10"/>
      <x:c r="AK990" s="10" t="str">
        <x:f>IF(COUNT(AJ990,AI990)=2,AJ990-AI990,"")</x:f>
      </x:c>
      <x:c r="AL990" s="10" t="n">
        <x:v>33</x:v>
      </x:c>
      <x:c r="AM990" s="10"/>
      <x:c r="AN990" s="4" t="str">
        <x:v>C,LW</x:v>
      </x:c>
      <x:c r="AO990" s="4"/>
      <x:c r="AP990" s="4" t="str">
        <x:v>WPG</x:v>
      </x:c>
      <x:c r="AQ990" s="4"/>
      <x:c r="AR990" s="4" t="n">
        <x:v>14.55</x:v>
      </x:c>
      <x:c r="AS990" s="4"/>
      <x:c r="AT990" s="4" t="n">
        <x:v>1.24</x:v>
      </x:c>
      <x:c r="AU990" s="4"/>
      <x:c r="AV990" s="10"/>
      <x:c r="AW990" s="10"/>
      <x:c r="AX990" s="10"/>
      <x:c r="AY990" s="10"/>
      <x:c r="AZ990" s="10" t="n">
        <x:v>621</x:v>
      </x:c>
      <x:c r="BA990" s="10" t="n">
        <x:v>647</x:v>
      </x:c>
      <x:c r="BB990" s="4" t="n">
        <x:v>49</x:v>
      </x:c>
      <x:c r="BC990" s="4" t="n">
        <x:v>0.1</x:v>
      </x:c>
      <x:c r="BD990" s="10" t="n">
        <x:v>442</x:v>
      </x:c>
      <x:c r="BE990" s="10" t="n">
        <x:v>461</x:v>
      </x:c>
      <x:c r="BF990" s="4" t="n">
        <x:v>48.9</x:v>
      </x:c>
      <x:c r="BG990" s="4" t="n">
        <x:v>0.1</x:v>
      </x:c>
      <x:c r="BH990" s="4" t="n">
        <x:v>6.2</x:v>
      </x:c>
      <x:c r="BI990" s="4" t="n">
        <x:v>89.2</x:v>
      </x:c>
      <x:c r="BJ990" s="4" t="n">
        <x:v>95.5</x:v>
      </x:c>
      <x:c r="BK990" s="4" t="n">
        <x:v>51.8</x:v>
      </x:c>
      <x:c r="BL990" s="4" t="n">
        <x:v>48.2</x:v>
      </x:c>
      <x:c r="BM990" s="4" t="n">
        <x:v>13.783333333333333</x:v>
      </x:c>
      <x:c r="BN990" s="4" t="n">
        <x:v>11.616666666666667</x:v>
      </x:c>
      <x:c r="BO990" s="10" t="n">
        <x:v>10</x:v>
      </x:c>
      <x:c r="BP990" s="10" t="n">
        <x:v>46</x:v>
      </x:c>
      <x:c r="BQ990" s="4" t="n">
        <x:v>-0.7</x:v>
      </x:c>
      <x:c r="BR990" s="10" t="n">
        <x:v>148</x:v>
      </x:c>
      <x:c r="BS990" s="4" t="n">
        <x:v>51.4</x:v>
      </x:c>
      <x:c r="BT990" s="10" t="n">
        <x:v>60</x:v>
      </x:c>
      <x:c r="BU990" s="4" t="str">
        <x:v>WPG</x:v>
      </x:c>
      <x:c r="BV990" s="10" t="n">
        <x:v>329</x:v>
      </x:c>
      <x:c r="BW990" s="10"/>
      <x:c r="BX990" s="10" t="n">
        <x:v>730</x:v>
      </x:c>
      <x:c r="BY990" s="4" t="str">
        <x:v>Vladislav Namestnikov</x:v>
      </x:c>
      <x:c r="BZ990" s="4"/>
      <x:c r="CA990" s="4" t="str">
        <x:v>Vladislav Namestnikov</x:v>
      </x:c>
      <x:c r="CB990" s="4" t="str">
        <x:v>namesvl01</x:v>
      </x:c>
    </x:row>
    <x:row r="991" ht="22" customHeight="1">
      <x:c r="A991" s="4" t="str">
        <x:v>Walker Duehr</x:v>
      </x:c>
      <x:c r="B991" s="4" t="str">
        <x:v>walkerduehr</x:v>
      </x:c>
      <x:c r="C991" s="10" t="n">
        <x:v>1</x:v>
      </x:c>
      <x:c r="D991" s="10" t="n">
        <x:v>0</x:v>
      </x:c>
      <x:c r="E991" s="10" t="n">
        <x:v>1</x:v>
      </x:c>
      <x:c r="F991" s="4" t="n">
        <x:f>IF(COUNT(N991,Q991,T991,W991,Z991,AC991,AF991,AI991)=8,N991*Guide!$E$5+Q991*Guide!$E$6+T991*Guide!$E$7+W991*Guide!$E$8+Z991*Guide!$E$9+AC991*Guide!$E$10+AF991*Guide!$E$11+AI991*Guide!$E$12,"")</x:f>
        <x:v>76.5</x:v>
      </x:c>
      <x:c r="G991" s="4" t="str">
        <x:f>IF(COUNT(O991,R991,U991,X991,AA991,AD991,AG991,AJ991)=8,O991*Guide!$E$5+R991*Guide!$E$6+U991*Guide!$E$7+X991*Guide!$E$8+AA991*Guide!$E$9+AD991*Guide!$E$10+AG991*Guide!$E$11+AJ991*Guide!$E$12,"")</x:f>
      </x:c>
      <x:c r="H991" s="4" t="str">
        <x:f>IF(COUNT(G991,F991)=2,G991-F991,"")</x:f>
      </x:c>
      <x:c r="I991" s="4" t="n">
        <x:f>IF(AND(ISNUMBER(F991),K991&gt;0),F991/K991,"")</x:f>
        <x:v>1.8214285714285714</x:v>
      </x:c>
      <x:c r="J991" s="4" t="str">
        <x:f>IF(AND(ISNUMBER(G991),L991&gt;0),G991/L991,"")</x:f>
      </x:c>
      <x:c r="K991" s="10" t="n">
        <x:v>42</x:v>
      </x:c>
      <x:c r="L991" s="10"/>
      <x:c r="M991" s="10" t="str">
        <x:f>IF(COUNT(L991,K991)=2,L991-K991,"")</x:f>
      </x:c>
      <x:c r="N991" s="10" t="n">
        <x:v>5</x:v>
      </x:c>
      <x:c r="O991" s="10"/>
      <x:c r="P991" s="10" t="str">
        <x:f>IF(COUNT(O991,N991)=2,O991-N991,"")</x:f>
      </x:c>
      <x:c r="Q991" s="10" t="n">
        <x:v>6</x:v>
      </x:c>
      <x:c r="R991" s="10"/>
      <x:c r="S991" s="10" t="str">
        <x:f>IF(COUNT(R991,Q991)=2,R991-Q991,"")</x:f>
      </x:c>
      <x:c r="T991" s="10" t="n">
        <x:v>-2</x:v>
      </x:c>
      <x:c r="U991" s="10"/>
      <x:c r="V991" s="10" t="str">
        <x:f>IF(COUNT(U991,T991)=2,U991-T991,"")</x:f>
      </x:c>
      <x:c r="W991" s="10" t="n">
        <x:v>0</x:v>
      </x:c>
      <x:c r="X991" s="10" t="str">
        <x:f>IF(COUNT(AV991,AW991)=2,AV991+AW991,"")</x:f>
      </x:c>
      <x:c r="Y991" s="10" t="str">
        <x:f>IF(COUNT(X991,W991)=2,X991-W991,"")</x:f>
      </x:c>
      <x:c r="Z991" s="10" t="n">
        <x:v>0</x:v>
      </x:c>
      <x:c r="AA991" s="10" t="str">
        <x:f>IF(COUNT(AX991,AY991)=2,AX991+AY991,"")</x:f>
      </x:c>
      <x:c r="AB991" s="10" t="str">
        <x:f>IF(COUNT(AA991,Z991)=2,AA991-Z991,"")</x:f>
      </x:c>
      <x:c r="AC991" s="10" t="n">
        <x:v>36</x:v>
      </x:c>
      <x:c r="AD991" s="10"/>
      <x:c r="AE991" s="10" t="str">
        <x:f>IF(COUNT(AD991,AC991)=2,AD991-AC991,"")</x:f>
      </x:c>
      <x:c r="AF991" s="10" t="n">
        <x:v>75</x:v>
      </x:c>
      <x:c r="AG991" s="10"/>
      <x:c r="AH991" s="10" t="str">
        <x:f>IF(COUNT(AG991,AF991)=2,AG991-AF991,"")</x:f>
      </x:c>
      <x:c r="AI991" s="10" t="n">
        <x:v>17</x:v>
      </x:c>
      <x:c r="AJ991" s="10"/>
      <x:c r="AK991" s="10" t="str">
        <x:f>IF(COUNT(AJ991,AI991)=2,AJ991-AI991,"")</x:f>
      </x:c>
      <x:c r="AL991" s="10" t="n">
        <x:v>28</x:v>
      </x:c>
      <x:c r="AM991" s="10"/>
      <x:c r="AN991" s="4" t="str">
        <x:v>RW</x:v>
      </x:c>
      <x:c r="AO991" s="4"/>
      <x:c r="AP991" s="4" t="str">
        <x:v>WPG</x:v>
      </x:c>
      <x:c r="AQ991" s="4"/>
      <x:c r="AR991" s="4" t="n">
        <x:v>8.95</x:v>
      </x:c>
      <x:c r="AS991" s="4"/>
      <x:c r="AT991" s="4" t="n">
        <x:v>0.2</x:v>
      </x:c>
      <x:c r="AU991" s="4"/>
      <x:c r="AV991" s="10"/>
      <x:c r="AW991" s="10"/>
      <x:c r="AX991" s="10"/>
      <x:c r="AY991" s="10"/>
      <x:c r="AZ991" s="10" t="n">
        <x:v>23</x:v>
      </x:c>
      <x:c r="BA991" s="10" t="n">
        <x:v>27</x:v>
      </x:c>
      <x:c r="BB991" s="4" t="n">
        <x:v>46</x:v>
      </x:c>
      <x:c r="BC991" s="4" t="n">
        <x:v>-7.5</x:v>
      </x:c>
      <x:c r="BD991" s="10" t="n">
        <x:v>17</x:v>
      </x:c>
      <x:c r="BE991" s="10" t="n">
        <x:v>23</x:v>
      </x:c>
      <x:c r="BF991" s="4" t="n">
        <x:v>42.5</x:v>
      </x:c>
      <x:c r="BG991" s="4" t="n">
        <x:v>-9.2</x:v>
      </x:c>
      <x:c r="BH991" s="4" t="n">
        <x:v>0</x:v>
      </x:c>
      <x:c r="BI991" s="4" t="n">
        <x:v>92.9</x:v>
      </x:c>
      <x:c r="BJ991" s="4" t="n">
        <x:v>92.9</x:v>
      </x:c>
      <x:c r="BK991" s="4" t="n">
        <x:v>62.5</x:v>
      </x:c>
      <x:c r="BL991" s="4" t="n">
        <x:v>37.5</x:v>
      </x:c>
      <x:c r="BM991" s="4" t="n">
        <x:v>9.5</x:v>
      </x:c>
      <x:c r="BN991" s="4" t="n">
        <x:v>9.4</x:v>
      </x:c>
      <x:c r="BO991" s="10" t="n">
        <x:v>2</x:v>
      </x:c>
      <x:c r="BP991" s="10" t="n">
        <x:v>1</x:v>
      </x:c>
      <x:c r="BQ991" s="4" t="n">
        <x:v>-0.2</x:v>
      </x:c>
      <x:c r="BR991" s="10" t="n">
        <x:v>5</x:v>
      </x:c>
      <x:c r="BS991" s="4" t="n">
        <x:v>40</x:v>
      </x:c>
      <x:c r="BT991" s="10" t="n">
        <x:v>3</x:v>
      </x:c>
      <x:c r="BU991" s="4" t="str">
        <x:v>WPG</x:v>
      </x:c>
      <x:c r="BV991" s="10" t="n">
        <x:v>720</x:v>
      </x:c>
      <x:c r="BW991" s="10"/>
      <x:c r="BX991" s="10" t="n">
        <x:v>245</x:v>
      </x:c>
      <x:c r="BY991" s="4" t="str">
        <x:v>Walker Duehr</x:v>
      </x:c>
      <x:c r="BZ991" s="4"/>
      <x:c r="CA991" s="4" t="str">
        <x:v>Walker Duehr</x:v>
      </x:c>
      <x:c r="CB991" s="4" t="str">
        <x:v>duehrwa01</x:v>
      </x:c>
    </x:row>
    <x:row r="992" ht="22" customHeight="1">
      <x:c r="A992" s="4" t="str">
        <x:v>Warren Foegele</x:v>
      </x:c>
      <x:c r="B992" s="4" t="str">
        <x:v>warrenfoegele</x:v>
      </x:c>
      <x:c r="C992" s="10" t="n">
        <x:v>1</x:v>
      </x:c>
      <x:c r="D992" s="10" t="n">
        <x:v>0</x:v>
      </x:c>
      <x:c r="E992" s="10" t="n">
        <x:v>1</x:v>
      </x:c>
      <x:c r="F992" s="4" t="n">
        <x:f>IF(COUNT(N992,Q992,T992,W992,Z992,AC992,AF992,AI992)=8,N992*Guide!$E$5+Q992*Guide!$E$6+T992*Guide!$E$7+W992*Guide!$E$8+Z992*Guide!$E$9+AC992*Guide!$E$10+AF992*Guide!$E$11+AI992*Guide!$E$12,"")</x:f>
        <x:v>282.25</x:v>
      </x:c>
      <x:c r="G992" s="4" t="str">
        <x:f>IF(COUNT(O992,R992,U992,X992,AA992,AD992,AG992,AJ992)=8,O992*Guide!$E$5+R992*Guide!$E$6+U992*Guide!$E$7+X992*Guide!$E$8+AA992*Guide!$E$9+AD992*Guide!$E$10+AG992*Guide!$E$11+AJ992*Guide!$E$12,"")</x:f>
      </x:c>
      <x:c r="H992" s="4" t="str">
        <x:f>IF(COUNT(G992,F992)=2,G992-F992,"")</x:f>
      </x:c>
      <x:c r="I992" s="4" t="n">
        <x:f>IF(AND(ISNUMBER(F992),K992&gt;0),F992/K992,"")</x:f>
        <x:v>3.442073170731707</x:v>
      </x:c>
      <x:c r="J992" s="4" t="str">
        <x:f>IF(AND(ISNUMBER(G992),L992&gt;0),G992/L992,"")</x:f>
      </x:c>
      <x:c r="K992" s="10" t="n">
        <x:v>82</x:v>
      </x:c>
      <x:c r="L992" s="10"/>
      <x:c r="M992" s="10" t="str">
        <x:f>IF(COUNT(L992,K992)=2,L992-K992,"")</x:f>
      </x:c>
      <x:c r="N992" s="10" t="n">
        <x:v>24</x:v>
      </x:c>
      <x:c r="O992" s="10"/>
      <x:c r="P992" s="10" t="str">
        <x:f>IF(COUNT(O992,N992)=2,O992-N992,"")</x:f>
      </x:c>
      <x:c r="Q992" s="10" t="n">
        <x:v>23</x:v>
      </x:c>
      <x:c r="R992" s="10"/>
      <x:c r="S992" s="10" t="str">
        <x:f>IF(COUNT(R992,Q992)=2,R992-Q992,"")</x:f>
      </x:c>
      <x:c r="T992" s="10" t="n">
        <x:v>14</x:v>
      </x:c>
      <x:c r="U992" s="10"/>
      <x:c r="V992" s="10" t="str">
        <x:f>IF(COUNT(U992,T992)=2,U992-T992,"")</x:f>
      </x:c>
      <x:c r="W992" s="10" t="n">
        <x:v>4</x:v>
      </x:c>
      <x:c r="X992" s="10" t="str">
        <x:f>IF(COUNT(AV992,AW992)=2,AV992+AW992,"")</x:f>
      </x:c>
      <x:c r="Y992" s="10" t="str">
        <x:f>IF(COUNT(X992,W992)=2,X992-W992,"")</x:f>
      </x:c>
      <x:c r="Z992" s="10" t="n">
        <x:v>1</x:v>
      </x:c>
      <x:c r="AA992" s="10" t="str">
        <x:f>IF(COUNT(AX992,AY992)=2,AX992+AY992,"")</x:f>
      </x:c>
      <x:c r="AB992" s="10" t="str">
        <x:f>IF(COUNT(AA992,Z992)=2,AA992-Z992,"")</x:f>
      </x:c>
      <x:c r="AC992" s="10" t="n">
        <x:v>186</x:v>
      </x:c>
      <x:c r="AD992" s="10"/>
      <x:c r="AE992" s="10" t="str">
        <x:f>IF(COUNT(AD992,AC992)=2,AD992-AC992,"")</x:f>
      </x:c>
      <x:c r="AF992" s="10" t="n">
        <x:v>85</x:v>
      </x:c>
      <x:c r="AG992" s="10"/>
      <x:c r="AH992" s="10" t="str">
        <x:f>IF(COUNT(AG992,AF992)=2,AG992-AF992,"")</x:f>
      </x:c>
      <x:c r="AI992" s="10" t="n">
        <x:v>38</x:v>
      </x:c>
      <x:c r="AJ992" s="10"/>
      <x:c r="AK992" s="10" t="str">
        <x:f>IF(COUNT(AJ992,AI992)=2,AJ992-AI992,"")</x:f>
      </x:c>
      <x:c r="AL992" s="10" t="n">
        <x:v>29</x:v>
      </x:c>
      <x:c r="AM992" s="10"/>
      <x:c r="AN992" s="4" t="str">
        <x:v>LW,RW</x:v>
      </x:c>
      <x:c r="AO992" s="4"/>
      <x:c r="AP992" s="4" t="str">
        <x:v>LA</x:v>
      </x:c>
      <x:c r="AQ992" s="4"/>
      <x:c r="AR992" s="4" t="n">
        <x:v>15.55</x:v>
      </x:c>
      <x:c r="AS992" s="4"/>
      <x:c r="AT992" s="4" t="n">
        <x:v>0.79</x:v>
      </x:c>
      <x:c r="AU992" s="4"/>
      <x:c r="AV992" s="10"/>
      <x:c r="AW992" s="10"/>
      <x:c r="AX992" s="10"/>
      <x:c r="AY992" s="10"/>
      <x:c r="AZ992" s="10" t="n">
        <x:v>760</x:v>
      </x:c>
      <x:c r="BA992" s="10" t="n">
        <x:v>819</x:v>
      </x:c>
      <x:c r="BB992" s="4" t="n">
        <x:v>48.1</x:v>
      </x:c>
      <x:c r="BC992" s="4" t="n">
        <x:v>-5.2</x:v>
      </x:c>
      <x:c r="BD992" s="10" t="n">
        <x:v>544</x:v>
      </x:c>
      <x:c r="BE992" s="10" t="n">
        <x:v>593</x:v>
      </x:c>
      <x:c r="BF992" s="4" t="n">
        <x:v>47.8</x:v>
      </x:c>
      <x:c r="BG992" s="4" t="n">
        <x:v>-4.9</x:v>
      </x:c>
      <x:c r="BH992" s="4" t="n">
        <x:v>8.4</x:v>
      </x:c>
      <x:c r="BI992" s="4" t="n">
        <x:v>92.6</x:v>
      </x:c>
      <x:c r="BJ992" s="4" t="n">
        <x:v>101</x:v>
      </x:c>
      <x:c r="BK992" s="4" t="n">
        <x:v>44.8</x:v>
      </x:c>
      <x:c r="BL992" s="4" t="n">
        <x:v>55.2</x:v>
      </x:c>
      <x:c r="BM992" s="4" t="n">
        <x:v>13.766666666666667</x:v>
      </x:c>
      <x:c r="BN992" s="4" t="n">
        <x:v>12.133333333333333</x:v>
      </x:c>
      <x:c r="BO992" s="10" t="n">
        <x:v>14</x:v>
      </x:c>
      <x:c r="BP992" s="10" t="n">
        <x:v>67</x:v>
      </x:c>
      <x:c r="BQ992" s="4" t="n">
        <x:v>-7.3</x:v>
      </x:c>
      <x:c r="BR992" s="10" t="n">
        <x:v>228</x:v>
      </x:c>
      <x:c r="BS992" s="4" t="n">
        <x:v>46.1</x:v>
      </x:c>
      <x:c r="BT992" s="10" t="n">
        <x:v>68</x:v>
      </x:c>
      <x:c r="BU992" s="4" t="str">
        <x:v>TOT</x:v>
      </x:c>
      <x:c r="BV992" s="10" t="n">
        <x:v>177</x:v>
      </x:c>
      <x:c r="BW992" s="10"/>
      <x:c r="BX992" s="10" t="n">
        <x:v>297</x:v>
      </x:c>
      <x:c r="BY992" s="4" t="str">
        <x:v>Warren Foegele</x:v>
      </x:c>
      <x:c r="BZ992" s="4"/>
      <x:c r="CA992" s="4" t="str">
        <x:v>Warren Foegele</x:v>
      </x:c>
      <x:c r="CB992" s="4" t="str">
        <x:v>foegewa01</x:v>
      </x:c>
    </x:row>
    <x:row r="993" ht="22" customHeight="1">
      <x:c r="A993" s="4" t="str">
        <x:v>Will Borgen</x:v>
      </x:c>
      <x:c r="B993" s="4" t="str">
        <x:v>willborgen</x:v>
      </x:c>
      <x:c r="C993" s="10" t="n">
        <x:v>1</x:v>
      </x:c>
      <x:c r="D993" s="10" t="n">
        <x:v>0</x:v>
      </x:c>
      <x:c r="E993" s="10" t="n">
        <x:v>1</x:v>
      </x:c>
      <x:c r="F993" s="4" t="n">
        <x:f>IF(COUNT(N993,Q993,T993,W993,Z993,AC993,AF993,AI993)=8,N993*Guide!$E$5+Q993*Guide!$E$6+T993*Guide!$E$7+W993*Guide!$E$8+Z993*Guide!$E$9+AC993*Guide!$E$10+AF993*Guide!$E$11+AI993*Guide!$E$12,"")</x:f>
        <x:v>198</x:v>
      </x:c>
      <x:c r="G993" s="4" t="str">
        <x:f>IF(COUNT(O993,R993,U993,X993,AA993,AD993,AG993,AJ993)=8,O993*Guide!$E$5+R993*Guide!$E$6+U993*Guide!$E$7+X993*Guide!$E$8+AA993*Guide!$E$9+AD993*Guide!$E$10+AG993*Guide!$E$11+AJ993*Guide!$E$12,"")</x:f>
      </x:c>
      <x:c r="H993" s="4" t="str">
        <x:f>IF(COUNT(G993,F993)=2,G993-F993,"")</x:f>
      </x:c>
      <x:c r="I993" s="4" t="n">
        <x:f>IF(AND(ISNUMBER(F993),K993&gt;0),F993/K993,"")</x:f>
        <x:v>2.4146341463414633</x:v>
      </x:c>
      <x:c r="J993" s="4" t="str">
        <x:f>IF(AND(ISNUMBER(G993),L993&gt;0),G993/L993,"")</x:f>
      </x:c>
      <x:c r="K993" s="10" t="n">
        <x:v>82</x:v>
      </x:c>
      <x:c r="L993" s="10"/>
      <x:c r="M993" s="10" t="str">
        <x:f>IF(COUNT(L993,K993)=2,L993-K993,"")</x:f>
      </x:c>
      <x:c r="N993" s="10" t="n">
        <x:v>4</x:v>
      </x:c>
      <x:c r="O993" s="10"/>
      <x:c r="P993" s="10" t="str">
        <x:f>IF(COUNT(O993,N993)=2,O993-N993,"")</x:f>
      </x:c>
      <x:c r="Q993" s="10" t="n">
        <x:v>17</x:v>
      </x:c>
      <x:c r="R993" s="10"/>
      <x:c r="S993" s="10" t="str">
        <x:f>IF(COUNT(R993,Q993)=2,R993-Q993,"")</x:f>
      </x:c>
      <x:c r="T993" s="10" t="n">
        <x:v>-5</x:v>
      </x:c>
      <x:c r="U993" s="10"/>
      <x:c r="V993" s="10" t="str">
        <x:f>IF(COUNT(U993,T993)=2,U993-T993,"")</x:f>
      </x:c>
      <x:c r="W993" s="10" t="n">
        <x:v>1</x:v>
      </x:c>
      <x:c r="X993" s="10" t="str">
        <x:f>IF(COUNT(AV993,AW993)=2,AV993+AW993,"")</x:f>
      </x:c>
      <x:c r="Y993" s="10" t="str">
        <x:f>IF(COUNT(X993,W993)=2,X993-W993,"")</x:f>
      </x:c>
      <x:c r="Z993" s="10" t="n">
        <x:v>1</x:v>
      </x:c>
      <x:c r="AA993" s="10" t="str">
        <x:f>IF(COUNT(AX993,AY993)=2,AX993+AY993,"")</x:f>
      </x:c>
      <x:c r="AB993" s="10" t="str">
        <x:f>IF(COUNT(AA993,Z993)=2,AA993-Z993,"")</x:f>
      </x:c>
      <x:c r="AC993" s="10" t="n">
        <x:v>81</x:v>
      </x:c>
      <x:c r="AD993" s="10"/>
      <x:c r="AE993" s="10" t="str">
        <x:f>IF(COUNT(AD993,AC993)=2,AD993-AC993,"")</x:f>
      </x:c>
      <x:c r="AF993" s="10" t="n">
        <x:v>126</x:v>
      </x:c>
      <x:c r="AG993" s="10"/>
      <x:c r="AH993" s="10" t="str">
        <x:f>IF(COUNT(AG993,AF993)=2,AG993-AF993,"")</x:f>
      </x:c>
      <x:c r="AI993" s="10" t="n">
        <x:v>107</x:v>
      </x:c>
      <x:c r="AJ993" s="10"/>
      <x:c r="AK993" s="10" t="str">
        <x:f>IF(COUNT(AJ993,AI993)=2,AJ993-AI993,"")</x:f>
      </x:c>
      <x:c r="AL993" s="10" t="n">
        <x:v>29</x:v>
      </x:c>
      <x:c r="AM993" s="10"/>
      <x:c r="AN993" s="4" t="str">
        <x:v>D</x:v>
      </x:c>
      <x:c r="AO993" s="4"/>
      <x:c r="AP993" s="4" t="str">
        <x:v>NYR</x:v>
      </x:c>
      <x:c r="AQ993" s="4"/>
      <x:c r="AR993" s="4" t="n">
        <x:v>17.2</x:v>
      </x:c>
      <x:c r="AS993" s="4"/>
      <x:c r="AT993" s="4" t="n">
        <x:v>0.09</x:v>
      </x:c>
      <x:c r="AU993" s="4"/>
      <x:c r="AV993" s="10"/>
      <x:c r="AW993" s="10"/>
      <x:c r="AX993" s="10"/>
      <x:c r="AY993" s="10"/>
      <x:c r="AZ993" s="10" t="n">
        <x:v>998</x:v>
      </x:c>
      <x:c r="BA993" s="10" t="n">
        <x:v>1186</x:v>
      </x:c>
      <x:c r="BB993" s="4" t="n">
        <x:v>45.7</x:v>
      </x:c>
      <x:c r="BC993" s="4" t="n">
        <x:v>-5</x:v>
      </x:c>
      <x:c r="BD993" s="10" t="n">
        <x:v>691</x:v>
      </x:c>
      <x:c r="BE993" s="10" t="n">
        <x:v>831</x:v>
      </x:c>
      <x:c r="BF993" s="4" t="n">
        <x:v>45.4</x:v>
      </x:c>
      <x:c r="BG993" s="4" t="n">
        <x:v>-3.9</x:v>
      </x:c>
      <x:c r="BH993" s="4" t="n">
        <x:v>10.8</x:v>
      </x:c>
      <x:c r="BI993" s="4" t="n">
        <x:v>90.9</x:v>
      </x:c>
      <x:c r="BJ993" s="4" t="n">
        <x:v>101.7</x:v>
      </x:c>
      <x:c r="BK993" s="4" t="n">
        <x:v>45.1</x:v>
      </x:c>
      <x:c r="BL993" s="4" t="n">
        <x:v>54.9</x:v>
      </x:c>
      <x:c r="BM993" s="4" t="n">
        <x:v>18.05</x:v>
      </x:c>
      <x:c r="BN993" s="4" t="n">
        <x:v>15.8</x:v>
      </x:c>
      <x:c r="BO993" s="10" t="n">
        <x:v>17</x:v>
      </x:c>
      <x:c r="BP993" s="10" t="n">
        <x:v>58</x:v>
      </x:c>
      <x:c r="BQ993" s="4" t="n">
        <x:v>-6.8</x:v>
      </x:c>
      <x:c r="BR993" s="10" t="n">
        <x:v>181</x:v>
      </x:c>
      <x:c r="BS993" s="4" t="n">
        <x:v>38.1</x:v>
      </x:c>
      <x:c r="BT993" s="10" t="n">
        <x:v>75</x:v>
      </x:c>
      <x:c r="BU993" s="4" t="str">
        <x:v>NYR</x:v>
      </x:c>
      <x:c r="BV993" s="10" t="n">
        <x:v>498</x:v>
      </x:c>
      <x:c r="BW993" s="10"/>
      <x:c r="BX993" s="10" t="n">
        <x:v>83</x:v>
      </x:c>
      <x:c r="BY993" s="4" t="str">
        <x:v>Will Borgen</x:v>
      </x:c>
      <x:c r="BZ993" s="4"/>
      <x:c r="CA993" s="4" t="str">
        <x:v>William Borgen</x:v>
      </x:c>
      <x:c r="CB993" s="4" t="str">
        <x:v>borgewi01</x:v>
      </x:c>
    </x:row>
    <x:row r="994" ht="22" customHeight="1">
      <x:c r="A994" s="4" t="str">
        <x:v>William Karlsson</x:v>
      </x:c>
      <x:c r="B994" s="4" t="str">
        <x:v>williamkarlsson</x:v>
      </x:c>
      <x:c r="C994" s="10" t="n">
        <x:v>1</x:v>
      </x:c>
      <x:c r="D994" s="10" t="n">
        <x:v>0</x:v>
      </x:c>
      <x:c r="E994" s="10" t="n">
        <x:v>1</x:v>
      </x:c>
      <x:c r="F994" s="4" t="n">
        <x:f>IF(COUNT(N994,Q994,T994,W994,Z994,AC994,AF994,AI994)=8,N994*Guide!$E$5+Q994*Guide!$E$6+T994*Guide!$E$7+W994*Guide!$E$8+Z994*Guide!$E$9+AC994*Guide!$E$10+AF994*Guide!$E$11+AI994*Guide!$E$12,"")</x:f>
        <x:v>272.25</x:v>
      </x:c>
      <x:c r="G994" s="4" t="str">
        <x:f>IF(COUNT(O994,R994,U994,X994,AA994,AD994,AG994,AJ994)=8,O994*Guide!$E$5+R994*Guide!$E$6+U994*Guide!$E$7+X994*Guide!$E$8+AA994*Guide!$E$9+AD994*Guide!$E$10+AG994*Guide!$E$11+AJ994*Guide!$E$12,"")</x:f>
      </x:c>
      <x:c r="H994" s="4" t="str">
        <x:f>IF(COUNT(G994,F994)=2,G994-F994,"")</x:f>
      </x:c>
      <x:c r="I994" s="4" t="n">
        <x:f>IF(AND(ISNUMBER(F994),K994&gt;0),F994/K994,"")</x:f>
        <x:v>3.4903846153846154</x:v>
      </x:c>
      <x:c r="J994" s="4" t="str">
        <x:f>IF(AND(ISNUMBER(G994),L994&gt;0),G994/L994,"")</x:f>
      </x:c>
      <x:c r="K994" s="10" t="n">
        <x:v>78</x:v>
      </x:c>
      <x:c r="L994" s="10"/>
      <x:c r="M994" s="10" t="str">
        <x:f>IF(COUNT(L994,K994)=2,L994-K994,"")</x:f>
      </x:c>
      <x:c r="N994" s="10" t="n">
        <x:v>19</x:v>
      </x:c>
      <x:c r="O994" s="10"/>
      <x:c r="P994" s="10" t="str">
        <x:f>IF(COUNT(O994,N994)=2,O994-N994,"")</x:f>
      </x:c>
      <x:c r="Q994" s="10" t="n">
        <x:v>28</x:v>
      </x:c>
      <x:c r="R994" s="10"/>
      <x:c r="S994" s="10" t="str">
        <x:f>IF(COUNT(R994,Q994)=2,R994-Q994,"")</x:f>
      </x:c>
      <x:c r="T994" s="10" t="n">
        <x:v>10</x:v>
      </x:c>
      <x:c r="U994" s="10"/>
      <x:c r="V994" s="10" t="str">
        <x:f>IF(COUNT(U994,T994)=2,U994-T994,"")</x:f>
      </x:c>
      <x:c r="W994" s="10" t="n">
        <x:v>8</x:v>
      </x:c>
      <x:c r="X994" s="10" t="str">
        <x:f>IF(COUNT(AV994,AW994)=2,AV994+AW994,"")</x:f>
      </x:c>
      <x:c r="Y994" s="10" t="str">
        <x:f>IF(COUNT(X994,W994)=2,X994-W994,"")</x:f>
      </x:c>
      <x:c r="Z994" s="10" t="n">
        <x:v>2</x:v>
      </x:c>
      <x:c r="AA994" s="10" t="str">
        <x:f>IF(COUNT(AX994,AY994)=2,AX994+AY994,"")</x:f>
      </x:c>
      <x:c r="AB994" s="10" t="str">
        <x:f>IF(COUNT(AA994,Z994)=2,AA994-Z994,"")</x:f>
      </x:c>
      <x:c r="AC994" s="10" t="n">
        <x:v>159</x:v>
      </x:c>
      <x:c r="AD994" s="10"/>
      <x:c r="AE994" s="10" t="str">
        <x:f>IF(COUNT(AD994,AC994)=2,AD994-AC994,"")</x:f>
      </x:c>
      <x:c r="AF994" s="10" t="n">
        <x:v>35</x:v>
      </x:c>
      <x:c r="AG994" s="10"/>
      <x:c r="AH994" s="10" t="str">
        <x:f>IF(COUNT(AG994,AF994)=2,AG994-AF994,"")</x:f>
      </x:c>
      <x:c r="AI994" s="10" t="n">
        <x:v>53</x:v>
      </x:c>
      <x:c r="AJ994" s="10"/>
      <x:c r="AK994" s="10" t="str">
        <x:f>IF(COUNT(AJ994,AI994)=2,AJ994-AI994,"")</x:f>
      </x:c>
      <x:c r="AL994" s="10" t="n">
        <x:v>33</x:v>
      </x:c>
      <x:c r="AM994" s="10"/>
      <x:c r="AN994" s="4" t="str">
        <x:v>C</x:v>
      </x:c>
      <x:c r="AO994" s="4"/>
      <x:c r="AP994" s="4" t="str">
        <x:v>VGK</x:v>
      </x:c>
      <x:c r="AQ994" s="4"/>
      <x:c r="AR994" s="4" t="n">
        <x:v>16.8</x:v>
      </x:c>
      <x:c r="AS994" s="4"/>
      <x:c r="AT994" s="4" t="n">
        <x:v>1.5</x:v>
      </x:c>
      <x:c r="AU994" s="4"/>
      <x:c r="AV994" s="10"/>
      <x:c r="AW994" s="10"/>
      <x:c r="AX994" s="10"/>
      <x:c r="AY994" s="10"/>
      <x:c r="AZ994" s="10" t="n">
        <x:v>181</x:v>
      </x:c>
      <x:c r="BA994" s="10" t="n">
        <x:v>171</x:v>
      </x:c>
      <x:c r="BB994" s="4" t="n">
        <x:v>51.4</x:v>
      </x:c>
      <x:c r="BC994" s="4" t="n">
        <x:v>1.5</x:v>
      </x:c>
      <x:c r="BD994" s="10" t="n">
        <x:v>126</x:v>
      </x:c>
      <x:c r="BE994" s="10" t="n">
        <x:v>112</x:v>
      </x:c>
      <x:c r="BF994" s="4" t="n">
        <x:v>52.9</x:v>
      </x:c>
      <x:c r="BG994" s="4" t="n">
        <x:v>2.9</x:v>
      </x:c>
      <x:c r="BH994" s="4" t="n">
        <x:v>5.6</x:v>
      </x:c>
      <x:c r="BI994" s="4" t="n">
        <x:v>91.8</x:v>
      </x:c>
      <x:c r="BJ994" s="4" t="n">
        <x:v>97.3</x:v>
      </x:c>
      <x:c r="BK994" s="4" t="n">
        <x:v>44.4</x:v>
      </x:c>
      <x:c r="BL994" s="4" t="n">
        <x:v>55.6</x:v>
      </x:c>
      <x:c r="BM994" s="4" t="n">
        <x:v>15.15</x:v>
      </x:c>
      <x:c r="BN994" s="4" t="n">
        <x:v>12.816666666666666</x:v>
      </x:c>
      <x:c r="BO994" s="10" t="n">
        <x:v>3</x:v>
      </x:c>
      <x:c r="BP994" s="10" t="n">
        <x:v>11</x:v>
      </x:c>
      <x:c r="BQ994" s="4" t="n">
        <x:v>2.1</x:v>
      </x:c>
      <x:c r="BR994" s="10" t="n">
        <x:v>48</x:v>
      </x:c>
      <x:c r="BS994" s="4" t="n">
        <x:v>62.5</x:v>
      </x:c>
      <x:c r="BT994" s="10" t="n">
        <x:v>14</x:v>
      </x:c>
      <x:c r="BU994" s="4" t="str">
        <x:v>VEG</x:v>
      </x:c>
      <x:c r="BV994" s="10" t="n">
        <x:v>182</x:v>
      </x:c>
      <x:c r="BW994" s="10"/>
      <x:c r="BX994" s="10" t="n">
        <x:v>501</x:v>
      </x:c>
      <x:c r="BY994" s="4" t="str">
        <x:v>William Karlsson</x:v>
      </x:c>
      <x:c r="BZ994" s="4"/>
      <x:c r="CA994" s="4" t="str">
        <x:v>William Karlsson</x:v>
      </x:c>
      <x:c r="CB994" s="4" t="str">
        <x:v>karlswi01</x:v>
      </x:c>
    </x:row>
    <x:row r="995" ht="22" customHeight="1">
      <x:c r="A995" s="4" t="str">
        <x:v>William Lagesson</x:v>
      </x:c>
      <x:c r="B995" s="4" t="str">
        <x:v>williamlagesson</x:v>
      </x:c>
      <x:c r="C995" s="10" t="n">
        <x:v>1</x:v>
      </x:c>
      <x:c r="D995" s="10" t="n">
        <x:v>0</x:v>
      </x:c>
      <x:c r="E995" s="10" t="n">
        <x:v>0</x:v>
      </x:c>
      <x:c r="F995" s="4" t="n">
        <x:f>IF(COUNT(N995,Q995,T995,W995,Z995,AC995,AF995,AI995)=8,N995*Guide!$E$5+Q995*Guide!$E$6+T995*Guide!$E$7+W995*Guide!$E$8+Z995*Guide!$E$9+AC995*Guide!$E$10+AF995*Guide!$E$11+AI995*Guide!$E$12,"")</x:f>
        <x:v>119.75</x:v>
      </x:c>
      <x:c r="G995" s="4" t="str">
        <x:f>IF(COUNT(O995,R995,U995,X995,AA995,AD995,AG995,AJ995)=8,O995*Guide!$E$5+R995*Guide!$E$6+U995*Guide!$E$7+X995*Guide!$E$8+AA995*Guide!$E$9+AD995*Guide!$E$10+AG995*Guide!$E$11+AJ995*Guide!$E$12,"")</x:f>
      </x:c>
      <x:c r="H995" s="4" t="str">
        <x:f>IF(COUNT(G995,F995)=2,G995-F995,"")</x:f>
      </x:c>
      <x:c r="I995" s="4" t="n">
        <x:f>IF(AND(ISNUMBER(F995),K995&gt;0),F995/K995,"")</x:f>
        <x:v>1.9314516129032258</x:v>
      </x:c>
      <x:c r="J995" s="4" t="str">
        <x:f>IF(AND(ISNUMBER(G995),L995&gt;0),G995/L995,"")</x:f>
      </x:c>
      <x:c r="K995" s="10" t="n">
        <x:v>62</x:v>
      </x:c>
      <x:c r="L995" s="10"/>
      <x:c r="M995" s="10" t="str">
        <x:f>IF(COUNT(L995,K995)=2,L995-K995,"")</x:f>
      </x:c>
      <x:c r="N995" s="10" t="n">
        <x:v>1</x:v>
      </x:c>
      <x:c r="O995" s="10"/>
      <x:c r="P995" s="10" t="str">
        <x:f>IF(COUNT(O995,N995)=2,O995-N995,"")</x:f>
      </x:c>
      <x:c r="Q995" s="10" t="n">
        <x:v>9</x:v>
      </x:c>
      <x:c r="R995" s="10"/>
      <x:c r="S995" s="10" t="str">
        <x:f>IF(COUNT(R995,Q995)=2,R995-Q995,"")</x:f>
      </x:c>
      <x:c r="T995" s="10" t="n">
        <x:v>0</x:v>
      </x:c>
      <x:c r="U995" s="10"/>
      <x:c r="V995" s="10" t="str">
        <x:f>IF(COUNT(U995,T995)=2,U995-T995,"")</x:f>
      </x:c>
      <x:c r="W995" s="10" t="n">
        <x:v>0</x:v>
      </x:c>
      <x:c r="X995" s="10" t="str">
        <x:f>IF(COUNT(AV995,AW995)=2,AV995+AW995,"")</x:f>
      </x:c>
      <x:c r="Y995" s="10" t="str">
        <x:f>IF(COUNT(X995,W995)=2,X995-W995,"")</x:f>
      </x:c>
      <x:c r="Z995" s="10" t="n">
        <x:v>0</x:v>
      </x:c>
      <x:c r="AA995" s="10" t="str">
        <x:f>IF(COUNT(AX995,AY995)=2,AX995+AY995,"")</x:f>
      </x:c>
      <x:c r="AB995" s="10" t="str">
        <x:f>IF(COUNT(AA995,Z995)=2,AA995-Z995,"")</x:f>
      </x:c>
      <x:c r="AC995" s="10" t="n">
        <x:v>32</x:v>
      </x:c>
      <x:c r="AD995" s="10"/>
      <x:c r="AE995" s="10" t="str">
        <x:f>IF(COUNT(AD995,AC995)=2,AD995-AC995,"")</x:f>
      </x:c>
      <x:c r="AF995" s="10" t="n">
        <x:v>89</x:v>
      </x:c>
      <x:c r="AG995" s="10"/>
      <x:c r="AH995" s="10" t="str">
        <x:f>IF(COUNT(AG995,AF995)=2,AG995-AF995,"")</x:f>
      </x:c>
      <x:c r="AI995" s="10" t="n">
        <x:v>78</x:v>
      </x:c>
      <x:c r="AJ995" s="10"/>
      <x:c r="AK995" s="10" t="str">
        <x:f>IF(COUNT(AJ995,AI995)=2,AJ995-AI995,"")</x:f>
      </x:c>
      <x:c r="AL995" s="10" t="n">
        <x:v>29</x:v>
      </x:c>
      <x:c r="AM995" s="10"/>
      <x:c r="AN995" s="4" t="str">
        <x:v>D</x:v>
      </x:c>
      <x:c r="AO995" s="4"/>
      <x:c r="AP995" s="4" t="str">
        <x:v>DET</x:v>
      </x:c>
      <x:c r="AQ995" s="4"/>
      <x:c r="AR995" s="4" t="n">
        <x:v>15.04</x:v>
      </x:c>
      <x:c r="AS995" s="4"/>
      <x:c r="AT995" s="4" t="n">
        <x:v>0.12</x:v>
      </x:c>
      <x:c r="AU995" s="4"/>
      <x:c r="AV995" s="10"/>
      <x:c r="AW995" s="10"/>
      <x:c r="AX995" s="10"/>
      <x:c r="AY995" s="10"/>
      <x:c r="AZ995" s="10"/>
      <x:c r="BA995" s="10"/>
      <x:c r="BB995" s="4"/>
      <x:c r="BC995" s="4"/>
      <x:c r="BD995" s="10"/>
      <x:c r="BE995" s="10"/>
      <x:c r="BF995" s="4"/>
      <x:c r="BG995" s="4"/>
      <x:c r="BH995" s="4"/>
      <x:c r="BI995" s="4"/>
      <x:c r="BJ995" s="4"/>
      <x:c r="BK995" s="4"/>
      <x:c r="BL995" s="4"/>
      <x:c r="BM995" s="4"/>
      <x:c r="BN995" s="4"/>
      <x:c r="BO995" s="10"/>
      <x:c r="BP995" s="10"/>
      <x:c r="BQ995" s="4"/>
      <x:c r="BR995" s="10"/>
      <x:c r="BS995" s="4"/>
      <x:c r="BT995" s="10"/>
      <x:c r="BU995" s="4"/>
      <x:c r="BV995" s="10" t="n">
        <x:v>726</x:v>
      </x:c>
      <x:c r="BW995" s="10"/>
      <x:c r="BX995" s="10"/>
      <x:c r="BY995" s="4" t="str">
        <x:v>William Lagesson</x:v>
      </x:c>
      <x:c r="BZ995" s="4"/>
      <x:c r="CA995" s="4"/>
      <x:c r="CB995" s="4"/>
    </x:row>
    <x:row r="996" ht="22" customHeight="1">
      <x:c r="A996" s="4" t="str">
        <x:v>William Lockwood</x:v>
      </x:c>
      <x:c r="B996" s="4" t="str">
        <x:v>williamlockwood</x:v>
      </x:c>
      <x:c r="C996" s="10" t="n">
        <x:v>1</x:v>
      </x:c>
      <x:c r="D996" s="10" t="n">
        <x:v>0</x:v>
      </x:c>
      <x:c r="E996" s="10" t="n">
        <x:v>0</x:v>
      </x:c>
      <x:c r="F996" s="4" t="n">
        <x:f>IF(COUNT(N996,Q996,T996,W996,Z996,AC996,AF996,AI996)=8,N996*Guide!$E$5+Q996*Guide!$E$6+T996*Guide!$E$7+W996*Guide!$E$8+Z996*Guide!$E$9+AC996*Guide!$E$10+AF996*Guide!$E$11+AI996*Guide!$E$12,"")</x:f>
        <x:v>99.5</x:v>
      </x:c>
      <x:c r="G996" s="4" t="str">
        <x:f>IF(COUNT(O996,R996,U996,X996,AA996,AD996,AG996,AJ996)=8,O996*Guide!$E$5+R996*Guide!$E$6+U996*Guide!$E$7+X996*Guide!$E$8+AA996*Guide!$E$9+AD996*Guide!$E$10+AG996*Guide!$E$11+AJ996*Guide!$E$12,"")</x:f>
      </x:c>
      <x:c r="H996" s="4" t="str">
        <x:f>IF(COUNT(G996,F996)=2,G996-F996,"")</x:f>
      </x:c>
      <x:c r="I996" s="4" t="n">
        <x:f>IF(AND(ISNUMBER(F996),K996&gt;0),F996/K996,"")</x:f>
        <x:v>1.6048387096774193</x:v>
      </x:c>
      <x:c r="J996" s="4" t="str">
        <x:f>IF(AND(ISNUMBER(G996),L996&gt;0),G996/L996,"")</x:f>
      </x:c>
      <x:c r="K996" s="10" t="n">
        <x:v>62</x:v>
      </x:c>
      <x:c r="L996" s="10"/>
      <x:c r="M996" s="10" t="str">
        <x:f>IF(COUNT(L996,K996)=2,L996-K996,"")</x:f>
      </x:c>
      <x:c r="N996" s="10" t="n">
        <x:v>5</x:v>
      </x:c>
      <x:c r="O996" s="10"/>
      <x:c r="P996" s="10" t="str">
        <x:f>IF(COUNT(O996,N996)=2,O996-N996,"")</x:f>
      </x:c>
      <x:c r="Q996" s="10" t="n">
        <x:v>7</x:v>
      </x:c>
      <x:c r="R996" s="10"/>
      <x:c r="S996" s="10" t="str">
        <x:f>IF(COUNT(R996,Q996)=2,R996-Q996,"")</x:f>
      </x:c>
      <x:c r="T996" s="10" t="n">
        <x:v>0</x:v>
      </x:c>
      <x:c r="U996" s="10"/>
      <x:c r="V996" s="10" t="str">
        <x:f>IF(COUNT(U996,T996)=2,U996-T996,"")</x:f>
      </x:c>
      <x:c r="W996" s="10" t="n">
        <x:v>0</x:v>
      </x:c>
      <x:c r="X996" s="10" t="str">
        <x:f>IF(COUNT(AV996,AW996)=2,AV996+AW996,"")</x:f>
      </x:c>
      <x:c r="Y996" s="10" t="str">
        <x:f>IF(COUNT(X996,W996)=2,X996-W996,"")</x:f>
      </x:c>
      <x:c r="Z996" s="10" t="n">
        <x:v>0</x:v>
      </x:c>
      <x:c r="AA996" s="10" t="str">
        <x:f>IF(COUNT(AX996,AY996)=2,AX996+AY996,"")</x:f>
      </x:c>
      <x:c r="AB996" s="10" t="str">
        <x:f>IF(COUNT(AA996,Z996)=2,AA996-Z996,"")</x:f>
      </x:c>
      <x:c r="AC996" s="10" t="n">
        <x:v>50</x:v>
      </x:c>
      <x:c r="AD996" s="10"/>
      <x:c r="AE996" s="10" t="str">
        <x:f>IF(COUNT(AD996,AC996)=2,AD996-AC996,"")</x:f>
      </x:c>
      <x:c r="AF996" s="10" t="n">
        <x:v>121</x:v>
      </x:c>
      <x:c r="AG996" s="10"/>
      <x:c r="AH996" s="10" t="str">
        <x:f>IF(COUNT(AG996,AF996)=2,AG996-AF996,"")</x:f>
      </x:c>
      <x:c r="AI996" s="10" t="n">
        <x:v>21</x:v>
      </x:c>
      <x:c r="AJ996" s="10"/>
      <x:c r="AK996" s="10" t="str">
        <x:f>IF(COUNT(AJ996,AI996)=2,AJ996-AI996,"")</x:f>
      </x:c>
      <x:c r="AL996" s="10" t="n">
        <x:v>27</x:v>
      </x:c>
      <x:c r="AM996" s="10"/>
      <x:c r="AN996" s="4" t="str">
        <x:v>RW</x:v>
      </x:c>
      <x:c r="AO996" s="4"/>
      <x:c r="AP996" s="4" t="str">
        <x:v>FLA</x:v>
      </x:c>
      <x:c r="AQ996" s="4"/>
      <x:c r="AR996" s="4" t="n">
        <x:v>8.559999999999999</x:v>
      </x:c>
      <x:c r="AS996" s="4"/>
      <x:c r="AT996" s="4" t="n">
        <x:v>0</x:v>
      </x:c>
      <x:c r="AU996" s="4"/>
      <x:c r="AV996" s="10"/>
      <x:c r="AW996" s="10"/>
      <x:c r="AX996" s="10"/>
      <x:c r="AY996" s="10"/>
      <x:c r="AZ996" s="10"/>
      <x:c r="BA996" s="10"/>
      <x:c r="BB996" s="4"/>
      <x:c r="BC996" s="4"/>
      <x:c r="BD996" s="10"/>
      <x:c r="BE996" s="10"/>
      <x:c r="BF996" s="4"/>
      <x:c r="BG996" s="4"/>
      <x:c r="BH996" s="4"/>
      <x:c r="BI996" s="4"/>
      <x:c r="BJ996" s="4"/>
      <x:c r="BK996" s="4"/>
      <x:c r="BL996" s="4"/>
      <x:c r="BM996" s="4"/>
      <x:c r="BN996" s="4"/>
      <x:c r="BO996" s="10"/>
      <x:c r="BP996" s="10"/>
      <x:c r="BQ996" s="4"/>
      <x:c r="BR996" s="10"/>
      <x:c r="BS996" s="4"/>
      <x:c r="BT996" s="10"/>
      <x:c r="BU996" s="4"/>
      <x:c r="BV996" s="10" t="n">
        <x:v>697</x:v>
      </x:c>
      <x:c r="BW996" s="10"/>
      <x:c r="BX996" s="10"/>
      <x:c r="BY996" s="4" t="str">
        <x:v>William Lockwood</x:v>
      </x:c>
      <x:c r="BZ996" s="4"/>
      <x:c r="CA996" s="4"/>
      <x:c r="CB996" s="4"/>
    </x:row>
    <x:row r="997" ht="22" customHeight="1">
      <x:c r="A997" s="4" t="str">
        <x:v>William Stromgren</x:v>
      </x:c>
      <x:c r="B997" s="4" t="str">
        <x:v>williamstromgren</x:v>
      </x:c>
      <x:c r="C997" s="10" t="n">
        <x:v>0</x:v>
      </x:c>
      <x:c r="D997" s="10" t="n">
        <x:v>0</x:v>
      </x:c>
      <x:c r="E997" s="10" t="n">
        <x:v>1</x:v>
      </x:c>
      <x:c r="F997" s="4" t="str">
        <x:f>IF(COUNT(N997,Q997,T997,W997,Z997,AC997,AF997,AI997)=8,N997*Guide!$E$5+Q997*Guide!$E$6+T997*Guide!$E$7+W997*Guide!$E$8+Z997*Guide!$E$9+AC997*Guide!$E$10+AF997*Guide!$E$11+AI997*Guide!$E$12,"")</x:f>
      </x:c>
      <x:c r="G997" s="4" t="str">
        <x:f>IF(COUNT(O997,R997,U997,X997,AA997,AD997,AG997,AJ997)=8,O997*Guide!$E$5+R997*Guide!$E$6+U997*Guide!$E$7+X997*Guide!$E$8+AA997*Guide!$E$9+AD997*Guide!$E$10+AG997*Guide!$E$11+AJ997*Guide!$E$12,"")</x:f>
      </x:c>
      <x:c r="H997" s="4" t="str">
        <x:f>IF(COUNT(G997,F997)=2,G997-F997,"")</x:f>
      </x:c>
      <x:c r="I997" s="4" t="str">
        <x:f>IF(AND(ISNUMBER(F997),K997&gt;0),F997/K997,"")</x:f>
      </x:c>
      <x:c r="J997" s="4" t="str">
        <x:f>IF(AND(ISNUMBER(G997),L997&gt;0),G997/L997,"")</x:f>
      </x:c>
      <x:c r="K997" s="10"/>
      <x:c r="L997" s="10"/>
      <x:c r="M997" s="10" t="str">
        <x:f>IF(COUNT(L997,K997)=2,L997-K997,"")</x:f>
      </x:c>
      <x:c r="N997" s="10"/>
      <x:c r="O997" s="10"/>
      <x:c r="P997" s="10" t="str">
        <x:f>IF(COUNT(O997,N997)=2,O997-N997,"")</x:f>
      </x:c>
      <x:c r="Q997" s="10"/>
      <x:c r="R997" s="10"/>
      <x:c r="S997" s="10" t="str">
        <x:f>IF(COUNT(R997,Q997)=2,R997-Q997,"")</x:f>
      </x:c>
      <x:c r="T997" s="10"/>
      <x:c r="U997" s="10"/>
      <x:c r="V997" s="10" t="str">
        <x:f>IF(COUNT(U997,T997)=2,U997-T997,"")</x:f>
      </x:c>
      <x:c r="W997" s="10"/>
      <x:c r="X997" s="10" t="str">
        <x:f>IF(COUNT(AV997,AW997)=2,AV997+AW997,"")</x:f>
      </x:c>
      <x:c r="Y997" s="10" t="str">
        <x:f>IF(COUNT(X997,W997)=2,X997-W997,"")</x:f>
      </x:c>
      <x:c r="Z997" s="10"/>
      <x:c r="AA997" s="10" t="str">
        <x:f>IF(COUNT(AX997,AY997)=2,AX997+AY997,"")</x:f>
      </x:c>
      <x:c r="AB997" s="10" t="str">
        <x:f>IF(COUNT(AA997,Z997)=2,AA997-Z997,"")</x:f>
      </x:c>
      <x:c r="AC997" s="10"/>
      <x:c r="AD997" s="10"/>
      <x:c r="AE997" s="10" t="str">
        <x:f>IF(COUNT(AD997,AC997)=2,AD997-AC997,"")</x:f>
      </x:c>
      <x:c r="AF997" s="10"/>
      <x:c r="AG997" s="10"/>
      <x:c r="AH997" s="10" t="str">
        <x:f>IF(COUNT(AG997,AF997)=2,AG997-AF997,"")</x:f>
      </x:c>
      <x:c r="AI997" s="10"/>
      <x:c r="AJ997" s="10"/>
      <x:c r="AK997" s="10" t="str">
        <x:f>IF(COUNT(AJ997,AI997)=2,AJ997-AI997,"")</x:f>
      </x:c>
      <x:c r="AL997" s="10"/>
      <x:c r="AM997" s="10"/>
      <x:c r="AN997" s="4"/>
      <x:c r="AO997" s="4"/>
      <x:c r="AP997" s="4"/>
      <x:c r="AQ997" s="4"/>
      <x:c r="AR997" s="4"/>
      <x:c r="AS997" s="4"/>
      <x:c r="AT997" s="4"/>
      <x:c r="AU997" s="4"/>
      <x:c r="AV997" s="10"/>
      <x:c r="AW997" s="10"/>
      <x:c r="AX997" s="10"/>
      <x:c r="AY997" s="10"/>
      <x:c r="AZ997" s="10" t="n">
        <x:v>12</x:v>
      </x:c>
      <x:c r="BA997" s="10" t="n">
        <x:v>25</x:v>
      </x:c>
      <x:c r="BB997" s="4" t="n">
        <x:v>32.4</x:v>
      </x:c>
      <x:c r="BC997" s="4" t="n">
        <x:v>-16.6</x:v>
      </x:c>
      <x:c r="BD997" s="10" t="n">
        <x:v>10</x:v>
      </x:c>
      <x:c r="BE997" s="10" t="n">
        <x:v>17</x:v>
      </x:c>
      <x:c r="BF997" s="4" t="n">
        <x:v>37</x:v>
      </x:c>
      <x:c r="BG997" s="4" t="n">
        <x:v>-9.2</x:v>
      </x:c>
      <x:c r="BH997" s="4" t="n">
        <x:v>0</x:v>
      </x:c>
      <x:c r="BI997" s="4" t="n">
        <x:v>92.3</x:v>
      </x:c>
      <x:c r="BJ997" s="4" t="n">
        <x:v>92.3</x:v>
      </x:c>
      <x:c r="BK997" s="4" t="n">
        <x:v>50</x:v>
      </x:c>
      <x:c r="BL997" s="4" t="n">
        <x:v>50</x:v>
      </x:c>
      <x:c r="BM997" s="4" t="n">
        <x:v>7.283333333333333</x:v>
      </x:c>
      <x:c r="BN997" s="4" t="n">
        <x:v>7.283333333333333</x:v>
      </x:c>
      <x:c r="BO997" s="10" t="n">
        <x:v>0</x:v>
      </x:c>
      <x:c r="BP997" s="10" t="n">
        <x:v>0</x:v>
      </x:c>
      <x:c r="BQ997" s="4" t="n">
        <x:v>-1.1</x:v>
      </x:c>
      <x:c r="BR997" s="10" t="n">
        <x:v>2</x:v>
      </x:c>
      <x:c r="BS997" s="4" t="n">
        <x:v>100</x:v>
      </x:c>
      <x:c r="BT997" s="10" t="n">
        <x:v>3</x:v>
      </x:c>
      <x:c r="BU997" s="4" t="str">
        <x:v>CGY</x:v>
      </x:c>
      <x:c r="BV997" s="10"/>
      <x:c r="BW997" s="10"/>
      <x:c r="BX997" s="10" t="n">
        <x:v>990</x:v>
      </x:c>
      <x:c r="BY997" s="4"/>
      <x:c r="BZ997" s="4"/>
      <x:c r="CA997" s="4" t="str">
        <x:v>William Stromgren</x:v>
      </x:c>
      <x:c r="CB997" s="4" t="str">
        <x:v>stromwi01</x:v>
      </x:c>
    </x:row>
    <x:row r="998" ht="22" customHeight="1">
      <x:c r="A998" s="4" t="str">
        <x:v>William Villeneuve</x:v>
      </x:c>
      <x:c r="B998" s="4" t="str">
        <x:v>williamvilleneuve</x:v>
      </x:c>
      <x:c r="C998" s="10" t="n">
        <x:v>0</x:v>
      </x:c>
      <x:c r="D998" s="10" t="n">
        <x:v>0</x:v>
      </x:c>
      <x:c r="E998" s="10" t="n">
        <x:v>1</x:v>
      </x:c>
      <x:c r="F998" s="4" t="str">
        <x:f>IF(COUNT(N998,Q998,T998,W998,Z998,AC998,AF998,AI998)=8,N998*Guide!$E$5+Q998*Guide!$E$6+T998*Guide!$E$7+W998*Guide!$E$8+Z998*Guide!$E$9+AC998*Guide!$E$10+AF998*Guide!$E$11+AI998*Guide!$E$12,"")</x:f>
      </x:c>
      <x:c r="G998" s="4" t="str">
        <x:f>IF(COUNT(O998,R998,U998,X998,AA998,AD998,AG998,AJ998)=8,O998*Guide!$E$5+R998*Guide!$E$6+U998*Guide!$E$7+X998*Guide!$E$8+AA998*Guide!$E$9+AD998*Guide!$E$10+AG998*Guide!$E$11+AJ998*Guide!$E$12,"")</x:f>
      </x:c>
      <x:c r="H998" s="4" t="str">
        <x:f>IF(COUNT(G998,F998)=2,G998-F998,"")</x:f>
      </x:c>
      <x:c r="I998" s="4" t="str">
        <x:f>IF(AND(ISNUMBER(F998),K998&gt;0),F998/K998,"")</x:f>
      </x:c>
      <x:c r="J998" s="4" t="str">
        <x:f>IF(AND(ISNUMBER(G998),L998&gt;0),G998/L998,"")</x:f>
      </x:c>
      <x:c r="K998" s="10"/>
      <x:c r="L998" s="10"/>
      <x:c r="M998" s="10" t="str">
        <x:f>IF(COUNT(L998,K998)=2,L998-K998,"")</x:f>
      </x:c>
      <x:c r="N998" s="10"/>
      <x:c r="O998" s="10"/>
      <x:c r="P998" s="10" t="str">
        <x:f>IF(COUNT(O998,N998)=2,O998-N998,"")</x:f>
      </x:c>
      <x:c r="Q998" s="10"/>
      <x:c r="R998" s="10"/>
      <x:c r="S998" s="10" t="str">
        <x:f>IF(COUNT(R998,Q998)=2,R998-Q998,"")</x:f>
      </x:c>
      <x:c r="T998" s="10"/>
      <x:c r="U998" s="10"/>
      <x:c r="V998" s="10" t="str">
        <x:f>IF(COUNT(U998,T998)=2,U998-T998,"")</x:f>
      </x:c>
      <x:c r="W998" s="10"/>
      <x:c r="X998" s="10" t="str">
        <x:f>IF(COUNT(AV998,AW998)=2,AV998+AW998,"")</x:f>
      </x:c>
      <x:c r="Y998" s="10" t="str">
        <x:f>IF(COUNT(X998,W998)=2,X998-W998,"")</x:f>
      </x:c>
      <x:c r="Z998" s="10"/>
      <x:c r="AA998" s="10" t="str">
        <x:f>IF(COUNT(AX998,AY998)=2,AX998+AY998,"")</x:f>
      </x:c>
      <x:c r="AB998" s="10" t="str">
        <x:f>IF(COUNT(AA998,Z998)=2,AA998-Z998,"")</x:f>
      </x:c>
      <x:c r="AC998" s="10"/>
      <x:c r="AD998" s="10"/>
      <x:c r="AE998" s="10" t="str">
        <x:f>IF(COUNT(AD998,AC998)=2,AD998-AC998,"")</x:f>
      </x:c>
      <x:c r="AF998" s="10"/>
      <x:c r="AG998" s="10"/>
      <x:c r="AH998" s="10" t="str">
        <x:f>IF(COUNT(AG998,AF998)=2,AG998-AF998,"")</x:f>
      </x:c>
      <x:c r="AI998" s="10"/>
      <x:c r="AJ998" s="10"/>
      <x:c r="AK998" s="10" t="str">
        <x:f>IF(COUNT(AJ998,AI998)=2,AJ998-AI998,"")</x:f>
      </x:c>
      <x:c r="AL998" s="10"/>
      <x:c r="AM998" s="10"/>
      <x:c r="AN998" s="4"/>
      <x:c r="AO998" s="4"/>
      <x:c r="AP998" s="4"/>
      <x:c r="AQ998" s="4"/>
      <x:c r="AR998" s="4"/>
      <x:c r="AS998" s="4"/>
      <x:c r="AT998" s="4"/>
      <x:c r="AU998" s="4"/>
      <x:c r="AV998" s="10"/>
      <x:c r="AW998" s="10"/>
      <x:c r="AX998" s="10"/>
      <x:c r="AY998" s="10"/>
      <x:c r="AZ998" s="10" t="n">
        <x:v>41</x:v>
      </x:c>
      <x:c r="BA998" s="10" t="n">
        <x:v>45</x:v>
      </x:c>
      <x:c r="BB998" s="4" t="n">
        <x:v>47.7</x:v>
      </x:c>
      <x:c r="BC998" s="4" t="n">
        <x:v>3</x:v>
      </x:c>
      <x:c r="BD998" s="10" t="n">
        <x:v>32</x:v>
      </x:c>
      <x:c r="BE998" s="10" t="n">
        <x:v>32</x:v>
      </x:c>
      <x:c r="BF998" s="4" t="n">
        <x:v>50</x:v>
      </x:c>
      <x:c r="BG998" s="4" t="n">
        <x:v>7.8</x:v>
      </x:c>
      <x:c r="BH998" s="4" t="n">
        <x:v>6.3</x:v>
      </x:c>
      <x:c r="BI998" s="4" t="n">
        <x:v>100</x:v>
      </x:c>
      <x:c r="BJ998" s="4" t="n">
        <x:v>106.3</x:v>
      </x:c>
      <x:c r="BK998" s="4" t="n">
        <x:v>57.1</x:v>
      </x:c>
      <x:c r="BL998" s="4" t="n">
        <x:v>42.9</x:v>
      </x:c>
      <x:c r="BM998" s="4" t="n">
        <x:v>17.333333333333332</x:v>
      </x:c>
      <x:c r="BN998" s="4" t="n">
        <x:v>17.333333333333332</x:v>
      </x:c>
      <x:c r="BO998" s="10" t="n">
        <x:v>1</x:v>
      </x:c>
      <x:c r="BP998" s="10" t="n">
        <x:v>1</x:v>
      </x:c>
      <x:c r="BQ998" s="4" t="n">
        <x:v>-1.2</x:v>
      </x:c>
      <x:c r="BR998" s="10" t="n">
        <x:v>6</x:v>
      </x:c>
      <x:c r="BS998" s="4" t="n">
        <x:v>33.3</x:v>
      </x:c>
      <x:c r="BT998" s="10" t="n">
        <x:v>3</x:v>
      </x:c>
      <x:c r="BU998" s="4" t="str">
        <x:v>TOR</x:v>
      </x:c>
      <x:c r="BV998" s="10"/>
      <x:c r="BW998" s="10"/>
      <x:c r="BX998" s="10" t="n">
        <x:v>1055</x:v>
      </x:c>
      <x:c r="BY998" s="4"/>
      <x:c r="BZ998" s="4"/>
      <x:c r="CA998" s="4" t="str">
        <x:v>William Villeneuve</x:v>
      </x:c>
      <x:c r="CB998" s="4" t="str">
        <x:v>villewi01</x:v>
      </x:c>
    </x:row>
    <x:row r="999" ht="22" customHeight="1">
      <x:c r="A999" s="4" t="str">
        <x:v>Wilmer Skoog</x:v>
      </x:c>
      <x:c r="B999" s="4" t="str">
        <x:v>wilmerskoog</x:v>
      </x:c>
      <x:c r="C999" s="10" t="n">
        <x:v>0</x:v>
      </x:c>
      <x:c r="D999" s="10" t="n">
        <x:v>0</x:v>
      </x:c>
      <x:c r="E999" s="10" t="n">
        <x:v>1</x:v>
      </x:c>
      <x:c r="F999" s="4" t="str">
        <x:f>IF(COUNT(N999,Q999,T999,W999,Z999,AC999,AF999,AI999)=8,N999*Guide!$E$5+Q999*Guide!$E$6+T999*Guide!$E$7+W999*Guide!$E$8+Z999*Guide!$E$9+AC999*Guide!$E$10+AF999*Guide!$E$11+AI999*Guide!$E$12,"")</x:f>
      </x:c>
      <x:c r="G999" s="4" t="str">
        <x:f>IF(COUNT(O999,R999,U999,X999,AA999,AD999,AG999,AJ999)=8,O999*Guide!$E$5+R999*Guide!$E$6+U999*Guide!$E$7+X999*Guide!$E$8+AA999*Guide!$E$9+AD999*Guide!$E$10+AG999*Guide!$E$11+AJ999*Guide!$E$12,"")</x:f>
      </x:c>
      <x:c r="H999" s="4" t="str">
        <x:f>IF(COUNT(G999,F999)=2,G999-F999,"")</x:f>
      </x:c>
      <x:c r="I999" s="4" t="str">
        <x:f>IF(AND(ISNUMBER(F999),K999&gt;0),F999/K999,"")</x:f>
      </x:c>
      <x:c r="J999" s="4" t="str">
        <x:f>IF(AND(ISNUMBER(G999),L999&gt;0),G999/L999,"")</x:f>
      </x:c>
      <x:c r="K999" s="10"/>
      <x:c r="L999" s="10"/>
      <x:c r="M999" s="10" t="str">
        <x:f>IF(COUNT(L999,K999)=2,L999-K999,"")</x:f>
      </x:c>
      <x:c r="N999" s="10"/>
      <x:c r="O999" s="10"/>
      <x:c r="P999" s="10" t="str">
        <x:f>IF(COUNT(O999,N999)=2,O999-N999,"")</x:f>
      </x:c>
      <x:c r="Q999" s="10"/>
      <x:c r="R999" s="10"/>
      <x:c r="S999" s="10" t="str">
        <x:f>IF(COUNT(R999,Q999)=2,R999-Q999,"")</x:f>
      </x:c>
      <x:c r="T999" s="10"/>
      <x:c r="U999" s="10"/>
      <x:c r="V999" s="10" t="str">
        <x:f>IF(COUNT(U999,T999)=2,U999-T999,"")</x:f>
      </x:c>
      <x:c r="W999" s="10"/>
      <x:c r="X999" s="10" t="str">
        <x:f>IF(COUNT(AV999,AW999)=2,AV999+AW999,"")</x:f>
      </x:c>
      <x:c r="Y999" s="10" t="str">
        <x:f>IF(COUNT(X999,W999)=2,X999-W999,"")</x:f>
      </x:c>
      <x:c r="Z999" s="10"/>
      <x:c r="AA999" s="10" t="str">
        <x:f>IF(COUNT(AX999,AY999)=2,AX999+AY999,"")</x:f>
      </x:c>
      <x:c r="AB999" s="10" t="str">
        <x:f>IF(COUNT(AA999,Z999)=2,AA999-Z999,"")</x:f>
      </x:c>
      <x:c r="AC999" s="10"/>
      <x:c r="AD999" s="10"/>
      <x:c r="AE999" s="10" t="str">
        <x:f>IF(COUNT(AD999,AC999)=2,AD999-AC999,"")</x:f>
      </x:c>
      <x:c r="AF999" s="10"/>
      <x:c r="AG999" s="10"/>
      <x:c r="AH999" s="10" t="str">
        <x:f>IF(COUNT(AG999,AF999)=2,AG999-AF999,"")</x:f>
      </x:c>
      <x:c r="AI999" s="10"/>
      <x:c r="AJ999" s="10"/>
      <x:c r="AK999" s="10" t="str">
        <x:f>IF(COUNT(AJ999,AI999)=2,AJ999-AI999,"")</x:f>
      </x:c>
      <x:c r="AL999" s="10"/>
      <x:c r="AM999" s="10"/>
      <x:c r="AN999" s="4"/>
      <x:c r="AO999" s="4"/>
      <x:c r="AP999" s="4"/>
      <x:c r="AQ999" s="4"/>
      <x:c r="AR999" s="4"/>
      <x:c r="AS999" s="4"/>
      <x:c r="AT999" s="4"/>
      <x:c r="AU999" s="4"/>
      <x:c r="AV999" s="10"/>
      <x:c r="AW999" s="10"/>
      <x:c r="AX999" s="10"/>
      <x:c r="AY999" s="10"/>
      <x:c r="AZ999" s="10" t="n">
        <x:v>33</x:v>
      </x:c>
      <x:c r="BA999" s="10" t="n">
        <x:v>39</x:v>
      </x:c>
      <x:c r="BB999" s="4" t="n">
        <x:v>45.8</x:v>
      </x:c>
      <x:c r="BC999" s="4" t="n">
        <x:v>-7.1</x:v>
      </x:c>
      <x:c r="BD999" s="10" t="n">
        <x:v>29</x:v>
      </x:c>
      <x:c r="BE999" s="10" t="n">
        <x:v>25</x:v>
      </x:c>
      <x:c r="BF999" s="4" t="n">
        <x:v>53.7</x:v>
      </x:c>
      <x:c r="BG999" s="4" t="n">
        <x:v>1.8</x:v>
      </x:c>
      <x:c r="BH999" s="4" t="n">
        <x:v>18.8</x:v>
      </x:c>
      <x:c r="BI999" s="4" t="n">
        <x:v>100</x:v>
      </x:c>
      <x:c r="BJ999" s="4" t="n">
        <x:v>118.8</x:v>
      </x:c>
      <x:c r="BK999" s="4" t="n">
        <x:v>31.3</x:v>
      </x:c>
      <x:c r="BL999" s="4" t="n">
        <x:v>68.8</x:v>
      </x:c>
      <x:c r="BM999" s="4" t="n">
        <x:v>15.016666666666667</x:v>
      </x:c>
      <x:c r="BN999" s="4" t="n">
        <x:v>14.1</x:v>
      </x:c>
      <x:c r="BO999" s="10" t="n">
        <x:v>0</x:v>
      </x:c>
      <x:c r="BP999" s="10" t="n">
        <x:v>1</x:v>
      </x:c>
      <x:c r="BQ999" s="4" t="n">
        <x:v>-0.2</x:v>
      </x:c>
      <x:c r="BR999" s="10" t="n">
        <x:v>10</x:v>
      </x:c>
      <x:c r="BS999" s="4" t="n">
        <x:v>40</x:v>
      </x:c>
      <x:c r="BT999" s="10" t="n">
        <x:v>3</x:v>
      </x:c>
      <x:c r="BU999" s="4" t="str">
        <x:v>FLA</x:v>
      </x:c>
      <x:c r="BV999" s="10"/>
      <x:c r="BW999" s="10"/>
      <x:c r="BX999" s="10" t="n">
        <x:v>940</x:v>
      </x:c>
      <x:c r="BY999" s="4"/>
      <x:c r="BZ999" s="4"/>
      <x:c r="CA999" s="4" t="str">
        <x:v>Wilmer Skoog</x:v>
      </x:c>
      <x:c r="CB999" s="4" t="str">
        <x:v>skoogwi01</x:v>
      </x:c>
    </x:row>
    <x:row r="1000" ht="22" customHeight="1">
      <x:c r="A1000" s="4" t="str">
        <x:v>Wyatt Kaiser</x:v>
      </x:c>
      <x:c r="B1000" s="4" t="str">
        <x:v>wyattkaiser</x:v>
      </x:c>
      <x:c r="C1000" s="10" t="n">
        <x:v>1</x:v>
      </x:c>
      <x:c r="D1000" s="10" t="n">
        <x:v>0</x:v>
      </x:c>
      <x:c r="E1000" s="10" t="n">
        <x:v>1</x:v>
      </x:c>
      <x:c r="F1000" s="4" t="n">
        <x:f>IF(COUNT(N1000,Q1000,T1000,W1000,Z1000,AC1000,AF1000,AI1000)=8,N1000*Guide!$E$5+Q1000*Guide!$E$6+T1000*Guide!$E$7+W1000*Guide!$E$8+Z1000*Guide!$E$9+AC1000*Guide!$E$10+AF1000*Guide!$E$11+AI1000*Guide!$E$12,"")</x:f>
        <x:v>166</x:v>
      </x:c>
      <x:c r="G1000" s="4" t="str">
        <x:f>IF(COUNT(O1000,R1000,U1000,X1000,AA1000,AD1000,AG1000,AJ1000)=8,O1000*Guide!$E$5+R1000*Guide!$E$6+U1000*Guide!$E$7+X1000*Guide!$E$8+AA1000*Guide!$E$9+AD1000*Guide!$E$10+AG1000*Guide!$E$11+AJ1000*Guide!$E$12,"")</x:f>
      </x:c>
      <x:c r="H1000" s="4" t="str">
        <x:f>IF(COUNT(G1000,F1000)=2,G1000-F1000,"")</x:f>
      </x:c>
      <x:c r="I1000" s="4" t="n">
        <x:f>IF(AND(ISNUMBER(F1000),K1000&gt;0),F1000/K1000,"")</x:f>
        <x:v>2.2432432432432434</x:v>
      </x:c>
      <x:c r="J1000" s="4" t="str">
        <x:f>IF(AND(ISNUMBER(G1000),L1000&gt;0),G1000/L1000,"")</x:f>
      </x:c>
      <x:c r="K1000" s="10" t="n">
        <x:v>74</x:v>
      </x:c>
      <x:c r="L1000" s="10"/>
      <x:c r="M1000" s="10" t="str">
        <x:f>IF(COUNT(L1000,K1000)=2,L1000-K1000,"")</x:f>
      </x:c>
      <x:c r="N1000" s="10" t="n">
        <x:v>4</x:v>
      </x:c>
      <x:c r="O1000" s="10"/>
      <x:c r="P1000" s="10" t="str">
        <x:f>IF(COUNT(O1000,N1000)=2,O1000-N1000,"")</x:f>
      </x:c>
      <x:c r="Q1000" s="10" t="n">
        <x:v>14</x:v>
      </x:c>
      <x:c r="R1000" s="10"/>
      <x:c r="S1000" s="10" t="str">
        <x:f>IF(COUNT(R1000,Q1000)=2,R1000-Q1000,"")</x:f>
      </x:c>
      <x:c r="T1000" s="10" t="n">
        <x:v>-6</x:v>
      </x:c>
      <x:c r="U1000" s="10"/>
      <x:c r="V1000" s="10" t="str">
        <x:f>IF(COUNT(U1000,T1000)=2,U1000-T1000,"")</x:f>
      </x:c>
      <x:c r="W1000" s="10" t="n">
        <x:v>0</x:v>
      </x:c>
      <x:c r="X1000" s="10" t="str">
        <x:f>IF(COUNT(AV1000,AW1000)=2,AV1000+AW1000,"")</x:f>
      </x:c>
      <x:c r="Y1000" s="10" t="str">
        <x:f>IF(COUNT(X1000,W1000)=2,X1000-W1000,"")</x:f>
      </x:c>
      <x:c r="Z1000" s="10" t="n">
        <x:v>0</x:v>
      </x:c>
      <x:c r="AA1000" s="10" t="str">
        <x:f>IF(COUNT(AX1000,AY1000)=2,AX1000+AY1000,"")</x:f>
      </x:c>
      <x:c r="AB1000" s="10" t="str">
        <x:f>IF(COUNT(AA1000,Z1000)=2,AA1000-Z1000,"")</x:f>
      </x:c>
      <x:c r="AC1000" s="10" t="n">
        <x:v>74</x:v>
      </x:c>
      <x:c r="AD1000" s="10"/>
      <x:c r="AE1000" s="10" t="str">
        <x:f>IF(COUNT(AD1000,AC1000)=2,AD1000-AC1000,"")</x:f>
      </x:c>
      <x:c r="AF1000" s="10" t="n">
        <x:v>58</x:v>
      </x:c>
      <x:c r="AG1000" s="10"/>
      <x:c r="AH1000" s="10" t="str">
        <x:f>IF(COUNT(AG1000,AF1000)=2,AG1000-AF1000,"")</x:f>
      </x:c>
      <x:c r="AI1000" s="10" t="n">
        <x:v>108</x:v>
      </x:c>
      <x:c r="AJ1000" s="10"/>
      <x:c r="AK1000" s="10" t="str">
        <x:f>IF(COUNT(AJ1000,AI1000)=2,AJ1000-AI1000,"")</x:f>
      </x:c>
      <x:c r="AL1000" s="10" t="n">
        <x:v>23</x:v>
      </x:c>
      <x:c r="AM1000" s="10"/>
      <x:c r="AN1000" s="4" t="str">
        <x:v>D</x:v>
      </x:c>
      <x:c r="AO1000" s="4"/>
      <x:c r="AP1000" s="4" t="str">
        <x:v>CHI</x:v>
      </x:c>
      <x:c r="AQ1000" s="4"/>
      <x:c r="AR1000" s="4" t="n">
        <x:v>18.049999999999997</x:v>
      </x:c>
      <x:c r="AS1000" s="4"/>
      <x:c r="AT1000" s="4" t="n">
        <x:v>0.07</x:v>
      </x:c>
      <x:c r="AU1000" s="4"/>
      <x:c r="AV1000" s="10"/>
      <x:c r="AW1000" s="10"/>
      <x:c r="AX1000" s="10"/>
      <x:c r="AY1000" s="10"/>
      <x:c r="AZ1000" s="10" t="n">
        <x:v>1085</x:v>
      </x:c>
      <x:c r="BA1000" s="10" t="n">
        <x:v>1312</x:v>
      </x:c>
      <x:c r="BB1000" s="4" t="n">
        <x:v>45.3</x:v>
      </x:c>
      <x:c r="BC1000" s="4" t="n">
        <x:v>-1.1</x:v>
      </x:c>
      <x:c r="BD1000" s="10" t="n">
        <x:v>817</x:v>
      </x:c>
      <x:c r="BE1000" s="10" t="n">
        <x:v>1009</x:v>
      </x:c>
      <x:c r="BF1000" s="4" t="n">
        <x:v>44.7</x:v>
      </x:c>
      <x:c r="BG1000" s="4" t="n">
        <x:v>-1.3</x:v>
      </x:c>
      <x:c r="BH1000" s="4" t="n">
        <x:v>10.4</x:v>
      </x:c>
      <x:c r="BI1000" s="4" t="n">
        <x:v>89</x:v>
      </x:c>
      <x:c r="BJ1000" s="4" t="n">
        <x:v>99.4</x:v>
      </x:c>
      <x:c r="BK1000" s="4" t="n">
        <x:v>50.6</x:v>
      </x:c>
      <x:c r="BL1000" s="4" t="n">
        <x:v>49.4</x:v>
      </x:c>
      <x:c r="BM1000" s="4" t="n">
        <x:v>19.616666666666667</x:v>
      </x:c>
      <x:c r="BN1000" s="4" t="n">
        <x:v>17.65</x:v>
      </x:c>
      <x:c r="BO1000" s="10" t="n">
        <x:v>36</x:v>
      </x:c>
      <x:c r="BP1000" s="10" t="n">
        <x:v>89</x:v>
      </x:c>
      <x:c r="BQ1000" s="4" t="n">
        <x:v>-18.4</x:v>
      </x:c>
      <x:c r="BR1000" s="10" t="n">
        <x:v>175</x:v>
      </x:c>
      <x:c r="BS1000" s="4" t="n">
        <x:v>42.9</x:v>
      </x:c>
      <x:c r="BT1000" s="10" t="n">
        <x:v>77</x:v>
      </x:c>
      <x:c r="BU1000" s="4" t="str">
        <x:v>CHI</x:v>
      </x:c>
      <x:c r="BV1000" s="10" t="n">
        <x:v>565</x:v>
      </x:c>
      <x:c r="BW1000" s="10"/>
      <x:c r="BX1000" s="10" t="n">
        <x:v>488</x:v>
      </x:c>
      <x:c r="BY1000" s="4" t="str">
        <x:v>Wyatt Kaiser</x:v>
      </x:c>
      <x:c r="BZ1000" s="4"/>
      <x:c r="CA1000" s="4" t="str">
        <x:v>Wyatt Kaiser</x:v>
      </x:c>
      <x:c r="CB1000" s="4" t="str">
        <x:v>kaisewy01</x:v>
      </x:c>
    </x:row>
    <x:row r="1001" ht="22" customHeight="1">
      <x:c r="A1001" s="4" t="str">
        <x:v>Xavier Bourgault</x:v>
      </x:c>
      <x:c r="B1001" s="4" t="str">
        <x:v>xavierbourgault</x:v>
      </x:c>
      <x:c r="C1001" s="10" t="n">
        <x:v>0</x:v>
      </x:c>
      <x:c r="D1001" s="10" t="n">
        <x:v>0</x:v>
      </x:c>
      <x:c r="E1001" s="10" t="n">
        <x:v>1</x:v>
      </x:c>
      <x:c r="F1001" s="4" t="str">
        <x:f>IF(COUNT(N1001,Q1001,T1001,W1001,Z1001,AC1001,AF1001,AI1001)=8,N1001*Guide!$E$5+Q1001*Guide!$E$6+T1001*Guide!$E$7+W1001*Guide!$E$8+Z1001*Guide!$E$9+AC1001*Guide!$E$10+AF1001*Guide!$E$11+AI1001*Guide!$E$12,"")</x:f>
      </x:c>
      <x:c r="G1001" s="4" t="str">
        <x:f>IF(COUNT(O1001,R1001,U1001,X1001,AA1001,AD1001,AG1001,AJ1001)=8,O1001*Guide!$E$5+R1001*Guide!$E$6+U1001*Guide!$E$7+X1001*Guide!$E$8+AA1001*Guide!$E$9+AD1001*Guide!$E$10+AG1001*Guide!$E$11+AJ1001*Guide!$E$12,"")</x:f>
      </x:c>
      <x:c r="H1001" s="4" t="str">
        <x:f>IF(COUNT(G1001,F1001)=2,G1001-F1001,"")</x:f>
      </x:c>
      <x:c r="I1001" s="4" t="str">
        <x:f>IF(AND(ISNUMBER(F1001),K1001&gt;0),F1001/K1001,"")</x:f>
      </x:c>
      <x:c r="J1001" s="4" t="str">
        <x:f>IF(AND(ISNUMBER(G1001),L1001&gt;0),G1001/L1001,"")</x:f>
      </x:c>
      <x:c r="K1001" s="10"/>
      <x:c r="L1001" s="10"/>
      <x:c r="M1001" s="10" t="str">
        <x:f>IF(COUNT(L1001,K1001)=2,L1001-K1001,"")</x:f>
      </x:c>
      <x:c r="N1001" s="10"/>
      <x:c r="O1001" s="10"/>
      <x:c r="P1001" s="10" t="str">
        <x:f>IF(COUNT(O1001,N1001)=2,O1001-N1001,"")</x:f>
      </x:c>
      <x:c r="Q1001" s="10"/>
      <x:c r="R1001" s="10"/>
      <x:c r="S1001" s="10" t="str">
        <x:f>IF(COUNT(R1001,Q1001)=2,R1001-Q1001,"")</x:f>
      </x:c>
      <x:c r="T1001" s="10"/>
      <x:c r="U1001" s="10"/>
      <x:c r="V1001" s="10" t="str">
        <x:f>IF(COUNT(U1001,T1001)=2,U1001-T1001,"")</x:f>
      </x:c>
      <x:c r="W1001" s="10"/>
      <x:c r="X1001" s="10" t="str">
        <x:f>IF(COUNT(AV1001,AW1001)=2,AV1001+AW1001,"")</x:f>
      </x:c>
      <x:c r="Y1001" s="10" t="str">
        <x:f>IF(COUNT(X1001,W1001)=2,X1001-W1001,"")</x:f>
      </x:c>
      <x:c r="Z1001" s="10"/>
      <x:c r="AA1001" s="10" t="str">
        <x:f>IF(COUNT(AX1001,AY1001)=2,AX1001+AY1001,"")</x:f>
      </x:c>
      <x:c r="AB1001" s="10" t="str">
        <x:f>IF(COUNT(AA1001,Z1001)=2,AA1001-Z1001,"")</x:f>
      </x:c>
      <x:c r="AC1001" s="10"/>
      <x:c r="AD1001" s="10"/>
      <x:c r="AE1001" s="10" t="str">
        <x:f>IF(COUNT(AD1001,AC1001)=2,AD1001-AC1001,"")</x:f>
      </x:c>
      <x:c r="AF1001" s="10"/>
      <x:c r="AG1001" s="10"/>
      <x:c r="AH1001" s="10" t="str">
        <x:f>IF(COUNT(AG1001,AF1001)=2,AG1001-AF1001,"")</x:f>
      </x:c>
      <x:c r="AI1001" s="10"/>
      <x:c r="AJ1001" s="10"/>
      <x:c r="AK1001" s="10" t="str">
        <x:f>IF(COUNT(AJ1001,AI1001)=2,AJ1001-AI1001,"")</x:f>
      </x:c>
      <x:c r="AL1001" s="10"/>
      <x:c r="AM1001" s="10"/>
      <x:c r="AN1001" s="4"/>
      <x:c r="AO1001" s="4"/>
      <x:c r="AP1001" s="4"/>
      <x:c r="AQ1001" s="4"/>
      <x:c r="AR1001" s="4"/>
      <x:c r="AS1001" s="4"/>
      <x:c r="AT1001" s="4"/>
      <x:c r="AU1001" s="4"/>
      <x:c r="AV1001" s="10"/>
      <x:c r="AW1001" s="10"/>
      <x:c r="AX1001" s="10"/>
      <x:c r="AY1001" s="10"/>
      <x:c r="AZ1001" s="10" t="n">
        <x:v>16</x:v>
      </x:c>
      <x:c r="BA1001" s="10" t="n">
        <x:v>9</x:v>
      </x:c>
      <x:c r="BB1001" s="4" t="n">
        <x:v>64</x:v>
      </x:c>
      <x:c r="BC1001" s="4" t="n">
        <x:v>16.2</x:v>
      </x:c>
      <x:c r="BD1001" s="10" t="n">
        <x:v>13</x:v>
      </x:c>
      <x:c r="BE1001" s="10" t="n">
        <x:v>8</x:v>
      </x:c>
      <x:c r="BF1001" s="4" t="n">
        <x:v>61.9</x:v>
      </x:c>
      <x:c r="BG1001" s="4" t="n">
        <x:v>13.5</x:v>
      </x:c>
      <x:c r="BH1001" s="4" t="n">
        <x:v>12.5</x:v>
      </x:c>
      <x:c r="BI1001" s="4" t="n">
        <x:v>60</x:v>
      </x:c>
      <x:c r="BJ1001" s="4" t="n">
        <x:v>72.5</x:v>
      </x:c>
      <x:c r="BK1001" s="4" t="n">
        <x:v>100</x:v>
      </x:c>
      <x:c r="BL1001" s="4" t="n">
        <x:v>0</x:v>
      </x:c>
      <x:c r="BM1001" s="4" t="n">
        <x:v>5.966666666666667</x:v>
      </x:c>
      <x:c r="BN1001" s="4" t="n">
        <x:v>5.966666666666667</x:v>
      </x:c>
      <x:c r="BO1001" s="10" t="n">
        <x:v>0</x:v>
      </x:c>
      <x:c r="BP1001" s="10" t="n">
        <x:v>1</x:v>
      </x:c>
      <x:c r="BQ1001" s="4" t="n">
        <x:v>0.3</x:v>
      </x:c>
      <x:c r="BR1001" s="10" t="n">
        <x:v>7</x:v>
      </x:c>
      <x:c r="BS1001" s="4" t="n">
        <x:v>42.9</x:v>
      </x:c>
      <x:c r="BT1001" s="10" t="n">
        <x:v>2</x:v>
      </x:c>
      <x:c r="BU1001" s="4" t="str">
        <x:v>OTT</x:v>
      </x:c>
      <x:c r="BV1001" s="10"/>
      <x:c r="BW1001" s="10"/>
      <x:c r="BX1001" s="10" t="n">
        <x:v>85</x:v>
      </x:c>
      <x:c r="BY1001" s="4"/>
      <x:c r="BZ1001" s="4"/>
      <x:c r="CA1001" s="4" t="str">
        <x:v>Xavier Bourgault</x:v>
      </x:c>
      <x:c r="CB1001" s="4" t="str">
        <x:v>bourgxa01</x:v>
      </x:c>
    </x:row>
    <x:row r="1002" ht="22" customHeight="1">
      <x:c r="A1002" s="4" t="str">
        <x:v>Xavier Parent</x:v>
      </x:c>
      <x:c r="B1002" s="4" t="str">
        <x:v>xavierparent</x:v>
      </x:c>
      <x:c r="C1002" s="10" t="n">
        <x:v>0</x:v>
      </x:c>
      <x:c r="D1002" s="10" t="n">
        <x:v>0</x:v>
      </x:c>
      <x:c r="E1002" s="10" t="n">
        <x:v>1</x:v>
      </x:c>
      <x:c r="F1002" s="4" t="str">
        <x:f>IF(COUNT(N1002,Q1002,T1002,W1002,Z1002,AC1002,AF1002,AI1002)=8,N1002*Guide!$E$5+Q1002*Guide!$E$6+T1002*Guide!$E$7+W1002*Guide!$E$8+Z1002*Guide!$E$9+AC1002*Guide!$E$10+AF1002*Guide!$E$11+AI1002*Guide!$E$12,"")</x:f>
      </x:c>
      <x:c r="G1002" s="4" t="str">
        <x:f>IF(COUNT(O1002,R1002,U1002,X1002,AA1002,AD1002,AG1002,AJ1002)=8,O1002*Guide!$E$5+R1002*Guide!$E$6+U1002*Guide!$E$7+X1002*Guide!$E$8+AA1002*Guide!$E$9+AD1002*Guide!$E$10+AG1002*Guide!$E$11+AJ1002*Guide!$E$12,"")</x:f>
      </x:c>
      <x:c r="H1002" s="4" t="str">
        <x:f>IF(COUNT(G1002,F1002)=2,G1002-F1002,"")</x:f>
      </x:c>
      <x:c r="I1002" s="4" t="str">
        <x:f>IF(AND(ISNUMBER(F1002),K1002&gt;0),F1002/K1002,"")</x:f>
      </x:c>
      <x:c r="J1002" s="4" t="str">
        <x:f>IF(AND(ISNUMBER(G1002),L1002&gt;0),G1002/L1002,"")</x:f>
      </x:c>
      <x:c r="K1002" s="10"/>
      <x:c r="L1002" s="10"/>
      <x:c r="M1002" s="10" t="str">
        <x:f>IF(COUNT(L1002,K1002)=2,L1002-K1002,"")</x:f>
      </x:c>
      <x:c r="N1002" s="10"/>
      <x:c r="O1002" s="10"/>
      <x:c r="P1002" s="10" t="str">
        <x:f>IF(COUNT(O1002,N1002)=2,O1002-N1002,"")</x:f>
      </x:c>
      <x:c r="Q1002" s="10"/>
      <x:c r="R1002" s="10"/>
      <x:c r="S1002" s="10" t="str">
        <x:f>IF(COUNT(R1002,Q1002)=2,R1002-Q1002,"")</x:f>
      </x:c>
      <x:c r="T1002" s="10"/>
      <x:c r="U1002" s="10"/>
      <x:c r="V1002" s="10" t="str">
        <x:f>IF(COUNT(U1002,T1002)=2,U1002-T1002,"")</x:f>
      </x:c>
      <x:c r="W1002" s="10"/>
      <x:c r="X1002" s="10" t="str">
        <x:f>IF(COUNT(AV1002,AW1002)=2,AV1002+AW1002,"")</x:f>
      </x:c>
      <x:c r="Y1002" s="10" t="str">
        <x:f>IF(COUNT(X1002,W1002)=2,X1002-W1002,"")</x:f>
      </x:c>
      <x:c r="Z1002" s="10"/>
      <x:c r="AA1002" s="10" t="str">
        <x:f>IF(COUNT(AX1002,AY1002)=2,AX1002+AY1002,"")</x:f>
      </x:c>
      <x:c r="AB1002" s="10" t="str">
        <x:f>IF(COUNT(AA1002,Z1002)=2,AA1002-Z1002,"")</x:f>
      </x:c>
      <x:c r="AC1002" s="10"/>
      <x:c r="AD1002" s="10"/>
      <x:c r="AE1002" s="10" t="str">
        <x:f>IF(COUNT(AD1002,AC1002)=2,AD1002-AC1002,"")</x:f>
      </x:c>
      <x:c r="AF1002" s="10"/>
      <x:c r="AG1002" s="10"/>
      <x:c r="AH1002" s="10" t="str">
        <x:f>IF(COUNT(AG1002,AF1002)=2,AG1002-AF1002,"")</x:f>
      </x:c>
      <x:c r="AI1002" s="10"/>
      <x:c r="AJ1002" s="10"/>
      <x:c r="AK1002" s="10" t="str">
        <x:f>IF(COUNT(AJ1002,AI1002)=2,AJ1002-AI1002,"")</x:f>
      </x:c>
      <x:c r="AL1002" s="10"/>
      <x:c r="AM1002" s="10"/>
      <x:c r="AN1002" s="4"/>
      <x:c r="AO1002" s="4"/>
      <x:c r="AP1002" s="4"/>
      <x:c r="AQ1002" s="4"/>
      <x:c r="AR1002" s="4"/>
      <x:c r="AS1002" s="4"/>
      <x:c r="AT1002" s="4"/>
      <x:c r="AU1002" s="4"/>
      <x:c r="AV1002" s="10"/>
      <x:c r="AW1002" s="10"/>
      <x:c r="AX1002" s="10"/>
      <x:c r="AY1002" s="10"/>
      <x:c r="AZ1002" s="10" t="n">
        <x:v>37</x:v>
      </x:c>
      <x:c r="BA1002" s="10" t="n">
        <x:v>56</x:v>
      </x:c>
      <x:c r="BB1002" s="4" t="n">
        <x:v>39.8</x:v>
      </x:c>
      <x:c r="BC1002" s="4" t="n">
        <x:v>-13.4</x:v>
      </x:c>
      <x:c r="BD1002" s="10" t="n">
        <x:v>27</x:v>
      </x:c>
      <x:c r="BE1002" s="10" t="n">
        <x:v>40</x:v>
      </x:c>
      <x:c r="BF1002" s="4" t="n">
        <x:v>40.3</x:v>
      </x:c>
      <x:c r="BG1002" s="4" t="n">
        <x:v>-11</x:v>
      </x:c>
      <x:c r="BH1002" s="4" t="n">
        <x:v>7.1</x:v>
      </x:c>
      <x:c r="BI1002" s="4" t="n">
        <x:v>92.3</x:v>
      </x:c>
      <x:c r="BJ1002" s="4" t="n">
        <x:v>99.5</x:v>
      </x:c>
      <x:c r="BK1002" s="4" t="n">
        <x:v>48.1</x:v>
      </x:c>
      <x:c r="BL1002" s="4" t="n">
        <x:v>51.9</x:v>
      </x:c>
      <x:c r="BM1002" s="4" t="n">
        <x:v>8.566666666666666</x:v>
      </x:c>
      <x:c r="BN1002" s="4" t="n">
        <x:v>8.566666666666666</x:v>
      </x:c>
      <x:c r="BO1002" s="10" t="n">
        <x:v>1</x:v>
      </x:c>
      <x:c r="BP1002" s="10" t="n">
        <x:v>1</x:v>
      </x:c>
      <x:c r="BQ1002" s="4" t="n">
        <x:v>-1.9</x:v>
      </x:c>
      <x:c r="BR1002" s="10" t="n">
        <x:v>6</x:v>
      </x:c>
      <x:c r="BS1002" s="4" t="n">
        <x:v>33.3</x:v>
      </x:c>
      <x:c r="BT1002" s="10" t="n">
        <x:v>5</x:v>
      </x:c>
      <x:c r="BU1002" s="4" t="str">
        <x:v>NJD</x:v>
      </x:c>
      <x:c r="BV1002" s="10"/>
      <x:c r="BW1002" s="10"/>
      <x:c r="BX1002" s="10" t="n">
        <x:v>784</x:v>
      </x:c>
      <x:c r="BY1002" s="4"/>
      <x:c r="BZ1002" s="4"/>
      <x:c r="CA1002" s="4" t="str">
        <x:v>Xavier Parent</x:v>
      </x:c>
      <x:c r="CB1002" s="4" t="str">
        <x:v>parenxa01</x:v>
      </x:c>
    </x:row>
    <x:row r="1003" ht="22" customHeight="1">
      <x:c r="A1003" s="4" t="str">
        <x:v>Yan Kuznetsov</x:v>
      </x:c>
      <x:c r="B1003" s="4" t="str">
        <x:v>yankuznetsov</x:v>
      </x:c>
      <x:c r="C1003" s="10" t="n">
        <x:v>0</x:v>
      </x:c>
      <x:c r="D1003" s="10" t="n">
        <x:v>0</x:v>
      </x:c>
      <x:c r="E1003" s="10" t="n">
        <x:v>1</x:v>
      </x:c>
      <x:c r="F1003" s="4" t="str">
        <x:f>IF(COUNT(N1003,Q1003,T1003,W1003,Z1003,AC1003,AF1003,AI1003)=8,N1003*Guide!$E$5+Q1003*Guide!$E$6+T1003*Guide!$E$7+W1003*Guide!$E$8+Z1003*Guide!$E$9+AC1003*Guide!$E$10+AF1003*Guide!$E$11+AI1003*Guide!$E$12,"")</x:f>
      </x:c>
      <x:c r="G1003" s="4" t="str">
        <x:f>IF(COUNT(O1003,R1003,U1003,X1003,AA1003,AD1003,AG1003,AJ1003)=8,O1003*Guide!$E$5+R1003*Guide!$E$6+U1003*Guide!$E$7+X1003*Guide!$E$8+AA1003*Guide!$E$9+AD1003*Guide!$E$10+AG1003*Guide!$E$11+AJ1003*Guide!$E$12,"")</x:f>
      </x:c>
      <x:c r="H1003" s="4" t="str">
        <x:f>IF(COUNT(G1003,F1003)=2,G1003-F1003,"")</x:f>
      </x:c>
      <x:c r="I1003" s="4" t="str">
        <x:f>IF(AND(ISNUMBER(F1003),K1003&gt;0),F1003/K1003,"")</x:f>
      </x:c>
      <x:c r="J1003" s="4" t="str">
        <x:f>IF(AND(ISNUMBER(G1003),L1003&gt;0),G1003/L1003,"")</x:f>
      </x:c>
      <x:c r="K1003" s="10"/>
      <x:c r="L1003" s="10"/>
      <x:c r="M1003" s="10" t="str">
        <x:f>IF(COUNT(L1003,K1003)=2,L1003-K1003,"")</x:f>
      </x:c>
      <x:c r="N1003" s="10"/>
      <x:c r="O1003" s="10"/>
      <x:c r="P1003" s="10" t="str">
        <x:f>IF(COUNT(O1003,N1003)=2,O1003-N1003,"")</x:f>
      </x:c>
      <x:c r="Q1003" s="10"/>
      <x:c r="R1003" s="10"/>
      <x:c r="S1003" s="10" t="str">
        <x:f>IF(COUNT(R1003,Q1003)=2,R1003-Q1003,"")</x:f>
      </x:c>
      <x:c r="T1003" s="10"/>
      <x:c r="U1003" s="10"/>
      <x:c r="V1003" s="10" t="str">
        <x:f>IF(COUNT(U1003,T1003)=2,U1003-T1003,"")</x:f>
      </x:c>
      <x:c r="W1003" s="10"/>
      <x:c r="X1003" s="10" t="str">
        <x:f>IF(COUNT(AV1003,AW1003)=2,AV1003+AW1003,"")</x:f>
      </x:c>
      <x:c r="Y1003" s="10" t="str">
        <x:f>IF(COUNT(X1003,W1003)=2,X1003-W1003,"")</x:f>
      </x:c>
      <x:c r="Z1003" s="10"/>
      <x:c r="AA1003" s="10" t="str">
        <x:f>IF(COUNT(AX1003,AY1003)=2,AX1003+AY1003,"")</x:f>
      </x:c>
      <x:c r="AB1003" s="10" t="str">
        <x:f>IF(COUNT(AA1003,Z1003)=2,AA1003-Z1003,"")</x:f>
      </x:c>
      <x:c r="AC1003" s="10"/>
      <x:c r="AD1003" s="10"/>
      <x:c r="AE1003" s="10" t="str">
        <x:f>IF(COUNT(AD1003,AC1003)=2,AD1003-AC1003,"")</x:f>
      </x:c>
      <x:c r="AF1003" s="10"/>
      <x:c r="AG1003" s="10"/>
      <x:c r="AH1003" s="10" t="str">
        <x:f>IF(COUNT(AG1003,AF1003)=2,AG1003-AF1003,"")</x:f>
      </x:c>
      <x:c r="AI1003" s="10"/>
      <x:c r="AJ1003" s="10"/>
      <x:c r="AK1003" s="10" t="str">
        <x:f>IF(COUNT(AJ1003,AI1003)=2,AJ1003-AI1003,"")</x:f>
      </x:c>
      <x:c r="AL1003" s="10"/>
      <x:c r="AM1003" s="10"/>
      <x:c r="AN1003" s="4"/>
      <x:c r="AO1003" s="4"/>
      <x:c r="AP1003" s="4"/>
      <x:c r="AQ1003" s="4"/>
      <x:c r="AR1003" s="4"/>
      <x:c r="AS1003" s="4"/>
      <x:c r="AT1003" s="4"/>
      <x:c r="AU1003" s="4"/>
      <x:c r="AV1003" s="10"/>
      <x:c r="AW1003" s="10"/>
      <x:c r="AX1003" s="10"/>
      <x:c r="AY1003" s="10"/>
      <x:c r="AZ1003" s="10" t="n">
        <x:v>1036</x:v>
      </x:c>
      <x:c r="BA1003" s="10" t="n">
        <x:v>1129</x:v>
      </x:c>
      <x:c r="BB1003" s="4" t="n">
        <x:v>47.9</x:v>
      </x:c>
      <x:c r="BC1003" s="4" t="n">
        <x:v>-1.5</x:v>
      </x:c>
      <x:c r="BD1003" s="10" t="n">
        <x:v>730</x:v>
      </x:c>
      <x:c r="BE1003" s="10" t="n">
        <x:v>778</x:v>
      </x:c>
      <x:c r="BF1003" s="4" t="n">
        <x:v>48.4</x:v>
      </x:c>
      <x:c r="BG1003" s="4" t="n">
        <x:v>-0.1</x:v>
      </x:c>
      <x:c r="BH1003" s="4" t="n">
        <x:v>7</x:v>
      </x:c>
      <x:c r="BI1003" s="4" t="n">
        <x:v>90.7</x:v>
      </x:c>
      <x:c r="BJ1003" s="4" t="n">
        <x:v>97.6</x:v>
      </x:c>
      <x:c r="BK1003" s="4" t="n">
        <x:v>52.3</x:v>
      </x:c>
      <x:c r="BL1003" s="4" t="n">
        <x:v>47.7</x:v>
      </x:c>
      <x:c r="BM1003" s="4" t="n">
        <x:v>20.083333333333332</x:v>
      </x:c>
      <x:c r="BN1003" s="4" t="n">
        <x:v>18.266666666666666</x:v>
      </x:c>
      <x:c r="BO1003" s="10" t="n">
        <x:v>9</x:v>
      </x:c>
      <x:c r="BP1003" s="10" t="n">
        <x:v>61</x:v>
      </x:c>
      <x:c r="BQ1003" s="4" t="n">
        <x:v>-8.5</x:v>
      </x:c>
      <x:c r="BR1003" s="10" t="n">
        <x:v>135</x:v>
      </x:c>
      <x:c r="BS1003" s="4" t="n">
        <x:v>47.4</x:v>
      </x:c>
      <x:c r="BT1003" s="10" t="n">
        <x:v>57</x:v>
      </x:c>
      <x:c r="BU1003" s="4" t="str">
        <x:v>CGY</x:v>
      </x:c>
      <x:c r="BV1003" s="10"/>
      <x:c r="BW1003" s="10"/>
      <x:c r="BX1003" s="10" t="n">
        <x:v>556</x:v>
      </x:c>
      <x:c r="BY1003" s="4"/>
      <x:c r="BZ1003" s="4"/>
      <x:c r="CA1003" s="4" t="str">
        <x:v>Yan Kuznetsov</x:v>
      </x:c>
      <x:c r="CB1003" s="4" t="str">
        <x:v>kuzneya01</x:v>
      </x:c>
    </x:row>
    <x:row r="1004" ht="22" customHeight="1">
      <x:c r="A1004" s="4" t="str">
        <x:v>Zac Jones</x:v>
      </x:c>
      <x:c r="B1004" s="4" t="str">
        <x:v>zacjones</x:v>
      </x:c>
      <x:c r="C1004" s="10" t="n">
        <x:v>1</x:v>
      </x:c>
      <x:c r="D1004" s="10" t="n">
        <x:v>0</x:v>
      </x:c>
      <x:c r="E1004" s="10" t="n">
        <x:v>0</x:v>
      </x:c>
      <x:c r="F1004" s="4" t="n">
        <x:f>IF(COUNT(N1004,Q1004,T1004,W1004,Z1004,AC1004,AF1004,AI1004)=8,N1004*Guide!$E$5+Q1004*Guide!$E$6+T1004*Guide!$E$7+W1004*Guide!$E$8+Z1004*Guide!$E$9+AC1004*Guide!$E$10+AF1004*Guide!$E$11+AI1004*Guide!$E$12,"")</x:f>
        <x:v>123.75</x:v>
      </x:c>
      <x:c r="G1004" s="4" t="str">
        <x:f>IF(COUNT(O1004,R1004,U1004,X1004,AA1004,AD1004,AG1004,AJ1004)=8,O1004*Guide!$E$5+R1004*Guide!$E$6+U1004*Guide!$E$7+X1004*Guide!$E$8+AA1004*Guide!$E$9+AD1004*Guide!$E$10+AG1004*Guide!$E$11+AJ1004*Guide!$E$12,"")</x:f>
      </x:c>
      <x:c r="H1004" s="4" t="str">
        <x:f>IF(COUNT(G1004,F1004)=2,G1004-F1004,"")</x:f>
      </x:c>
      <x:c r="I1004" s="4" t="n">
        <x:f>IF(AND(ISNUMBER(F1004),K1004&gt;0),F1004/K1004,"")</x:f>
        <x:v>2.3798076923076925</x:v>
      </x:c>
      <x:c r="J1004" s="4" t="str">
        <x:f>IF(AND(ISNUMBER(G1004),L1004&gt;0),G1004/L1004,"")</x:f>
      </x:c>
      <x:c r="K1004" s="10" t="n">
        <x:v>52</x:v>
      </x:c>
      <x:c r="L1004" s="10"/>
      <x:c r="M1004" s="10" t="str">
        <x:f>IF(COUNT(L1004,K1004)=2,L1004-K1004,"")</x:f>
      </x:c>
      <x:c r="N1004" s="10" t="n">
        <x:v>4</x:v>
      </x:c>
      <x:c r="O1004" s="10"/>
      <x:c r="P1004" s="10" t="str">
        <x:f>IF(COUNT(O1004,N1004)=2,O1004-N1004,"")</x:f>
      </x:c>
      <x:c r="Q1004" s="10" t="n">
        <x:v>14</x:v>
      </x:c>
      <x:c r="R1004" s="10"/>
      <x:c r="S1004" s="10" t="str">
        <x:f>IF(COUNT(R1004,Q1004)=2,R1004-Q1004,"")</x:f>
      </x:c>
      <x:c r="T1004" s="10" t="n">
        <x:v>-2</x:v>
      </x:c>
      <x:c r="U1004" s="10"/>
      <x:c r="V1004" s="10" t="str">
        <x:f>IF(COUNT(U1004,T1004)=2,U1004-T1004,"")</x:f>
      </x:c>
      <x:c r="W1004" s="10" t="n">
        <x:v>5</x:v>
      </x:c>
      <x:c r="X1004" s="10" t="str">
        <x:f>IF(COUNT(AV1004,AW1004)=2,AV1004+AW1004,"")</x:f>
      </x:c>
      <x:c r="Y1004" s="10" t="str">
        <x:f>IF(COUNT(X1004,W1004)=2,X1004-W1004,"")</x:f>
      </x:c>
      <x:c r="Z1004" s="10" t="n">
        <x:v>0</x:v>
      </x:c>
      <x:c r="AA1004" s="10" t="str">
        <x:f>IF(COUNT(AX1004,AY1004)=2,AX1004+AY1004,"")</x:f>
      </x:c>
      <x:c r="AB1004" s="10" t="str">
        <x:f>IF(COUNT(AA1004,Z1004)=2,AA1004-Z1004,"")</x:f>
      </x:c>
      <x:c r="AC1004" s="10" t="n">
        <x:v>64</x:v>
      </x:c>
      <x:c r="AD1004" s="10"/>
      <x:c r="AE1004" s="10" t="str">
        <x:f>IF(COUNT(AD1004,AC1004)=2,AD1004-AC1004,"")</x:f>
      </x:c>
      <x:c r="AF1004" s="10" t="n">
        <x:v>31</x:v>
      </x:c>
      <x:c r="AG1004" s="10"/>
      <x:c r="AH1004" s="10" t="str">
        <x:f>IF(COUNT(AG1004,AF1004)=2,AG1004-AF1004,"")</x:f>
      </x:c>
      <x:c r="AI1004" s="10" t="n">
        <x:v>52</x:v>
      </x:c>
      <x:c r="AJ1004" s="10"/>
      <x:c r="AK1004" s="10" t="str">
        <x:f>IF(COUNT(AJ1004,AI1004)=2,AJ1004-AI1004,"")</x:f>
      </x:c>
      <x:c r="AL1004" s="10" t="n">
        <x:v>25</x:v>
      </x:c>
      <x:c r="AM1004" s="10"/>
      <x:c r="AN1004" s="4" t="str">
        <x:v>D</x:v>
      </x:c>
      <x:c r="AO1004" s="4"/>
      <x:c r="AP1004" s="4" t="str">
        <x:v>BUF</x:v>
      </x:c>
      <x:c r="AQ1004" s="4"/>
      <x:c r="AR1004" s="4" t="n">
        <x:v>16.919999999999998</x:v>
      </x:c>
      <x:c r="AS1004" s="4"/>
      <x:c r="AT1004" s="4" t="n">
        <x:v>1.27</x:v>
      </x:c>
      <x:c r="AU1004" s="4"/>
      <x:c r="AV1004" s="10"/>
      <x:c r="AW1004" s="10"/>
      <x:c r="AX1004" s="10"/>
      <x:c r="AY1004" s="10"/>
      <x:c r="AZ1004" s="10"/>
      <x:c r="BA1004" s="10"/>
      <x:c r="BB1004" s="4"/>
      <x:c r="BC1004" s="4"/>
      <x:c r="BD1004" s="10"/>
      <x:c r="BE1004" s="10"/>
      <x:c r="BF1004" s="4"/>
      <x:c r="BG1004" s="4"/>
      <x:c r="BH1004" s="4"/>
      <x:c r="BI1004" s="4"/>
      <x:c r="BJ1004" s="4"/>
      <x:c r="BK1004" s="4"/>
      <x:c r="BL1004" s="4"/>
      <x:c r="BM1004" s="4"/>
      <x:c r="BN1004" s="4"/>
      <x:c r="BO1004" s="10"/>
      <x:c r="BP1004" s="10"/>
      <x:c r="BQ1004" s="4"/>
      <x:c r="BR1004" s="10"/>
      <x:c r="BS1004" s="4"/>
      <x:c r="BT1004" s="10"/>
      <x:c r="BU1004" s="4"/>
      <x:c r="BV1004" s="10" t="n">
        <x:v>572</x:v>
      </x:c>
      <x:c r="BW1004" s="10"/>
      <x:c r="BX1004" s="10"/>
      <x:c r="BY1004" s="4" t="str">
        <x:v>Zac Jones</x:v>
      </x:c>
      <x:c r="BZ1004" s="4"/>
      <x:c r="CA1004" s="4"/>
      <x:c r="CB1004" s="4"/>
    </x:row>
    <x:row r="1005" ht="22" customHeight="1">
      <x:c r="A1005" s="4" t="str">
        <x:v>Zach Aston-Reese</x:v>
      </x:c>
      <x:c r="B1005" s="4" t="str">
        <x:v>zachastonreese</x:v>
      </x:c>
      <x:c r="C1005" s="10" t="n">
        <x:v>1</x:v>
      </x:c>
      <x:c r="D1005" s="10" t="n">
        <x:v>0</x:v>
      </x:c>
      <x:c r="E1005" s="10" t="n">
        <x:v>1</x:v>
      </x:c>
      <x:c r="F1005" s="4" t="n">
        <x:f>IF(COUNT(N1005,Q1005,T1005,W1005,Z1005,AC1005,AF1005,AI1005)=8,N1005*Guide!$E$5+Q1005*Guide!$E$6+T1005*Guide!$E$7+W1005*Guide!$E$8+Z1005*Guide!$E$9+AC1005*Guide!$E$10+AF1005*Guide!$E$11+AI1005*Guide!$E$12,"")</x:f>
        <x:v>171.5</x:v>
      </x:c>
      <x:c r="G1005" s="4" t="str">
        <x:f>IF(COUNT(O1005,R1005,U1005,X1005,AA1005,AD1005,AG1005,AJ1005)=8,O1005*Guide!$E$5+R1005*Guide!$E$6+U1005*Guide!$E$7+X1005*Guide!$E$8+AA1005*Guide!$E$9+AD1005*Guide!$E$10+AG1005*Guide!$E$11+AJ1005*Guide!$E$12,"")</x:f>
      </x:c>
      <x:c r="H1005" s="4" t="str">
        <x:f>IF(COUNT(G1005,F1005)=2,G1005-F1005,"")</x:f>
      </x:c>
      <x:c r="I1005" s="4" t="n">
        <x:f>IF(AND(ISNUMBER(F1005),K1005&gt;0),F1005/K1005,"")</x:f>
        <x:v>2.198717948717949</x:v>
      </x:c>
      <x:c r="J1005" s="4" t="str">
        <x:f>IF(AND(ISNUMBER(G1005),L1005&gt;0),G1005/L1005,"")</x:f>
      </x:c>
      <x:c r="K1005" s="10" t="n">
        <x:v>78</x:v>
      </x:c>
      <x:c r="L1005" s="10"/>
      <x:c r="M1005" s="10" t="str">
        <x:f>IF(COUNT(L1005,K1005)=2,L1005-K1005,"")</x:f>
      </x:c>
      <x:c r="N1005" s="10" t="n">
        <x:v>9</x:v>
      </x:c>
      <x:c r="O1005" s="10"/>
      <x:c r="P1005" s="10" t="str">
        <x:f>IF(COUNT(O1005,N1005)=2,O1005-N1005,"")</x:f>
      </x:c>
      <x:c r="Q1005" s="10" t="n">
        <x:v>10</x:v>
      </x:c>
      <x:c r="R1005" s="10"/>
      <x:c r="S1005" s="10" t="str">
        <x:f>IF(COUNT(R1005,Q1005)=2,R1005-Q1005,"")</x:f>
      </x:c>
      <x:c r="T1005" s="10" t="n">
        <x:v>-3</x:v>
      </x:c>
      <x:c r="U1005" s="10"/>
      <x:c r="V1005" s="10" t="str">
        <x:f>IF(COUNT(U1005,T1005)=2,U1005-T1005,"")</x:f>
      </x:c>
      <x:c r="W1005" s="10" t="n">
        <x:v>0</x:v>
      </x:c>
      <x:c r="X1005" s="10" t="str">
        <x:f>IF(COUNT(AV1005,AW1005)=2,AV1005+AW1005,"")</x:f>
      </x:c>
      <x:c r="Y1005" s="10" t="str">
        <x:f>IF(COUNT(X1005,W1005)=2,X1005-W1005,"")</x:f>
      </x:c>
      <x:c r="Z1005" s="10" t="n">
        <x:v>1</x:v>
      </x:c>
      <x:c r="AA1005" s="10" t="str">
        <x:f>IF(COUNT(AX1005,AY1005)=2,AX1005+AY1005,"")</x:f>
      </x:c>
      <x:c r="AB1005" s="10" t="str">
        <x:f>IF(COUNT(AA1005,Z1005)=2,AA1005-Z1005,"")</x:f>
      </x:c>
      <x:c r="AC1005" s="10" t="n">
        <x:v>90</x:v>
      </x:c>
      <x:c r="AD1005" s="10"/>
      <x:c r="AE1005" s="10" t="str">
        <x:f>IF(COUNT(AD1005,AC1005)=2,AD1005-AC1005,"")</x:f>
      </x:c>
      <x:c r="AF1005" s="10" t="n">
        <x:v>170</x:v>
      </x:c>
      <x:c r="AG1005" s="10"/>
      <x:c r="AH1005" s="10" t="str">
        <x:f>IF(COUNT(AG1005,AF1005)=2,AG1005-AF1005,"")</x:f>
      </x:c>
      <x:c r="AI1005" s="10" t="n">
        <x:v>54</x:v>
      </x:c>
      <x:c r="AJ1005" s="10"/>
      <x:c r="AK1005" s="10" t="str">
        <x:f>IF(COUNT(AJ1005,AI1005)=2,AJ1005-AI1005,"")</x:f>
      </x:c>
      <x:c r="AL1005" s="10" t="n">
        <x:v>31</x:v>
      </x:c>
      <x:c r="AM1005" s="10"/>
      <x:c r="AN1005" s="4" t="str">
        <x:v>C</x:v>
      </x:c>
      <x:c r="AO1005" s="4"/>
      <x:c r="AP1005" s="4" t="str">
        <x:v>CBJ</x:v>
      </x:c>
      <x:c r="AQ1005" s="4"/>
      <x:c r="AR1005" s="4" t="n">
        <x:v>12.799999999999999</x:v>
      </x:c>
      <x:c r="AS1005" s="4"/>
      <x:c r="AT1005" s="4" t="n">
        <x:v>0.03</x:v>
      </x:c>
      <x:c r="AU1005" s="4"/>
      <x:c r="AV1005" s="10"/>
      <x:c r="AW1005" s="10"/>
      <x:c r="AX1005" s="10"/>
      <x:c r="AY1005" s="10"/>
      <x:c r="AZ1005" s="10" t="n">
        <x:v>201</x:v>
      </x:c>
      <x:c r="BA1005" s="10" t="n">
        <x:v>230</x:v>
      </x:c>
      <x:c r="BB1005" s="4" t="n">
        <x:v>46.6</x:v>
      </x:c>
      <x:c r="BC1005" s="4" t="n">
        <x:v>-4.4</x:v>
      </x:c>
      <x:c r="BD1005" s="10" t="n">
        <x:v>141</x:v>
      </x:c>
      <x:c r="BE1005" s="10" t="n">
        <x:v>164</x:v>
      </x:c>
      <x:c r="BF1005" s="4" t="n">
        <x:v>46.2</x:v>
      </x:c>
      <x:c r="BG1005" s="4" t="n">
        <x:v>-3.5</x:v>
      </x:c>
      <x:c r="BH1005" s="4" t="n">
        <x:v>6.9</x:v>
      </x:c>
      <x:c r="BI1005" s="4" t="n">
        <x:v>93</x:v>
      </x:c>
      <x:c r="BJ1005" s="4" t="n">
        <x:v>99.9</x:v>
      </x:c>
      <x:c r="BK1005" s="4" t="n">
        <x:v>26</x:v>
      </x:c>
      <x:c r="BL1005" s="4" t="n">
        <x:v>74</x:v>
      </x:c>
      <x:c r="BM1005" s="4" t="n">
        <x:v>9.733333333333333</x:v>
      </x:c>
      <x:c r="BN1005" s="4" t="n">
        <x:v>9.1</x:v>
      </x:c>
      <x:c r="BO1005" s="10" t="n">
        <x:v>2</x:v>
      </x:c>
      <x:c r="BP1005" s="10" t="n">
        <x:v>10</x:v>
      </x:c>
      <x:c r="BQ1005" s="4" t="n">
        <x:v>-1.4</x:v>
      </x:c>
      <x:c r="BR1005" s="10" t="n">
        <x:v>31</x:v>
      </x:c>
      <x:c r="BS1005" s="4" t="n">
        <x:v>54.8</x:v>
      </x:c>
      <x:c r="BT1005" s="10" t="n">
        <x:v>27</x:v>
      </x:c>
      <x:c r="BU1005" s="4" t="str">
        <x:v>CBJ</x:v>
      </x:c>
      <x:c r="BV1005" s="10" t="n">
        <x:v>546</x:v>
      </x:c>
      <x:c r="BW1005" s="10"/>
      <x:c r="BX1005" s="10" t="n">
        <x:v>21</x:v>
      </x:c>
      <x:c r="BY1005" s="4" t="str">
        <x:v>Zach Aston-Reese</x:v>
      </x:c>
      <x:c r="BZ1005" s="4"/>
      <x:c r="CA1005" s="4" t="str">
        <x:v>Zach Aston-Reese</x:v>
      </x:c>
      <x:c r="CB1005" s="4" t="str">
        <x:v>astonza01</x:v>
      </x:c>
    </x:row>
    <x:row r="1006" ht="22" customHeight="1">
      <x:c r="A1006" s="4" t="str">
        <x:v>Zach Bogosian</x:v>
      </x:c>
      <x:c r="B1006" s="4" t="str">
        <x:v>zachbogosian</x:v>
      </x:c>
      <x:c r="C1006" s="10" t="n">
        <x:v>1</x:v>
      </x:c>
      <x:c r="D1006" s="10" t="n">
        <x:v>0</x:v>
      </x:c>
      <x:c r="E1006" s="10" t="n">
        <x:v>1</x:v>
      </x:c>
      <x:c r="F1006" s="4" t="n">
        <x:f>IF(COUNT(N1006,Q1006,T1006,W1006,Z1006,AC1006,AF1006,AI1006)=8,N1006*Guide!$E$5+Q1006*Guide!$E$6+T1006*Guide!$E$7+W1006*Guide!$E$8+Z1006*Guide!$E$9+AC1006*Guide!$E$10+AF1006*Guide!$E$11+AI1006*Guide!$E$12,"")</x:f>
        <x:v>142</x:v>
      </x:c>
      <x:c r="G1006" s="4" t="str">
        <x:f>IF(COUNT(O1006,R1006,U1006,X1006,AA1006,AD1006,AG1006,AJ1006)=8,O1006*Guide!$E$5+R1006*Guide!$E$6+U1006*Guide!$E$7+X1006*Guide!$E$8+AA1006*Guide!$E$9+AD1006*Guide!$E$10+AG1006*Guide!$E$11+AJ1006*Guide!$E$12,"")</x:f>
      </x:c>
      <x:c r="H1006" s="4" t="str">
        <x:f>IF(COUNT(G1006,F1006)=2,G1006-F1006,"")</x:f>
      </x:c>
      <x:c r="I1006" s="4" t="n">
        <x:f>IF(AND(ISNUMBER(F1006),K1006&gt;0),F1006/K1006,"")</x:f>
        <x:v>1.868421052631579</x:v>
      </x:c>
      <x:c r="J1006" s="4" t="str">
        <x:f>IF(AND(ISNUMBER(G1006),L1006&gt;0),G1006/L1006,"")</x:f>
      </x:c>
      <x:c r="K1006" s="10" t="n">
        <x:v>76</x:v>
      </x:c>
      <x:c r="L1006" s="10"/>
      <x:c r="M1006" s="10" t="str">
        <x:f>IF(COUNT(L1006,K1006)=2,L1006-K1006,"")</x:f>
      </x:c>
      <x:c r="N1006" s="10" t="n">
        <x:v>3</x:v>
      </x:c>
      <x:c r="O1006" s="10"/>
      <x:c r="P1006" s="10" t="str">
        <x:f>IF(COUNT(O1006,N1006)=2,O1006-N1006,"")</x:f>
      </x:c>
      <x:c r="Q1006" s="10" t="n">
        <x:v>10</x:v>
      </x:c>
      <x:c r="R1006" s="10"/>
      <x:c r="S1006" s="10" t="str">
        <x:f>IF(COUNT(R1006,Q1006)=2,R1006-Q1006,"")</x:f>
      </x:c>
      <x:c r="T1006" s="10" t="n">
        <x:v>-1</x:v>
      </x:c>
      <x:c r="U1006" s="10"/>
      <x:c r="V1006" s="10" t="str">
        <x:f>IF(COUNT(U1006,T1006)=2,U1006-T1006,"")</x:f>
      </x:c>
      <x:c r="W1006" s="10" t="n">
        <x:v>0</x:v>
      </x:c>
      <x:c r="X1006" s="10" t="str">
        <x:f>IF(COUNT(AV1006,AW1006)=2,AV1006+AW1006,"")</x:f>
      </x:c>
      <x:c r="Y1006" s="10" t="str">
        <x:f>IF(COUNT(X1006,W1006)=2,X1006-W1006,"")</x:f>
      </x:c>
      <x:c r="Z1006" s="10" t="n">
        <x:v>0</x:v>
      </x:c>
      <x:c r="AA1006" s="10" t="str">
        <x:f>IF(COUNT(AX1006,AY1006)=2,AX1006+AY1006,"")</x:f>
      </x:c>
      <x:c r="AB1006" s="10" t="str">
        <x:f>IF(COUNT(AA1006,Z1006)=2,AA1006-Z1006,"")</x:f>
      </x:c>
      <x:c r="AC1006" s="10" t="n">
        <x:v>74</x:v>
      </x:c>
      <x:c r="AD1006" s="10"/>
      <x:c r="AE1006" s="10" t="str">
        <x:f>IF(COUNT(AD1006,AC1006)=2,AD1006-AC1006,"")</x:f>
      </x:c>
      <x:c r="AF1006" s="10" t="n">
        <x:v>84</x:v>
      </x:c>
      <x:c r="AG1006" s="10"/>
      <x:c r="AH1006" s="10" t="str">
        <x:f>IF(COUNT(AG1006,AF1006)=2,AG1006-AF1006,"")</x:f>
      </x:c>
      <x:c r="AI1006" s="10" t="n">
        <x:v>82</x:v>
      </x:c>
      <x:c r="AJ1006" s="10"/>
      <x:c r="AK1006" s="10" t="str">
        <x:f>IF(COUNT(AJ1006,AI1006)=2,AJ1006-AI1006,"")</x:f>
      </x:c>
      <x:c r="AL1006" s="10" t="n">
        <x:v>35</x:v>
      </x:c>
      <x:c r="AM1006" s="10"/>
      <x:c r="AN1006" s="4" t="str">
        <x:v>D</x:v>
      </x:c>
      <x:c r="AO1006" s="4"/>
      <x:c r="AP1006" s="4" t="str">
        <x:v>MIN</x:v>
      </x:c>
      <x:c r="AQ1006" s="4"/>
      <x:c r="AR1006" s="4" t="n">
        <x:v>15.99</x:v>
      </x:c>
      <x:c r="AS1006" s="4"/>
      <x:c r="AT1006" s="4" t="n">
        <x:v>0.05</x:v>
      </x:c>
      <x:c r="AU1006" s="4"/>
      <x:c r="AV1006" s="10"/>
      <x:c r="AW1006" s="10"/>
      <x:c r="AX1006" s="10"/>
      <x:c r="AY1006" s="10"/>
      <x:c r="AZ1006" s="10" t="n">
        <x:v>500</x:v>
      </x:c>
      <x:c r="BA1006" s="10" t="n">
        <x:v>578</x:v>
      </x:c>
      <x:c r="BB1006" s="4" t="n">
        <x:v>46.4</x:v>
      </x:c>
      <x:c r="BC1006" s="4" t="n">
        <x:v>-2.6</x:v>
      </x:c>
      <x:c r="BD1006" s="10" t="n">
        <x:v>362</x:v>
      </x:c>
      <x:c r="BE1006" s="10" t="n">
        <x:v>428</x:v>
      </x:c>
      <x:c r="BF1006" s="4" t="n">
        <x:v>45.8</x:v>
      </x:c>
      <x:c r="BG1006" s="4" t="n">
        <x:v>-4.5</x:v>
      </x:c>
      <x:c r="BH1006" s="4" t="n">
        <x:v>11.3</x:v>
      </x:c>
      <x:c r="BI1006" s="4" t="n">
        <x:v>93.5</x:v>
      </x:c>
      <x:c r="BJ1006" s="4" t="n">
        <x:v>104.7</x:v>
      </x:c>
      <x:c r="BK1006" s="4" t="n">
        <x:v>50.8</x:v>
      </x:c>
      <x:c r="BL1006" s="4" t="n">
        <x:v>49.2</x:v>
      </x:c>
      <x:c r="BM1006" s="4" t="n">
        <x:v>14.55</x:v>
      </x:c>
      <x:c r="BN1006" s="4" t="n">
        <x:v>13.733333333333333</x:v>
      </x:c>
      <x:c r="BO1006" s="10" t="n">
        <x:v>10</x:v>
      </x:c>
      <x:c r="BP1006" s="10" t="n">
        <x:v>32</x:v>
      </x:c>
      <x:c r="BQ1006" s="4" t="n">
        <x:v>-4.7</x:v>
      </x:c>
      <x:c r="BR1006" s="10" t="n">
        <x:v>76</x:v>
      </x:c>
      <x:c r="BS1006" s="4" t="n">
        <x:v>39.5</x:v>
      </x:c>
      <x:c r="BT1006" s="10" t="n">
        <x:v>41</x:v>
      </x:c>
      <x:c r="BU1006" s="4" t="str">
        <x:v>MIN</x:v>
      </x:c>
      <x:c r="BV1006" s="10" t="n">
        <x:v>666</x:v>
      </x:c>
      <x:c r="BW1006" s="10"/>
      <x:c r="BX1006" s="10" t="n">
        <x:v>75</x:v>
      </x:c>
      <x:c r="BY1006" s="4" t="str">
        <x:v>Zach Bogosian</x:v>
      </x:c>
      <x:c r="BZ1006" s="4"/>
      <x:c r="CA1006" s="4" t="str">
        <x:v>Zach Bogosian</x:v>
      </x:c>
      <x:c r="CB1006" s="4" t="str">
        <x:v>bogosza01</x:v>
      </x:c>
    </x:row>
    <x:row r="1007" ht="22" customHeight="1">
      <x:c r="A1007" s="4" t="str">
        <x:v>Zach Metsa</x:v>
      </x:c>
      <x:c r="B1007" s="4" t="str">
        <x:v>zachmetsa</x:v>
      </x:c>
      <x:c r="C1007" s="10" t="n">
        <x:v>0</x:v>
      </x:c>
      <x:c r="D1007" s="10" t="n">
        <x:v>0</x:v>
      </x:c>
      <x:c r="E1007" s="10" t="n">
        <x:v>1</x:v>
      </x:c>
      <x:c r="F1007" s="4" t="str">
        <x:f>IF(COUNT(N1007,Q1007,T1007,W1007,Z1007,AC1007,AF1007,AI1007)=8,N1007*Guide!$E$5+Q1007*Guide!$E$6+T1007*Guide!$E$7+W1007*Guide!$E$8+Z1007*Guide!$E$9+AC1007*Guide!$E$10+AF1007*Guide!$E$11+AI1007*Guide!$E$12,"")</x:f>
      </x:c>
      <x:c r="G1007" s="4" t="str">
        <x:f>IF(COUNT(O1007,R1007,U1007,X1007,AA1007,AD1007,AG1007,AJ1007)=8,O1007*Guide!$E$5+R1007*Guide!$E$6+U1007*Guide!$E$7+X1007*Guide!$E$8+AA1007*Guide!$E$9+AD1007*Guide!$E$10+AG1007*Guide!$E$11+AJ1007*Guide!$E$12,"")</x:f>
      </x:c>
      <x:c r="H1007" s="4" t="str">
        <x:f>IF(COUNT(G1007,F1007)=2,G1007-F1007,"")</x:f>
      </x:c>
      <x:c r="I1007" s="4" t="str">
        <x:f>IF(AND(ISNUMBER(F1007),K1007&gt;0),F1007/K1007,"")</x:f>
      </x:c>
      <x:c r="J1007" s="4" t="str">
        <x:f>IF(AND(ISNUMBER(G1007),L1007&gt;0),G1007/L1007,"")</x:f>
      </x:c>
      <x:c r="K1007" s="10"/>
      <x:c r="L1007" s="10"/>
      <x:c r="M1007" s="10" t="str">
        <x:f>IF(COUNT(L1007,K1007)=2,L1007-K1007,"")</x:f>
      </x:c>
      <x:c r="N1007" s="10"/>
      <x:c r="O1007" s="10"/>
      <x:c r="P1007" s="10" t="str">
        <x:f>IF(COUNT(O1007,N1007)=2,O1007-N1007,"")</x:f>
      </x:c>
      <x:c r="Q1007" s="10"/>
      <x:c r="R1007" s="10"/>
      <x:c r="S1007" s="10" t="str">
        <x:f>IF(COUNT(R1007,Q1007)=2,R1007-Q1007,"")</x:f>
      </x:c>
      <x:c r="T1007" s="10"/>
      <x:c r="U1007" s="10"/>
      <x:c r="V1007" s="10" t="str">
        <x:f>IF(COUNT(U1007,T1007)=2,U1007-T1007,"")</x:f>
      </x:c>
      <x:c r="W1007" s="10"/>
      <x:c r="X1007" s="10" t="str">
        <x:f>IF(COUNT(AV1007,AW1007)=2,AV1007+AW1007,"")</x:f>
      </x:c>
      <x:c r="Y1007" s="10" t="str">
        <x:f>IF(COUNT(X1007,W1007)=2,X1007-W1007,"")</x:f>
      </x:c>
      <x:c r="Z1007" s="10"/>
      <x:c r="AA1007" s="10" t="str">
        <x:f>IF(COUNT(AX1007,AY1007)=2,AX1007+AY1007,"")</x:f>
      </x:c>
      <x:c r="AB1007" s="10" t="str">
        <x:f>IF(COUNT(AA1007,Z1007)=2,AA1007-Z1007,"")</x:f>
      </x:c>
      <x:c r="AC1007" s="10"/>
      <x:c r="AD1007" s="10"/>
      <x:c r="AE1007" s="10" t="str">
        <x:f>IF(COUNT(AD1007,AC1007)=2,AD1007-AC1007,"")</x:f>
      </x:c>
      <x:c r="AF1007" s="10"/>
      <x:c r="AG1007" s="10"/>
      <x:c r="AH1007" s="10" t="str">
        <x:f>IF(COUNT(AG1007,AF1007)=2,AG1007-AF1007,"")</x:f>
      </x:c>
      <x:c r="AI1007" s="10"/>
      <x:c r="AJ1007" s="10"/>
      <x:c r="AK1007" s="10" t="str">
        <x:f>IF(COUNT(AJ1007,AI1007)=2,AJ1007-AI1007,"")</x:f>
      </x:c>
      <x:c r="AL1007" s="10"/>
      <x:c r="AM1007" s="10"/>
      <x:c r="AN1007" s="4"/>
      <x:c r="AO1007" s="4"/>
      <x:c r="AP1007" s="4"/>
      <x:c r="AQ1007" s="4"/>
      <x:c r="AR1007" s="4"/>
      <x:c r="AS1007" s="4"/>
      <x:c r="AT1007" s="4"/>
      <x:c r="AU1007" s="4"/>
      <x:c r="AV1007" s="10"/>
      <x:c r="AW1007" s="10"/>
      <x:c r="AX1007" s="10"/>
      <x:c r="AY1007" s="10"/>
      <x:c r="AZ1007" s="10" t="n">
        <x:v>380</x:v>
      </x:c>
      <x:c r="BA1007" s="10" t="n">
        <x:v>453</x:v>
      </x:c>
      <x:c r="BB1007" s="4" t="n">
        <x:v>45.6</x:v>
      </x:c>
      <x:c r="BC1007" s="4" t="n">
        <x:v>-3</x:v>
      </x:c>
      <x:c r="BD1007" s="10" t="n">
        <x:v>282</x:v>
      </x:c>
      <x:c r="BE1007" s="10" t="n">
        <x:v>331</x:v>
      </x:c>
      <x:c r="BF1007" s="4" t="n">
        <x:v>46</x:v>
      </x:c>
      <x:c r="BG1007" s="4" t="n">
        <x:v>-3.5</x:v>
      </x:c>
      <x:c r="BH1007" s="4" t="n">
        <x:v>12.8</x:v>
      </x:c>
      <x:c r="BI1007" s="4" t="n">
        <x:v>95.8</x:v>
      </x:c>
      <x:c r="BJ1007" s="4" t="n">
        <x:v>108.6</x:v>
      </x:c>
      <x:c r="BK1007" s="4" t="n">
        <x:v>47.9</x:v>
      </x:c>
      <x:c r="BL1007" s="4" t="n">
        <x:v>52.1</x:v>
      </x:c>
      <x:c r="BM1007" s="4" t="n">
        <x:v>10.966666666666667</x:v>
      </x:c>
      <x:c r="BN1007" s="4" t="n">
        <x:v>10.616666666666667</x:v>
      </x:c>
      <x:c r="BO1007" s="10" t="n">
        <x:v>5</x:v>
      </x:c>
      <x:c r="BP1007" s="10" t="n">
        <x:v>28</x:v>
      </x:c>
      <x:c r="BQ1007" s="4" t="n">
        <x:v>0.9</x:v>
      </x:c>
      <x:c r="BR1007" s="10" t="n">
        <x:v>56</x:v>
      </x:c>
      <x:c r="BS1007" s="4" t="n">
        <x:v>42.9</x:v>
      </x:c>
      <x:c r="BT1007" s="10" t="n">
        <x:v>43</x:v>
      </x:c>
      <x:c r="BU1007" s="4" t="str">
        <x:v>BUF</x:v>
      </x:c>
      <x:c r="BV1007" s="10"/>
      <x:c r="BW1007" s="10"/>
      <x:c r="BX1007" s="10" t="n">
        <x:v>690</x:v>
      </x:c>
      <x:c r="BY1007" s="4"/>
      <x:c r="BZ1007" s="4"/>
      <x:c r="CA1007" s="4" t="str">
        <x:v>Zach Metsa</x:v>
      </x:c>
      <x:c r="CB1007" s="4" t="str">
        <x:v>metsaza01</x:v>
      </x:c>
    </x:row>
    <x:row r="1008" ht="22" customHeight="1">
      <x:c r="A1008" s="4" t="str">
        <x:v>Zach Whitecloud</x:v>
      </x:c>
      <x:c r="B1008" s="4" t="str">
        <x:v>zachwhitecloud</x:v>
      </x:c>
      <x:c r="C1008" s="10" t="n">
        <x:v>1</x:v>
      </x:c>
      <x:c r="D1008" s="10" t="n">
        <x:v>0</x:v>
      </x:c>
      <x:c r="E1008" s="10" t="n">
        <x:v>1</x:v>
      </x:c>
      <x:c r="F1008" s="4" t="n">
        <x:f>IF(COUNT(N1008,Q1008,T1008,W1008,Z1008,AC1008,AF1008,AI1008)=8,N1008*Guide!$E$5+Q1008*Guide!$E$6+T1008*Guide!$E$7+W1008*Guide!$E$8+Z1008*Guide!$E$9+AC1008*Guide!$E$10+AF1008*Guide!$E$11+AI1008*Guide!$E$12,"")</x:f>
        <x:v>187.5</x:v>
      </x:c>
      <x:c r="G1008" s="4" t="str">
        <x:f>IF(COUNT(O1008,R1008,U1008,X1008,AA1008,AD1008,AG1008,AJ1008)=8,O1008*Guide!$E$5+R1008*Guide!$E$6+U1008*Guide!$E$7+X1008*Guide!$E$8+AA1008*Guide!$E$9+AD1008*Guide!$E$10+AG1008*Guide!$E$11+AJ1008*Guide!$E$12,"")</x:f>
      </x:c>
      <x:c r="H1008" s="4" t="str">
        <x:f>IF(COUNT(G1008,F1008)=2,G1008-F1008,"")</x:f>
      </x:c>
      <x:c r="I1008" s="4" t="n">
        <x:f>IF(AND(ISNUMBER(F1008),K1008&gt;0),F1008/K1008,"")</x:f>
        <x:v>2.4671052631578947</x:v>
      </x:c>
      <x:c r="J1008" s="4" t="str">
        <x:f>IF(AND(ISNUMBER(G1008),L1008&gt;0),G1008/L1008,"")</x:f>
      </x:c>
      <x:c r="K1008" s="10" t="n">
        <x:v>76</x:v>
      </x:c>
      <x:c r="L1008" s="10"/>
      <x:c r="M1008" s="10" t="str">
        <x:f>IF(COUNT(L1008,K1008)=2,L1008-K1008,"")</x:f>
      </x:c>
      <x:c r="N1008" s="10" t="n">
        <x:v>4</x:v>
      </x:c>
      <x:c r="O1008" s="10"/>
      <x:c r="P1008" s="10" t="str">
        <x:f>IF(COUNT(O1008,N1008)=2,O1008-N1008,"")</x:f>
      </x:c>
      <x:c r="Q1008" s="10" t="n">
        <x:v>12</x:v>
      </x:c>
      <x:c r="R1008" s="10"/>
      <x:c r="S1008" s="10" t="str">
        <x:f>IF(COUNT(R1008,Q1008)=2,R1008-Q1008,"")</x:f>
      </x:c>
      <x:c r="T1008" s="10" t="n">
        <x:v>6</x:v>
      </x:c>
      <x:c r="U1008" s="10"/>
      <x:c r="V1008" s="10" t="str">
        <x:f>IF(COUNT(U1008,T1008)=2,U1008-T1008,"")</x:f>
      </x:c>
      <x:c r="W1008" s="10" t="n">
        <x:v>0</x:v>
      </x:c>
      <x:c r="X1008" s="10" t="str">
        <x:f>IF(COUNT(AV1008,AW1008)=2,AV1008+AW1008,"")</x:f>
      </x:c>
      <x:c r="Y1008" s="10" t="str">
        <x:f>IF(COUNT(X1008,W1008)=2,X1008-W1008,"")</x:f>
      </x:c>
      <x:c r="Z1008" s="10" t="n">
        <x:v>0</x:v>
      </x:c>
      <x:c r="AA1008" s="10" t="str">
        <x:f>IF(COUNT(AX1008,AY1008)=2,AX1008+AY1008,"")</x:f>
      </x:c>
      <x:c r="AB1008" s="10" t="str">
        <x:f>IF(COUNT(AA1008,Z1008)=2,AA1008-Z1008,"")</x:f>
      </x:c>
      <x:c r="AC1008" s="10" t="n">
        <x:v>69</x:v>
      </x:c>
      <x:c r="AD1008" s="10"/>
      <x:c r="AE1008" s="10" t="str">
        <x:f>IF(COUNT(AD1008,AC1008)=2,AD1008-AC1008,"")</x:f>
      </x:c>
      <x:c r="AF1008" s="10" t="n">
        <x:v>116</x:v>
      </x:c>
      <x:c r="AG1008" s="10"/>
      <x:c r="AH1008" s="10" t="str">
        <x:f>IF(COUNT(AG1008,AF1008)=2,AG1008-AF1008,"")</x:f>
      </x:c>
      <x:c r="AI1008" s="10" t="n">
        <x:v>111</x:v>
      </x:c>
      <x:c r="AJ1008" s="10"/>
      <x:c r="AK1008" s="10" t="str">
        <x:f>IF(COUNT(AJ1008,AI1008)=2,AJ1008-AI1008,"")</x:f>
      </x:c>
      <x:c r="AL1008" s="10" t="n">
        <x:v>29</x:v>
      </x:c>
      <x:c r="AM1008" s="10"/>
      <x:c r="AN1008" s="4" t="str">
        <x:v>D</x:v>
      </x:c>
      <x:c r="AO1008" s="4"/>
      <x:c r="AP1008" s="4" t="str">
        <x:v>VGK</x:v>
      </x:c>
      <x:c r="AQ1008" s="4"/>
      <x:c r="AR1008" s="4" t="n">
        <x:v>17.589999999999996</x:v>
      </x:c>
      <x:c r="AS1008" s="4"/>
      <x:c r="AT1008" s="4" t="n">
        <x:v>0.04</x:v>
      </x:c>
      <x:c r="AU1008" s="4"/>
      <x:c r="AV1008" s="10"/>
      <x:c r="AW1008" s="10"/>
      <x:c r="AX1008" s="10"/>
      <x:c r="AY1008" s="10"/>
      <x:c r="AZ1008" s="10" t="n">
        <x:v>1293</x:v>
      </x:c>
      <x:c r="BA1008" s="10" t="n">
        <x:v>1366</x:v>
      </x:c>
      <x:c r="BB1008" s="4" t="n">
        <x:v>48.6</x:v>
      </x:c>
      <x:c r="BC1008" s="4" t="n">
        <x:v>-0.5</x:v>
      </x:c>
      <x:c r="BD1008" s="10" t="n">
        <x:v>917</x:v>
      </x:c>
      <x:c r="BE1008" s="10" t="n">
        <x:v>989</x:v>
      </x:c>
      <x:c r="BF1008" s="4" t="n">
        <x:v>48.1</x:v>
      </x:c>
      <x:c r="BG1008" s="4" t="n">
        <x:v>-1.7</x:v>
      </x:c>
      <x:c r="BH1008" s="4" t="n">
        <x:v>9.1</x:v>
      </x:c>
      <x:c r="BI1008" s="4" t="n">
        <x:v>90.3</x:v>
      </x:c>
      <x:c r="BJ1008" s="4" t="n">
        <x:v>99.5</x:v>
      </x:c>
      <x:c r="BK1008" s="4" t="n">
        <x:v>47.6</x:v>
      </x:c>
      <x:c r="BL1008" s="4" t="n">
        <x:v>52.4</x:v>
      </x:c>
      <x:c r="BM1008" s="4" t="n">
        <x:v>20.316666666666666</x:v>
      </x:c>
      <x:c r="BN1008" s="4" t="n">
        <x:v>0.75</x:v>
      </x:c>
      <x:c r="BO1008" s="10" t="n">
        <x:v>15</x:v>
      </x:c>
      <x:c r="BP1008" s="10" t="n">
        <x:v>73</x:v>
      </x:c>
      <x:c r="BQ1008" s="4" t="n">
        <x:v>-6.8</x:v>
      </x:c>
      <x:c r="BR1008" s="10" t="n">
        <x:v>191</x:v>
      </x:c>
      <x:c r="BS1008" s="4" t="n">
        <x:v>35.1</x:v>
      </x:c>
      <x:c r="BT1008" s="10" t="n">
        <x:v>78</x:v>
      </x:c>
      <x:c r="BU1008" s="4" t="str">
        <x:v>TOT</x:v>
      </x:c>
      <x:c r="BV1008" s="10" t="n">
        <x:v>601</x:v>
      </x:c>
      <x:c r="BW1008" s="10"/>
      <x:c r="BX1008" s="10" t="n">
        <x:v>1071</x:v>
      </x:c>
      <x:c r="BY1008" s="4" t="str">
        <x:v>Zach Whitecloud</x:v>
      </x:c>
      <x:c r="BZ1008" s="4"/>
      <x:c r="CA1008" s="4" t="str">
        <x:v>Zach Whitecloud</x:v>
      </x:c>
      <x:c r="CB1008" s="4" t="str">
        <x:v>whiteza01</x:v>
      </x:c>
    </x:row>
    <x:row r="1009" ht="22" customHeight="1">
      <x:c r="A1009" s="4" t="str">
        <x:v>Zachary L'Heureux</x:v>
      </x:c>
      <x:c r="B1009" s="4" t="str">
        <x:v>zacharylheureux</x:v>
      </x:c>
      <x:c r="C1009" s="10" t="n">
        <x:v>1</x:v>
      </x:c>
      <x:c r="D1009" s="10" t="n">
        <x:v>0</x:v>
      </x:c>
      <x:c r="E1009" s="10" t="n">
        <x:v>1</x:v>
      </x:c>
      <x:c r="F1009" s="4" t="n">
        <x:f>IF(COUNT(N1009,Q1009,T1009,W1009,Z1009,AC1009,AF1009,AI1009)=8,N1009*Guide!$E$5+Q1009*Guide!$E$6+T1009*Guide!$E$7+W1009*Guide!$E$8+Z1009*Guide!$E$9+AC1009*Guide!$E$10+AF1009*Guide!$E$11+AI1009*Guide!$E$12,"")</x:f>
        <x:v>197</x:v>
      </x:c>
      <x:c r="G1009" s="4" t="str">
        <x:f>IF(COUNT(O1009,R1009,U1009,X1009,AA1009,AD1009,AG1009,AJ1009)=8,O1009*Guide!$E$5+R1009*Guide!$E$6+U1009*Guide!$E$7+X1009*Guide!$E$8+AA1009*Guide!$E$9+AD1009*Guide!$E$10+AG1009*Guide!$E$11+AJ1009*Guide!$E$12,"")</x:f>
      </x:c>
      <x:c r="H1009" s="4" t="str">
        <x:f>IF(COUNT(G1009,F1009)=2,G1009-F1009,"")</x:f>
      </x:c>
      <x:c r="I1009" s="4" t="n">
        <x:f>IF(AND(ISNUMBER(F1009),K1009&gt;0),F1009/K1009,"")</x:f>
        <x:v>2.6621621621621623</x:v>
      </x:c>
      <x:c r="J1009" s="4" t="str">
        <x:f>IF(AND(ISNUMBER(G1009),L1009&gt;0),G1009/L1009,"")</x:f>
      </x:c>
      <x:c r="K1009" s="10" t="n">
        <x:v>74</x:v>
      </x:c>
      <x:c r="L1009" s="10"/>
      <x:c r="M1009" s="10" t="str">
        <x:f>IF(COUNT(L1009,K1009)=2,L1009-K1009,"")</x:f>
      </x:c>
      <x:c r="N1009" s="10" t="n">
        <x:v>12</x:v>
      </x:c>
      <x:c r="O1009" s="10"/>
      <x:c r="P1009" s="10" t="str">
        <x:f>IF(COUNT(O1009,N1009)=2,O1009-N1009,"")</x:f>
      </x:c>
      <x:c r="Q1009" s="10" t="n">
        <x:v>14</x:v>
      </x:c>
      <x:c r="R1009" s="10"/>
      <x:c r="S1009" s="10" t="str">
        <x:f>IF(COUNT(R1009,Q1009)=2,R1009-Q1009,"")</x:f>
      </x:c>
      <x:c r="T1009" s="10" t="n">
        <x:v>-2</x:v>
      </x:c>
      <x:c r="U1009" s="10"/>
      <x:c r="V1009" s="10" t="str">
        <x:f>IF(COUNT(U1009,T1009)=2,U1009-T1009,"")</x:f>
      </x:c>
      <x:c r="W1009" s="10" t="n">
        <x:v>3</x:v>
      </x:c>
      <x:c r="X1009" s="10" t="str">
        <x:f>IF(COUNT(AV1009,AW1009)=2,AV1009+AW1009,"")</x:f>
      </x:c>
      <x:c r="Y1009" s="10" t="str">
        <x:f>IF(COUNT(X1009,W1009)=2,X1009-W1009,"")</x:f>
      </x:c>
      <x:c r="Z1009" s="10" t="n">
        <x:v>0</x:v>
      </x:c>
      <x:c r="AA1009" s="10" t="str">
        <x:f>IF(COUNT(AX1009,AY1009)=2,AX1009+AY1009,"")</x:f>
      </x:c>
      <x:c r="AB1009" s="10" t="str">
        <x:f>IF(COUNT(AA1009,Z1009)=2,AA1009-Z1009,"")</x:f>
      </x:c>
      <x:c r="AC1009" s="10" t="n">
        <x:v>102</x:v>
      </x:c>
      <x:c r="AD1009" s="10"/>
      <x:c r="AE1009" s="10" t="str">
        <x:f>IF(COUNT(AD1009,AC1009)=2,AD1009-AC1009,"")</x:f>
      </x:c>
      <x:c r="AF1009" s="10" t="n">
        <x:v>235</x:v>
      </x:c>
      <x:c r="AG1009" s="10"/>
      <x:c r="AH1009" s="10" t="str">
        <x:f>IF(COUNT(AG1009,AF1009)=2,AG1009-AF1009,"")</x:f>
      </x:c>
      <x:c r="AI1009" s="10" t="n">
        <x:v>29</x:v>
      </x:c>
      <x:c r="AJ1009" s="10"/>
      <x:c r="AK1009" s="10" t="str">
        <x:f>IF(COUNT(AJ1009,AI1009)=2,AJ1009-AI1009,"")</x:f>
      </x:c>
      <x:c r="AL1009" s="10" t="n">
        <x:v>22</x:v>
      </x:c>
      <x:c r="AM1009" s="10"/>
      <x:c r="AN1009" s="4" t="str">
        <x:v>LW</x:v>
      </x:c>
      <x:c r="AO1009" s="4"/>
      <x:c r="AP1009" s="4" t="str">
        <x:v>NSH</x:v>
      </x:c>
      <x:c r="AQ1009" s="4"/>
      <x:c r="AR1009" s="4" t="n">
        <x:v>12.579999999999998</x:v>
      </x:c>
      <x:c r="AS1009" s="4"/>
      <x:c r="AT1009" s="4" t="n">
        <x:v>0.53</x:v>
      </x:c>
      <x:c r="AU1009" s="4"/>
      <x:c r="AV1009" s="10"/>
      <x:c r="AW1009" s="10"/>
      <x:c r="AX1009" s="10"/>
      <x:c r="AY1009" s="10"/>
      <x:c r="AZ1009" s="10" t="n">
        <x:v>255</x:v>
      </x:c>
      <x:c r="BA1009" s="10" t="n">
        <x:v>299</x:v>
      </x:c>
      <x:c r="BB1009" s="4" t="n">
        <x:v>46</x:v>
      </x:c>
      <x:c r="BC1009" s="4" t="n">
        <x:v>-0.3</x:v>
      </x:c>
      <x:c r="BD1009" s="10" t="n">
        <x:v>183</x:v>
      </x:c>
      <x:c r="BE1009" s="10" t="n">
        <x:v>212</x:v>
      </x:c>
      <x:c r="BF1009" s="4" t="n">
        <x:v>46.3</x:v>
      </x:c>
      <x:c r="BG1009" s="4" t="n">
        <x:v>2.2</x:v>
      </x:c>
      <x:c r="BH1009" s="4" t="n">
        <x:v>7</x:v>
      </x:c>
      <x:c r="BI1009" s="4" t="n">
        <x:v>96.1</x:v>
      </x:c>
      <x:c r="BJ1009" s="4" t="n">
        <x:v>103</x:v>
      </x:c>
      <x:c r="BK1009" s="4" t="n">
        <x:v>37</x:v>
      </x:c>
      <x:c r="BL1009" s="4" t="n">
        <x:v>63</x:v>
      </x:c>
      <x:c r="BM1009" s="4" t="n">
        <x:v>13.383333333333333</x:v>
      </x:c>
      <x:c r="BN1009" s="4" t="n">
        <x:v>11.1</x:v>
      </x:c>
      <x:c r="BO1009" s="10" t="n">
        <x:v>5</x:v>
      </x:c>
      <x:c r="BP1009" s="10" t="n">
        <x:v>16</x:v>
      </x:c>
      <x:c r="BQ1009" s="4" t="n">
        <x:v>0.7</x:v>
      </x:c>
      <x:c r="BR1009" s="10" t="n">
        <x:v>64</x:v>
      </x:c>
      <x:c r="BS1009" s="4" t="n">
        <x:v>50</x:v>
      </x:c>
      <x:c r="BT1009" s="10" t="n">
        <x:v>25</x:v>
      </x:c>
      <x:c r="BU1009" s="4" t="str">
        <x:v>NSH</x:v>
      </x:c>
      <x:c r="BV1009" s="10" t="n">
        <x:v>418</x:v>
      </x:c>
      <x:c r="BW1009" s="10"/>
      <x:c r="BX1009" s="10" t="n">
        <x:v>558</x:v>
      </x:c>
      <x:c r="BY1009" s="4" t="str">
        <x:v>Zachary L'Heureux</x:v>
      </x:c>
      <x:c r="BZ1009" s="4"/>
      <x:c r="CA1009" s="4" t="str">
        <x:v>Zachary L'Heureux</x:v>
      </x:c>
      <x:c r="CB1009" s="4" t="str">
        <x:v>lheurza01</x:v>
      </x:c>
    </x:row>
    <x:row r="1010" ht="22" customHeight="1">
      <x:c r="A1010" s="4" t="str">
        <x:v>Zack MacEwen</x:v>
      </x:c>
      <x:c r="B1010" s="4" t="str">
        <x:v>zackmacewen</x:v>
      </x:c>
      <x:c r="C1010" s="10" t="n">
        <x:v>1</x:v>
      </x:c>
      <x:c r="D1010" s="10" t="n">
        <x:v>0</x:v>
      </x:c>
      <x:c r="E1010" s="10" t="n">
        <x:v>1</x:v>
      </x:c>
      <x:c r="F1010" s="4" t="n">
        <x:f>IF(COUNT(N1010,Q1010,T1010,W1010,Z1010,AC1010,AF1010,AI1010)=8,N1010*Guide!$E$5+Q1010*Guide!$E$6+T1010*Guide!$E$7+W1010*Guide!$E$8+Z1010*Guide!$E$9+AC1010*Guide!$E$10+AF1010*Guide!$E$11+AI1010*Guide!$E$12,"")</x:f>
        <x:v>65.25</x:v>
      </x:c>
      <x:c r="G1010" s="4" t="str">
        <x:f>IF(COUNT(O1010,R1010,U1010,X1010,AA1010,AD1010,AG1010,AJ1010)=8,O1010*Guide!$E$5+R1010*Guide!$E$6+U1010*Guide!$E$7+X1010*Guide!$E$8+AA1010*Guide!$E$9+AD1010*Guide!$E$10+AG1010*Guide!$E$11+AJ1010*Guide!$E$12,"")</x:f>
      </x:c>
      <x:c r="H1010" s="4" t="str">
        <x:f>IF(COUNT(G1010,F1010)=2,G1010-F1010,"")</x:f>
      </x:c>
      <x:c r="I1010" s="4" t="n">
        <x:f>IF(AND(ISNUMBER(F1010),K1010&gt;0),F1010/K1010,"")</x:f>
        <x:v>1.63125</x:v>
      </x:c>
      <x:c r="J1010" s="4" t="str">
        <x:f>IF(AND(ISNUMBER(G1010),L1010&gt;0),G1010/L1010,"")</x:f>
      </x:c>
      <x:c r="K1010" s="10" t="n">
        <x:v>40</x:v>
      </x:c>
      <x:c r="L1010" s="10"/>
      <x:c r="M1010" s="10" t="str">
        <x:f>IF(COUNT(L1010,K1010)=2,L1010-K1010,"")</x:f>
      </x:c>
      <x:c r="N1010" s="10" t="n">
        <x:v>4</x:v>
      </x:c>
      <x:c r="O1010" s="10"/>
      <x:c r="P1010" s="10" t="str">
        <x:f>IF(COUNT(O1010,N1010)=2,O1010-N1010,"")</x:f>
      </x:c>
      <x:c r="Q1010" s="10" t="n">
        <x:v>4</x:v>
      </x:c>
      <x:c r="R1010" s="10"/>
      <x:c r="S1010" s="10" t="str">
        <x:f>IF(COUNT(R1010,Q1010)=2,R1010-Q1010,"")</x:f>
      </x:c>
      <x:c r="T1010" s="10" t="n">
        <x:v>-1</x:v>
      </x:c>
      <x:c r="U1010" s="10"/>
      <x:c r="V1010" s="10" t="str">
        <x:f>IF(COUNT(U1010,T1010)=2,U1010-T1010,"")</x:f>
      </x:c>
      <x:c r="W1010" s="10" t="n">
        <x:v>0</x:v>
      </x:c>
      <x:c r="X1010" s="10" t="str">
        <x:f>IF(COUNT(AV1010,AW1010)=2,AV1010+AW1010,"")</x:f>
      </x:c>
      <x:c r="Y1010" s="10" t="str">
        <x:f>IF(COUNT(X1010,W1010)=2,X1010-W1010,"")</x:f>
      </x:c>
      <x:c r="Z1010" s="10" t="n">
        <x:v>0</x:v>
      </x:c>
      <x:c r="AA1010" s="10" t="str">
        <x:f>IF(COUNT(AX1010,AY1010)=2,AX1010+AY1010,"")</x:f>
      </x:c>
      <x:c r="AB1010" s="10" t="str">
        <x:f>IF(COUNT(AA1010,Z1010)=2,AA1010-Z1010,"")</x:f>
      </x:c>
      <x:c r="AC1010" s="10" t="n">
        <x:v>36</x:v>
      </x:c>
      <x:c r="AD1010" s="10"/>
      <x:c r="AE1010" s="10" t="str">
        <x:f>IF(COUNT(AD1010,AC1010)=2,AD1010-AC1010,"")</x:f>
      </x:c>
      <x:c r="AF1010" s="10" t="n">
        <x:v>78</x:v>
      </x:c>
      <x:c r="AG1010" s="10"/>
      <x:c r="AH1010" s="10" t="str">
        <x:f>IF(COUNT(AG1010,AF1010)=2,AG1010-AF1010,"")</x:f>
      </x:c>
      <x:c r="AI1010" s="10" t="n">
        <x:v>13</x:v>
      </x:c>
      <x:c r="AJ1010" s="10"/>
      <x:c r="AK1010" s="10" t="str">
        <x:f>IF(COUNT(AJ1010,AI1010)=2,AJ1010-AI1010,"")</x:f>
      </x:c>
      <x:c r="AL1010" s="10" t="n">
        <x:v>29</x:v>
      </x:c>
      <x:c r="AM1010" s="10"/>
      <x:c r="AN1010" s="4" t="str">
        <x:v>RW</x:v>
      </x:c>
      <x:c r="AO1010" s="4"/>
      <x:c r="AP1010" s="4" t="str">
        <x:v>OTT</x:v>
      </x:c>
      <x:c r="AQ1010" s="4"/>
      <x:c r="AR1010" s="4" t="n">
        <x:v>7.96</x:v>
      </x:c>
      <x:c r="AS1010" s="4"/>
      <x:c r="AT1010" s="4" t="n">
        <x:v>0.18</x:v>
      </x:c>
      <x:c r="AU1010" s="4"/>
      <x:c r="AV1010" s="10"/>
      <x:c r="AW1010" s="10"/>
      <x:c r="AX1010" s="10"/>
      <x:c r="AY1010" s="10"/>
      <x:c r="AZ1010" s="10" t="n">
        <x:v>22</x:v>
      </x:c>
      <x:c r="BA1010" s="10" t="n">
        <x:v>7</x:v>
      </x:c>
      <x:c r="BB1010" s="4" t="n">
        <x:v>75.9</x:v>
      </x:c>
      <x:c r="BC1010" s="4" t="n">
        <x:v>15.1</x:v>
      </x:c>
      <x:c r="BD1010" s="10" t="n">
        <x:v>16</x:v>
      </x:c>
      <x:c r="BE1010" s="10" t="n">
        <x:v>4</x:v>
      </x:c>
      <x:c r="BF1010" s="4" t="n">
        <x:v>80</x:v>
      </x:c>
      <x:c r="BG1010" s="4" t="n">
        <x:v>17.1</x:v>
      </x:c>
      <x:c r="BH1010" s="4" t="n">
        <x:v>0</x:v>
      </x:c>
      <x:c r="BI1010" s="4" t="n">
        <x:v>100</x:v>
      </x:c>
      <x:c r="BJ1010" s="4" t="n">
        <x:v>100</x:v>
      </x:c>
      <x:c r="BK1010" s="4" t="n">
        <x:v>81.8</x:v>
      </x:c>
      <x:c r="BL1010" s="4" t="n">
        <x:v>18.2</x:v>
      </x:c>
      <x:c r="BM1010" s="4" t="n">
        <x:v>6.333333333333333</x:v>
      </x:c>
      <x:c r="BN1010" s="4" t="n">
        <x:v>6.333333333333333</x:v>
      </x:c>
      <x:c r="BO1010" s="10" t="n">
        <x:v>1</x:v>
      </x:c>
      <x:c r="BP1010" s="10" t="n">
        <x:v>2</x:v>
      </x:c>
      <x:c r="BQ1010" s="4" t="n">
        <x:v>0.6</x:v>
      </x:c>
      <x:c r="BR1010" s="10" t="n">
        <x:v>7</x:v>
      </x:c>
      <x:c r="BS1010" s="4" t="n">
        <x:v>57.1</x:v>
      </x:c>
      <x:c r="BT1010" s="10" t="n">
        <x:v>3</x:v>
      </x:c>
      <x:c r="BU1010" s="4" t="str">
        <x:v>NJD</x:v>
      </x:c>
      <x:c r="BV1010" s="10" t="n">
        <x:v>752</x:v>
      </x:c>
      <x:c r="BW1010" s="10"/>
      <x:c r="BX1010" s="10" t="n">
        <x:v>625</x:v>
      </x:c>
      <x:c r="BY1010" s="4" t="str">
        <x:v>Zack MacEwen</x:v>
      </x:c>
      <x:c r="BZ1010" s="4"/>
      <x:c r="CA1010" s="4" t="str">
        <x:v>Zack MacEwen</x:v>
      </x:c>
      <x:c r="CB1010" s="4" t="str">
        <x:v>macewza01</x:v>
      </x:c>
    </x:row>
    <x:row r="1011" ht="22" customHeight="1">
      <x:c r="A1011" s="4" t="str">
        <x:v>Zack Ostapchuk</x:v>
      </x:c>
      <x:c r="B1011" s="4" t="str">
        <x:v>zackostapchuk</x:v>
      </x:c>
      <x:c r="C1011" s="10" t="n">
        <x:v>0</x:v>
      </x:c>
      <x:c r="D1011" s="10" t="n">
        <x:v>0</x:v>
      </x:c>
      <x:c r="E1011" s="10" t="n">
        <x:v>1</x:v>
      </x:c>
      <x:c r="F1011" s="4" t="str">
        <x:f>IF(COUNT(N1011,Q1011,T1011,W1011,Z1011,AC1011,AF1011,AI1011)=8,N1011*Guide!$E$5+Q1011*Guide!$E$6+T1011*Guide!$E$7+W1011*Guide!$E$8+Z1011*Guide!$E$9+AC1011*Guide!$E$10+AF1011*Guide!$E$11+AI1011*Guide!$E$12,"")</x:f>
      </x:c>
      <x:c r="G1011" s="4" t="str">
        <x:f>IF(COUNT(O1011,R1011,U1011,X1011,AA1011,AD1011,AG1011,AJ1011)=8,O1011*Guide!$E$5+R1011*Guide!$E$6+U1011*Guide!$E$7+X1011*Guide!$E$8+AA1011*Guide!$E$9+AD1011*Guide!$E$10+AG1011*Guide!$E$11+AJ1011*Guide!$E$12,"")</x:f>
      </x:c>
      <x:c r="H1011" s="4" t="str">
        <x:f>IF(COUNT(G1011,F1011)=2,G1011-F1011,"")</x:f>
      </x:c>
      <x:c r="I1011" s="4" t="str">
        <x:f>IF(AND(ISNUMBER(F1011),K1011&gt;0),F1011/K1011,"")</x:f>
      </x:c>
      <x:c r="J1011" s="4" t="str">
        <x:f>IF(AND(ISNUMBER(G1011),L1011&gt;0),G1011/L1011,"")</x:f>
      </x:c>
      <x:c r="K1011" s="10"/>
      <x:c r="L1011" s="10"/>
      <x:c r="M1011" s="10" t="str">
        <x:f>IF(COUNT(L1011,K1011)=2,L1011-K1011,"")</x:f>
      </x:c>
      <x:c r="N1011" s="10"/>
      <x:c r="O1011" s="10"/>
      <x:c r="P1011" s="10" t="str">
        <x:f>IF(COUNT(O1011,N1011)=2,O1011-N1011,"")</x:f>
      </x:c>
      <x:c r="Q1011" s="10"/>
      <x:c r="R1011" s="10"/>
      <x:c r="S1011" s="10" t="str">
        <x:f>IF(COUNT(R1011,Q1011)=2,R1011-Q1011,"")</x:f>
      </x:c>
      <x:c r="T1011" s="10"/>
      <x:c r="U1011" s="10"/>
      <x:c r="V1011" s="10" t="str">
        <x:f>IF(COUNT(U1011,T1011)=2,U1011-T1011,"")</x:f>
      </x:c>
      <x:c r="W1011" s="10"/>
      <x:c r="X1011" s="10" t="str">
        <x:f>IF(COUNT(AV1011,AW1011)=2,AV1011+AW1011,"")</x:f>
      </x:c>
      <x:c r="Y1011" s="10" t="str">
        <x:f>IF(COUNT(X1011,W1011)=2,X1011-W1011,"")</x:f>
      </x:c>
      <x:c r="Z1011" s="10"/>
      <x:c r="AA1011" s="10" t="str">
        <x:f>IF(COUNT(AX1011,AY1011)=2,AX1011+AY1011,"")</x:f>
      </x:c>
      <x:c r="AB1011" s="10" t="str">
        <x:f>IF(COUNT(AA1011,Z1011)=2,AA1011-Z1011,"")</x:f>
      </x:c>
      <x:c r="AC1011" s="10"/>
      <x:c r="AD1011" s="10"/>
      <x:c r="AE1011" s="10" t="str">
        <x:f>IF(COUNT(AD1011,AC1011)=2,AD1011-AC1011,"")</x:f>
      </x:c>
      <x:c r="AF1011" s="10"/>
      <x:c r="AG1011" s="10"/>
      <x:c r="AH1011" s="10" t="str">
        <x:f>IF(COUNT(AG1011,AF1011)=2,AG1011-AF1011,"")</x:f>
      </x:c>
      <x:c r="AI1011" s="10"/>
      <x:c r="AJ1011" s="10"/>
      <x:c r="AK1011" s="10" t="str">
        <x:f>IF(COUNT(AJ1011,AI1011)=2,AJ1011-AI1011,"")</x:f>
      </x:c>
      <x:c r="AL1011" s="10"/>
      <x:c r="AM1011" s="10"/>
      <x:c r="AN1011" s="4"/>
      <x:c r="AO1011" s="4"/>
      <x:c r="AP1011" s="4"/>
      <x:c r="AQ1011" s="4"/>
      <x:c r="AR1011" s="4"/>
      <x:c r="AS1011" s="4"/>
      <x:c r="AT1011" s="4"/>
      <x:c r="AU1011" s="4"/>
      <x:c r="AV1011" s="10"/>
      <x:c r="AW1011" s="10"/>
      <x:c r="AX1011" s="10"/>
      <x:c r="AY1011" s="10"/>
      <x:c r="AZ1011" s="10" t="n">
        <x:v>392</x:v>
      </x:c>
      <x:c r="BA1011" s="10" t="n">
        <x:v>512</x:v>
      </x:c>
      <x:c r="BB1011" s="4" t="n">
        <x:v>43.4</x:v>
      </x:c>
      <x:c r="BC1011" s="4" t="n">
        <x:v>-4.8</x:v>
      </x:c>
      <x:c r="BD1011" s="10" t="n">
        <x:v>271</x:v>
      </x:c>
      <x:c r="BE1011" s="10" t="n">
        <x:v>344</x:v>
      </x:c>
      <x:c r="BF1011" s="4" t="n">
        <x:v>44.1</x:v>
      </x:c>
      <x:c r="BG1011" s="4" t="n">
        <x:v>-4.1</x:v>
      </x:c>
      <x:c r="BH1011" s="4" t="n">
        <x:v>8.1</x:v>
      </x:c>
      <x:c r="BI1011" s="4" t="n">
        <x:v>89.4</x:v>
      </x:c>
      <x:c r="BJ1011" s="4" t="n">
        <x:v>97.6</x:v>
      </x:c>
      <x:c r="BK1011" s="4" t="n">
        <x:v>33.8</x:v>
      </x:c>
      <x:c r="BL1011" s="4" t="n">
        <x:v>66.2</x:v>
      </x:c>
      <x:c r="BM1011" s="4" t="n">
        <x:v>10.1</x:v>
      </x:c>
      <x:c r="BN1011" s="4" t="n">
        <x:v>8.9</x:v>
      </x:c>
      <x:c r="BO1011" s="10" t="n">
        <x:v>8</x:v>
      </x:c>
      <x:c r="BP1011" s="10" t="n">
        <x:v>20</x:v>
      </x:c>
      <x:c r="BQ1011" s="4" t="n">
        <x:v>-4.8</x:v>
      </x:c>
      <x:c r="BR1011" s="10" t="n">
        <x:v>75</x:v>
      </x:c>
      <x:c r="BS1011" s="4" t="n">
        <x:v>58.7</x:v>
      </x:c>
      <x:c r="BT1011" s="10" t="n">
        <x:v>59</x:v>
      </x:c>
      <x:c r="BU1011" s="4" t="str">
        <x:v>SJS</x:v>
      </x:c>
      <x:c r="BV1011" s="10"/>
      <x:c r="BW1011" s="10"/>
      <x:c r="BX1011" s="10" t="n">
        <x:v>767</x:v>
      </x:c>
      <x:c r="BY1011" s="4"/>
      <x:c r="BZ1011" s="4"/>
      <x:c r="CA1011" s="4" t="str">
        <x:v>Zack Ostapchuk</x:v>
      </x:c>
      <x:c r="CB1011" s="4" t="str">
        <x:v>ostapza01</x:v>
      </x:c>
    </x:row>
    <x:row r="1012" ht="22" customHeight="1">
      <x:c r="A1012" s="4" t="str">
        <x:v>Zakhar Bardakov</x:v>
      </x:c>
      <x:c r="B1012" s="4" t="str">
        <x:v>zakharbardakov</x:v>
      </x:c>
      <x:c r="C1012" s="10" t="n">
        <x:v>0</x:v>
      </x:c>
      <x:c r="D1012" s="10" t="n">
        <x:v>0</x:v>
      </x:c>
      <x:c r="E1012" s="10" t="n">
        <x:v>1</x:v>
      </x:c>
      <x:c r="F1012" s="4" t="str">
        <x:f>IF(COUNT(N1012,Q1012,T1012,W1012,Z1012,AC1012,AF1012,AI1012)=8,N1012*Guide!$E$5+Q1012*Guide!$E$6+T1012*Guide!$E$7+W1012*Guide!$E$8+Z1012*Guide!$E$9+AC1012*Guide!$E$10+AF1012*Guide!$E$11+AI1012*Guide!$E$12,"")</x:f>
      </x:c>
      <x:c r="G1012" s="4" t="str">
        <x:f>IF(COUNT(O1012,R1012,U1012,X1012,AA1012,AD1012,AG1012,AJ1012)=8,O1012*Guide!$E$5+R1012*Guide!$E$6+U1012*Guide!$E$7+X1012*Guide!$E$8+AA1012*Guide!$E$9+AD1012*Guide!$E$10+AG1012*Guide!$E$11+AJ1012*Guide!$E$12,"")</x:f>
      </x:c>
      <x:c r="H1012" s="4" t="str">
        <x:f>IF(COUNT(G1012,F1012)=2,G1012-F1012,"")</x:f>
      </x:c>
      <x:c r="I1012" s="4" t="str">
        <x:f>IF(AND(ISNUMBER(F1012),K1012&gt;0),F1012/K1012,"")</x:f>
      </x:c>
      <x:c r="J1012" s="4" t="str">
        <x:f>IF(AND(ISNUMBER(G1012),L1012&gt;0),G1012/L1012,"")</x:f>
      </x:c>
      <x:c r="K1012" s="10"/>
      <x:c r="L1012" s="10"/>
      <x:c r="M1012" s="10" t="str">
        <x:f>IF(COUNT(L1012,K1012)=2,L1012-K1012,"")</x:f>
      </x:c>
      <x:c r="N1012" s="10"/>
      <x:c r="O1012" s="10"/>
      <x:c r="P1012" s="10" t="str">
        <x:f>IF(COUNT(O1012,N1012)=2,O1012-N1012,"")</x:f>
      </x:c>
      <x:c r="Q1012" s="10"/>
      <x:c r="R1012" s="10"/>
      <x:c r="S1012" s="10" t="str">
        <x:f>IF(COUNT(R1012,Q1012)=2,R1012-Q1012,"")</x:f>
      </x:c>
      <x:c r="T1012" s="10"/>
      <x:c r="U1012" s="10"/>
      <x:c r="V1012" s="10" t="str">
        <x:f>IF(COUNT(U1012,T1012)=2,U1012-T1012,"")</x:f>
      </x:c>
      <x:c r="W1012" s="10"/>
      <x:c r="X1012" s="10" t="str">
        <x:f>IF(COUNT(AV1012,AW1012)=2,AV1012+AW1012,"")</x:f>
      </x:c>
      <x:c r="Y1012" s="10" t="str">
        <x:f>IF(COUNT(X1012,W1012)=2,X1012-W1012,"")</x:f>
      </x:c>
      <x:c r="Z1012" s="10"/>
      <x:c r="AA1012" s="10" t="str">
        <x:f>IF(COUNT(AX1012,AY1012)=2,AX1012+AY1012,"")</x:f>
      </x:c>
      <x:c r="AB1012" s="10" t="str">
        <x:f>IF(COUNT(AA1012,Z1012)=2,AA1012-Z1012,"")</x:f>
      </x:c>
      <x:c r="AC1012" s="10"/>
      <x:c r="AD1012" s="10"/>
      <x:c r="AE1012" s="10" t="str">
        <x:f>IF(COUNT(AD1012,AC1012)=2,AD1012-AC1012,"")</x:f>
      </x:c>
      <x:c r="AF1012" s="10"/>
      <x:c r="AG1012" s="10"/>
      <x:c r="AH1012" s="10" t="str">
        <x:f>IF(COUNT(AG1012,AF1012)=2,AG1012-AF1012,"")</x:f>
      </x:c>
      <x:c r="AI1012" s="10"/>
      <x:c r="AJ1012" s="10"/>
      <x:c r="AK1012" s="10" t="str">
        <x:f>IF(COUNT(AJ1012,AI1012)=2,AJ1012-AI1012,"")</x:f>
      </x:c>
      <x:c r="AL1012" s="10"/>
      <x:c r="AM1012" s="10"/>
      <x:c r="AN1012" s="4"/>
      <x:c r="AO1012" s="4"/>
      <x:c r="AP1012" s="4"/>
      <x:c r="AQ1012" s="4"/>
      <x:c r="AR1012" s="4"/>
      <x:c r="AS1012" s="4"/>
      <x:c r="AT1012" s="4"/>
      <x:c r="AU1012" s="4"/>
      <x:c r="AV1012" s="10"/>
      <x:c r="AW1012" s="10"/>
      <x:c r="AX1012" s="10"/>
      <x:c r="AY1012" s="10"/>
      <x:c r="AZ1012" s="10" t="n">
        <x:v>427</x:v>
      </x:c>
      <x:c r="BA1012" s="10" t="n">
        <x:v>357</x:v>
      </x:c>
      <x:c r="BB1012" s="4" t="n">
        <x:v>54.5</x:v>
      </x:c>
      <x:c r="BC1012" s="4" t="n">
        <x:v>-2.2</x:v>
      </x:c>
      <x:c r="BD1012" s="10" t="n">
        <x:v>303</x:v>
      </x:c>
      <x:c r="BE1012" s="10" t="n">
        <x:v>242</x:v>
      </x:c>
      <x:c r="BF1012" s="4" t="n">
        <x:v>55.6</x:v>
      </x:c>
      <x:c r="BG1012" s="4" t="n">
        <x:v>-0.1</x:v>
      </x:c>
      <x:c r="BH1012" s="4" t="n">
        <x:v>8.8</x:v>
      </x:c>
      <x:c r="BI1012" s="4" t="n">
        <x:v>92.8</x:v>
      </x:c>
      <x:c r="BJ1012" s="4" t="n">
        <x:v>101.6</x:v>
      </x:c>
      <x:c r="BK1012" s="4" t="n">
        <x:v>50.2</x:v>
      </x:c>
      <x:c r="BL1012" s="4" t="n">
        <x:v>49.8</x:v>
      </x:c>
      <x:c r="BM1012" s="4" t="n">
        <x:v>7.2</x:v>
      </x:c>
      <x:c r="BN1012" s="4" t="n">
        <x:v>7.066666666666666</x:v>
      </x:c>
      <x:c r="BO1012" s="10" t="n">
        <x:v>7</x:v>
      </x:c>
      <x:c r="BP1012" s="10" t="n">
        <x:v>27</x:v>
      </x:c>
      <x:c r="BQ1012" s="4" t="n">
        <x:v>0.8</x:v>
      </x:c>
      <x:c r="BR1012" s="10" t="n">
        <x:v>79</x:v>
      </x:c>
      <x:c r="BS1012" s="4" t="n">
        <x:v>44.3</x:v>
      </x:c>
      <x:c r="BT1012" s="10" t="n">
        <x:v>60</x:v>
      </x:c>
      <x:c r="BU1012" s="4" t="str">
        <x:v>COL</x:v>
      </x:c>
      <x:c r="BV1012" s="10"/>
      <x:c r="BW1012" s="10"/>
      <x:c r="BX1012" s="10" t="n">
        <x:v>29</x:v>
      </x:c>
      <x:c r="BY1012" s="4"/>
      <x:c r="BZ1012" s="4"/>
      <x:c r="CA1012" s="4" t="str">
        <x:v>Zakhar Bardakov</x:v>
      </x:c>
      <x:c r="CB1012" s="4" t="str">
        <x:v>bardaza01</x:v>
      </x:c>
    </x:row>
    <x:row r="1013" ht="22" customHeight="1">
      <x:c r="A1013" s="4" t="str">
        <x:v>Zayne Parekh</x:v>
      </x:c>
      <x:c r="B1013" s="4" t="str">
        <x:v>zayneparekh</x:v>
      </x:c>
      <x:c r="C1013" s="10" t="n">
        <x:v>0</x:v>
      </x:c>
      <x:c r="D1013" s="10" t="n">
        <x:v>0</x:v>
      </x:c>
      <x:c r="E1013" s="10" t="n">
        <x:v>1</x:v>
      </x:c>
      <x:c r="F1013" s="4" t="str">
        <x:f>IF(COUNT(N1013,Q1013,T1013,W1013,Z1013,AC1013,AF1013,AI1013)=8,N1013*Guide!$E$5+Q1013*Guide!$E$6+T1013*Guide!$E$7+W1013*Guide!$E$8+Z1013*Guide!$E$9+AC1013*Guide!$E$10+AF1013*Guide!$E$11+AI1013*Guide!$E$12,"")</x:f>
      </x:c>
      <x:c r="G1013" s="4" t="str">
        <x:f>IF(COUNT(O1013,R1013,U1013,X1013,AA1013,AD1013,AG1013,AJ1013)=8,O1013*Guide!$E$5+R1013*Guide!$E$6+U1013*Guide!$E$7+X1013*Guide!$E$8+AA1013*Guide!$E$9+AD1013*Guide!$E$10+AG1013*Guide!$E$11+AJ1013*Guide!$E$12,"")</x:f>
      </x:c>
      <x:c r="H1013" s="4" t="str">
        <x:f>IF(COUNT(G1013,F1013)=2,G1013-F1013,"")</x:f>
      </x:c>
      <x:c r="I1013" s="4" t="str">
        <x:f>IF(AND(ISNUMBER(F1013),K1013&gt;0),F1013/K1013,"")</x:f>
      </x:c>
      <x:c r="J1013" s="4" t="str">
        <x:f>IF(AND(ISNUMBER(G1013),L1013&gt;0),G1013/L1013,"")</x:f>
      </x:c>
      <x:c r="K1013" s="10"/>
      <x:c r="L1013" s="10"/>
      <x:c r="M1013" s="10" t="str">
        <x:f>IF(COUNT(L1013,K1013)=2,L1013-K1013,"")</x:f>
      </x:c>
      <x:c r="N1013" s="10"/>
      <x:c r="O1013" s="10"/>
      <x:c r="P1013" s="10" t="str">
        <x:f>IF(COUNT(O1013,N1013)=2,O1013-N1013,"")</x:f>
      </x:c>
      <x:c r="Q1013" s="10"/>
      <x:c r="R1013" s="10"/>
      <x:c r="S1013" s="10" t="str">
        <x:f>IF(COUNT(R1013,Q1013)=2,R1013-Q1013,"")</x:f>
      </x:c>
      <x:c r="T1013" s="10"/>
      <x:c r="U1013" s="10"/>
      <x:c r="V1013" s="10" t="str">
        <x:f>IF(COUNT(U1013,T1013)=2,U1013-T1013,"")</x:f>
      </x:c>
      <x:c r="W1013" s="10"/>
      <x:c r="X1013" s="10" t="str">
        <x:f>IF(COUNT(AV1013,AW1013)=2,AV1013+AW1013,"")</x:f>
      </x:c>
      <x:c r="Y1013" s="10" t="str">
        <x:f>IF(COUNT(X1013,W1013)=2,X1013-W1013,"")</x:f>
      </x:c>
      <x:c r="Z1013" s="10"/>
      <x:c r="AA1013" s="10" t="str">
        <x:f>IF(COUNT(AX1013,AY1013)=2,AX1013+AY1013,"")</x:f>
      </x:c>
      <x:c r="AB1013" s="10" t="str">
        <x:f>IF(COUNT(AA1013,Z1013)=2,AA1013-Z1013,"")</x:f>
      </x:c>
      <x:c r="AC1013" s="10"/>
      <x:c r="AD1013" s="10"/>
      <x:c r="AE1013" s="10" t="str">
        <x:f>IF(COUNT(AD1013,AC1013)=2,AD1013-AC1013,"")</x:f>
      </x:c>
      <x:c r="AF1013" s="10"/>
      <x:c r="AG1013" s="10"/>
      <x:c r="AH1013" s="10" t="str">
        <x:f>IF(COUNT(AG1013,AF1013)=2,AG1013-AF1013,"")</x:f>
      </x:c>
      <x:c r="AI1013" s="10"/>
      <x:c r="AJ1013" s="10"/>
      <x:c r="AK1013" s="10" t="str">
        <x:f>IF(COUNT(AJ1013,AI1013)=2,AJ1013-AI1013,"")</x:f>
      </x:c>
      <x:c r="AL1013" s="10"/>
      <x:c r="AM1013" s="10"/>
      <x:c r="AN1013" s="4"/>
      <x:c r="AO1013" s="4"/>
      <x:c r="AP1013" s="4"/>
      <x:c r="AQ1013" s="4"/>
      <x:c r="AR1013" s="4"/>
      <x:c r="AS1013" s="4"/>
      <x:c r="AT1013" s="4"/>
      <x:c r="AU1013" s="4"/>
      <x:c r="AV1013" s="10"/>
      <x:c r="AW1013" s="10"/>
      <x:c r="AX1013" s="10"/>
      <x:c r="AY1013" s="10"/>
      <x:c r="AZ1013" s="10" t="n">
        <x:v>547</x:v>
      </x:c>
      <x:c r="BA1013" s="10" t="n">
        <x:v>539</x:v>
      </x:c>
      <x:c r="BB1013" s="4" t="n">
        <x:v>50.4</x:v>
      </x:c>
      <x:c r="BC1013" s="4" t="n">
        <x:v>3.2</x:v>
      </x:c>
      <x:c r="BD1013" s="10" t="n">
        <x:v>378</x:v>
      </x:c>
      <x:c r="BE1013" s="10" t="n">
        <x:v>397</x:v>
      </x:c>
      <x:c r="BF1013" s="4" t="n">
        <x:v>48.8</x:v>
      </x:c>
      <x:c r="BG1013" s="4" t="n">
        <x:v>1.4</x:v>
      </x:c>
      <x:c r="BH1013" s="4" t="n">
        <x:v>6.8</x:v>
      </x:c>
      <x:c r="BI1013" s="4" t="n">
        <x:v>90.8</x:v>
      </x:c>
      <x:c r="BJ1013" s="4" t="n">
        <x:v>97.6</x:v>
      </x:c>
      <x:c r="BK1013" s="4" t="n">
        <x:v>77.1</x:v>
      </x:c>
      <x:c r="BL1013" s="4" t="n">
        <x:v>22.9</x:v>
      </x:c>
      <x:c r="BM1013" s="4" t="n">
        <x:v>17.15</x:v>
      </x:c>
      <x:c r="BN1013" s="4" t="n">
        <x:v>14.766666666666667</x:v>
      </x:c>
      <x:c r="BO1013" s="10" t="n">
        <x:v>9</x:v>
      </x:c>
      <x:c r="BP1013" s="10" t="n">
        <x:v>67</x:v>
      </x:c>
      <x:c r="BQ1013" s="4" t="n">
        <x:v>-4</x:v>
      </x:c>
      <x:c r="BR1013" s="10" t="n">
        <x:v>138</x:v>
      </x:c>
      <x:c r="BS1013" s="4" t="n">
        <x:v>35.5</x:v>
      </x:c>
      <x:c r="BT1013" s="10" t="n">
        <x:v>37</x:v>
      </x:c>
      <x:c r="BU1013" s="4" t="str">
        <x:v>CGY</x:v>
      </x:c>
      <x:c r="BV1013" s="10"/>
      <x:c r="BW1013" s="10"/>
      <x:c r="BX1013" s="10" t="n">
        <x:v>783</x:v>
      </x:c>
      <x:c r="BY1013" s="4"/>
      <x:c r="BZ1013" s="4"/>
      <x:c r="CA1013" s="4" t="str">
        <x:v>Zayne Parekh</x:v>
      </x:c>
      <x:c r="CB1013" s="4" t="str">
        <x:v>parekza01</x:v>
      </x:c>
    </x:row>
  </x:sheetData>
  <x:conditionalFormatting sqref="H6:H1013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ca9019d1ea47d0"/>
  </x:tableParts>
</x:worksheet>
</file>

<file path=xl/worksheets/sheet2.xml><?xml version="1.0" encoding="utf-8"?>
<x:worksheet xmlns:x="http://schemas.openxmlformats.org/spreadsheetml/2006/main">
  <x:sheetPr>
    <x:tabColor rgb="FF8C969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4" hidden="0" customWidth="1"/>
    <x:col min="4" max="4" width="16" hidden="0" customWidth="1"/>
    <x:col min="5" max="5" width="16" hidden="0" customWidth="1"/>
  </x:cols>
  <x:sheetData>
    <x:row r="2">
      <x:c r="A2" s="2" t="str">
        <x:v>Data guide and scoring</x:v>
      </x:c>
    </x:row>
    <x:row r="4" ht="25" customHeight="1">
      <x:c r="A4" s="6" t="str">
        <x:v>Topic</x:v>
      </x:c>
      <x:c r="B4" s="6" t="str">
        <x:v>Definition / source</x:v>
      </x:c>
      <x:c r="C4" s="1"/>
      <x:c r="D4" s="6" t="str">
        <x:v>Scoring stat</x:v>
      </x:c>
      <x:c r="E4" s="6" t="str">
        <x:v>Weight</x:v>
      </x:c>
    </x:row>
    <x:row r="5" ht="44" customHeight="1">
      <x:c r="A5" s="1" t="str">
        <x:v>Dataset</x:v>
      </x:c>
      <x:c r="B5" s="14" t="str">
        <x:v>1,008 unique skaters. 763 projections; 435 regular actual records; 940 advanced actual records. Goalies excluded.</x:v>
      </x:c>
      <x:c r="C5" s="1"/>
      <x:c r="D5" s="1" t="str">
        <x:v>G</x:v>
      </x:c>
      <x:c r="E5" s="16" t="n">
        <x:v>4</x:v>
      </x:c>
    </x:row>
    <x:row r="6" ht="44" customHeight="1">
      <x:c r="A6" s="1" t="str">
        <x:v>Matched sample</x:v>
      </x:c>
      <x:c r="B6" s="14" t="str">
        <x:v>416 players have both a projection and regular actuals. All 416 also have advanced statistics.</x:v>
      </x:c>
      <x:c r="C6" s="1"/>
      <x:c r="D6" s="1" t="str">
        <x:v>A</x:v>
      </x:c>
      <x:c r="E6" s="16" t="n">
        <x:v>3</x:v>
      </x:c>
    </x:row>
    <x:row r="7" ht="44" customHeight="1">
      <x:c r="A7" s="1" t="str">
        <x:v>Source</x:v>
      </x:c>
      <x:c r="B7" s="14" t="str">
        <x:v>NHL draft kit(2).xlsx only. Tabs: Skater Projections 25-26; Skater Stats 25-26; Skater Adv Stats 25-26. No earlier upload was used.</x:v>
      </x:c>
      <x:c r="C7" s="1"/>
      <x:c r="D7" s="1" t="str">
        <x:v>PM</x:v>
      </x:c>
      <x:c r="E7" s="16" t="n">
        <x:v>1</x:v>
      </x:c>
    </x:row>
    <x:row r="8" ht="44" customHeight="1">
      <x:c r="A8" s="1" t="str">
        <x:v>Source status</x:v>
      </x:c>
      <x:c r="B8" s="14" t="str">
        <x:v>[Unverified] Figures are retained from your supplied file. Their publication dates and external accuracy have not been independently verified.</x:v>
      </x:c>
      <x:c r="C8" s="1"/>
      <x:c r="D8" s="1" t="str">
        <x:v>PPP</x:v>
      </x:c>
      <x:c r="E8" s="16" t="n">
        <x:v>1</x:v>
      </x:c>
    </x:row>
    <x:row r="9" ht="44" customHeight="1">
      <x:c r="A9" s="1" t="str">
        <x:v>Coverage limits</x:v>
      </x:c>
      <x:c r="B9" s="14" t="str">
        <x:v>Advanced data contains 1,104 rows before team-stint removal and ends at Jason Zucker. Regular data still has 499 rows and ends at Eric Robinson (18 points).</x:v>
      </x:c>
      <x:c r="C9" s="1"/>
      <x:c r="D9" s="1" t="str">
        <x:v>SHP</x:v>
      </x:c>
      <x:c r="E9" s="16" t="n">
        <x:v>3</x:v>
      </x:c>
    </x:row>
    <x:row r="10" ht="44" customHeight="1">
      <x:c r="A10" s="1" t="str">
        <x:v>Coverage flags</x:v>
      </x:c>
      <x:c r="B10" s="14" t="str">
        <x:v>has_projection, has_actual, has_advanced: 1 = supplied record available, 0 = absent. Missing performance remains blank, never assumed zero.</x:v>
      </x:c>
      <x:c r="C10" s="1"/>
      <x:c r="D10" s="1" t="str">
        <x:v>SOG</x:v>
      </x:c>
      <x:c r="E10" s="16" t="n">
        <x:v>0.25</x:v>
      </x:c>
    </x:row>
    <x:row r="11" ht="44" customHeight="1">
      <x:c r="A11" s="1" t="str">
        <x:v>Projection values</x:v>
      </x:c>
      <x:c r="B11" s="14" t="str">
        <x:v>Copied as numeric inputs from the corrected projection tab. Source rankings, salary, and fantasy Pts were excluded.</x:v>
      </x:c>
      <x:c r="C11" s="1"/>
      <x:c r="D11" s="1" t="str">
        <x:v>HIT</x:v>
      </x:c>
      <x:c r="E11" s="16" t="n">
        <x:v>0.25</x:v>
      </x:c>
    </x:row>
    <x:row r="12" ht="44" customHeight="1">
      <x:c r="A12" s="1" t="str">
        <x:v>Source errors</x:v>
      </x:c>
      <x:c r="B12" s="14" t="str">
        <x:v>Projection salary E719 has #N/A; advanced header AA1 has #NAME?. These unused cells are excluded. Advanced column AA player IDs are retained.</x:v>
      </x:c>
      <x:c r="C12" s="1"/>
      <x:c r="D12" s="1" t="str">
        <x:v>BLK</x:v>
      </x:c>
      <x:c r="E12" s="16" t="n">
        <x:v>0.75</x:v>
      </x:c>
    </x:row>
    <x:row r="13" ht="44" customHeight="1">
      <x:c r="A13" s="1" t="str">
        <x:v>Season totals</x:v>
      </x:c>
      <x:c r="B13" s="14" t="str">
        <x:v>Used 2TM/TOT season-total rows for traded players. Excluded 64 regular and 164 advanced team-stint rows from the combined table.</x:v>
      </x:c>
      <x:c r="C13" s="1"/>
      <x:c r="D13" s="1"/>
      <x:c r="E13" s="1"/>
    </x:row>
    <x:row r="14" ht="44" customHeight="1">
      <x:c r="A14" s="1" t="str">
        <x:v>Stint checks</x:v>
      </x:c>
      <x:c r="B14" s="14" t="str">
        <x:v>Checked that games played on each retained multi-team total equals the sum of its team-stint games. Regular and advanced GP agree wherever both exist.</x:v>
      </x:c>
      <x:c r="C14" s="1"/>
      <x:c r="D14" s="1"/>
      <x:c r="E14" s="1"/>
    </x:row>
    <x:row r="15" ht="44" customHeight="1">
      <x:c r="A15" s="1" t="str">
        <x:v>Player matching</x:v>
      </x:c>
      <x:c r="B15" s="14" t="str">
        <x:v>Normalized accents, punctuation, spaces and case. Specific nickname mappings are listed below. Original names and source row numbers remain at the right of the table.</x:v>
      </x:c>
      <x:c r="C15" s="1"/>
      <x:c r="D15" s="1"/>
      <x:c r="E15" s="1"/>
    </x:row>
    <x:row r="16" ht="44" customHeight="1">
      <x:c r="A16" s="1" t="str">
        <x:v>Match status</x:v>
      </x:c>
      <x:c r="B16" s="14" t="str">
        <x:v>[Inference] Nickname matches use the supplied names and available team/position context. No fuzzy nearest-name matching was applied.</x:v>
      </x:c>
      <x:c r="C16" s="1"/>
      <x:c r="D16" s="1"/>
      <x:c r="E16" s="1"/>
    </x:row>
    <x:row r="17" ht="44" customHeight="1">
      <x:c r="A17" s="1" t="str">
        <x:v>Names kept separate</x:v>
      </x:c>
      <x:c r="B17" s="14" t="str">
        <x:v>Regular Aho/Pettersson actuals refer to forwards. Elias Pettersson advanced rows include C (petteel01) and D (petteel02), joined to separate projection records.</x:v>
      </x:c>
      <x:c r="C17" s="1"/>
      <x:c r="D17" s="1"/>
      <x:c r="E17" s="1"/>
    </x:row>
    <x:row r="18" ht="44" customHeight="1">
      <x:c r="A18" s="1" t="str">
        <x:v>Scoring</x:v>
      </x:c>
      <x:c r="B18" s="14" t="str">
        <x:v>FP = 4G + 3A + PM + PPP + 3SHP + 0.25SOG + 0.25HIT + 0.75BLK. Editable weights appear in D–E.</x:v>
      </x:c>
      <x:c r="C18" s="1"/>
      <x:c r="D18" s="1"/>
      <x:c r="E18" s="1"/>
    </x:row>
    <x:row r="19" ht="44" customHeight="1">
      <x:c r="A19" s="1" t="str">
        <x:v>Scoring source</x:v>
      </x:c>
      <x:c r="B19" s="14" t="str">
        <x:v>Your league settings screenshots 1000020106.png and 1000020107.png. G/A points and special-team bonuses both count.</x:v>
      </x:c>
      <x:c r="C19" s="1"/>
      <x:c r="D19" s="1"/>
      <x:c r="E19" s="1"/>
    </x:row>
    <x:row r="20" ht="44" customHeight="1">
      <x:c r="A20" s="1" t="str">
        <x:v>Special teams</x:v>
      </x:c>
      <x:c r="B20" s="14" t="str">
        <x:v>Actual PPP = PPG + PP assists; actual SHP = SHG + SH assists. Source PP and SH columns sit under Assists. Components are retained.</x:v>
      </x:c>
      <x:c r="C20" s="1"/>
      <x:c r="D20" s="1"/>
      <x:c r="E20" s="1"/>
    </x:row>
    <x:row r="21" ht="44" customHeight="1">
      <x:c r="A21" s="1" t="str">
        <x:v>Differences</x:v>
      </x:c>
      <x:c r="B21" s="14" t="str">
        <x:v>error_* = actual minus projection. Blank unless both numbers are present. FP_per_GP = fantasy points divided by games played.</x:v>
      </x:c>
      <x:c r="C21" s="1"/>
      <x:c r="D21" s="1"/>
      <x:c r="E21" s="1"/>
    </x:row>
    <x:row r="22" ht="44" customHeight="1">
      <x:c r="A22" s="1" t="str">
        <x:v>Time units</x:v>
      </x:c>
      <x:c r="B22" s="14" t="str">
        <x:v>[Inference] Displayed hockey mm:ss entries are normalized to decimal minutes (22:59 → 22.9833). Source Excel time cells encode these as hour/minute values.</x:v>
      </x:c>
      <x:c r="C22" s="1"/>
      <x:c r="D22" s="1"/>
      <x:c r="E22" s="1"/>
    </x:row>
    <x:row r="23" ht="44" customHeight="1">
      <x:c r="A23" s="1" t="str">
        <x:v>Excluded time field</x:v>
      </x:c>
      <x:c r="B23" s="14" t="str">
        <x:v>The source total TOI field has an ambiguous Excel duration encoding. The usable ATOI field is retained instead.</x:v>
      </x:c>
      <x:c r="C23" s="1"/>
      <x:c r="D23" s="1"/>
      <x:c r="E23" s="1"/>
    </x:row>
    <x:row r="24" ht="44" customHeight="1">
      <x:c r="A24" s="1" t="str">
        <x:v>Advanced percentages</x:v>
      </x:c>
      <x:c r="B24" s="14" t="str">
        <x:v>Percent fields keep source units: 43.5 means 43.5%, not 0.435. Relative CF/FF values are percentage points. PDO retains its source index scale.</x:v>
      </x:c>
      <x:c r="C24" s="1"/>
      <x:c r="D24" s="1"/>
      <x:c r="E24" s="1"/>
    </x:row>
    <x:row r="25" ht="44" customHeight="1">
      <x:c r="A25" s="1" t="str">
        <x:v>Advanced counts</x:v>
      </x:c>
      <x:c r="B25" s="14" t="str">
        <x:v>CF/CA, FF/FA, takeaways, giveaways and shot attempts retain source counts. Advanced GP identifies each row’s exposure.</x:v>
      </x:c>
      <x:c r="C25" s="1"/>
      <x:c r="D25" s="1"/>
      <x:c r="E25" s="1"/>
    </x:row>
    <x:row r="26" ht="44" customHeight="1">
      <x:c r="A26" s="1" t="str">
        <x:v>Advanced names</x:v>
      </x:c>
      <x:c r="B26" s="14" t="str">
        <x:v>CF/CA = Corsi for/against; FF/FA = Fenwick for/against. Remaining advanced labels map to source headers in the dictionary below.</x:v>
      </x:c>
      <x:c r="C26" s="1"/>
      <x:c r="D26" s="1"/>
      <x:c r="E26" s="1"/>
    </x:row>
    <x:row r="27" ht="44" customHeight="1">
      <x:c r="A27" s="1" t="str">
        <x:v>Analysis timing</x:v>
      </x:c>
      <x:c r="B27" s="14" t="str">
        <x:v>Advanced actuals describe 2025–26 outcomes. Do not use them as preseason predictors when testing 2025–26 projection accuracy.</x:v>
      </x:c>
      <x:c r="C27" s="1"/>
      <x:c r="D27" s="1"/>
      <x:c r="E27" s="1"/>
    </x:row>
    <x:row r="28" ht="44" customHeight="1">
      <x:c r="A28" s="1" t="str">
        <x:v>Analysis coverage</x:v>
      </x:c>
      <x:c r="B28" s="14" t="str">
        <x:v>[Inference] The regular-stat extract remains partial, so matched-sample results cannot establish league-wide accuracy despite broader advanced coverage.</x:v>
      </x:c>
      <x:c r="C28" s="1"/>
      <x:c r="D28" s="1"/>
      <x:c r="E28" s="1"/>
    </x:row>
    <x:row r="29" ht="44" customHeight="1">
      <x:c r="A29" s="1" t="str">
        <x:v>Scope</x:v>
      </x:c>
      <x:c r="B29" s="14" t="str">
        <x:v>Relevant pool scoring inputs plus age, position, deployment and advanced context are retained for later analysis. No regressions or correlations have been fitted.</x:v>
      </x:c>
      <x:c r="C29" s="1"/>
      <x:c r="D29" s="1"/>
      <x:c r="E29" s="1"/>
    </x:row>
    <x:row r="30" ht="44" customHeight="1">
      <x:c r="A30" s="1" t="str">
        <x:v>Column prefixes</x:v>
      </x:c>
      <x:c r="B30" s="14" t="str">
        <x:v>proj_ = preseason projection; actual_ = completed-season regular statistics; adv_ = completed-season advanced statistics; error_ = actual minus projection.</x:v>
      </x:c>
      <x:c r="C30" s="1"/>
      <x:c r="D30" s="1"/>
      <x:c r="E30" s="1"/>
    </x:row>
    <x:row r="31" ht="44" customHeight="1">
      <x:c r="A31" s="1" t="str">
        <x:v>Row order</x:v>
      </x:c>
      <x:c r="B31" s="14" t="str">
        <x:v>Matched projection/actual players first, then remaining players. Each group is alphabetical. The table can be filtered and sorted.</x:v>
      </x:c>
      <x:c r="C31" s="1"/>
      <x:c r="D31" s="1"/>
      <x:c r="E31" s="1"/>
    </x:row>
    <x:row r="32" ht="44" customHeight="1">
      <x:c r="A32" s="1" t="str">
        <x:v>Row references</x:v>
      </x:c>
      <x:c r="B32" s="14" t="str">
        <x:v>Source row numbers include original headers: projection starts at row 2, actual and advanced data at row 3.</x:v>
      </x:c>
      <x:c r="C32" s="1"/>
      <x:c r="D32" s="1"/>
      <x:c r="E32" s="1"/>
    </x:row>
    <x:row r="33" ht="44" customHeight="1">
      <x:c r="A33" s="1" t="str">
        <x:v>Team/position</x:v>
      </x:c>
      <x:c r="B33" s="14" t="str">
        <x:v>Preserved by period/source. TOT and 2TM indicate combined teams. Position eligibility is not independently verified.</x:v>
      </x:c>
      <x:c r="C33" s="1"/>
      <x:c r="D33" s="1"/>
      <x:c r="E33" s="1"/>
    </x:row>
    <x:row r="34" ht="44" customHeight="1">
      <x:c r="A34" s="1" t="str">
        <x:v>Missing records</x:v>
      </x:c>
      <x:c r="B34" s="14" t="str">
        <x:v>Players absent from a source remain in the union dataset. An absent actual row does not imply that the player missed the season.</x:v>
      </x:c>
      <x:c r="C34" s="1"/>
      <x:c r="D34" s="1"/>
      <x:c r="E34" s="1"/>
    </x:row>
    <x:row r="37">
      <x:c r="A37" s="6" t="str">
        <x:v>Matched key</x:v>
      </x:c>
      <x:c r="B37" s="6" t="str">
        <x:v>Source name variants</x:v>
      </x:c>
    </x:row>
    <x:row r="38">
      <x:c r="A38" s="21" t="str">
        <x:v>alexislafreniere</x:v>
      </x:c>
      <x:c r="B38" s="21" t="str">
        <x:v>Alexis Lafreniere / Alexis Lafrenière</x:v>
      </x:c>
    </x:row>
    <x:row r="39">
      <x:c r="A39" s="21" t="str">
        <x:v>andreburakovsky</x:v>
      </x:c>
      <x:c r="B39" s="21" t="str">
        <x:v>Andre Burakovsky / André Burakovsky</x:v>
      </x:c>
    </x:row>
    <x:row r="40">
      <x:c r="A40" s="21" t="str">
        <x:v>anzekopitar</x:v>
      </x:c>
      <x:c r="B40" s="21" t="str">
        <x:v>Anze Kopitar / Anže Kopitar</x:v>
      </x:c>
    </x:row>
    <x:row r="41">
      <x:c r="A41" s="21" t="str">
        <x:v>camyork</x:v>
      </x:c>
      <x:c r="B41" s="21" t="str">
        <x:v>Cam York / Cameron York</x:v>
      </x:c>
    </x:row>
    <x:row r="42">
      <x:c r="A42" s="21" t="str">
        <x:v>davidpastrnak</x:v>
      </x:c>
      <x:c r="B42" s="21" t="str">
        <x:v>David Pastrnak / David Pastrňák</x:v>
      </x:c>
    </x:row>
    <x:row r="43">
      <x:c r="A43" s="21" t="str">
        <x:v>yegorchinakhov</x:v>
      </x:c>
      <x:c r="B43" s="21" t="str">
        <x:v>Yegor Chinakhov / Egor Chinakhov</x:v>
      </x:c>
    </x:row>
    <x:row r="44">
      <x:c r="A44" s="21" t="str">
        <x:v>eliaspetterssonf</x:v>
      </x:c>
      <x:c r="B44" s="21" t="str">
        <x:v>Elias Pettersson (F) / Elias Pettersson</x:v>
      </x:c>
    </x:row>
    <x:row r="45">
      <x:c r="A45" s="21" t="str">
        <x:v>frederickgaudreau</x:v>
      </x:c>
      <x:c r="B45" s="21" t="str">
        <x:v>Frederick Gaudreau / Frédérick Gaudreau</x:v>
      </x:c>
    </x:row>
    <x:row r="46">
      <x:c r="A46" s="21" t="str">
        <x:v>gabeperreault</x:v>
      </x:c>
      <x:c r="B46" s="21" t="str">
        <x:v>Gabe Perreault / Gabriel Perreault</x:v>
      </x:c>
    </x:row>
    <x:row r="47">
      <x:c r="A47" s="21" t="str">
        <x:v>joshnorris</x:v>
      </x:c>
      <x:c r="B47" s="21" t="str">
        <x:v>Josh Norris / Joshua Norris</x:v>
      </x:c>
    </x:row>
    <x:row r="48">
      <x:c r="A48" s="21" t="str">
        <x:v>martinfehervary</x:v>
      </x:c>
      <x:c r="B48" s="21" t="str">
        <x:v>Martin Fehervary / Martin Fehérváry</x:v>
      </x:c>
    </x:row>
    <x:row r="49">
      <x:c r="A49" s="21" t="str">
        <x:v>martinnecas</x:v>
      </x:c>
      <x:c r="B49" s="21" t="str">
        <x:v>Martin Necas / Martin Nečas</x:v>
      </x:c>
    </x:row>
    <x:row r="50">
      <x:c r="A50" s="21" t="str">
        <x:v>mattcoronato</x:v>
      </x:c>
      <x:c r="B50" s="21" t="str">
        <x:v>Matt Coronato / Matthew Coronato</x:v>
      </x:c>
    </x:row>
    <x:row r="51">
      <x:c r="A51" s="21" t="str">
        <x:v>mattsavoie</x:v>
      </x:c>
      <x:c r="B51" s="21" t="str">
        <x:v>Matt Savoie / Matthew Savoie</x:v>
      </x:c>
    </x:row>
    <x:row r="52">
      <x:c r="A52" s="21" t="str">
        <x:v>mikeyanderson</x:v>
      </x:c>
      <x:c r="B52" s="21" t="str">
        <x:v>Mikey Anderson / Michael Anderson</x:v>
      </x:c>
    </x:row>
    <x:row r="53">
      <x:c r="A53" s="21" t="str">
        <x:v>sebastianahof</x:v>
      </x:c>
      <x:c r="B53" s="21" t="str">
        <x:v>Sebastian Aho (F) / Sebastian Aho</x:v>
      </x:c>
    </x:row>
    <x:row r="54">
      <x:c r="A54" s="21" t="str">
        <x:v>simonholmstrom</x:v>
      </x:c>
      <x:c r="B54" s="21" t="str">
        <x:v>Simon Holmstrom / Simon Holmström</x:v>
      </x:c>
    </x:row>
    <x:row r="55">
      <x:c r="A55" s="21" t="str">
        <x:v>teuvoteravainen</x:v>
      </x:c>
      <x:c r="B55" s="21" t="str">
        <x:v>Teuvo Teravainen / Teuvo Teräväinen</x:v>
      </x:c>
    </x:row>
    <x:row r="56">
      <x:c r="A56" s="21" t="str">
        <x:v>tommynovak</x:v>
      </x:c>
      <x:c r="B56" s="21" t="str">
        <x:v>Tommy Novak / Thomas Novak</x:v>
      </x:c>
    </x:row>
    <x:row r="57">
      <x:c r="A57" s="21" t="str">
        <x:v>timstutzle</x:v>
      </x:c>
      <x:c r="B57" s="21" t="str">
        <x:v>Tim Stutzle / Tim Stützle</x:v>
      </x:c>
    </x:row>
    <x:row r="58">
      <x:c r="A58" s="21" t="str">
        <x:v>tomashertl</x:v>
      </x:c>
      <x:c r="B58" s="21" t="str">
        <x:v>Tomas Hertl / Tomáš Hertl</x:v>
      </x:c>
    </x:row>
    <x:row r="59">
      <x:c r="A59" s="21" t="str">
        <x:v>anthonydeangelo</x:v>
      </x:c>
      <x:c r="B59" s="21" t="str">
        <x:v>Anthony DeAngelo / Tony DeAngelo</x:v>
      </x:c>
    </x:row>
    <x:row r="60">
      <x:c r="A60" s="21" t="str">
        <x:v>willcuylle</x:v>
      </x:c>
      <x:c r="B60" s="21" t="str">
        <x:v>Will Cuylle / William Cuylle</x:v>
      </x:c>
    </x:row>
    <x:row r="61">
      <x:c r="A61" s="21" t="str">
        <x:v>zackbolduc</x:v>
      </x:c>
      <x:c r="B61" s="21" t="str">
        <x:v>Zack Bolduc / Zachary Bolduc</x:v>
      </x:c>
    </x:row>
    <x:row r="62">
      <x:c r="A62" s="21" t="str">
        <x:v>aaturaty</x:v>
      </x:c>
      <x:c r="B62" s="21" t="str">
        <x:v>Aatu Raty / Aatu Räty</x:v>
      </x:c>
    </x:row>
    <x:row r="63">
      <x:c r="A63" s="21" t="str">
        <x:v>callejarnkrok</x:v>
      </x:c>
      <x:c r="B63" s="21" t="str">
        <x:v>Calle Jarnkrok / Calle Järnkrok</x:v>
      </x:c>
    </x:row>
    <x:row r="64">
      <x:c r="A64" s="21" t="str">
        <x:v>carlgrundstrom</x:v>
      </x:c>
      <x:c r="B64" s="21" t="str">
        <x:v>Carl Grundstrom / Carl Grundström</x:v>
      </x:c>
    </x:row>
    <x:row r="65">
      <x:c r="A65" s="21" t="str">
        <x:v>davidjiricek</x:v>
      </x:c>
      <x:c r="B65" s="21" t="str">
        <x:v>David Jiricek / David Jiříček</x:v>
      </x:c>
    </x:row>
    <x:row r="66">
      <x:c r="A66" s="21" t="str">
        <x:v>davidkampf</x:v>
      </x:c>
      <x:c r="B66" s="21" t="str">
        <x:v>David Kampf / David Kämpf</x:v>
      </x:c>
    </x:row>
    <x:row r="67">
      <x:c r="A67" s="21" t="str">
        <x:v>eliaspetterssond</x:v>
      </x:c>
      <x:c r="B67" s="21" t="str">
        <x:v>Elias Pettersson (D) / Elias Pettersson</x:v>
      </x:c>
    </x:row>
    <x:row r="68">
      <x:c r="A68" s="21" t="str">
        <x:v>elmersoderblom</x:v>
      </x:c>
      <x:c r="B68" s="21" t="str">
        <x:v>Elmer Soderblom / Elmer Söderblom</x:v>
      </x:c>
    </x:row>
    <x:row r="69">
      <x:c r="A69" s="21" t="str">
        <x:v>erikcernak</x:v>
      </x:c>
      <x:c r="B69" s="21" t="str">
        <x:v>Erik Cernak / Erik Černák</x:v>
      </x:c>
    </x:row>
    <x:row r="70">
      <x:c r="A70" s="21" t="str">
        <x:v>isaclundestrom</x:v>
      </x:c>
      <x:c r="B70" s="21" t="str">
        <x:v>Isac Lundestrom / Isac Lundeström</x:v>
      </x:c>
    </x:row>
    <x:row r="71">
      <x:c r="A71" s="21" t="str">
        <x:v>jonathanlekkerimaki</x:v>
      </x:c>
      <x:c r="B71" s="21" t="str">
        <x:v>Jonathan Lekkerimaki / Jonathan Lekkerimäki</x:v>
      </x:c>
    </x:row>
    <x:row r="72">
      <x:c r="A72" s="21" t="str">
        <x:v>juusoparssinen</x:v>
      </x:c>
      <x:c r="B72" s="21" t="str">
        <x:v>Juuso Parssinen / Juuso Pärssinen</x:v>
      </x:c>
    </x:row>
    <x:row r="73">
      <x:c r="A73" s="21" t="str">
        <x:v>nicolasaubekubel</x:v>
      </x:c>
      <x:c r="B73" s="21" t="str">
        <x:v>Nicolas Aube-Kubel / Nicolas Aubé-Kubel</x:v>
      </x:c>
    </x:row>
    <x:row r="74">
      <x:c r="A74" s="21" t="str">
        <x:v>nilsaman</x:v>
      </x:c>
      <x:c r="B74" s="21" t="str">
        <x:v>Nils Aman / Nils Åman</x:v>
      </x:c>
    </x:row>
    <x:row r="75">
      <x:c r="A75" s="21" t="str">
        <x:v>nilshoglander</x:v>
      </x:c>
      <x:c r="B75" s="21" t="str">
        <x:v>Nils Hoglander / Nils Höglander</x:v>
      </x:c>
    </x:row>
    <x:row r="76">
      <x:c r="A76" s="21" t="str">
        <x:v>ollimaatta</x:v>
      </x:c>
      <x:c r="B76" s="21" t="str">
        <x:v>Olli Maatta / Olli Määttä</x:v>
      </x:c>
    </x:row>
    <x:row r="77">
      <x:c r="A77" s="21" t="str">
        <x:v>ondrejpalat</x:v>
      </x:c>
      <x:c r="B77" s="21" t="str">
        <x:v>Ondrej Palat / Ondřej Palát</x:v>
      </x:c>
    </x:row>
    <x:row r="78">
      <x:c r="A78" s="21" t="str">
        <x:v>pojoseph</x:v>
      </x:c>
      <x:c r="B78" s="21" t="str">
        <x:v>P.O. Joseph / Pierre-Olivier Joseph</x:v>
      </x:c>
    </x:row>
    <x:row r="79">
      <x:c r="A79" s="21" t="str">
        <x:v>tomasnosek</x:v>
      </x:c>
      <x:c r="B79" s="21" t="str">
        <x:v>Tomas Nosek / Tomáš Nosek</x:v>
      </x:c>
    </x:row>
    <x:row r="80">
      <x:c r="A80" s="21" t="str">
        <x:v>victorsoderstrom</x:v>
      </x:c>
      <x:c r="B80" s="21" t="str">
        <x:v>Victor Soderstrom / Victor Söderström</x:v>
      </x:c>
    </x:row>
    <x:row r="81">
      <x:c r="A81" s="21" t="str">
        <x:v>willborgen</x:v>
      </x:c>
      <x:c r="B81" s="21" t="str">
        <x:v>Will Borgen / William Borgen</x:v>
      </x:c>
    </x:row>
    <x:row r="82">
      <x:c r="A82" s="21"/>
      <x:c r="B82" s="21"/>
    </x:row>
    <x:row r="83">
      <x:c r="A83" s="21"/>
      <x:c r="B83" s="21"/>
    </x:row>
    <x:row r="84">
      <x:c r="A84" s="22" t="str">
        <x:v>Advanced field</x:v>
      </x:c>
      <x:c r="B84" s="22" t="str">
        <x:v>Source header</x:v>
      </x:c>
    </x:row>
    <x:row r="85">
      <x:c r="A85" s="21" t="str">
        <x:v>CF</x:v>
      </x:c>
      <x:c r="B85" s="21" t="str">
        <x:v>CF</x:v>
      </x:c>
    </x:row>
    <x:row r="86">
      <x:c r="A86" s="21" t="str">
        <x:v>CA</x:v>
      </x:c>
      <x:c r="B86" s="21" t="str">
        <x:v>CA</x:v>
      </x:c>
    </x:row>
    <x:row r="87">
      <x:c r="A87" s="21" t="str">
        <x:v>CF_pct</x:v>
      </x:c>
      <x:c r="B87" s="21" t="str">
        <x:v>CF%</x:v>
      </x:c>
    </x:row>
    <x:row r="88">
      <x:c r="A88" s="21" t="str">
        <x:v>CF_relative_pp</x:v>
      </x:c>
      <x:c r="B88" s="21" t="str">
        <x:v>CF% rel</x:v>
      </x:c>
    </x:row>
    <x:row r="89">
      <x:c r="A89" s="21" t="str">
        <x:v>FF</x:v>
      </x:c>
      <x:c r="B89" s="21" t="str">
        <x:v>FF</x:v>
      </x:c>
    </x:row>
    <x:row r="90">
      <x:c r="A90" s="21" t="str">
        <x:v>FA</x:v>
      </x:c>
      <x:c r="B90" s="21" t="str">
        <x:v>FA</x:v>
      </x:c>
    </x:row>
    <x:row r="91">
      <x:c r="A91" s="21" t="str">
        <x:v>FF_pct</x:v>
      </x:c>
      <x:c r="B91" s="21" t="str">
        <x:v>FF%</x:v>
      </x:c>
    </x:row>
    <x:row r="92">
      <x:c r="A92" s="21" t="str">
        <x:v>FF_relative_pp</x:v>
      </x:c>
      <x:c r="B92" s="21" t="str">
        <x:v>FF% rel</x:v>
      </x:c>
    </x:row>
    <x:row r="93">
      <x:c r="A93" s="21" t="str">
        <x:v>on_ice_SH_pct</x:v>
      </x:c>
      <x:c r="B93" s="21" t="str">
        <x:v>oiSH%</x:v>
      </x:c>
    </x:row>
    <x:row r="94">
      <x:c r="A94" s="21" t="str">
        <x:v>on_ice_SV_pct</x:v>
      </x:c>
      <x:c r="B94" s="21" t="str">
        <x:v>oiSV%</x:v>
      </x:c>
    </x:row>
    <x:row r="95">
      <x:c r="A95" s="21" t="str">
        <x:v>PDO</x:v>
      </x:c>
      <x:c r="B95" s="21" t="str">
        <x:v>PDO</x:v>
      </x:c>
    </x:row>
    <x:row r="96">
      <x:c r="A96" s="21" t="str">
        <x:v>off_zone_start_pct</x:v>
      </x:c>
      <x:c r="B96" s="21" t="str">
        <x:v>oZS%</x:v>
      </x:c>
    </x:row>
    <x:row r="97">
      <x:c r="A97" s="21" t="str">
        <x:v>def_zone_start_pct</x:v>
      </x:c>
      <x:c r="B97" s="21" t="str">
        <x:v>dZS%</x:v>
      </x:c>
    </x:row>
    <x:row r="98">
      <x:c r="A98" s="21" t="str">
        <x:v>TOI_per_game_min</x:v>
      </x:c>
      <x:c r="B98" s="21" t="str">
        <x:v>TOI/60</x:v>
      </x:c>
    </x:row>
    <x:row r="99">
      <x:c r="A99" s="21" t="str">
        <x:v>EV_TOI_per_game_min</x:v>
      </x:c>
      <x:c r="B99" s="21" t="str">
        <x:v>TOI(EV)</x:v>
      </x:c>
    </x:row>
    <x:row r="100">
      <x:c r="A100" s="21" t="str">
        <x:v>takeaways</x:v>
      </x:c>
      <x:c r="B100" s="21" t="str">
        <x:v>TK</x:v>
      </x:c>
    </x:row>
    <x:row r="101">
      <x:c r="A101" s="21" t="str">
        <x:v>giveaways</x:v>
      </x:c>
      <x:c r="B101" s="21" t="str">
        <x:v>GV</x:v>
      </x:c>
    </x:row>
    <x:row r="102">
      <x:c r="A102" s="21" t="str">
        <x:v>expected_PM</x:v>
      </x:c>
      <x:c r="B102" s="21" t="str">
        <x:v>E+/-</x:v>
      </x:c>
    </x:row>
    <x:row r="103">
      <x:c r="A103" s="21" t="str">
        <x:v>shot_attempts</x:v>
      </x:c>
      <x:c r="B103" s="21" t="str">
        <x:v>SAtt.</x:v>
      </x:c>
    </x:row>
    <x:row r="104">
      <x:c r="A104" s="21" t="str">
        <x:v>through_pct</x:v>
      </x:c>
      <x:c r="B104" s="21" t="str">
        <x:v>Thru%</x:v>
      </x:c>
    </x:row>
  </x:sheetData>
  <x:pageMargins left="0.7" right="0.7" top="0.75" bottom="0.75" header="0.3" footer="0.3"/>
</x:worksheet>
</file>